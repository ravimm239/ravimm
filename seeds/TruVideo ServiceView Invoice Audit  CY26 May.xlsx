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lobalcdk-my.sharepoint.com/personal/mike_copp_cdk_com/Documents/Documents/COGS Recon/Manual Reconciliation Documents/Lei H/TruVideo/"/>
    </mc:Choice>
  </mc:AlternateContent>
  <xr:revisionPtr revIDLastSave="0" documentId="8_{DAE8FCE5-B1B2-4E11-BF42-A487260B7165}" xr6:coauthVersionLast="47" xr6:coauthVersionMax="47" xr10:uidLastSave="{00000000-0000-0000-0000-000000000000}"/>
  <bookViews>
    <workbookView xWindow="-19310" yWindow="-110" windowWidth="19420" windowHeight="10300" firstSheet="13" activeTab="9" xr2:uid="{E227754E-E84E-4DF1-AA9E-8C8E6F4A3334}"/>
  </bookViews>
  <sheets>
    <sheet name="Summary" sheetId="10" r:id="rId1"/>
    <sheet name="May Monthly - non INS Sites" sheetId="13" state="hidden" r:id="rId2"/>
    <sheet name="TruVideo May Invoice Gap Sites" sheetId="21" r:id="rId3"/>
    <sheet name="May Monthly Invoice- BLG Sites" sheetId="14" r:id="rId4"/>
    <sheet name="April Prorated Invoice-BLG Site" sheetId="11" r:id="rId5"/>
    <sheet name="CDK INS not Billed by TV" sheetId="15" r:id="rId6"/>
    <sheet name="CDK asked to retain list" sheetId="17" r:id="rId7"/>
    <sheet name="TV active sites in March Cancel" sheetId="20" r:id="rId8"/>
    <sheet name="CDK Cancel tracking 5.16.26" sheetId="22" r:id="rId9"/>
    <sheet name="TV May Monthly Billing Sites" sheetId="6" r:id="rId10"/>
    <sheet name="TV Apr Prorated Billing Sites" sheetId="3" r:id="rId11"/>
    <sheet name="TV Apr Prorated Invoice" sheetId="4" r:id="rId12"/>
    <sheet name="TV May Monthly Invoice" sheetId="5" r:id="rId13"/>
    <sheet name="SV Child INS Apr" sheetId="1" r:id="rId14"/>
    <sheet name="SV Child BLG Apr" sheetId="2" r:id="rId15"/>
    <sheet name="3.10 Cancel List" sheetId="16" r:id="rId16"/>
    <sheet name="March Cancel - checking results" sheetId="19" r:id="rId17"/>
    <sheet name="Process" sheetId="23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____gh2" localSheetId="15">{"'100'!$A$1:$M$83"}</definedName>
    <definedName name="____gh2" localSheetId="7">{"'100'!$A$1:$M$83"}</definedName>
    <definedName name="____gh2">{"'100'!$A$1:$M$83"}</definedName>
    <definedName name="____hg2" localSheetId="15">{"'100'!$A$1:$M$83"}</definedName>
    <definedName name="____hg2" localSheetId="7">{"'100'!$A$1:$M$83"}</definedName>
    <definedName name="____hg2">{"'100'!$A$1:$M$83"}</definedName>
    <definedName name="____p120" localSheetId="15" hidden="1">{#N/A,#N/A,FALSE,"Aa-Ab";#N/A,#N/A,FALSE,"A03";#N/A,#N/A,FALSE,"A03a_A07a";#N/A,#N/A,FALSE,"A04a";#N/A,#N/A,FALSE,"A05a";#N/A,#N/A,FALSE,"A08.02-03-04";#N/A,#N/A,FALSE,"A08a2-3";#N/A,#N/A,FALSE,"A08.05";#N/A,#N/A,FALSE,"A09a";#N/A,#N/A,FALSE,"A13.01";#N/A,#N/A,FALSE,"A16a";#N/A,#N/A,FALSE,"A16b";#N/A,#N/A,FALSE,"A16da";#N/A,#N/A,FALSE,"A16i 1";#N/A,#N/A,FALSE,"A26.01-02";#N/A,#N/A,FALSE,"A32.03";#N/A,#N/A,FALSE,"A32.04a";#N/A,#N/A,FALSE,"A33.01";#N/A,#N/A,FALSE,"A33.02";#N/A,#N/A,FALSE,"A36";#N/A,#N/A,FALSE,"A37.01-03";#N/A,#N/A,FALSE,"A41"}</definedName>
    <definedName name="____p120" localSheetId="7" hidden="1">{#N/A,#N/A,FALSE,"Aa-Ab";#N/A,#N/A,FALSE,"A03";#N/A,#N/A,FALSE,"A03a_A07a";#N/A,#N/A,FALSE,"A04a";#N/A,#N/A,FALSE,"A05a";#N/A,#N/A,FALSE,"A08.02-03-04";#N/A,#N/A,FALSE,"A08a2-3";#N/A,#N/A,FALSE,"A08.05";#N/A,#N/A,FALSE,"A09a";#N/A,#N/A,FALSE,"A13.01";#N/A,#N/A,FALSE,"A16a";#N/A,#N/A,FALSE,"A16b";#N/A,#N/A,FALSE,"A16da";#N/A,#N/A,FALSE,"A16i 1";#N/A,#N/A,FALSE,"A26.01-02";#N/A,#N/A,FALSE,"A32.03";#N/A,#N/A,FALSE,"A32.04a";#N/A,#N/A,FALSE,"A33.01";#N/A,#N/A,FALSE,"A33.02";#N/A,#N/A,FALSE,"A36";#N/A,#N/A,FALSE,"A37.01-03";#N/A,#N/A,FALSE,"A41"}</definedName>
    <definedName name="____p120" hidden="1">{#N/A,#N/A,FALSE,"Aa-Ab";#N/A,#N/A,FALSE,"A03";#N/A,#N/A,FALSE,"A03a_A07a";#N/A,#N/A,FALSE,"A04a";#N/A,#N/A,FALSE,"A05a";#N/A,#N/A,FALSE,"A08.02-03-04";#N/A,#N/A,FALSE,"A08a2-3";#N/A,#N/A,FALSE,"A08.05";#N/A,#N/A,FALSE,"A09a";#N/A,#N/A,FALSE,"A13.01";#N/A,#N/A,FALSE,"A16a";#N/A,#N/A,FALSE,"A16b";#N/A,#N/A,FALSE,"A16da";#N/A,#N/A,FALSE,"A16i 1";#N/A,#N/A,FALSE,"A26.01-02";#N/A,#N/A,FALSE,"A32.03";#N/A,#N/A,FALSE,"A32.04a";#N/A,#N/A,FALSE,"A33.01";#N/A,#N/A,FALSE,"A33.02";#N/A,#N/A,FALSE,"A36";#N/A,#N/A,FALSE,"A37.01-03";#N/A,#N/A,FALSE,"A41"}</definedName>
    <definedName name="____t2" localSheetId="15" hidden="1">{#N/A,#N/A,FALSE,"Assessment";#N/A,#N/A,FALSE,"Staffing";#N/A,#N/A,FALSE,"Hires";#N/A,#N/A,FALSE,"Assumptions"}</definedName>
    <definedName name="____t2" localSheetId="7" hidden="1">{#N/A,#N/A,FALSE,"Assessment";#N/A,#N/A,FALSE,"Staffing";#N/A,#N/A,FALSE,"Hires";#N/A,#N/A,FALSE,"Assumptions"}</definedName>
    <definedName name="____t2" hidden="1">{#N/A,#N/A,FALSE,"Assessment";#N/A,#N/A,FALSE,"Staffing";#N/A,#N/A,FALSE,"Hires";#N/A,#N/A,FALSE,"Assumptions"}</definedName>
    <definedName name="____t3" localSheetId="15" hidden="1">{#N/A,#N/A,FALSE,"Assessment";#N/A,#N/A,FALSE,"Staffing";#N/A,#N/A,FALSE,"Hires";#N/A,#N/A,FALSE,"Assumptions"}</definedName>
    <definedName name="____t3" localSheetId="7" hidden="1">{#N/A,#N/A,FALSE,"Assessment";#N/A,#N/A,FALSE,"Staffing";#N/A,#N/A,FALSE,"Hires";#N/A,#N/A,FALSE,"Assumptions"}</definedName>
    <definedName name="____t3" hidden="1">{#N/A,#N/A,FALSE,"Assessment";#N/A,#N/A,FALSE,"Staffing";#N/A,#N/A,FALSE,"Hires";#N/A,#N/A,FALSE,"Assumptions"}</definedName>
    <definedName name="____t4" localSheetId="15" hidden="1">{#N/A,#N/A,FALSE,"Assessment";#N/A,#N/A,FALSE,"Staffing";#N/A,#N/A,FALSE,"Hires";#N/A,#N/A,FALSE,"Assumptions"}</definedName>
    <definedName name="____t4" localSheetId="7" hidden="1">{#N/A,#N/A,FALSE,"Assessment";#N/A,#N/A,FALSE,"Staffing";#N/A,#N/A,FALSE,"Hires";#N/A,#N/A,FALSE,"Assumptions"}</definedName>
    <definedName name="____t4" hidden="1">{#N/A,#N/A,FALSE,"Assessment";#N/A,#N/A,FALSE,"Staffing";#N/A,#N/A,FALSE,"Hires";#N/A,#N/A,FALSE,"Assumptions"}</definedName>
    <definedName name="____V1" localSheetId="15" hidden="1">{#N/A,#N/A,FALSE,"Aa-Ab";#N/A,#N/A,FALSE,"A03";#N/A,#N/A,FALSE,"A03a_A07a";#N/A,#N/A,FALSE,"A04a";#N/A,#N/A,FALSE,"A05a";#N/A,#N/A,FALSE,"A08.02-03-04";#N/A,#N/A,FALSE,"A08a2-3";#N/A,#N/A,FALSE,"A08.05";#N/A,#N/A,FALSE,"A09a";#N/A,#N/A,FALSE,"A13.01";#N/A,#N/A,FALSE,"A16a";#N/A,#N/A,FALSE,"A16b";#N/A,#N/A,FALSE,"A16da";#N/A,#N/A,FALSE,"A16i 1";#N/A,#N/A,FALSE,"A26.01-02";#N/A,#N/A,FALSE,"A32.03";#N/A,#N/A,FALSE,"A32.04a";#N/A,#N/A,FALSE,"A33.01";#N/A,#N/A,FALSE,"A33.02";#N/A,#N/A,FALSE,"A36";#N/A,#N/A,FALSE,"A37.01-03";#N/A,#N/A,FALSE,"A41"}</definedName>
    <definedName name="____V1" localSheetId="7" hidden="1">{#N/A,#N/A,FALSE,"Aa-Ab";#N/A,#N/A,FALSE,"A03";#N/A,#N/A,FALSE,"A03a_A07a";#N/A,#N/A,FALSE,"A04a";#N/A,#N/A,FALSE,"A05a";#N/A,#N/A,FALSE,"A08.02-03-04";#N/A,#N/A,FALSE,"A08a2-3";#N/A,#N/A,FALSE,"A08.05";#N/A,#N/A,FALSE,"A09a";#N/A,#N/A,FALSE,"A13.01";#N/A,#N/A,FALSE,"A16a";#N/A,#N/A,FALSE,"A16b";#N/A,#N/A,FALSE,"A16da";#N/A,#N/A,FALSE,"A16i 1";#N/A,#N/A,FALSE,"A26.01-02";#N/A,#N/A,FALSE,"A32.03";#N/A,#N/A,FALSE,"A32.04a";#N/A,#N/A,FALSE,"A33.01";#N/A,#N/A,FALSE,"A33.02";#N/A,#N/A,FALSE,"A36";#N/A,#N/A,FALSE,"A37.01-03";#N/A,#N/A,FALSE,"A41"}</definedName>
    <definedName name="____V1" hidden="1">{#N/A,#N/A,FALSE,"Aa-Ab";#N/A,#N/A,FALSE,"A03";#N/A,#N/A,FALSE,"A03a_A07a";#N/A,#N/A,FALSE,"A04a";#N/A,#N/A,FALSE,"A05a";#N/A,#N/A,FALSE,"A08.02-03-04";#N/A,#N/A,FALSE,"A08a2-3";#N/A,#N/A,FALSE,"A08.05";#N/A,#N/A,FALSE,"A09a";#N/A,#N/A,FALSE,"A13.01";#N/A,#N/A,FALSE,"A16a";#N/A,#N/A,FALSE,"A16b";#N/A,#N/A,FALSE,"A16da";#N/A,#N/A,FALSE,"A16i 1";#N/A,#N/A,FALSE,"A26.01-02";#N/A,#N/A,FALSE,"A32.03";#N/A,#N/A,FALSE,"A32.04a";#N/A,#N/A,FALSE,"A33.01";#N/A,#N/A,FALSE,"A33.02";#N/A,#N/A,FALSE,"A36";#N/A,#N/A,FALSE,"A37.01-03";#N/A,#N/A,FALSE,"A41"}</definedName>
    <definedName name="____V11" localSheetId="15" hidden="1">{#N/A,#N/A,FALSE,"Aa-Ab";#N/A,#N/A,FALSE,"A03";#N/A,#N/A,FALSE,"A03a_A07a";#N/A,#N/A,FALSE,"A04a";#N/A,#N/A,FALSE,"A05a";#N/A,#N/A,FALSE,"A08.02-03-04";#N/A,#N/A,FALSE,"A08a2-3";#N/A,#N/A,FALSE,"A08.05";#N/A,#N/A,FALSE,"A09a";#N/A,#N/A,FALSE,"A13.01";#N/A,#N/A,FALSE,"A16a";#N/A,#N/A,FALSE,"A16b";#N/A,#N/A,FALSE,"A16da";#N/A,#N/A,FALSE,"A16i 1";#N/A,#N/A,FALSE,"A26.01-02";#N/A,#N/A,FALSE,"A32.03";#N/A,#N/A,FALSE,"A32.04a";#N/A,#N/A,FALSE,"A33.01";#N/A,#N/A,FALSE,"A33.02";#N/A,#N/A,FALSE,"A36";#N/A,#N/A,FALSE,"A37.01-03";#N/A,#N/A,FALSE,"A41"}</definedName>
    <definedName name="____V11" localSheetId="7" hidden="1">{#N/A,#N/A,FALSE,"Aa-Ab";#N/A,#N/A,FALSE,"A03";#N/A,#N/A,FALSE,"A03a_A07a";#N/A,#N/A,FALSE,"A04a";#N/A,#N/A,FALSE,"A05a";#N/A,#N/A,FALSE,"A08.02-03-04";#N/A,#N/A,FALSE,"A08a2-3";#N/A,#N/A,FALSE,"A08.05";#N/A,#N/A,FALSE,"A09a";#N/A,#N/A,FALSE,"A13.01";#N/A,#N/A,FALSE,"A16a";#N/A,#N/A,FALSE,"A16b";#N/A,#N/A,FALSE,"A16da";#N/A,#N/A,FALSE,"A16i 1";#N/A,#N/A,FALSE,"A26.01-02";#N/A,#N/A,FALSE,"A32.03";#N/A,#N/A,FALSE,"A32.04a";#N/A,#N/A,FALSE,"A33.01";#N/A,#N/A,FALSE,"A33.02";#N/A,#N/A,FALSE,"A36";#N/A,#N/A,FALSE,"A37.01-03";#N/A,#N/A,FALSE,"A41"}</definedName>
    <definedName name="____V11" hidden="1">{#N/A,#N/A,FALSE,"Aa-Ab";#N/A,#N/A,FALSE,"A03";#N/A,#N/A,FALSE,"A03a_A07a";#N/A,#N/A,FALSE,"A04a";#N/A,#N/A,FALSE,"A05a";#N/A,#N/A,FALSE,"A08.02-03-04";#N/A,#N/A,FALSE,"A08a2-3";#N/A,#N/A,FALSE,"A08.05";#N/A,#N/A,FALSE,"A09a";#N/A,#N/A,FALSE,"A13.01";#N/A,#N/A,FALSE,"A16a";#N/A,#N/A,FALSE,"A16b";#N/A,#N/A,FALSE,"A16da";#N/A,#N/A,FALSE,"A16i 1";#N/A,#N/A,FALSE,"A26.01-02";#N/A,#N/A,FALSE,"A32.03";#N/A,#N/A,FALSE,"A32.04a";#N/A,#N/A,FALSE,"A33.01";#N/A,#N/A,FALSE,"A33.02";#N/A,#N/A,FALSE,"A36";#N/A,#N/A,FALSE,"A37.01-03";#N/A,#N/A,FALSE,"A41"}</definedName>
    <definedName name="____X1111" localSheetId="15" hidden="1">{#N/A,#N/A,FALSE,"Aa-Ab";#N/A,#N/A,FALSE,"A03";#N/A,#N/A,FALSE,"A03a_A07a";#N/A,#N/A,FALSE,"A04a";#N/A,#N/A,FALSE,"A05a";#N/A,#N/A,FALSE,"A08.02-03-04";#N/A,#N/A,FALSE,"A08a2-3";#N/A,#N/A,FALSE,"A08.05";#N/A,#N/A,FALSE,"A09a";#N/A,#N/A,FALSE,"A13.01";#N/A,#N/A,FALSE,"A16a";#N/A,#N/A,FALSE,"A16b";#N/A,#N/A,FALSE,"A16da";#N/A,#N/A,FALSE,"A16i 1";#N/A,#N/A,FALSE,"A26.01-02";#N/A,#N/A,FALSE,"A32.03";#N/A,#N/A,FALSE,"A32.04a";#N/A,#N/A,FALSE,"A33.01";#N/A,#N/A,FALSE,"A33.02";#N/A,#N/A,FALSE,"A36";#N/A,#N/A,FALSE,"A37.01-03";#N/A,#N/A,FALSE,"A41"}</definedName>
    <definedName name="____X1111" localSheetId="7" hidden="1">{#N/A,#N/A,FALSE,"Aa-Ab";#N/A,#N/A,FALSE,"A03";#N/A,#N/A,FALSE,"A03a_A07a";#N/A,#N/A,FALSE,"A04a";#N/A,#N/A,FALSE,"A05a";#N/A,#N/A,FALSE,"A08.02-03-04";#N/A,#N/A,FALSE,"A08a2-3";#N/A,#N/A,FALSE,"A08.05";#N/A,#N/A,FALSE,"A09a";#N/A,#N/A,FALSE,"A13.01";#N/A,#N/A,FALSE,"A16a";#N/A,#N/A,FALSE,"A16b";#N/A,#N/A,FALSE,"A16da";#N/A,#N/A,FALSE,"A16i 1";#N/A,#N/A,FALSE,"A26.01-02";#N/A,#N/A,FALSE,"A32.03";#N/A,#N/A,FALSE,"A32.04a";#N/A,#N/A,FALSE,"A33.01";#N/A,#N/A,FALSE,"A33.02";#N/A,#N/A,FALSE,"A36";#N/A,#N/A,FALSE,"A37.01-03";#N/A,#N/A,FALSE,"A41"}</definedName>
    <definedName name="____X1111" hidden="1">{#N/A,#N/A,FALSE,"Aa-Ab";#N/A,#N/A,FALSE,"A03";#N/A,#N/A,FALSE,"A03a_A07a";#N/A,#N/A,FALSE,"A04a";#N/A,#N/A,FALSE,"A05a";#N/A,#N/A,FALSE,"A08.02-03-04";#N/A,#N/A,FALSE,"A08a2-3";#N/A,#N/A,FALSE,"A08.05";#N/A,#N/A,FALSE,"A09a";#N/A,#N/A,FALSE,"A13.01";#N/A,#N/A,FALSE,"A16a";#N/A,#N/A,FALSE,"A16b";#N/A,#N/A,FALSE,"A16da";#N/A,#N/A,FALSE,"A16i 1";#N/A,#N/A,FALSE,"A26.01-02";#N/A,#N/A,FALSE,"A32.03";#N/A,#N/A,FALSE,"A32.04a";#N/A,#N/A,FALSE,"A33.01";#N/A,#N/A,FALSE,"A33.02";#N/A,#N/A,FALSE,"A36";#N/A,#N/A,FALSE,"A37.01-03";#N/A,#N/A,FALSE,"A41"}</definedName>
    <definedName name="___456Graph_A" hidden="1">#REF!</definedName>
    <definedName name="___gh2" localSheetId="15">{"'100'!$A$1:$M$83"}</definedName>
    <definedName name="___gh2" localSheetId="7">{"'100'!$A$1:$M$83"}</definedName>
    <definedName name="___gh2">{"'100'!$A$1:$M$83"}</definedName>
    <definedName name="___hg2" localSheetId="15">{"'100'!$A$1:$M$83"}</definedName>
    <definedName name="___hg2" localSheetId="7">{"'100'!$A$1:$M$83"}</definedName>
    <definedName name="___hg2">{"'100'!$A$1:$M$83"}</definedName>
    <definedName name="___t2" localSheetId="15" hidden="1">{#N/A,#N/A,FALSE,"Assessment";#N/A,#N/A,FALSE,"Staffing";#N/A,#N/A,FALSE,"Hires";#N/A,#N/A,FALSE,"Assumptions"}</definedName>
    <definedName name="___t2" localSheetId="7" hidden="1">{#N/A,#N/A,FALSE,"Assessment";#N/A,#N/A,FALSE,"Staffing";#N/A,#N/A,FALSE,"Hires";#N/A,#N/A,FALSE,"Assumptions"}</definedName>
    <definedName name="___t2" hidden="1">{#N/A,#N/A,FALSE,"Assessment";#N/A,#N/A,FALSE,"Staffing";#N/A,#N/A,FALSE,"Hires";#N/A,#N/A,FALSE,"Assumptions"}</definedName>
    <definedName name="___t3" localSheetId="15" hidden="1">{#N/A,#N/A,FALSE,"Assessment";#N/A,#N/A,FALSE,"Staffing";#N/A,#N/A,FALSE,"Hires";#N/A,#N/A,FALSE,"Assumptions"}</definedName>
    <definedName name="___t3" localSheetId="7" hidden="1">{#N/A,#N/A,FALSE,"Assessment";#N/A,#N/A,FALSE,"Staffing";#N/A,#N/A,FALSE,"Hires";#N/A,#N/A,FALSE,"Assumptions"}</definedName>
    <definedName name="___t3" hidden="1">{#N/A,#N/A,FALSE,"Assessment";#N/A,#N/A,FALSE,"Staffing";#N/A,#N/A,FALSE,"Hires";#N/A,#N/A,FALSE,"Assumptions"}</definedName>
    <definedName name="___t4" localSheetId="15" hidden="1">{#N/A,#N/A,FALSE,"Assessment";#N/A,#N/A,FALSE,"Staffing";#N/A,#N/A,FALSE,"Hires";#N/A,#N/A,FALSE,"Assumptions"}</definedName>
    <definedName name="___t4" localSheetId="7" hidden="1">{#N/A,#N/A,FALSE,"Assessment";#N/A,#N/A,FALSE,"Staffing";#N/A,#N/A,FALSE,"Hires";#N/A,#N/A,FALSE,"Assumptions"}</definedName>
    <definedName name="___t4" hidden="1">{#N/A,#N/A,FALSE,"Assessment";#N/A,#N/A,FALSE,"Staffing";#N/A,#N/A,FALSE,"Hires";#N/A,#N/A,FALSE,"Assumptions"}</definedName>
    <definedName name="___thinkcell8JddlIYHa02zNXE_0VK6Mw" hidden="1">#REF!</definedName>
    <definedName name="___V1" localSheetId="15" hidden="1">{#N/A,#N/A,FALSE,"Aa-Ab";#N/A,#N/A,FALSE,"A03";#N/A,#N/A,FALSE,"A03a_A07a";#N/A,#N/A,FALSE,"A04a";#N/A,#N/A,FALSE,"A05a";#N/A,#N/A,FALSE,"A08.02-03-04";#N/A,#N/A,FALSE,"A08a2-3";#N/A,#N/A,FALSE,"A08.05";#N/A,#N/A,FALSE,"A09a";#N/A,#N/A,FALSE,"A13.01";#N/A,#N/A,FALSE,"A16a";#N/A,#N/A,FALSE,"A16b";#N/A,#N/A,FALSE,"A16da";#N/A,#N/A,FALSE,"A16i 1";#N/A,#N/A,FALSE,"A26.01-02";#N/A,#N/A,FALSE,"A32.03";#N/A,#N/A,FALSE,"A32.04a";#N/A,#N/A,FALSE,"A33.01";#N/A,#N/A,FALSE,"A33.02";#N/A,#N/A,FALSE,"A36";#N/A,#N/A,FALSE,"A37.01-03";#N/A,#N/A,FALSE,"A41"}</definedName>
    <definedName name="___V1" localSheetId="7" hidden="1">{#N/A,#N/A,FALSE,"Aa-Ab";#N/A,#N/A,FALSE,"A03";#N/A,#N/A,FALSE,"A03a_A07a";#N/A,#N/A,FALSE,"A04a";#N/A,#N/A,FALSE,"A05a";#N/A,#N/A,FALSE,"A08.02-03-04";#N/A,#N/A,FALSE,"A08a2-3";#N/A,#N/A,FALSE,"A08.05";#N/A,#N/A,FALSE,"A09a";#N/A,#N/A,FALSE,"A13.01";#N/A,#N/A,FALSE,"A16a";#N/A,#N/A,FALSE,"A16b";#N/A,#N/A,FALSE,"A16da";#N/A,#N/A,FALSE,"A16i 1";#N/A,#N/A,FALSE,"A26.01-02";#N/A,#N/A,FALSE,"A32.03";#N/A,#N/A,FALSE,"A32.04a";#N/A,#N/A,FALSE,"A33.01";#N/A,#N/A,FALSE,"A33.02";#N/A,#N/A,FALSE,"A36";#N/A,#N/A,FALSE,"A37.01-03";#N/A,#N/A,FALSE,"A41"}</definedName>
    <definedName name="___V1" hidden="1">{#N/A,#N/A,FALSE,"Aa-Ab";#N/A,#N/A,FALSE,"A03";#N/A,#N/A,FALSE,"A03a_A07a";#N/A,#N/A,FALSE,"A04a";#N/A,#N/A,FALSE,"A05a";#N/A,#N/A,FALSE,"A08.02-03-04";#N/A,#N/A,FALSE,"A08a2-3";#N/A,#N/A,FALSE,"A08.05";#N/A,#N/A,FALSE,"A09a";#N/A,#N/A,FALSE,"A13.01";#N/A,#N/A,FALSE,"A16a";#N/A,#N/A,FALSE,"A16b";#N/A,#N/A,FALSE,"A16da";#N/A,#N/A,FALSE,"A16i 1";#N/A,#N/A,FALSE,"A26.01-02";#N/A,#N/A,FALSE,"A32.03";#N/A,#N/A,FALSE,"A32.04a";#N/A,#N/A,FALSE,"A33.01";#N/A,#N/A,FALSE,"A33.02";#N/A,#N/A,FALSE,"A36";#N/A,#N/A,FALSE,"A37.01-03";#N/A,#N/A,FALSE,"A41"}</definedName>
    <definedName name="___V11" localSheetId="15" hidden="1">{#N/A,#N/A,FALSE,"Aa-Ab";#N/A,#N/A,FALSE,"A03";#N/A,#N/A,FALSE,"A03a_A07a";#N/A,#N/A,FALSE,"A04a";#N/A,#N/A,FALSE,"A05a";#N/A,#N/A,FALSE,"A08.02-03-04";#N/A,#N/A,FALSE,"A08a2-3";#N/A,#N/A,FALSE,"A08.05";#N/A,#N/A,FALSE,"A09a";#N/A,#N/A,FALSE,"A13.01";#N/A,#N/A,FALSE,"A16a";#N/A,#N/A,FALSE,"A16b";#N/A,#N/A,FALSE,"A16da";#N/A,#N/A,FALSE,"A16i 1";#N/A,#N/A,FALSE,"A26.01-02";#N/A,#N/A,FALSE,"A32.03";#N/A,#N/A,FALSE,"A32.04a";#N/A,#N/A,FALSE,"A33.01";#N/A,#N/A,FALSE,"A33.02";#N/A,#N/A,FALSE,"A36";#N/A,#N/A,FALSE,"A37.01-03";#N/A,#N/A,FALSE,"A41"}</definedName>
    <definedName name="___V11" localSheetId="7" hidden="1">{#N/A,#N/A,FALSE,"Aa-Ab";#N/A,#N/A,FALSE,"A03";#N/A,#N/A,FALSE,"A03a_A07a";#N/A,#N/A,FALSE,"A04a";#N/A,#N/A,FALSE,"A05a";#N/A,#N/A,FALSE,"A08.02-03-04";#N/A,#N/A,FALSE,"A08a2-3";#N/A,#N/A,FALSE,"A08.05";#N/A,#N/A,FALSE,"A09a";#N/A,#N/A,FALSE,"A13.01";#N/A,#N/A,FALSE,"A16a";#N/A,#N/A,FALSE,"A16b";#N/A,#N/A,FALSE,"A16da";#N/A,#N/A,FALSE,"A16i 1";#N/A,#N/A,FALSE,"A26.01-02";#N/A,#N/A,FALSE,"A32.03";#N/A,#N/A,FALSE,"A32.04a";#N/A,#N/A,FALSE,"A33.01";#N/A,#N/A,FALSE,"A33.02";#N/A,#N/A,FALSE,"A36";#N/A,#N/A,FALSE,"A37.01-03";#N/A,#N/A,FALSE,"A41"}</definedName>
    <definedName name="___V11" hidden="1">{#N/A,#N/A,FALSE,"Aa-Ab";#N/A,#N/A,FALSE,"A03";#N/A,#N/A,FALSE,"A03a_A07a";#N/A,#N/A,FALSE,"A04a";#N/A,#N/A,FALSE,"A05a";#N/A,#N/A,FALSE,"A08.02-03-04";#N/A,#N/A,FALSE,"A08a2-3";#N/A,#N/A,FALSE,"A08.05";#N/A,#N/A,FALSE,"A09a";#N/A,#N/A,FALSE,"A13.01";#N/A,#N/A,FALSE,"A16a";#N/A,#N/A,FALSE,"A16b";#N/A,#N/A,FALSE,"A16da";#N/A,#N/A,FALSE,"A16i 1";#N/A,#N/A,FALSE,"A26.01-02";#N/A,#N/A,FALSE,"A32.03";#N/A,#N/A,FALSE,"A32.04a";#N/A,#N/A,FALSE,"A33.01";#N/A,#N/A,FALSE,"A33.02";#N/A,#N/A,FALSE,"A36";#N/A,#N/A,FALSE,"A37.01-03";#N/A,#N/A,FALSE,"A41"}</definedName>
    <definedName name="___X1111" localSheetId="15" hidden="1">{#N/A,#N/A,FALSE,"Aa-Ab";#N/A,#N/A,FALSE,"A03";#N/A,#N/A,FALSE,"A03a_A07a";#N/A,#N/A,FALSE,"A04a";#N/A,#N/A,FALSE,"A05a";#N/A,#N/A,FALSE,"A08.02-03-04";#N/A,#N/A,FALSE,"A08a2-3";#N/A,#N/A,FALSE,"A08.05";#N/A,#N/A,FALSE,"A09a";#N/A,#N/A,FALSE,"A13.01";#N/A,#N/A,FALSE,"A16a";#N/A,#N/A,FALSE,"A16b";#N/A,#N/A,FALSE,"A16da";#N/A,#N/A,FALSE,"A16i 1";#N/A,#N/A,FALSE,"A26.01-02";#N/A,#N/A,FALSE,"A32.03";#N/A,#N/A,FALSE,"A32.04a";#N/A,#N/A,FALSE,"A33.01";#N/A,#N/A,FALSE,"A33.02";#N/A,#N/A,FALSE,"A36";#N/A,#N/A,FALSE,"A37.01-03";#N/A,#N/A,FALSE,"A41"}</definedName>
    <definedName name="___X1111" localSheetId="7" hidden="1">{#N/A,#N/A,FALSE,"Aa-Ab";#N/A,#N/A,FALSE,"A03";#N/A,#N/A,FALSE,"A03a_A07a";#N/A,#N/A,FALSE,"A04a";#N/A,#N/A,FALSE,"A05a";#N/A,#N/A,FALSE,"A08.02-03-04";#N/A,#N/A,FALSE,"A08a2-3";#N/A,#N/A,FALSE,"A08.05";#N/A,#N/A,FALSE,"A09a";#N/A,#N/A,FALSE,"A13.01";#N/A,#N/A,FALSE,"A16a";#N/A,#N/A,FALSE,"A16b";#N/A,#N/A,FALSE,"A16da";#N/A,#N/A,FALSE,"A16i 1";#N/A,#N/A,FALSE,"A26.01-02";#N/A,#N/A,FALSE,"A32.03";#N/A,#N/A,FALSE,"A32.04a";#N/A,#N/A,FALSE,"A33.01";#N/A,#N/A,FALSE,"A33.02";#N/A,#N/A,FALSE,"A36";#N/A,#N/A,FALSE,"A37.01-03";#N/A,#N/A,FALSE,"A41"}</definedName>
    <definedName name="___X1111" hidden="1">{#N/A,#N/A,FALSE,"Aa-Ab";#N/A,#N/A,FALSE,"A03";#N/A,#N/A,FALSE,"A03a_A07a";#N/A,#N/A,FALSE,"A04a";#N/A,#N/A,FALSE,"A05a";#N/A,#N/A,FALSE,"A08.02-03-04";#N/A,#N/A,FALSE,"A08a2-3";#N/A,#N/A,FALSE,"A08.05";#N/A,#N/A,FALSE,"A09a";#N/A,#N/A,FALSE,"A13.01";#N/A,#N/A,FALSE,"A16a";#N/A,#N/A,FALSE,"A16b";#N/A,#N/A,FALSE,"A16da";#N/A,#N/A,FALSE,"A16i 1";#N/A,#N/A,FALSE,"A26.01-02";#N/A,#N/A,FALSE,"A32.03";#N/A,#N/A,FALSE,"A32.04a";#N/A,#N/A,FALSE,"A33.01";#N/A,#N/A,FALSE,"A33.02";#N/A,#N/A,FALSE,"A36";#N/A,#N/A,FALSE,"A37.01-03";#N/A,#N/A,FALSE,"A41"}</definedName>
    <definedName name="__123Graph_A" hidden="1">#REF!</definedName>
    <definedName name="__123Graph_AEXPS97" hidden="1">'[1]BS JUL'!#REF!</definedName>
    <definedName name="__123Graph_APROFIT97" hidden="1">'[1]BS JUL'!#REF!</definedName>
    <definedName name="__123Graph_AREV97" hidden="1">'[1]BS JUL'!#REF!</definedName>
    <definedName name="__123Graph_AREVS" hidden="1">'[1]BS JUL'!#REF!</definedName>
    <definedName name="__123Graph_ARPE97" hidden="1">'[1]BS JUL'!#REF!</definedName>
    <definedName name="__123Graph_B" hidden="1">'[2]TECH AID'!#REF!</definedName>
    <definedName name="__123Graph_BRPE97" hidden="1">'[1]BS JUL'!#REF!</definedName>
    <definedName name="__123Graph_C" hidden="1">'[3]Fleet Debits'!#REF!</definedName>
    <definedName name="__123Graph_CRPE97" hidden="1">'[1]BS JUL'!#REF!</definedName>
    <definedName name="__123Graph_D" hidden="1">'[3]Fleet Debits'!#REF!</definedName>
    <definedName name="__123Graph_E" hidden="1">'[3]Fleet Debits'!#REF!</definedName>
    <definedName name="__123Graph_F" hidden="1">'[3]Fleet Debits'!#REF!</definedName>
    <definedName name="__123Graph_X" hidden="1">'[1]BS JUL'!#REF!</definedName>
    <definedName name="__123Graph_XEXPS97" hidden="1">'[1]BS JUL'!#REF!</definedName>
    <definedName name="__123Graph_XPROFIT97" hidden="1">'[1]BS JUL'!#REF!</definedName>
    <definedName name="__123Graph_XREV97" hidden="1">'[1]BS JUL'!#REF!</definedName>
    <definedName name="__123Graph_XREVS" hidden="1">'[1]BS JUL'!#REF!</definedName>
    <definedName name="__123Graph_XRPE97" hidden="1">'[1]BS JUL'!#REF!</definedName>
    <definedName name="__FDS_HYPERLINK_TOGGLE_STATE__">"ON"</definedName>
    <definedName name="__gh2" localSheetId="15">{"'100'!$A$1:$M$83"}</definedName>
    <definedName name="__gh2" localSheetId="7">{"'100'!$A$1:$M$83"}</definedName>
    <definedName name="__gh2">{"'100'!$A$1:$M$83"}</definedName>
    <definedName name="__hg2" localSheetId="15">{"'100'!$A$1:$M$83"}</definedName>
    <definedName name="__hg2" localSheetId="7">{"'100'!$A$1:$M$83"}</definedName>
    <definedName name="__hg2">{"'100'!$A$1:$M$83"}</definedName>
    <definedName name="__t2" localSheetId="15" hidden="1">{#N/A,#N/A,FALSE,"Assessment";#N/A,#N/A,FALSE,"Staffing";#N/A,#N/A,FALSE,"Hires";#N/A,#N/A,FALSE,"Assumptions"}</definedName>
    <definedName name="__t2" localSheetId="7" hidden="1">{#N/A,#N/A,FALSE,"Assessment";#N/A,#N/A,FALSE,"Staffing";#N/A,#N/A,FALSE,"Hires";#N/A,#N/A,FALSE,"Assumptions"}</definedName>
    <definedName name="__t2" hidden="1">{#N/A,#N/A,FALSE,"Assessment";#N/A,#N/A,FALSE,"Staffing";#N/A,#N/A,FALSE,"Hires";#N/A,#N/A,FALSE,"Assumptions"}</definedName>
    <definedName name="__t3" localSheetId="15" hidden="1">{#N/A,#N/A,FALSE,"Assessment";#N/A,#N/A,FALSE,"Staffing";#N/A,#N/A,FALSE,"Hires";#N/A,#N/A,FALSE,"Assumptions"}</definedName>
    <definedName name="__t3" localSheetId="7" hidden="1">{#N/A,#N/A,FALSE,"Assessment";#N/A,#N/A,FALSE,"Staffing";#N/A,#N/A,FALSE,"Hires";#N/A,#N/A,FALSE,"Assumptions"}</definedName>
    <definedName name="__t3" hidden="1">{#N/A,#N/A,FALSE,"Assessment";#N/A,#N/A,FALSE,"Staffing";#N/A,#N/A,FALSE,"Hires";#N/A,#N/A,FALSE,"Assumptions"}</definedName>
    <definedName name="__t4" localSheetId="15" hidden="1">{#N/A,#N/A,FALSE,"Assessment";#N/A,#N/A,FALSE,"Staffing";#N/A,#N/A,FALSE,"Hires";#N/A,#N/A,FALSE,"Assumptions"}</definedName>
    <definedName name="__t4" localSheetId="7" hidden="1">{#N/A,#N/A,FALSE,"Assessment";#N/A,#N/A,FALSE,"Staffing";#N/A,#N/A,FALSE,"Hires";#N/A,#N/A,FALSE,"Assumptions"}</definedName>
    <definedName name="__t4" hidden="1">{#N/A,#N/A,FALSE,"Assessment";#N/A,#N/A,FALSE,"Staffing";#N/A,#N/A,FALSE,"Hires";#N/A,#N/A,FALSE,"Assumptions"}</definedName>
    <definedName name="__V1" localSheetId="15" hidden="1">{#N/A,#N/A,FALSE,"Aa-Ab";#N/A,#N/A,FALSE,"A03";#N/A,#N/A,FALSE,"A03a_A07a";#N/A,#N/A,FALSE,"A04a";#N/A,#N/A,FALSE,"A05a";#N/A,#N/A,FALSE,"A08.02-03-04";#N/A,#N/A,FALSE,"A08a2-3";#N/A,#N/A,FALSE,"A08.05";#N/A,#N/A,FALSE,"A09a";#N/A,#N/A,FALSE,"A13.01";#N/A,#N/A,FALSE,"A16a";#N/A,#N/A,FALSE,"A16b";#N/A,#N/A,FALSE,"A16da";#N/A,#N/A,FALSE,"A16i 1";#N/A,#N/A,FALSE,"A26.01-02";#N/A,#N/A,FALSE,"A32.03";#N/A,#N/A,FALSE,"A32.04a";#N/A,#N/A,FALSE,"A33.01";#N/A,#N/A,FALSE,"A33.02";#N/A,#N/A,FALSE,"A36";#N/A,#N/A,FALSE,"A37.01-03";#N/A,#N/A,FALSE,"A41"}</definedName>
    <definedName name="__V1" localSheetId="7" hidden="1">{#N/A,#N/A,FALSE,"Aa-Ab";#N/A,#N/A,FALSE,"A03";#N/A,#N/A,FALSE,"A03a_A07a";#N/A,#N/A,FALSE,"A04a";#N/A,#N/A,FALSE,"A05a";#N/A,#N/A,FALSE,"A08.02-03-04";#N/A,#N/A,FALSE,"A08a2-3";#N/A,#N/A,FALSE,"A08.05";#N/A,#N/A,FALSE,"A09a";#N/A,#N/A,FALSE,"A13.01";#N/A,#N/A,FALSE,"A16a";#N/A,#N/A,FALSE,"A16b";#N/A,#N/A,FALSE,"A16da";#N/A,#N/A,FALSE,"A16i 1";#N/A,#N/A,FALSE,"A26.01-02";#N/A,#N/A,FALSE,"A32.03";#N/A,#N/A,FALSE,"A32.04a";#N/A,#N/A,FALSE,"A33.01";#N/A,#N/A,FALSE,"A33.02";#N/A,#N/A,FALSE,"A36";#N/A,#N/A,FALSE,"A37.01-03";#N/A,#N/A,FALSE,"A41"}</definedName>
    <definedName name="__V1" hidden="1">{#N/A,#N/A,FALSE,"Aa-Ab";#N/A,#N/A,FALSE,"A03";#N/A,#N/A,FALSE,"A03a_A07a";#N/A,#N/A,FALSE,"A04a";#N/A,#N/A,FALSE,"A05a";#N/A,#N/A,FALSE,"A08.02-03-04";#N/A,#N/A,FALSE,"A08a2-3";#N/A,#N/A,FALSE,"A08.05";#N/A,#N/A,FALSE,"A09a";#N/A,#N/A,FALSE,"A13.01";#N/A,#N/A,FALSE,"A16a";#N/A,#N/A,FALSE,"A16b";#N/A,#N/A,FALSE,"A16da";#N/A,#N/A,FALSE,"A16i 1";#N/A,#N/A,FALSE,"A26.01-02";#N/A,#N/A,FALSE,"A32.03";#N/A,#N/A,FALSE,"A32.04a";#N/A,#N/A,FALSE,"A33.01";#N/A,#N/A,FALSE,"A33.02";#N/A,#N/A,FALSE,"A36";#N/A,#N/A,FALSE,"A37.01-03";#N/A,#N/A,FALSE,"A41"}</definedName>
    <definedName name="__V11" localSheetId="15" hidden="1">{#N/A,#N/A,FALSE,"Aa-Ab";#N/A,#N/A,FALSE,"A03";#N/A,#N/A,FALSE,"A03a_A07a";#N/A,#N/A,FALSE,"A04a";#N/A,#N/A,FALSE,"A05a";#N/A,#N/A,FALSE,"A08.02-03-04";#N/A,#N/A,FALSE,"A08a2-3";#N/A,#N/A,FALSE,"A08.05";#N/A,#N/A,FALSE,"A09a";#N/A,#N/A,FALSE,"A13.01";#N/A,#N/A,FALSE,"A16a";#N/A,#N/A,FALSE,"A16b";#N/A,#N/A,FALSE,"A16da";#N/A,#N/A,FALSE,"A16i 1";#N/A,#N/A,FALSE,"A26.01-02";#N/A,#N/A,FALSE,"A32.03";#N/A,#N/A,FALSE,"A32.04a";#N/A,#N/A,FALSE,"A33.01";#N/A,#N/A,FALSE,"A33.02";#N/A,#N/A,FALSE,"A36";#N/A,#N/A,FALSE,"A37.01-03";#N/A,#N/A,FALSE,"A41"}</definedName>
    <definedName name="__V11" localSheetId="7" hidden="1">{#N/A,#N/A,FALSE,"Aa-Ab";#N/A,#N/A,FALSE,"A03";#N/A,#N/A,FALSE,"A03a_A07a";#N/A,#N/A,FALSE,"A04a";#N/A,#N/A,FALSE,"A05a";#N/A,#N/A,FALSE,"A08.02-03-04";#N/A,#N/A,FALSE,"A08a2-3";#N/A,#N/A,FALSE,"A08.05";#N/A,#N/A,FALSE,"A09a";#N/A,#N/A,FALSE,"A13.01";#N/A,#N/A,FALSE,"A16a";#N/A,#N/A,FALSE,"A16b";#N/A,#N/A,FALSE,"A16da";#N/A,#N/A,FALSE,"A16i 1";#N/A,#N/A,FALSE,"A26.01-02";#N/A,#N/A,FALSE,"A32.03";#N/A,#N/A,FALSE,"A32.04a";#N/A,#N/A,FALSE,"A33.01";#N/A,#N/A,FALSE,"A33.02";#N/A,#N/A,FALSE,"A36";#N/A,#N/A,FALSE,"A37.01-03";#N/A,#N/A,FALSE,"A41"}</definedName>
    <definedName name="__V11" hidden="1">{#N/A,#N/A,FALSE,"Aa-Ab";#N/A,#N/A,FALSE,"A03";#N/A,#N/A,FALSE,"A03a_A07a";#N/A,#N/A,FALSE,"A04a";#N/A,#N/A,FALSE,"A05a";#N/A,#N/A,FALSE,"A08.02-03-04";#N/A,#N/A,FALSE,"A08a2-3";#N/A,#N/A,FALSE,"A08.05";#N/A,#N/A,FALSE,"A09a";#N/A,#N/A,FALSE,"A13.01";#N/A,#N/A,FALSE,"A16a";#N/A,#N/A,FALSE,"A16b";#N/A,#N/A,FALSE,"A16da";#N/A,#N/A,FALSE,"A16i 1";#N/A,#N/A,FALSE,"A26.01-02";#N/A,#N/A,FALSE,"A32.03";#N/A,#N/A,FALSE,"A32.04a";#N/A,#N/A,FALSE,"A33.01";#N/A,#N/A,FALSE,"A33.02";#N/A,#N/A,FALSE,"A36";#N/A,#N/A,FALSE,"A37.01-03";#N/A,#N/A,FALSE,"A41"}</definedName>
    <definedName name="__X1111" localSheetId="15" hidden="1">{#N/A,#N/A,FALSE,"Aa-Ab";#N/A,#N/A,FALSE,"A03";#N/A,#N/A,FALSE,"A03a_A07a";#N/A,#N/A,FALSE,"A04a";#N/A,#N/A,FALSE,"A05a";#N/A,#N/A,FALSE,"A08.02-03-04";#N/A,#N/A,FALSE,"A08a2-3";#N/A,#N/A,FALSE,"A08.05";#N/A,#N/A,FALSE,"A09a";#N/A,#N/A,FALSE,"A13.01";#N/A,#N/A,FALSE,"A16a";#N/A,#N/A,FALSE,"A16b";#N/A,#N/A,FALSE,"A16da";#N/A,#N/A,FALSE,"A16i 1";#N/A,#N/A,FALSE,"A26.01-02";#N/A,#N/A,FALSE,"A32.03";#N/A,#N/A,FALSE,"A32.04a";#N/A,#N/A,FALSE,"A33.01";#N/A,#N/A,FALSE,"A33.02";#N/A,#N/A,FALSE,"A36";#N/A,#N/A,FALSE,"A37.01-03";#N/A,#N/A,FALSE,"A41"}</definedName>
    <definedName name="__X1111" localSheetId="7" hidden="1">{#N/A,#N/A,FALSE,"Aa-Ab";#N/A,#N/A,FALSE,"A03";#N/A,#N/A,FALSE,"A03a_A07a";#N/A,#N/A,FALSE,"A04a";#N/A,#N/A,FALSE,"A05a";#N/A,#N/A,FALSE,"A08.02-03-04";#N/A,#N/A,FALSE,"A08a2-3";#N/A,#N/A,FALSE,"A08.05";#N/A,#N/A,FALSE,"A09a";#N/A,#N/A,FALSE,"A13.01";#N/A,#N/A,FALSE,"A16a";#N/A,#N/A,FALSE,"A16b";#N/A,#N/A,FALSE,"A16da";#N/A,#N/A,FALSE,"A16i 1";#N/A,#N/A,FALSE,"A26.01-02";#N/A,#N/A,FALSE,"A32.03";#N/A,#N/A,FALSE,"A32.04a";#N/A,#N/A,FALSE,"A33.01";#N/A,#N/A,FALSE,"A33.02";#N/A,#N/A,FALSE,"A36";#N/A,#N/A,FALSE,"A37.01-03";#N/A,#N/A,FALSE,"A41"}</definedName>
    <definedName name="__X1111" hidden="1">{#N/A,#N/A,FALSE,"Aa-Ab";#N/A,#N/A,FALSE,"A03";#N/A,#N/A,FALSE,"A03a_A07a";#N/A,#N/A,FALSE,"A04a";#N/A,#N/A,FALSE,"A05a";#N/A,#N/A,FALSE,"A08.02-03-04";#N/A,#N/A,FALSE,"A08a2-3";#N/A,#N/A,FALSE,"A08.05";#N/A,#N/A,FALSE,"A09a";#N/A,#N/A,FALSE,"A13.01";#N/A,#N/A,FALSE,"A16a";#N/A,#N/A,FALSE,"A16b";#N/A,#N/A,FALSE,"A16da";#N/A,#N/A,FALSE,"A16i 1";#N/A,#N/A,FALSE,"A26.01-02";#N/A,#N/A,FALSE,"A32.03";#N/A,#N/A,FALSE,"A32.04a";#N/A,#N/A,FALSE,"A33.01";#N/A,#N/A,FALSE,"A33.02";#N/A,#N/A,FALSE,"A36";#N/A,#N/A,FALSE,"A37.01-03";#N/A,#N/A,FALSE,"A41"}</definedName>
    <definedName name="_1__123Graph_ACHART_1" hidden="1">'[4]PERIOD MIX'!$W$80:$X$80</definedName>
    <definedName name="_1__123Graph_ACHART_3" hidden="1">'[5]Model Adjustments'!#REF!</definedName>
    <definedName name="_10__123Graph_CCHART_1" hidden="1">'[5]Model Adjustments'!#REF!</definedName>
    <definedName name="_10__123Graph_CCHART_2" hidden="1">'[6]PERIOD MIX'!$O$194:$P$194</definedName>
    <definedName name="_10__123Graph_XCHART_3" hidden="1">'[7]Model Adjustments'!#REF!</definedName>
    <definedName name="_101__123Graph_LBL_BCHART_3" hidden="1">[8]Pg4!#REF!</definedName>
    <definedName name="_102__123Graph_XCHART_2" hidden="1">'[4]PERIOD MIX'!$O$191:$P$191</definedName>
    <definedName name="_105__123Graph_BCHART_1" hidden="1">[8]Pg4!#REF!</definedName>
    <definedName name="_105__123Graph_DCHART_3" hidden="1">'[4]YTD MIX'!$W$87:$X$87</definedName>
    <definedName name="_108__123Graph_ECHART_2" hidden="1">'[6]PERIOD MIX'!#REF!</definedName>
    <definedName name="_11__123Graph_ACHART_4" hidden="1">'[4]YTD MIX'!#REF!</definedName>
    <definedName name="_11__123Graph_CCHART_3" hidden="1">'[6]YTD MIX'!$W$86:$X$86</definedName>
    <definedName name="_110__123Graph_XCHART_4" hidden="1">'[4]YTD MIX'!#REF!</definedName>
    <definedName name="_111__123Graph_BCHART_2" hidden="1">'[6]PERIOD MIX'!$O$193:$P$193</definedName>
    <definedName name="_111__123Graph_ECHART_3" hidden="1">'[6]YTD MIX'!$W$88:$X$88</definedName>
    <definedName name="_112__123Graph_DCHART_4" hidden="1">'[4]YTD MIX'!#REF!</definedName>
    <definedName name="_113__123Graph_ECHART_2" hidden="1">'[6]PERIOD MIX'!#REF!</definedName>
    <definedName name="_114__123Graph_ECHART_3" hidden="1">'[6]YTD MIX'!$W$88:$X$88</definedName>
    <definedName name="_119__123Graph_ECHART_1" hidden="1">'[4]PERIOD MIX'!$W$89:$X$89</definedName>
    <definedName name="_12__123Graph_BCHART_1" hidden="1">'[5]Model Adjustments'!#REF!</definedName>
    <definedName name="_12__123Graph_CCHART_4" hidden="1">'[6]YTD MIX'!#REF!</definedName>
    <definedName name="_12__123Graph_XCHART_3" hidden="1">'[5]Model Adjustments'!#REF!</definedName>
    <definedName name="_123" hidden="1">#REF!</definedName>
    <definedName name="_123__123Graph_ECHART_4" hidden="1">'[6]YTD MIX'!#REF!</definedName>
    <definedName name="_126__123Graph_ECHART_2" hidden="1">'[4]PERIOD MIX'!#REF!</definedName>
    <definedName name="_13__123Graph_BCHART_2" hidden="1">'[4]PERIOD MIX'!$O$193:$P$193</definedName>
    <definedName name="_13__123Graph_DCHART_1" hidden="1">'[6]PERIOD MIX'!$W$88:$X$88</definedName>
    <definedName name="_130__123Graph_ECHART_4" hidden="1">'[6]YTD MIX'!#REF!</definedName>
    <definedName name="_132__123Graph_BCHART_3" hidden="1">[8]Pg4!#REF!</definedName>
    <definedName name="_133__123Graph_ECHART_3" hidden="1">'[4]YTD MIX'!$W$88:$X$88</definedName>
    <definedName name="_134__123Graph_LBL_ACHART_1" hidden="1">[8]Pg4!#REF!</definedName>
    <definedName name="_14__123Graph_ACHART_2" hidden="1">'[4]PERIOD MIX'!$O$192:$P$192</definedName>
    <definedName name="_14__123Graph_BCHART_3" hidden="1">'[4]YTD MIX'!$W$80:$X$80</definedName>
    <definedName name="_14__123Graph_DCHART_2" hidden="1">'[6]PERIOD MIX'!#REF!</definedName>
    <definedName name="_140__123Graph_ECHART_4" hidden="1">'[4]YTD MIX'!#REF!</definedName>
    <definedName name="_141__123Graph_LBL_ACHART_1" hidden="1">[8]Pg4!#REF!</definedName>
    <definedName name="_142__123Graph_LBL_ACHART_3" hidden="1">[8]Pg4!#REF!</definedName>
    <definedName name="_143__123Graph_LBL_BCHART_1" hidden="1">[8]Pg4!#REF!</definedName>
    <definedName name="_144__123Graph_LBL_BCHART_3" hidden="1">[8]Pg4!#REF!</definedName>
    <definedName name="_145__123Graph_LBL_ACHART_1" hidden="1">[8]Pg4!#REF!</definedName>
    <definedName name="_145__123Graph_LBL_ACHART_3" hidden="1">[8]Pg4!#REF!</definedName>
    <definedName name="_15__123Graph_DCHART_3" hidden="1">'[6]YTD MIX'!$W$87:$X$87</definedName>
    <definedName name="_151__123Graph_XCHART_2" hidden="1">'[4]PERIOD MIX'!$O$191:$P$191</definedName>
    <definedName name="_153__123Graph_BCHART_4" hidden="1">'[6]YTD MIX'!#REF!</definedName>
    <definedName name="_156__123Graph_LBL_BCHART_1" hidden="1">[8]Pg4!#REF!</definedName>
    <definedName name="_158__123Graph_XCHART_4" hidden="1">'[4]YTD MIX'!#REF!</definedName>
    <definedName name="_159__123Graph_CCHART_1" hidden="1">'[6]PERIOD MIX'!$W$87:$X$87</definedName>
    <definedName name="_16__123Graph_BCHART_3" hidden="1">'[5]Model Adjustments'!#REF!</definedName>
    <definedName name="_16__123Graph_DCHART_4" hidden="1">'[6]YTD MIX'!#REF!</definedName>
    <definedName name="_160__123Graph_LBL_ACHART_3" hidden="1">[8]Pg4!#REF!</definedName>
    <definedName name="_165__123Graph_CCHART_2" hidden="1">'[6]PERIOD MIX'!$O$194:$P$194</definedName>
    <definedName name="_167__123Graph_LBL_BCHART_3" hidden="1">[8]Pg4!#REF!</definedName>
    <definedName name="_17__123Graph_ECHART_1" hidden="1">'[6]PERIOD MIX'!$W$89:$X$89</definedName>
    <definedName name="_170__123Graph_XCHART_2" hidden="1">'[6]PERIOD MIX'!$O$191:$P$191</definedName>
    <definedName name="_171__123Graph_CCHART_3" hidden="1">'[6]YTD MIX'!$W$86:$X$86</definedName>
    <definedName name="_175__123Graph_LBL_BCHART_1" hidden="1">[8]Pg4!#REF!</definedName>
    <definedName name="_18__123Graph_BCHART_1" hidden="1">'[9]Model Adjustments'!#REF!</definedName>
    <definedName name="_18__123Graph_ECHART_2" hidden="1">'[6]PERIOD MIX'!#REF!</definedName>
    <definedName name="_182__123Graph_XCHART_4" hidden="1">'[6]YTD MIX'!#REF!</definedName>
    <definedName name="_19__123Graph_ECHART_3" hidden="1">'[6]YTD MIX'!$W$88:$X$88</definedName>
    <definedName name="_190__123Graph_LBL_BCHART_3" hidden="1">[8]Pg4!#REF!</definedName>
    <definedName name="_191__123Graph_XCHART_2" hidden="1">'[6]PERIOD MIX'!$O$191:$P$191</definedName>
    <definedName name="_192__123Graph_CCHART_4" hidden="1">'[6]YTD MIX'!#REF!</definedName>
    <definedName name="_198__123Graph_DCHART_1" hidden="1">'[6]PERIOD MIX'!$W$88:$X$88</definedName>
    <definedName name="_2__123Graph_ACHART_1" hidden="1">'[6]PERIOD MIX'!$W$80:$X$80</definedName>
    <definedName name="_2__123Graph_ACHART_2" hidden="1">'[4]PERIOD MIX'!$O$192:$P$192</definedName>
    <definedName name="_2__123Graph_ACHART_3" hidden="1">'[7]Model Adjustments'!#REF!</definedName>
    <definedName name="_2__123Graph_BCHART_1" hidden="1">'[5]Model Adjustments'!#REF!</definedName>
    <definedName name="_20__123Graph_CCHART_1" hidden="1">'[5]Model Adjustments'!#REF!</definedName>
    <definedName name="_20__123Graph_ECHART_4" hidden="1">'[6]YTD MIX'!#REF!</definedName>
    <definedName name="_207__123Graph_XCHART_4" hidden="1">'[6]YTD MIX'!#REF!</definedName>
    <definedName name="_21__123Graph_ACHART_1" hidden="1">[8]Pg4!#REF!</definedName>
    <definedName name="_21__123Graph_ACHART_3" hidden="1">'[4]YTD MIX'!$W$79:$X$79</definedName>
    <definedName name="_21__123Graph_ACHART_4" hidden="1">'[6]YTD MIX'!#REF!</definedName>
    <definedName name="_21__123Graph_LBL_ACHART_1" hidden="1">[8]Pg4!#REF!</definedName>
    <definedName name="_219__123Graph_DCHART_2" hidden="1">'[6]PERIOD MIX'!#REF!</definedName>
    <definedName name="_22__123Graph_ACHART_4" hidden="1">'[6]YTD MIX'!#REF!</definedName>
    <definedName name="_22__123Graph_BCHART_4" hidden="1">'[4]YTD MIX'!#REF!</definedName>
    <definedName name="_22__123Graph_LBL_ACHART_3" hidden="1">[8]Pg4!#REF!</definedName>
    <definedName name="_225__123Graph_DCHART_3" hidden="1">'[6]YTD MIX'!$W$87:$X$87</definedName>
    <definedName name="_23__123Graph_CCHART_1" hidden="1">'[4]PERIOD MIX'!$W$87:$X$87</definedName>
    <definedName name="_23__123Graph_LBL_BCHART_1" hidden="1">[8]Pg4!#REF!</definedName>
    <definedName name="_234_x" hidden="1">'[10]OPERATING EXPS.'!#REF!</definedName>
    <definedName name="_24__123Graph_BCHART_1" hidden="1">'[6]PERIOD MIX'!$W$81:$X$81</definedName>
    <definedName name="_24__123Graph_CCHART_2" hidden="1">'[4]PERIOD MIX'!$O$194:$P$194</definedName>
    <definedName name="_24__123Graph_LBL_BCHART_3" hidden="1">[8]Pg4!#REF!</definedName>
    <definedName name="_24__123Graph_XCHART_3" hidden="1">'[5]Model Adjustments'!#REF!</definedName>
    <definedName name="_246__123Graph_DCHART_4" hidden="1">'[6]YTD MIX'!#REF!</definedName>
    <definedName name="_25__123Graph_BCHART_2" hidden="1">'[6]PERIOD MIX'!$O$193:$P$193</definedName>
    <definedName name="_25__123Graph_CCHART_3" hidden="1">'[4]YTD MIX'!$W$86:$X$86</definedName>
    <definedName name="_25__123Graph_XCHART_2" hidden="1">'[6]PERIOD MIX'!$O$191:$P$191</definedName>
    <definedName name="_252__123Graph_ECHART_1" hidden="1">'[6]PERIOD MIX'!$W$89:$X$89</definedName>
    <definedName name="_26__123Graph_XCHART_4" hidden="1">'[6]YTD MIX'!#REF!</definedName>
    <definedName name="_27__123Graph_BCHART_2" hidden="1">'[6]PERIOD MIX'!$O$193:$P$193</definedName>
    <definedName name="_27__123Graph_BCHART_3" hidden="1">'[9]Model Adjustments'!#REF!</definedName>
    <definedName name="_273__123Graph_ECHART_2" hidden="1">'[6]PERIOD MIX'!#REF!</definedName>
    <definedName name="_279__123Graph_ECHART_3" hidden="1">'[6]YTD MIX'!$W$88:$X$88</definedName>
    <definedName name="_28__123Graph_ACHART_4" hidden="1">'[4]YTD MIX'!#REF!</definedName>
    <definedName name="_3__123Graph_ACHART_1" hidden="1">'[6]PERIOD MIX'!$W$80:$X$80</definedName>
    <definedName name="_3__123Graph_ACHART_3" hidden="1">'[4]YTD MIX'!$W$79:$X$79</definedName>
    <definedName name="_3__123Graph_BCHART_3" hidden="1">'[5]Model Adjustments'!#REF!</definedName>
    <definedName name="_30__123Graph_BCHART_3" hidden="1">'[6]YTD MIX'!$W$80:$X$80</definedName>
    <definedName name="_300__123Graph_ECHART_4" hidden="1">'[6]YTD MIX'!#REF!</definedName>
    <definedName name="_301__123Graph_LBL_ACHART_1" hidden="1">[8]Pg4!#REF!</definedName>
    <definedName name="_302__123Graph_LBL_ACHART_3" hidden="1">[8]Pg4!#REF!</definedName>
    <definedName name="_303__123Graph_LBL_BCHART_1" hidden="1">[8]Pg4!#REF!</definedName>
    <definedName name="_304__123Graph_LBL_BCHART_3" hidden="1">[8]Pg4!#REF!</definedName>
    <definedName name="_310__123Graph_XCHART_2" hidden="1">'[6]PERIOD MIX'!$O$191:$P$191</definedName>
    <definedName name="_33__123Graph_CCHART_4" hidden="1">'[4]YTD MIX'!#REF!</definedName>
    <definedName name="_331__123Graph_XCHART_4" hidden="1">'[6]YTD MIX'!#REF!</definedName>
    <definedName name="_34__123Graph_DCHART_1" hidden="1">'[4]PERIOD MIX'!$W$88:$X$88</definedName>
    <definedName name="_35__123Graph_BCHART_1" hidden="1">'[4]PERIOD MIX'!$W$81:$X$81</definedName>
    <definedName name="_36__123Graph_CCHART_1" hidden="1">'[9]Model Adjustments'!#REF!</definedName>
    <definedName name="_4__123Graph_ACHART_2" hidden="1">'[6]PERIOD MIX'!$O$192:$P$192</definedName>
    <definedName name="_4__123Graph_ACHART_3" hidden="1">'[5]Model Adjustments'!#REF!</definedName>
    <definedName name="_4__123Graph_ACHART_4" hidden="1">'[6]YTD MIX'!#REF!</definedName>
    <definedName name="_4__123Graph_BCHART_1" hidden="1">'[7]Model Adjustments'!#REF!</definedName>
    <definedName name="_4__123Graph_CCHART_1" hidden="1">'[5]Model Adjustments'!#REF!</definedName>
    <definedName name="_42__123Graph_ACHART_2" hidden="1">[8]Pg4!#REF!</definedName>
    <definedName name="_42__123Graph_BCHART_2" hidden="1">'[4]PERIOD MIX'!$O$193:$P$193</definedName>
    <definedName name="_42__123Graph_BCHART_4" hidden="1">'[6]YTD MIX'!#REF!</definedName>
    <definedName name="_42__123Graph_DCHART_2" hidden="1">'[4]PERIOD MIX'!#REF!</definedName>
    <definedName name="_43__123Graph_BCHART_4" hidden="1">'[6]YTD MIX'!#REF!</definedName>
    <definedName name="_43__123Graph_DCHART_3" hidden="1">'[4]YTD MIX'!$W$87:$X$87</definedName>
    <definedName name="_44__123Graph_CCHART_1" hidden="1">'[6]PERIOD MIX'!$W$87:$X$87</definedName>
    <definedName name="_45__123Graph_CCHART_1" hidden="1">'[6]PERIOD MIX'!$W$87:$X$87</definedName>
    <definedName name="_45__123Graph_CCHART_2" hidden="1">'[6]PERIOD MIX'!$O$194:$P$194</definedName>
    <definedName name="_45__123Graph_XCHART_3" hidden="1">'[9]Model Adjustments'!#REF!</definedName>
    <definedName name="_46__123Graph_CCHART_3" hidden="1">'[6]YTD MIX'!$W$86:$X$86</definedName>
    <definedName name="_48__123Graph_CCHART_2" hidden="1">'[6]PERIOD MIX'!$O$194:$P$194</definedName>
    <definedName name="_49__123Graph_BCHART_3" hidden="1">'[4]YTD MIX'!$W$80:$X$80</definedName>
    <definedName name="_5__123Graph_BCHART_1" hidden="1">'[6]PERIOD MIX'!$W$81:$X$81</definedName>
    <definedName name="_5__123Graph_XCHART_3" hidden="1">'[5]Model Adjustments'!#REF!</definedName>
    <definedName name="_51__123Graph_CCHART_3" hidden="1">'[6]YTD MIX'!$W$86:$X$86</definedName>
    <definedName name="_51__123Graph_DCHART_4" hidden="1">'[4]YTD MIX'!#REF!</definedName>
    <definedName name="_52__123Graph_ECHART_1" hidden="1">'[4]PERIOD MIX'!$W$89:$X$89</definedName>
    <definedName name="_56__123Graph_BCHART_4" hidden="1">'[4]YTD MIX'!#REF!</definedName>
    <definedName name="_6__123Graph_ACHART_2" hidden="1">'[6]PERIOD MIX'!$O$192:$P$192</definedName>
    <definedName name="_6__123Graph_ACHART_3" hidden="1">'[6]YTD MIX'!$W$79:$X$79</definedName>
    <definedName name="_6__123Graph_BCHART_1" hidden="1">'[5]Model Adjustments'!#REF!</definedName>
    <definedName name="_6__123Graph_BCHART_2" hidden="1">'[6]PERIOD MIX'!$O$193:$P$193</definedName>
    <definedName name="_6__123Graph_BCHART_3" hidden="1">'[7]Model Adjustments'!#REF!</definedName>
    <definedName name="_60__123Graph_ECHART_2" hidden="1">'[4]PERIOD MIX'!#REF!</definedName>
    <definedName name="_61__123Graph_ECHART_3" hidden="1">'[4]YTD MIX'!$W$88:$X$88</definedName>
    <definedName name="_62__123Graph_CCHART_4" hidden="1">'[6]YTD MIX'!#REF!</definedName>
    <definedName name="_63__123Graph_ACHART_3" hidden="1">[8]Pg4!#REF!</definedName>
    <definedName name="_63__123Graph_CCHART_1" hidden="1">'[4]PERIOD MIX'!$W$87:$X$87</definedName>
    <definedName name="_63__123Graph_CCHART_4" hidden="1">'[6]YTD MIX'!#REF!</definedName>
    <definedName name="_63__123Graph_DCHART_1" hidden="1">'[6]PERIOD MIX'!$W$88:$X$88</definedName>
    <definedName name="_66__123Graph_DCHART_1" hidden="1">'[6]PERIOD MIX'!$W$88:$X$88</definedName>
    <definedName name="_69__123Graph_ECHART_4" hidden="1">'[4]YTD MIX'!#REF!</definedName>
    <definedName name="_7__123Graph_ACHART_1" hidden="1">'[4]PERIOD MIX'!$W$80:$X$80</definedName>
    <definedName name="_7__123Graph_BCHART_3" hidden="1">'[6]YTD MIX'!$W$80:$X$80</definedName>
    <definedName name="_70__123Graph_CCHART_2" hidden="1">'[4]PERIOD MIX'!$O$194:$P$194</definedName>
    <definedName name="_77__123Graph_CCHART_3" hidden="1">'[4]YTD MIX'!$W$86:$X$86</definedName>
    <definedName name="_77__123Graph_LBL_ACHART_1" hidden="1">[8]Pg4!#REF!</definedName>
    <definedName name="_78__123Graph_DCHART_2" hidden="1">'[6]PERIOD MIX'!#REF!</definedName>
    <definedName name="_79__123Graph_DCHART_2" hidden="1">'[6]PERIOD MIX'!#REF!</definedName>
    <definedName name="_8__123Graph_ACHART_3" hidden="1">'[5]Model Adjustments'!#REF!</definedName>
    <definedName name="_8__123Graph_BCHART_3" hidden="1">'[5]Model Adjustments'!#REF!</definedName>
    <definedName name="_8__123Graph_BCHART_4" hidden="1">'[6]YTD MIX'!#REF!</definedName>
    <definedName name="_8__123Graph_CCHART_1" hidden="1">'[7]Model Adjustments'!#REF!</definedName>
    <definedName name="_80__123Graph_DCHART_3" hidden="1">'[6]YTD MIX'!$W$87:$X$87</definedName>
    <definedName name="_81__123Graph_DCHART_3" hidden="1">'[6]YTD MIX'!$W$87:$X$87</definedName>
    <definedName name="_84__123Graph_ACHART_4" hidden="1">'[6]YTD MIX'!#REF!</definedName>
    <definedName name="_84__123Graph_CCHART_4" hidden="1">'[4]YTD MIX'!#REF!</definedName>
    <definedName name="_85__123Graph_LBL_ACHART_3" hidden="1">[8]Pg4!#REF!</definedName>
    <definedName name="_9__123Graph_ACHART_3" hidden="1">'[9]Model Adjustments'!#REF!</definedName>
    <definedName name="_9__123Graph_CCHART_1" hidden="1">'[6]PERIOD MIX'!$W$87:$X$87</definedName>
    <definedName name="_91__123Graph_DCHART_1" hidden="1">'[4]PERIOD MIX'!$W$88:$X$88</definedName>
    <definedName name="_93__123Graph_DCHART_4" hidden="1">'[6]YTD MIX'!#REF!</definedName>
    <definedName name="_93__123Graph_LBL_BCHART_1" hidden="1">[8]Pg4!#REF!</definedName>
    <definedName name="_96__123Graph_DCHART_4" hidden="1">'[6]YTD MIX'!#REF!</definedName>
    <definedName name="_96__123Graph_ECHART_1" hidden="1">'[6]PERIOD MIX'!$W$89:$X$89</definedName>
    <definedName name="_97__123Graph_ECHART_1" hidden="1">'[6]PERIOD MIX'!$W$89:$X$89</definedName>
    <definedName name="_98__123Graph_DCHART_2" hidden="1">'[4]PERIOD MIX'!#REF!</definedName>
    <definedName name="_bdm.0265B141C2664CDBB5F03BA5B2440EDE.edm" hidden="1">#REF!</definedName>
    <definedName name="_bdm.19A012D11E8C4FFFA03E761C472395BA.edm" hidden="1">#REF!</definedName>
    <definedName name="_bdm.4A2169BDF3954ED6A860C7860FF093A0.edm" hidden="1">[11]Valuation!$A:$IV</definedName>
    <definedName name="_bdm.6C951E959AAD49A7B246ACE4894096BD.edm" hidden="1">#REF!</definedName>
    <definedName name="_bdm.EA55C7C9422B405BA01CBDD1A427B782.edm" hidden="1">[11]Metrics!$A:$IV</definedName>
    <definedName name="_Fill" hidden="1">#REF!</definedName>
    <definedName name="_xlnm._FilterDatabase" localSheetId="15" hidden="1">'3.10 Cancel List'!$A$1:$D$312</definedName>
    <definedName name="_xlnm._FilterDatabase" localSheetId="4" hidden="1">'April Prorated Invoice-BLG Site'!$A$1:$F$44</definedName>
    <definedName name="_xlnm._FilterDatabase" localSheetId="16" hidden="1">'March Cancel - checking results'!$A$1:$X$322</definedName>
    <definedName name="_xlnm._FilterDatabase" localSheetId="1" hidden="1">'May Monthly - non INS Sites'!$A$1:$N$90</definedName>
    <definedName name="_xlnm._FilterDatabase" localSheetId="13" hidden="1">'SV Child INS Apr'!$A$1:$L$1745</definedName>
    <definedName name="_xlnm._FilterDatabase" localSheetId="2" hidden="1">'TruVideo May Invoice Gap Sites'!$A$1:$N$90</definedName>
    <definedName name="_xlnm._FilterDatabase" localSheetId="7" hidden="1">'TV active sites in March Cancel'!$B$1:$J$34</definedName>
    <definedName name="_xlnm._FilterDatabase" localSheetId="10" hidden="1">'TV Apr Prorated Billing Sites'!$A$1:$J$70</definedName>
    <definedName name="_xlnm._FilterDatabase" localSheetId="11" hidden="1">'TV Apr Prorated Invoice'!$A$1:$G$1</definedName>
    <definedName name="_xlnm._FilterDatabase" localSheetId="9" hidden="1">'TV May Monthly Billing Sites'!$A$1:$M$1788</definedName>
    <definedName name="_xlnm._FilterDatabase" localSheetId="12" hidden="1">'TV May Monthly Invoice'!$A$1:$F$3575</definedName>
    <definedName name="_gh2" localSheetId="15">{"'100'!$A$1:$M$83"}</definedName>
    <definedName name="_gh2" localSheetId="7">{"'100'!$A$1:$M$83"}</definedName>
    <definedName name="_gh2">{"'100'!$A$1:$M$83"}</definedName>
    <definedName name="_hg2" localSheetId="15">{"'100'!$A$1:$M$83"}</definedName>
    <definedName name="_hg2" localSheetId="7">{"'100'!$A$1:$M$83"}</definedName>
    <definedName name="_hg2">{"'100'!$A$1:$M$83"}</definedName>
    <definedName name="_hod2" localSheetId="1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hod2" localSheetId="7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ibo2" localSheetId="15" hidden="1">{#N/A,#N/A,FALSE,"Summary";#N/A,#N/A,FALSE,"Projections";#N/A,#N/A,FALSE,"Mkt Mults";#N/A,#N/A,FALSE,"DCF";#N/A,#N/A,FALSE,"Accr Dil";#N/A,#N/A,FALSE,"PIC LBO";#N/A,#N/A,FALSE,"MULT10_4";#N/A,#N/A,FALSE,"CBI LBO"}</definedName>
    <definedName name="_ibo2" localSheetId="7" hidden="1">{#N/A,#N/A,FALSE,"Summary";#N/A,#N/A,FALSE,"Projections";#N/A,#N/A,FALSE,"Mkt Mults";#N/A,#N/A,FALSE,"DCF";#N/A,#N/A,FALSE,"Accr Dil";#N/A,#N/A,FALSE,"PIC LBO";#N/A,#N/A,FALSE,"MULT10_4";#N/A,#N/A,FALSE,"CBI LBO"}</definedName>
    <definedName name="_ibo2" hidden="1">{#N/A,#N/A,FALSE,"Summary";#N/A,#N/A,FALSE,"Projections";#N/A,#N/A,FALSE,"Mkt Mults";#N/A,#N/A,FALSE,"DCF";#N/A,#N/A,FALSE,"Accr Dil";#N/A,#N/A,FALSE,"PIC LBO";#N/A,#N/A,FALSE,"MULT10_4";#N/A,#N/A,FALSE,"CBI LBO"}</definedName>
    <definedName name="_Key1" hidden="1">#REF!</definedName>
    <definedName name="_Key2" hidden="1">#REF!</definedName>
    <definedName name="_Order1">0</definedName>
    <definedName name="_Order2">255</definedName>
    <definedName name="_p120" localSheetId="15" hidden="1">{#N/A,#N/A,FALSE,"Aa-Ab";#N/A,#N/A,FALSE,"A03";#N/A,#N/A,FALSE,"A03a_A07a";#N/A,#N/A,FALSE,"A04a";#N/A,#N/A,FALSE,"A05a";#N/A,#N/A,FALSE,"A08.02-03-04";#N/A,#N/A,FALSE,"A08a2-3";#N/A,#N/A,FALSE,"A08.05";#N/A,#N/A,FALSE,"A09a";#N/A,#N/A,FALSE,"A13.01";#N/A,#N/A,FALSE,"A16a";#N/A,#N/A,FALSE,"A16b";#N/A,#N/A,FALSE,"A16da";#N/A,#N/A,FALSE,"A16i 1";#N/A,#N/A,FALSE,"A26.01-02";#N/A,#N/A,FALSE,"A32.03";#N/A,#N/A,FALSE,"A32.04a";#N/A,#N/A,FALSE,"A33.01";#N/A,#N/A,FALSE,"A33.02";#N/A,#N/A,FALSE,"A36";#N/A,#N/A,FALSE,"A37.01-03";#N/A,#N/A,FALSE,"A41"}</definedName>
    <definedName name="_p120" localSheetId="7" hidden="1">{#N/A,#N/A,FALSE,"Aa-Ab";#N/A,#N/A,FALSE,"A03";#N/A,#N/A,FALSE,"A03a_A07a";#N/A,#N/A,FALSE,"A04a";#N/A,#N/A,FALSE,"A05a";#N/A,#N/A,FALSE,"A08.02-03-04";#N/A,#N/A,FALSE,"A08a2-3";#N/A,#N/A,FALSE,"A08.05";#N/A,#N/A,FALSE,"A09a";#N/A,#N/A,FALSE,"A13.01";#N/A,#N/A,FALSE,"A16a";#N/A,#N/A,FALSE,"A16b";#N/A,#N/A,FALSE,"A16da";#N/A,#N/A,FALSE,"A16i 1";#N/A,#N/A,FALSE,"A26.01-02";#N/A,#N/A,FALSE,"A32.03";#N/A,#N/A,FALSE,"A32.04a";#N/A,#N/A,FALSE,"A33.01";#N/A,#N/A,FALSE,"A33.02";#N/A,#N/A,FALSE,"A36";#N/A,#N/A,FALSE,"A37.01-03";#N/A,#N/A,FALSE,"A41"}</definedName>
    <definedName name="_p120" hidden="1">{#N/A,#N/A,FALSE,"Aa-Ab";#N/A,#N/A,FALSE,"A03";#N/A,#N/A,FALSE,"A03a_A07a";#N/A,#N/A,FALSE,"A04a";#N/A,#N/A,FALSE,"A05a";#N/A,#N/A,FALSE,"A08.02-03-04";#N/A,#N/A,FALSE,"A08a2-3";#N/A,#N/A,FALSE,"A08.05";#N/A,#N/A,FALSE,"A09a";#N/A,#N/A,FALSE,"A13.01";#N/A,#N/A,FALSE,"A16a";#N/A,#N/A,FALSE,"A16b";#N/A,#N/A,FALSE,"A16da";#N/A,#N/A,FALSE,"A16i 1";#N/A,#N/A,FALSE,"A26.01-02";#N/A,#N/A,FALSE,"A32.03";#N/A,#N/A,FALSE,"A32.04a";#N/A,#N/A,FALSE,"A33.01";#N/A,#N/A,FALSE,"A33.02";#N/A,#N/A,FALSE,"A36";#N/A,#N/A,FALSE,"A37.01-03";#N/A,#N/A,FALSE,"A41"}</definedName>
    <definedName name="_Parse_In" hidden="1">[12]A!#REF!</definedName>
    <definedName name="_Parse_Out" hidden="1">[12]A!#REF!</definedName>
    <definedName name="_Regression_Int">1</definedName>
    <definedName name="_rod1" localSheetId="15" hidden="1">{#N/A,#N/A,FALSE,"Projections";#N/A,#N/A,FALSE,"Multiples Valuation";#N/A,#N/A,FALSE,"LBO";#N/A,#N/A,FALSE,"Multiples_Sensitivity";#N/A,#N/A,FALSE,"Summary"}</definedName>
    <definedName name="_rod1" localSheetId="7" hidden="1">{#N/A,#N/A,FALSE,"Projections";#N/A,#N/A,FALSE,"Multiples Valuation";#N/A,#N/A,FALSE,"LBO";#N/A,#N/A,FALSE,"Multiples_Sensitivity";#N/A,#N/A,FALSE,"Summary"}</definedName>
    <definedName name="_rod1" hidden="1">{#N/A,#N/A,FALSE,"Projections";#N/A,#N/A,FALSE,"Multiples Valuation";#N/A,#N/A,FALSE,"LBO";#N/A,#N/A,FALSE,"Multiples_Sensitivity";#N/A,#N/A,FALSE,"Summary"}</definedName>
    <definedName name="_Sort" hidden="1">#REF!</definedName>
    <definedName name="_t2" localSheetId="15" hidden="1">{#N/A,#N/A,FALSE,"Assessment";#N/A,#N/A,FALSE,"Staffing";#N/A,#N/A,FALSE,"Hires";#N/A,#N/A,FALSE,"Assumptions"}</definedName>
    <definedName name="_t2" localSheetId="7" hidden="1">{#N/A,#N/A,FALSE,"Assessment";#N/A,#N/A,FALSE,"Staffing";#N/A,#N/A,FALSE,"Hires";#N/A,#N/A,FALSE,"Assumptions"}</definedName>
    <definedName name="_t2" hidden="1">{#N/A,#N/A,FALSE,"Assessment";#N/A,#N/A,FALSE,"Staffing";#N/A,#N/A,FALSE,"Hires";#N/A,#N/A,FALSE,"Assumptions"}</definedName>
    <definedName name="_t3" localSheetId="15" hidden="1">{#N/A,#N/A,FALSE,"Assessment";#N/A,#N/A,FALSE,"Staffing";#N/A,#N/A,FALSE,"Hires";#N/A,#N/A,FALSE,"Assumptions"}</definedName>
    <definedName name="_t3" localSheetId="7" hidden="1">{#N/A,#N/A,FALSE,"Assessment";#N/A,#N/A,FALSE,"Staffing";#N/A,#N/A,FALSE,"Hires";#N/A,#N/A,FALSE,"Assumptions"}</definedName>
    <definedName name="_t3" hidden="1">{#N/A,#N/A,FALSE,"Assessment";#N/A,#N/A,FALSE,"Staffing";#N/A,#N/A,FALSE,"Hires";#N/A,#N/A,FALSE,"Assumptions"}</definedName>
    <definedName name="_t4" localSheetId="15" hidden="1">{#N/A,#N/A,FALSE,"Assessment";#N/A,#N/A,FALSE,"Staffing";#N/A,#N/A,FALSE,"Hires";#N/A,#N/A,FALSE,"Assumptions"}</definedName>
    <definedName name="_t4" localSheetId="7" hidden="1">{#N/A,#N/A,FALSE,"Assessment";#N/A,#N/A,FALSE,"Staffing";#N/A,#N/A,FALSE,"Hires";#N/A,#N/A,FALSE,"Assumptions"}</definedName>
    <definedName name="_t4" hidden="1">{#N/A,#N/A,FALSE,"Assessment";#N/A,#N/A,FALSE,"Staffing";#N/A,#N/A,FALSE,"Hires";#N/A,#N/A,FALSE,"Assumptions"}</definedName>
    <definedName name="_V1" localSheetId="15" hidden="1">{#N/A,#N/A,FALSE,"Aa-Ab";#N/A,#N/A,FALSE,"A03";#N/A,#N/A,FALSE,"A03a_A07a";#N/A,#N/A,FALSE,"A04a";#N/A,#N/A,FALSE,"A05a";#N/A,#N/A,FALSE,"A08.02-03-04";#N/A,#N/A,FALSE,"A08a2-3";#N/A,#N/A,FALSE,"A08.05";#N/A,#N/A,FALSE,"A09a";#N/A,#N/A,FALSE,"A13.01";#N/A,#N/A,FALSE,"A16a";#N/A,#N/A,FALSE,"A16b";#N/A,#N/A,FALSE,"A16da";#N/A,#N/A,FALSE,"A16i 1";#N/A,#N/A,FALSE,"A26.01-02";#N/A,#N/A,FALSE,"A32.03";#N/A,#N/A,FALSE,"A32.04a";#N/A,#N/A,FALSE,"A33.01";#N/A,#N/A,FALSE,"A33.02";#N/A,#N/A,FALSE,"A36";#N/A,#N/A,FALSE,"A37.01-03";#N/A,#N/A,FALSE,"A41"}</definedName>
    <definedName name="_V1" localSheetId="7" hidden="1">{#N/A,#N/A,FALSE,"Aa-Ab";#N/A,#N/A,FALSE,"A03";#N/A,#N/A,FALSE,"A03a_A07a";#N/A,#N/A,FALSE,"A04a";#N/A,#N/A,FALSE,"A05a";#N/A,#N/A,FALSE,"A08.02-03-04";#N/A,#N/A,FALSE,"A08a2-3";#N/A,#N/A,FALSE,"A08.05";#N/A,#N/A,FALSE,"A09a";#N/A,#N/A,FALSE,"A13.01";#N/A,#N/A,FALSE,"A16a";#N/A,#N/A,FALSE,"A16b";#N/A,#N/A,FALSE,"A16da";#N/A,#N/A,FALSE,"A16i 1";#N/A,#N/A,FALSE,"A26.01-02";#N/A,#N/A,FALSE,"A32.03";#N/A,#N/A,FALSE,"A32.04a";#N/A,#N/A,FALSE,"A33.01";#N/A,#N/A,FALSE,"A33.02";#N/A,#N/A,FALSE,"A36";#N/A,#N/A,FALSE,"A37.01-03";#N/A,#N/A,FALSE,"A41"}</definedName>
    <definedName name="_V1" hidden="1">{#N/A,#N/A,FALSE,"Aa-Ab";#N/A,#N/A,FALSE,"A03";#N/A,#N/A,FALSE,"A03a_A07a";#N/A,#N/A,FALSE,"A04a";#N/A,#N/A,FALSE,"A05a";#N/A,#N/A,FALSE,"A08.02-03-04";#N/A,#N/A,FALSE,"A08a2-3";#N/A,#N/A,FALSE,"A08.05";#N/A,#N/A,FALSE,"A09a";#N/A,#N/A,FALSE,"A13.01";#N/A,#N/A,FALSE,"A16a";#N/A,#N/A,FALSE,"A16b";#N/A,#N/A,FALSE,"A16da";#N/A,#N/A,FALSE,"A16i 1";#N/A,#N/A,FALSE,"A26.01-02";#N/A,#N/A,FALSE,"A32.03";#N/A,#N/A,FALSE,"A32.04a";#N/A,#N/A,FALSE,"A33.01";#N/A,#N/A,FALSE,"A33.02";#N/A,#N/A,FALSE,"A36";#N/A,#N/A,FALSE,"A37.01-03";#N/A,#N/A,FALSE,"A41"}</definedName>
    <definedName name="_V11" localSheetId="15" hidden="1">{#N/A,#N/A,FALSE,"Aa-Ab";#N/A,#N/A,FALSE,"A03";#N/A,#N/A,FALSE,"A03a_A07a";#N/A,#N/A,FALSE,"A04a";#N/A,#N/A,FALSE,"A05a";#N/A,#N/A,FALSE,"A08.02-03-04";#N/A,#N/A,FALSE,"A08a2-3";#N/A,#N/A,FALSE,"A08.05";#N/A,#N/A,FALSE,"A09a";#N/A,#N/A,FALSE,"A13.01";#N/A,#N/A,FALSE,"A16a";#N/A,#N/A,FALSE,"A16b";#N/A,#N/A,FALSE,"A16da";#N/A,#N/A,FALSE,"A16i 1";#N/A,#N/A,FALSE,"A26.01-02";#N/A,#N/A,FALSE,"A32.03";#N/A,#N/A,FALSE,"A32.04a";#N/A,#N/A,FALSE,"A33.01";#N/A,#N/A,FALSE,"A33.02";#N/A,#N/A,FALSE,"A36";#N/A,#N/A,FALSE,"A37.01-03";#N/A,#N/A,FALSE,"A41"}</definedName>
    <definedName name="_V11" localSheetId="7" hidden="1">{#N/A,#N/A,FALSE,"Aa-Ab";#N/A,#N/A,FALSE,"A03";#N/A,#N/A,FALSE,"A03a_A07a";#N/A,#N/A,FALSE,"A04a";#N/A,#N/A,FALSE,"A05a";#N/A,#N/A,FALSE,"A08.02-03-04";#N/A,#N/A,FALSE,"A08a2-3";#N/A,#N/A,FALSE,"A08.05";#N/A,#N/A,FALSE,"A09a";#N/A,#N/A,FALSE,"A13.01";#N/A,#N/A,FALSE,"A16a";#N/A,#N/A,FALSE,"A16b";#N/A,#N/A,FALSE,"A16da";#N/A,#N/A,FALSE,"A16i 1";#N/A,#N/A,FALSE,"A26.01-02";#N/A,#N/A,FALSE,"A32.03";#N/A,#N/A,FALSE,"A32.04a";#N/A,#N/A,FALSE,"A33.01";#N/A,#N/A,FALSE,"A33.02";#N/A,#N/A,FALSE,"A36";#N/A,#N/A,FALSE,"A37.01-03";#N/A,#N/A,FALSE,"A41"}</definedName>
    <definedName name="_V11" hidden="1">{#N/A,#N/A,FALSE,"Aa-Ab";#N/A,#N/A,FALSE,"A03";#N/A,#N/A,FALSE,"A03a_A07a";#N/A,#N/A,FALSE,"A04a";#N/A,#N/A,FALSE,"A05a";#N/A,#N/A,FALSE,"A08.02-03-04";#N/A,#N/A,FALSE,"A08a2-3";#N/A,#N/A,FALSE,"A08.05";#N/A,#N/A,FALSE,"A09a";#N/A,#N/A,FALSE,"A13.01";#N/A,#N/A,FALSE,"A16a";#N/A,#N/A,FALSE,"A16b";#N/A,#N/A,FALSE,"A16da";#N/A,#N/A,FALSE,"A16i 1";#N/A,#N/A,FALSE,"A26.01-02";#N/A,#N/A,FALSE,"A32.03";#N/A,#N/A,FALSE,"A32.04a";#N/A,#N/A,FALSE,"A33.01";#N/A,#N/A,FALSE,"A33.02";#N/A,#N/A,FALSE,"A36";#N/A,#N/A,FALSE,"A37.01-03";#N/A,#N/A,FALSE,"A41"}</definedName>
    <definedName name="_X1111" localSheetId="15" hidden="1">{#N/A,#N/A,FALSE,"Aa-Ab";#N/A,#N/A,FALSE,"A03";#N/A,#N/A,FALSE,"A03a_A07a";#N/A,#N/A,FALSE,"A04a";#N/A,#N/A,FALSE,"A05a";#N/A,#N/A,FALSE,"A08.02-03-04";#N/A,#N/A,FALSE,"A08a2-3";#N/A,#N/A,FALSE,"A08.05";#N/A,#N/A,FALSE,"A09a";#N/A,#N/A,FALSE,"A13.01";#N/A,#N/A,FALSE,"A16a";#N/A,#N/A,FALSE,"A16b";#N/A,#N/A,FALSE,"A16da";#N/A,#N/A,FALSE,"A16i 1";#N/A,#N/A,FALSE,"A26.01-02";#N/A,#N/A,FALSE,"A32.03";#N/A,#N/A,FALSE,"A32.04a";#N/A,#N/A,FALSE,"A33.01";#N/A,#N/A,FALSE,"A33.02";#N/A,#N/A,FALSE,"A36";#N/A,#N/A,FALSE,"A37.01-03";#N/A,#N/A,FALSE,"A41"}</definedName>
    <definedName name="_X1111" localSheetId="7" hidden="1">{#N/A,#N/A,FALSE,"Aa-Ab";#N/A,#N/A,FALSE,"A03";#N/A,#N/A,FALSE,"A03a_A07a";#N/A,#N/A,FALSE,"A04a";#N/A,#N/A,FALSE,"A05a";#N/A,#N/A,FALSE,"A08.02-03-04";#N/A,#N/A,FALSE,"A08a2-3";#N/A,#N/A,FALSE,"A08.05";#N/A,#N/A,FALSE,"A09a";#N/A,#N/A,FALSE,"A13.01";#N/A,#N/A,FALSE,"A16a";#N/A,#N/A,FALSE,"A16b";#N/A,#N/A,FALSE,"A16da";#N/A,#N/A,FALSE,"A16i 1";#N/A,#N/A,FALSE,"A26.01-02";#N/A,#N/A,FALSE,"A32.03";#N/A,#N/A,FALSE,"A32.04a";#N/A,#N/A,FALSE,"A33.01";#N/A,#N/A,FALSE,"A33.02";#N/A,#N/A,FALSE,"A36";#N/A,#N/A,FALSE,"A37.01-03";#N/A,#N/A,FALSE,"A41"}</definedName>
    <definedName name="_X1111" hidden="1">{#N/A,#N/A,FALSE,"Aa-Ab";#N/A,#N/A,FALSE,"A03";#N/A,#N/A,FALSE,"A03a_A07a";#N/A,#N/A,FALSE,"A04a";#N/A,#N/A,FALSE,"A05a";#N/A,#N/A,FALSE,"A08.02-03-04";#N/A,#N/A,FALSE,"A08a2-3";#N/A,#N/A,FALSE,"A08.05";#N/A,#N/A,FALSE,"A09a";#N/A,#N/A,FALSE,"A13.01";#N/A,#N/A,FALSE,"A16a";#N/A,#N/A,FALSE,"A16b";#N/A,#N/A,FALSE,"A16da";#N/A,#N/A,FALSE,"A16i 1";#N/A,#N/A,FALSE,"A26.01-02";#N/A,#N/A,FALSE,"A32.03";#N/A,#N/A,FALSE,"A32.04a";#N/A,#N/A,FALSE,"A33.01";#N/A,#N/A,FALSE,"A33.02";#N/A,#N/A,FALSE,"A36";#N/A,#N/A,FALSE,"A37.01-03";#N/A,#N/A,FALSE,"A41"}</definedName>
    <definedName name="a" localSheetId="15">{"'Hardware Req.'!$A$1:$C$23"}</definedName>
    <definedName name="a" localSheetId="7">{"'Hardware Req.'!$A$1:$C$23"}</definedName>
    <definedName name="a">{"'Hardware Req.'!$A$1:$C$23"}</definedName>
    <definedName name="aa" localSheetId="15" hidden="1">{"summary",#N/A,FALSE,"Revenue Strat Plan"}</definedName>
    <definedName name="aa" localSheetId="7" hidden="1">{"summary",#N/A,FALSE,"Revenue Strat Plan"}</definedName>
    <definedName name="aa" hidden="1">{"summary",#N/A,FALSE,"Revenue Strat Plan"}</definedName>
    <definedName name="aaa" localSheetId="15" hidden="1">{#N/A,#N/A,FALSE,"Projections";#N/A,#N/A,FALSE,"Multiples Valuation";#N/A,#N/A,FALSE,"LBO";#N/A,#N/A,FALSE,"Multiples_Sensitivity";#N/A,#N/A,FALSE,"Summary"}</definedName>
    <definedName name="aaa" localSheetId="7" hidden="1">{#N/A,#N/A,FALSE,"Projections";#N/A,#N/A,FALSE,"Multiples Valuation";#N/A,#N/A,FALSE,"LBO";#N/A,#N/A,FALSE,"Multiples_Sensitivity";#N/A,#N/A,FALSE,"Summary"}</definedName>
    <definedName name="aaa" hidden="1">{#N/A,#N/A,FALSE,"Projections";#N/A,#N/A,FALSE,"Multiples Valuation";#N/A,#N/A,FALSE,"LBO";#N/A,#N/A,FALSE,"Multiples_Sensitivity";#N/A,#N/A,FALSE,"Summary"}</definedName>
    <definedName name="abc" localSheetId="15" hidden="1">{#N/A,#N/A,FALSE,"Projections";#N/A,#N/A,FALSE,"Multiples Valuation";#N/A,#N/A,FALSE,"LBO";#N/A,#N/A,FALSE,"Multiples_Sensitivity";#N/A,#N/A,FALSE,"Summary"}</definedName>
    <definedName name="abc" localSheetId="7" hidden="1">{#N/A,#N/A,FALSE,"Projections";#N/A,#N/A,FALSE,"Multiples Valuation";#N/A,#N/A,FALSE,"LBO";#N/A,#N/A,FALSE,"Multiples_Sensitivity";#N/A,#N/A,FALSE,"Summary"}</definedName>
    <definedName name="abc" hidden="1">{#N/A,#N/A,FALSE,"Projections";#N/A,#N/A,FALSE,"Multiples Valuation";#N/A,#N/A,FALSE,"LBO";#N/A,#N/A,FALSE,"Multiples_Sensitivity";#N/A,#N/A,FALSE,"Summary"}</definedName>
    <definedName name="abc.abc" localSheetId="15" hidden="1">{"cash flow - FY02",#N/A,FALSE,"P &amp; L";"cash flow - FY03",#N/A,FALSE,"P &amp; L"}</definedName>
    <definedName name="abc.abc" localSheetId="7" hidden="1">{"cash flow - FY02",#N/A,FALSE,"P &amp; L";"cash flow - FY03",#N/A,FALSE,"P &amp; L"}</definedName>
    <definedName name="abc.abc" hidden="1">{"cash flow - FY02",#N/A,FALSE,"P &amp; L";"cash flow - FY03",#N/A,FALSE,"P &amp; L"}</definedName>
    <definedName name="accounting" localSheetId="15" hidden="1">{#N/A,#N/A,FALSE,"Full Year";#N/A,#N/A,FALSE,"Current Month";#N/A,#N/A,FALSE,"Remainder";#N/A,#N/A,FALSE,"Quarterly Variance";#N/A,#N/A,FALSE,"YTD";#N/A,#N/A,FALSE,"Full Year Variance";#N/A,#N/A,FALSE,"Growth";#N/A,#N/A,FALSE,"Risk Adj Summary";#N/A,#N/A,FALSE,"Selling";#N/A,#N/A,FALSE,"Setup";#N/A,#N/A,FALSE,"CM Comp"}</definedName>
    <definedName name="accounting" localSheetId="7" hidden="1">{#N/A,#N/A,FALSE,"Full Year";#N/A,#N/A,FALSE,"Current Month";#N/A,#N/A,FALSE,"Remainder";#N/A,#N/A,FALSE,"Quarterly Variance";#N/A,#N/A,FALSE,"YTD";#N/A,#N/A,FALSE,"Full Year Variance";#N/A,#N/A,FALSE,"Growth";#N/A,#N/A,FALSE,"Risk Adj Summary";#N/A,#N/A,FALSE,"Selling";#N/A,#N/A,FALSE,"Setup";#N/A,#N/A,FALSE,"CM Comp"}</definedName>
    <definedName name="accounting" hidden="1">{#N/A,#N/A,FALSE,"Full Year";#N/A,#N/A,FALSE,"Current Month";#N/A,#N/A,FALSE,"Remainder";#N/A,#N/A,FALSE,"Quarterly Variance";#N/A,#N/A,FALSE,"YTD";#N/A,#N/A,FALSE,"Full Year Variance";#N/A,#N/A,FALSE,"Growth";#N/A,#N/A,FALSE,"Risk Adj Summary";#N/A,#N/A,FALSE,"Selling";#N/A,#N/A,FALSE,"Setup";#N/A,#N/A,FALSE,"CM Comp"}</definedName>
    <definedName name="activations" localSheetId="15">{"'Hardware Req.'!$A$1:$C$23"}</definedName>
    <definedName name="activations" localSheetId="7">{"'Hardware Req.'!$A$1:$C$23"}</definedName>
    <definedName name="activations">{"'Hardware Req.'!$A$1:$C$23"}</definedName>
    <definedName name="amy" localSheetId="15" hidden="1">{#N/A,#N/A,FALSE,"AD_Purchase";#N/A,#N/A,FALSE,"Credit";#N/A,#N/A,FALSE,"PF Acquisition";#N/A,#N/A,FALSE,"PF Offering"}</definedName>
    <definedName name="amy" localSheetId="7" hidden="1">{#N/A,#N/A,FALSE,"AD_Purchase";#N/A,#N/A,FALSE,"Credit";#N/A,#N/A,FALSE,"PF Acquisition";#N/A,#N/A,FALSE,"PF Offering"}</definedName>
    <definedName name="amy" hidden="1">{#N/A,#N/A,FALSE,"AD_Purchase";#N/A,#N/A,FALSE,"Credit";#N/A,#N/A,FALSE,"PF Acquisition";#N/A,#N/A,FALSE,"PF Offering"}</definedName>
    <definedName name="amy.mistake" localSheetId="15" hidden="1">{#N/A,#N/A,FALSE,"AD_Purchase";#N/A,#N/A,FALSE,"Credit";#N/A,#N/A,FALSE,"PF Acquisition";#N/A,#N/A,FALSE,"PF Offering"}</definedName>
    <definedName name="amy.mistake" localSheetId="7" hidden="1">{#N/A,#N/A,FALSE,"AD_Purchase";#N/A,#N/A,FALSE,"Credit";#N/A,#N/A,FALSE,"PF Acquisition";#N/A,#N/A,FALSE,"PF Offering"}</definedName>
    <definedName name="amy.mistake" hidden="1">{#N/A,#N/A,FALSE,"AD_Purchase";#N/A,#N/A,FALSE,"Credit";#N/A,#N/A,FALSE,"PF Acquisition";#N/A,#N/A,FALSE,"PF Offering"}</definedName>
    <definedName name="anscount">1</definedName>
    <definedName name="April">#REF!</definedName>
    <definedName name="aqqq" localSheetId="15" hidden="1">{#N/A,#N/A,FALSE,"BrkgCover";#N/A,#N/A,FALSE,"brrevex";#N/A,#N/A,FALSE,"brbkbo";#N/A,#N/A,FALSE,"NOISum";#N/A,#N/A,FALSE,"inst";#N/A,#N/A,FALSE,"164";#N/A,#N/A,FALSE,"167";#N/A,#N/A,FALSE,"168";#N/A,#N/A,FALSE,"169";#N/A,#N/A,FALSE,"180";#N/A,#N/A,FALSE,"181";#N/A,#N/A,FALSE,"182";#N/A,#N/A,FALSE,"194";#N/A,#N/A,FALSE,"199";#N/A,#N/A,FALSE,"178-9";#N/A,#N/A,FALSE,"Heads";#N/A,#N/A,FALSE,"Capital"}</definedName>
    <definedName name="aqqq" localSheetId="7" hidden="1">{#N/A,#N/A,FALSE,"BrkgCover";#N/A,#N/A,FALSE,"brrevex";#N/A,#N/A,FALSE,"brbkbo";#N/A,#N/A,FALSE,"NOISum";#N/A,#N/A,FALSE,"inst";#N/A,#N/A,FALSE,"164";#N/A,#N/A,FALSE,"167";#N/A,#N/A,FALSE,"168";#N/A,#N/A,FALSE,"169";#N/A,#N/A,FALSE,"180";#N/A,#N/A,FALSE,"181";#N/A,#N/A,FALSE,"182";#N/A,#N/A,FALSE,"194";#N/A,#N/A,FALSE,"199";#N/A,#N/A,FALSE,"178-9";#N/A,#N/A,FALSE,"Heads";#N/A,#N/A,FALSE,"Capital"}</definedName>
    <definedName name="aqqq" hidden="1">{#N/A,#N/A,FALSE,"BrkgCover";#N/A,#N/A,FALSE,"brrevex";#N/A,#N/A,FALSE,"brbkbo";#N/A,#N/A,FALSE,"NOISum";#N/A,#N/A,FALSE,"inst";#N/A,#N/A,FALSE,"164";#N/A,#N/A,FALSE,"167";#N/A,#N/A,FALSE,"168";#N/A,#N/A,FALSE,"169";#N/A,#N/A,FALSE,"180";#N/A,#N/A,FALSE,"181";#N/A,#N/A,FALSE,"182";#N/A,#N/A,FALSE,"194";#N/A,#N/A,FALSE,"199";#N/A,#N/A,FALSE,"178-9";#N/A,#N/A,FALSE,"Heads";#N/A,#N/A,FALSE,"Capital"}</definedName>
    <definedName name="AS2DocOpenMode">"AS2DocumentEdit"</definedName>
    <definedName name="AS2NamedRange">6</definedName>
    <definedName name="AS2ReportLS">2</definedName>
    <definedName name="AS2StaticLS" hidden="1">#REF!</definedName>
    <definedName name="AS2SyncStepLS">0</definedName>
    <definedName name="AS2VersionLS">300</definedName>
    <definedName name="asd" hidden="1">#REF!</definedName>
    <definedName name="asdf" localSheetId="15" hidden="1">{#N/A,#N/A,FALSE,"Full Year";#N/A,#N/A,FALSE,"Current Month";#N/A,#N/A,FALSE,"YTD";#N/A,#N/A,FALSE,"Remainder";#N/A,#N/A,FALSE,"Full Year Variance";#N/A,#N/A,FALSE,"Quarterly Variance"}</definedName>
    <definedName name="asdf" localSheetId="7" hidden="1">{#N/A,#N/A,FALSE,"Full Year";#N/A,#N/A,FALSE,"Current Month";#N/A,#N/A,FALSE,"YTD";#N/A,#N/A,FALSE,"Remainder";#N/A,#N/A,FALSE,"Full Year Variance";#N/A,#N/A,FALSE,"Quarterly Variance"}</definedName>
    <definedName name="asdf" hidden="1">{#N/A,#N/A,FALSE,"Full Year";#N/A,#N/A,FALSE,"Current Month";#N/A,#N/A,FALSE,"YTD";#N/A,#N/A,FALSE,"Remainder";#N/A,#N/A,FALSE,"Full Year Variance";#N/A,#N/A,FALSE,"Quarterly Variance"}</definedName>
    <definedName name="Attrition" localSheetId="15" hidden="1">{#N/A,#N/A,FALSE,"BrkgCover";#N/A,#N/A,FALSE,"brrevex";#N/A,#N/A,FALSE,"brbkbo";#N/A,#N/A,FALSE,"NOISum";#N/A,#N/A,FALSE,"inst";#N/A,#N/A,FALSE,"164";#N/A,#N/A,FALSE,"167";#N/A,#N/A,FALSE,"168";#N/A,#N/A,FALSE,"169";#N/A,#N/A,FALSE,"180";#N/A,#N/A,FALSE,"181";#N/A,#N/A,FALSE,"182";#N/A,#N/A,FALSE,"194";#N/A,#N/A,FALSE,"199";#N/A,#N/A,FALSE,"178-9";#N/A,#N/A,FALSE,"Heads";#N/A,#N/A,FALSE,"Capital"}</definedName>
    <definedName name="Attrition" localSheetId="7" hidden="1">{#N/A,#N/A,FALSE,"BrkgCover";#N/A,#N/A,FALSE,"brrevex";#N/A,#N/A,FALSE,"brbkbo";#N/A,#N/A,FALSE,"NOISum";#N/A,#N/A,FALSE,"inst";#N/A,#N/A,FALSE,"164";#N/A,#N/A,FALSE,"167";#N/A,#N/A,FALSE,"168";#N/A,#N/A,FALSE,"169";#N/A,#N/A,FALSE,"180";#N/A,#N/A,FALSE,"181";#N/A,#N/A,FALSE,"182";#N/A,#N/A,FALSE,"194";#N/A,#N/A,FALSE,"199";#N/A,#N/A,FALSE,"178-9";#N/A,#N/A,FALSE,"Heads";#N/A,#N/A,FALSE,"Capital"}</definedName>
    <definedName name="Attrition" hidden="1">{#N/A,#N/A,FALSE,"BrkgCover";#N/A,#N/A,FALSE,"brrevex";#N/A,#N/A,FALSE,"brbkbo";#N/A,#N/A,FALSE,"NOISum";#N/A,#N/A,FALSE,"inst";#N/A,#N/A,FALSE,"164";#N/A,#N/A,FALSE,"167";#N/A,#N/A,FALSE,"168";#N/A,#N/A,FALSE,"169";#N/A,#N/A,FALSE,"180";#N/A,#N/A,FALSE,"181";#N/A,#N/A,FALSE,"182";#N/A,#N/A,FALSE,"194";#N/A,#N/A,FALSE,"199";#N/A,#N/A,FALSE,"178-9";#N/A,#N/A,FALSE,"Heads";#N/A,#N/A,FALSE,"Capital"}</definedName>
    <definedName name="Auto">[13]!Table1[[#All],[Column1]]</definedName>
    <definedName name="ax" localSheetId="15" hidden="1">{#N/A,#N/A,FALSE,"Full Year";#N/A,#N/A,FALSE,"Current Month";#N/A,#N/A,FALSE,"Remainder";#N/A,#N/A,FALSE,"Quarterly Variance";#N/A,#N/A,FALSE,"YTD";#N/A,#N/A,FALSE,"Full Year Variance";#N/A,#N/A,FALSE,"Growth";#N/A,#N/A,FALSE,"Risk Adj Summary";#N/A,#N/A,FALSE,"Selling";#N/A,#N/A,FALSE,"Setup";#N/A,#N/A,FALSE,"CM Comp"}</definedName>
    <definedName name="ax" localSheetId="7" hidden="1">{#N/A,#N/A,FALSE,"Full Year";#N/A,#N/A,FALSE,"Current Month";#N/A,#N/A,FALSE,"Remainder";#N/A,#N/A,FALSE,"Quarterly Variance";#N/A,#N/A,FALSE,"YTD";#N/A,#N/A,FALSE,"Full Year Variance";#N/A,#N/A,FALSE,"Growth";#N/A,#N/A,FALSE,"Risk Adj Summary";#N/A,#N/A,FALSE,"Selling";#N/A,#N/A,FALSE,"Setup";#N/A,#N/A,FALSE,"CM Comp"}</definedName>
    <definedName name="ax" hidden="1">{#N/A,#N/A,FALSE,"Full Year";#N/A,#N/A,FALSE,"Current Month";#N/A,#N/A,FALSE,"Remainder";#N/A,#N/A,FALSE,"Quarterly Variance";#N/A,#N/A,FALSE,"YTD";#N/A,#N/A,FALSE,"Full Year Variance";#N/A,#N/A,FALSE,"Growth";#N/A,#N/A,FALSE,"Risk Adj Summary";#N/A,#N/A,FALSE,"Selling";#N/A,#N/A,FALSE,"Setup";#N/A,#N/A,FALSE,"CM Comp"}</definedName>
    <definedName name="B" hidden="1">#REF!</definedName>
    <definedName name="backlog" localSheetId="15" hidden="1">{"NATotRev",#N/A,FALSE,"NA";"NAProcRev",#N/A,FALSE,"NA";"NAProcPRHR",#N/A,FALSE,"NA";"NAProcTAMS",#N/A,FALSE,"NA";"NAProcNewTot",#N/A,FALSE,"NA";"NASalesStarts",#N/A,FALSE,"NA";"NALoss",#N/A,FALSE,"NA";"NASUYrend",#N/A,FALSE,"NA";"NAclients",#N/A,FALSE,"NA";"NAinput",#N/A,FALSE,"NA";"NAclients",#N/A,FALSE,"NA"}</definedName>
    <definedName name="backlog" localSheetId="7" hidden="1">{"NATotRev",#N/A,FALSE,"NA";"NAProcRev",#N/A,FALSE,"NA";"NAProcPRHR",#N/A,FALSE,"NA";"NAProcTAMS",#N/A,FALSE,"NA";"NAProcNewTot",#N/A,FALSE,"NA";"NASalesStarts",#N/A,FALSE,"NA";"NALoss",#N/A,FALSE,"NA";"NASUYrend",#N/A,FALSE,"NA";"NAclients",#N/A,FALSE,"NA";"NAinput",#N/A,FALSE,"NA";"NAclients",#N/A,FALSE,"NA"}</definedName>
    <definedName name="backlog" hidden="1">{"NATotRev",#N/A,FALSE,"NA";"NAProcRev",#N/A,FALSE,"NA";"NAProcPRHR",#N/A,FALSE,"NA";"NAProcTAMS",#N/A,FALSE,"NA";"NAProcNewTot",#N/A,FALSE,"NA";"NASalesStarts",#N/A,FALSE,"NA";"NALoss",#N/A,FALSE,"NA";"NASUYrend",#N/A,FALSE,"NA";"NAclients",#N/A,FALSE,"NA";"NAinput",#N/A,FALSE,"NA";"NAclients",#N/A,FALSE,"NA"}</definedName>
    <definedName name="bak" localSheetId="15" hidden="1">{"MATotrev",#N/A,FALSE,"MA";"MAProcRev",#N/A,FALSE,"MA";"MAProcPRHR",#N/A,FALSE,"MA";"MAProcTAMS",#N/A,FALSE,"MA";"MAProcNewTot",#N/A,FALSE,"MA";"MASalesStarts",#N/A,FALSE,"MA";"MALoss",#N/A,FALSE,"MA";"MASUYRend",#N/A,FALSE,"MA";"MAClientno",#N/A,FALSE,"MA";"MAinput",#N/A,FALSE,"MA";"MAClientno",#N/A,FALSE,"MA"}</definedName>
    <definedName name="bak" localSheetId="7" hidden="1">{"MATotrev",#N/A,FALSE,"MA";"MAProcRev",#N/A,FALSE,"MA";"MAProcPRHR",#N/A,FALSE,"MA";"MAProcTAMS",#N/A,FALSE,"MA";"MAProcNewTot",#N/A,FALSE,"MA";"MASalesStarts",#N/A,FALSE,"MA";"MALoss",#N/A,FALSE,"MA";"MASUYRend",#N/A,FALSE,"MA";"MAClientno",#N/A,FALSE,"MA";"MAinput",#N/A,FALSE,"MA";"MAClientno",#N/A,FALSE,"MA"}</definedName>
    <definedName name="bak" hidden="1">{"MATotrev",#N/A,FALSE,"MA";"MAProcRev",#N/A,FALSE,"MA";"MAProcPRHR",#N/A,FALSE,"MA";"MAProcTAMS",#N/A,FALSE,"MA";"MAProcNewTot",#N/A,FALSE,"MA";"MASalesStarts",#N/A,FALSE,"MA";"MALoss",#N/A,FALSE,"MA";"MASUYRend",#N/A,FALSE,"MA";"MAClientno",#N/A,FALSE,"MA";"MAinput",#N/A,FALSE,"MA";"MAClientno",#N/A,FALSE,"MA"}</definedName>
    <definedName name="bb" localSheetId="15" hidden="1">{#N/A,#N/A,FALSE,"Full Year";#N/A,#N/A,FALSE,"Current Month";#N/A,#N/A,FALSE,"YTD";#N/A,#N/A,FALSE,"Remainder";#N/A,#N/A,FALSE,"Full Year Variance";#N/A,#N/A,FALSE,"Quarterly Variance"}</definedName>
    <definedName name="bb" localSheetId="7" hidden="1">{#N/A,#N/A,FALSE,"Full Year";#N/A,#N/A,FALSE,"Current Month";#N/A,#N/A,FALSE,"YTD";#N/A,#N/A,FALSE,"Remainder";#N/A,#N/A,FALSE,"Full Year Variance";#N/A,#N/A,FALSE,"Quarterly Variance"}</definedName>
    <definedName name="bb" hidden="1">{#N/A,#N/A,FALSE,"Full Year";#N/A,#N/A,FALSE,"Current Month";#N/A,#N/A,FALSE,"YTD";#N/A,#N/A,FALSE,"Remainder";#N/A,#N/A,FALSE,"Full Year Variance";#N/A,#N/A,FALSE,"Quarterly Variance"}</definedName>
    <definedName name="Bear" localSheetId="1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" localSheetId="7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" localSheetId="1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" localSheetId="7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G_Del">15</definedName>
    <definedName name="BG_Ins">4</definedName>
    <definedName name="BG_Mod">6</definedName>
    <definedName name="BLPH1" hidden="1">'[14]commercial construction'!$A$3</definedName>
    <definedName name="BLPH10" hidden="1">'[14]crack spreads'!$E$4</definedName>
    <definedName name="BLPH18" hidden="1">#REF!</definedName>
    <definedName name="BLPH19" hidden="1">#REF!</definedName>
    <definedName name="BLPH2" hidden="1">'[14]new orders'!$D$7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3" hidden="1">'[14]new orders'!$G$7</definedName>
    <definedName name="BLPH31" hidden="1">[15]Data!#REF!</definedName>
    <definedName name="BLPH32" hidden="1">[15]Data!#REF!</definedName>
    <definedName name="BLPH33" hidden="1">[15]Data!#REF!</definedName>
    <definedName name="BLPH34" hidden="1">[15]Data!#REF!</definedName>
    <definedName name="BLPH35" hidden="1">[15]Data!#REF!</definedName>
    <definedName name="BLPH4" hidden="1">'[14]crack spreads'!$A$3</definedName>
    <definedName name="BLPH5" hidden="1">'[14]crack spreads'!$A$3</definedName>
    <definedName name="BLPH6" hidden="1">'[14]crack spreads'!$A$3</definedName>
    <definedName name="BLPH7" hidden="1">'[14]crack spreads'!$A$3</definedName>
    <definedName name="BLPH8" hidden="1">'[14]IFO Manufacturing Business Clim'!$E$6</definedName>
    <definedName name="BLPH9" hidden="1">'[14]commercial construction'!$D$33</definedName>
    <definedName name="BNE_MESSAGES_HIDDEN" hidden="1">#REF!</definedName>
    <definedName name="bvwrg" localSheetId="1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vwrg" localSheetId="7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vwrg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Calendar10Month">'[16]NA Finance Calendar'!$D$127</definedName>
    <definedName name="Calendar10MonthOption" localSheetId="15">MATCH(Calendar10Month,'3.10 Cancel List'!Months,0)</definedName>
    <definedName name="Calendar10MonthOption" localSheetId="7">MATCH(Calendar10Month,'TV active sites in March Cancel'!Months,0)</definedName>
    <definedName name="Calendar10MonthOption">MATCH(Calendar10Month,Months,0)</definedName>
    <definedName name="Calendar10Year">'[16]NA Finance Calendar'!$C$127</definedName>
    <definedName name="Calendar11Month">'[16]NA Finance Calendar'!$D$141</definedName>
    <definedName name="Calendar11MonthOption" localSheetId="15">MATCH(Calendar11Month,'3.10 Cancel List'!Months,0)</definedName>
    <definedName name="Calendar11MonthOption" localSheetId="7">MATCH(Calendar11Month,'TV active sites in March Cancel'!Months,0)</definedName>
    <definedName name="Calendar11MonthOption">MATCH(Calendar11Month,Months,0)</definedName>
    <definedName name="Calendar11Year">'[16]NA Finance Calendar'!$C$141</definedName>
    <definedName name="Calendar12Month">'[16]NA Finance Calendar'!$D$155</definedName>
    <definedName name="Calendar12MonthOption" localSheetId="15">MATCH(Calendar12Month,'3.10 Cancel List'!Months,0)</definedName>
    <definedName name="Calendar12MonthOption" localSheetId="7">MATCH(Calendar12Month,'TV active sites in March Cancel'!Months,0)</definedName>
    <definedName name="Calendar12MonthOption">MATCH(Calendar12Month,Months,0)</definedName>
    <definedName name="Calendar12Year">'[16]NA Finance Calendar'!$C$155</definedName>
    <definedName name="Calendar1Month">'[16]NA Finance Calendar'!$D$1</definedName>
    <definedName name="Calendar1MonthOption" localSheetId="15">MATCH(Calendar1Month,'3.10 Cancel List'!Months,0)</definedName>
    <definedName name="Calendar1MonthOption" localSheetId="7">MATCH(Calendar1Month,'TV active sites in March Cancel'!Months,0)</definedName>
    <definedName name="Calendar1MonthOption">MATCH(Calendar1Month,Months,0)</definedName>
    <definedName name="Calendar1Year">'[16]NA Finance Calendar'!$C$1</definedName>
    <definedName name="Calendar2Month">'[16]NA Finance Calendar'!$D$15</definedName>
    <definedName name="Calendar2MonthOption" localSheetId="15">MATCH(Calendar2Month,'3.10 Cancel List'!Months,0)</definedName>
    <definedName name="Calendar2MonthOption" localSheetId="7">MATCH(Calendar2Month,'TV active sites in March Cancel'!Months,0)</definedName>
    <definedName name="Calendar2MonthOption">MATCH(Calendar2Month,Months,0)</definedName>
    <definedName name="Calendar2Year">'[16]NA Finance Calendar'!$C$15</definedName>
    <definedName name="Calendar3Month">'[16]NA Finance Calendar'!$D$29</definedName>
    <definedName name="Calendar3MonthOption" localSheetId="15">MATCH(Calendar3Month,'3.10 Cancel List'!Months,0)</definedName>
    <definedName name="Calendar3MonthOption" localSheetId="7">MATCH(Calendar3Month,'TV active sites in March Cancel'!Months,0)</definedName>
    <definedName name="Calendar3MonthOption">MATCH(Calendar3Month,Months,0)</definedName>
    <definedName name="Calendar3Year">'[16]NA Finance Calendar'!$C$29</definedName>
    <definedName name="Calendar4Month">'[16]NA Finance Calendar'!$D$43</definedName>
    <definedName name="Calendar4MonthOption" localSheetId="15">MATCH(Calendar4Month,'3.10 Cancel List'!Months,0)</definedName>
    <definedName name="Calendar4MonthOption" localSheetId="7">MATCH(Calendar4Month,'TV active sites in March Cancel'!Months,0)</definedName>
    <definedName name="Calendar4MonthOption">MATCH(Calendar4Month,Months,0)</definedName>
    <definedName name="Calendar4Year">'[16]NA Finance Calendar'!$C$43</definedName>
    <definedName name="Calendar5Month">'[16]NA Finance Calendar'!$D$57</definedName>
    <definedName name="Calendar5MonthOption" localSheetId="15">MATCH(Calendar5Month,'3.10 Cancel List'!Months,0)</definedName>
    <definedName name="Calendar5MonthOption" localSheetId="7">MATCH(Calendar5Month,'TV active sites in March Cancel'!Months,0)</definedName>
    <definedName name="Calendar5MonthOption">MATCH(Calendar5Month,Months,0)</definedName>
    <definedName name="Calendar5Year">'[16]NA Finance Calendar'!$C$57</definedName>
    <definedName name="Calendar6Month">'[16]NA Finance Calendar'!$D$71</definedName>
    <definedName name="Calendar6MonthOption" localSheetId="15">MATCH(Calendar6Month,'3.10 Cancel List'!Months,0)</definedName>
    <definedName name="Calendar6MonthOption" localSheetId="7">MATCH(Calendar6Month,'TV active sites in March Cancel'!Months,0)</definedName>
    <definedName name="Calendar6MonthOption">MATCH(Calendar6Month,Months,0)</definedName>
    <definedName name="Calendar6Year">'[16]NA Finance Calendar'!$C$71</definedName>
    <definedName name="Calendar7Month">'[16]NA Finance Calendar'!$D$85</definedName>
    <definedName name="Calendar7MonthOption" localSheetId="15">MATCH(Calendar7Month,'3.10 Cancel List'!Months,0)</definedName>
    <definedName name="Calendar7MonthOption" localSheetId="7">MATCH(Calendar7Month,'TV active sites in March Cancel'!Months,0)</definedName>
    <definedName name="Calendar7MonthOption">MATCH(Calendar7Month,Months,0)</definedName>
    <definedName name="Calendar7Year">'[16]NA Finance Calendar'!$C$85</definedName>
    <definedName name="Calendar8Month">'[16]NA Finance Calendar'!$D$99</definedName>
    <definedName name="Calendar8MonthOption" localSheetId="15">MATCH(Calendar8Month,'3.10 Cancel List'!Months,0)</definedName>
    <definedName name="Calendar8MonthOption" localSheetId="7">MATCH(Calendar8Month,'TV active sites in March Cancel'!Months,0)</definedName>
    <definedName name="Calendar8MonthOption">MATCH(Calendar8Month,Months,0)</definedName>
    <definedName name="Calendar8Year">'[16]NA Finance Calendar'!$C$99</definedName>
    <definedName name="Calendar9Month">'[16]NA Finance Calendar'!$D$113</definedName>
    <definedName name="Calendar9MonthOption" localSheetId="15">MATCH(Calendar9Month,'3.10 Cancel List'!Months,0)</definedName>
    <definedName name="Calendar9MonthOption" localSheetId="7">MATCH(Calendar9Month,'TV active sites in March Cancel'!Months,0)</definedName>
    <definedName name="Calendar9MonthOption">MATCH(Calendar9Month,Months,0)</definedName>
    <definedName name="Calendar9Year">'[16]NA Finance Calendar'!$C$113</definedName>
    <definedName name="cawc" localSheetId="1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awc" localSheetId="7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awc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hock" localSheetId="15" hidden="1">{#N/A,#N/A,FALSE,"Nat Gas Chart";#N/A,#N/A,FALSE,"Diesel Chart";#N/A,#N/A,FALSE,"KC Wheat Chart";#N/A,#N/A,FALSE,"KC Midds Chart";#N/A,#N/A,FALSE,"KC Basis Chart";#N/A,#N/A,FALSE,"Minn Wheat Chart";#N/A,#N/A,FALSE,"Minn Midds Chart";#N/A,#N/A,FALSE,"Minn Basis Chart ";#N/A,#N/A,FALSE,"Chicago Wheat Chart";#N/A,#N/A,FALSE,"Chicago Midds Chart";#N/A,#N/A,FALSE,"Chicago Basis Chart";#N/A,#N/A,FALSE,"Soy Oil Chart";#N/A,#N/A,FALSE,"Soy Basis Chart";#N/A,#N/A,FALSE,"Corn Chart";#N/A,#N/A,FALSE,"Co-Products Chart";#N/A,#N/A,FALSE,"Alum Chart";#N/A,#N/A,FALSE,"MWP Chart"}</definedName>
    <definedName name="Chock" localSheetId="7" hidden="1">{#N/A,#N/A,FALSE,"Nat Gas Chart";#N/A,#N/A,FALSE,"Diesel Chart";#N/A,#N/A,FALSE,"KC Wheat Chart";#N/A,#N/A,FALSE,"KC Midds Chart";#N/A,#N/A,FALSE,"KC Basis Chart";#N/A,#N/A,FALSE,"Minn Wheat Chart";#N/A,#N/A,FALSE,"Minn Midds Chart";#N/A,#N/A,FALSE,"Minn Basis Chart ";#N/A,#N/A,FALSE,"Chicago Wheat Chart";#N/A,#N/A,FALSE,"Chicago Midds Chart";#N/A,#N/A,FALSE,"Chicago Basis Chart";#N/A,#N/A,FALSE,"Soy Oil Chart";#N/A,#N/A,FALSE,"Soy Basis Chart";#N/A,#N/A,FALSE,"Corn Chart";#N/A,#N/A,FALSE,"Co-Products Chart";#N/A,#N/A,FALSE,"Alum Chart";#N/A,#N/A,FALSE,"MWP Chart"}</definedName>
    <definedName name="Chock" hidden="1">{#N/A,#N/A,FALSE,"Nat Gas Chart";#N/A,#N/A,FALSE,"Diesel Chart";#N/A,#N/A,FALSE,"KC Wheat Chart";#N/A,#N/A,FALSE,"KC Midds Chart";#N/A,#N/A,FALSE,"KC Basis Chart";#N/A,#N/A,FALSE,"Minn Wheat Chart";#N/A,#N/A,FALSE,"Minn Midds Chart";#N/A,#N/A,FALSE,"Minn Basis Chart ";#N/A,#N/A,FALSE,"Chicago Wheat Chart";#N/A,#N/A,FALSE,"Chicago Midds Chart";#N/A,#N/A,FALSE,"Chicago Basis Chart";#N/A,#N/A,FALSE,"Soy Oil Chart";#N/A,#N/A,FALSE,"Soy Basis Chart";#N/A,#N/A,FALSE,"Corn Chart";#N/A,#N/A,FALSE,"Co-Products Chart";#N/A,#N/A,FALSE,"Alum Chart";#N/A,#N/A,FALSE,"MWP Chart"}</definedName>
    <definedName name="Chocolate" localSheetId="15" hidden="1">{#N/A,#N/A,TRUE,"New Summary";#N/A,#N/A,TRUE,"New Top Item";#N/A,#N/A,TRUE,"Review Sheet";#N/A,#N/A,TRUE,"TOP SUMMARY";#N/A,#N/A,TRUE,"YTD-YTG";#N/A,#N/A,TRUE,"Total Impact";#N/A,#N/A,TRUE,"Total Impact Overview";#N/A,#N/A,TRUE,"Total Impact F&amp;B";#N/A,#N/A,TRUE,"Total Impact FoodService";#N/A,#N/A,TRUE,"Hedged Commodity";#N/A,#N/A,TRUE,"KC Wheat";#N/A,#N/A,TRUE,"MPLS Wheat";#N/A,#N/A,TRUE,"CGO Wheat";#N/A,#N/A,TRUE,"Soy Oil Comm";#N/A,#N/A,TRUE,"Corn Comm";#N/A,#N/A,TRUE,"Alum Comm";#N/A,#N/A,TRUE,"Natural Gas Hedged Commodity";#N/A,#N/A,TRUE,"Diesel Hedged Commodity";#N/A,#N/A,TRUE,"Packaging Summary";#N/A,#N/A,TRUE,"Bakery Bags";#N/A,#N/A,TRUE,"Fold Cart";#N/A,#N/A,TRUE,"Corrugated";#N/A,#N/A,TRUE,"Comp Cans";#N/A,#N/A,TRUE,"Aluminum";#N/A,#N/A,TRUE,"Rid Plastic";#N/A,#N/A,TRUE,"Misc Flex";#N/A,#N/A,TRUE,"Misc Pack";#N/A,#N/A,TRUE,"Dough Labels";#N/A,#N/A,TRUE,"LE &amp; Committed &amp; CS";#N/A,#N/A,TRUE,"Combined Rolling";#N/A,#N/A,TRUE,"Rolling LE";#N/A,#N/A,TRUE,"F&amp;B LE";#N/A,#N/A,TRUE,"FS LE";#N/A,#N/A,TRUE,"Rolling Commited";#N/A,#N/A,TRUE,"F&amp;B Commited";#N/A,#N/A,TRUE,"FS Commited";#N/A,#N/A,TRUE,"Rebate Schedule";#N/A,#N/A,TRUE,"Contract Log"}</definedName>
    <definedName name="Chocolate" localSheetId="7" hidden="1">{#N/A,#N/A,TRUE,"New Summary";#N/A,#N/A,TRUE,"New Top Item";#N/A,#N/A,TRUE,"Review Sheet";#N/A,#N/A,TRUE,"TOP SUMMARY";#N/A,#N/A,TRUE,"YTD-YTG";#N/A,#N/A,TRUE,"Total Impact";#N/A,#N/A,TRUE,"Total Impact Overview";#N/A,#N/A,TRUE,"Total Impact F&amp;B";#N/A,#N/A,TRUE,"Total Impact FoodService";#N/A,#N/A,TRUE,"Hedged Commodity";#N/A,#N/A,TRUE,"KC Wheat";#N/A,#N/A,TRUE,"MPLS Wheat";#N/A,#N/A,TRUE,"CGO Wheat";#N/A,#N/A,TRUE,"Soy Oil Comm";#N/A,#N/A,TRUE,"Corn Comm";#N/A,#N/A,TRUE,"Alum Comm";#N/A,#N/A,TRUE,"Natural Gas Hedged Commodity";#N/A,#N/A,TRUE,"Diesel Hedged Commodity";#N/A,#N/A,TRUE,"Packaging Summary";#N/A,#N/A,TRUE,"Bakery Bags";#N/A,#N/A,TRUE,"Fold Cart";#N/A,#N/A,TRUE,"Corrugated";#N/A,#N/A,TRUE,"Comp Cans";#N/A,#N/A,TRUE,"Aluminum";#N/A,#N/A,TRUE,"Rid Plastic";#N/A,#N/A,TRUE,"Misc Flex";#N/A,#N/A,TRUE,"Misc Pack";#N/A,#N/A,TRUE,"Dough Labels";#N/A,#N/A,TRUE,"LE &amp; Committed &amp; CS";#N/A,#N/A,TRUE,"Combined Rolling";#N/A,#N/A,TRUE,"Rolling LE";#N/A,#N/A,TRUE,"F&amp;B LE";#N/A,#N/A,TRUE,"FS LE";#N/A,#N/A,TRUE,"Rolling Commited";#N/A,#N/A,TRUE,"F&amp;B Commited";#N/A,#N/A,TRUE,"FS Commited";#N/A,#N/A,TRUE,"Rebate Schedule";#N/A,#N/A,TRUE,"Contract Log"}</definedName>
    <definedName name="Chocolate" hidden="1">{#N/A,#N/A,TRUE,"New Summary";#N/A,#N/A,TRUE,"New Top Item";#N/A,#N/A,TRUE,"Review Sheet";#N/A,#N/A,TRUE,"TOP SUMMARY";#N/A,#N/A,TRUE,"YTD-YTG";#N/A,#N/A,TRUE,"Total Impact";#N/A,#N/A,TRUE,"Total Impact Overview";#N/A,#N/A,TRUE,"Total Impact F&amp;B";#N/A,#N/A,TRUE,"Total Impact FoodService";#N/A,#N/A,TRUE,"Hedged Commodity";#N/A,#N/A,TRUE,"KC Wheat";#N/A,#N/A,TRUE,"MPLS Wheat";#N/A,#N/A,TRUE,"CGO Wheat";#N/A,#N/A,TRUE,"Soy Oil Comm";#N/A,#N/A,TRUE,"Corn Comm";#N/A,#N/A,TRUE,"Alum Comm";#N/A,#N/A,TRUE,"Natural Gas Hedged Commodity";#N/A,#N/A,TRUE,"Diesel Hedged Commodity";#N/A,#N/A,TRUE,"Packaging Summary";#N/A,#N/A,TRUE,"Bakery Bags";#N/A,#N/A,TRUE,"Fold Cart";#N/A,#N/A,TRUE,"Corrugated";#N/A,#N/A,TRUE,"Comp Cans";#N/A,#N/A,TRUE,"Aluminum";#N/A,#N/A,TRUE,"Rid Plastic";#N/A,#N/A,TRUE,"Misc Flex";#N/A,#N/A,TRUE,"Misc Pack";#N/A,#N/A,TRUE,"Dough Labels";#N/A,#N/A,TRUE,"LE &amp; Committed &amp; CS";#N/A,#N/A,TRUE,"Combined Rolling";#N/A,#N/A,TRUE,"Rolling LE";#N/A,#N/A,TRUE,"F&amp;B LE";#N/A,#N/A,TRUE,"FS LE";#N/A,#N/A,TRUE,"Rolling Commited";#N/A,#N/A,TRUE,"F&amp;B Commited";#N/A,#N/A,TRUE,"FS Commited";#N/A,#N/A,TRUE,"Rebate Schedule";#N/A,#N/A,TRUE,"Contract Log"}</definedName>
    <definedName name="ChocolateComm" localSheetId="15" hidden="1">{#N/A,#N/A,FALSE,"Nat Gas Chart";#N/A,#N/A,FALSE,"Diesel Chart";#N/A,#N/A,FALSE,"KC Wheat Chart";#N/A,#N/A,FALSE,"KC Midds Chart";#N/A,#N/A,FALSE,"KC Basis Chart";#N/A,#N/A,FALSE,"Minn Wheat Chart";#N/A,#N/A,FALSE,"Minn Midds Chart";#N/A,#N/A,FALSE,"Minn Basis Chart ";#N/A,#N/A,FALSE,"Chicago Wheat Chart";#N/A,#N/A,FALSE,"Chicago Midds Chart";#N/A,#N/A,FALSE,"Chicago Basis Chart";#N/A,#N/A,FALSE,"Soy Oil Chart";#N/A,#N/A,FALSE,"Soy Basis Chart";#N/A,#N/A,FALSE,"Corn Chart";#N/A,#N/A,FALSE,"Co-Products Chart";#N/A,#N/A,FALSE,"Alum Chart";#N/A,#N/A,FALSE,"MWP Chart"}</definedName>
    <definedName name="ChocolateComm" localSheetId="7" hidden="1">{#N/A,#N/A,FALSE,"Nat Gas Chart";#N/A,#N/A,FALSE,"Diesel Chart";#N/A,#N/A,FALSE,"KC Wheat Chart";#N/A,#N/A,FALSE,"KC Midds Chart";#N/A,#N/A,FALSE,"KC Basis Chart";#N/A,#N/A,FALSE,"Minn Wheat Chart";#N/A,#N/A,FALSE,"Minn Midds Chart";#N/A,#N/A,FALSE,"Minn Basis Chart ";#N/A,#N/A,FALSE,"Chicago Wheat Chart";#N/A,#N/A,FALSE,"Chicago Midds Chart";#N/A,#N/A,FALSE,"Chicago Basis Chart";#N/A,#N/A,FALSE,"Soy Oil Chart";#N/A,#N/A,FALSE,"Soy Basis Chart";#N/A,#N/A,FALSE,"Corn Chart";#N/A,#N/A,FALSE,"Co-Products Chart";#N/A,#N/A,FALSE,"Alum Chart";#N/A,#N/A,FALSE,"MWP Chart"}</definedName>
    <definedName name="ChocolateComm" hidden="1">{#N/A,#N/A,FALSE,"Nat Gas Chart";#N/A,#N/A,FALSE,"Diesel Chart";#N/A,#N/A,FALSE,"KC Wheat Chart";#N/A,#N/A,FALSE,"KC Midds Chart";#N/A,#N/A,FALSE,"KC Basis Chart";#N/A,#N/A,FALSE,"Minn Wheat Chart";#N/A,#N/A,FALSE,"Minn Midds Chart";#N/A,#N/A,FALSE,"Minn Basis Chart ";#N/A,#N/A,FALSE,"Chicago Wheat Chart";#N/A,#N/A,FALSE,"Chicago Midds Chart";#N/A,#N/A,FALSE,"Chicago Basis Chart";#N/A,#N/A,FALSE,"Soy Oil Chart";#N/A,#N/A,FALSE,"Soy Basis Chart";#N/A,#N/A,FALSE,"Corn Chart";#N/A,#N/A,FALSE,"Co-Products Chart";#N/A,#N/A,FALSE,"Alum Chart";#N/A,#N/A,FALSE,"MWP Chart"}</definedName>
    <definedName name="CIQWBGuid">"5be67520-bd61-4f19-8192-6ed7a4f6db8b"</definedName>
    <definedName name="copy" localSheetId="15" hidden="1">{#N/A,#N/A,FALSE,"Projections";#N/A,#N/A,FALSE,"Multiples Valuation";#N/A,#N/A,FALSE,"LBO";#N/A,#N/A,FALSE,"Multiples_Sensitivity";#N/A,#N/A,FALSE,"Summary"}</definedName>
    <definedName name="copy" localSheetId="7" hidden="1">{#N/A,#N/A,FALSE,"Projections";#N/A,#N/A,FALSE,"Multiples Valuation";#N/A,#N/A,FALSE,"LBO";#N/A,#N/A,FALSE,"Multiples_Sensitivity";#N/A,#N/A,FALSE,"Summary"}</definedName>
    <definedName name="copy" hidden="1">{#N/A,#N/A,FALSE,"Projections";#N/A,#N/A,FALSE,"Multiples Valuation";#N/A,#N/A,FALSE,"LBO";#N/A,#N/A,FALSE,"Multiples_Sensitivity";#N/A,#N/A,FALSE,"Summary"}</definedName>
    <definedName name="Covenants" localSheetId="15" hidden="1">{#N/A,#N/A,FALSE,"Projections";#N/A,#N/A,FALSE,"Multiples Valuation";#N/A,#N/A,FALSE,"LBO";#N/A,#N/A,FALSE,"Multiples_Sensitivity";#N/A,#N/A,FALSE,"Summary"}</definedName>
    <definedName name="Covenants" localSheetId="7" hidden="1">{#N/A,#N/A,FALSE,"Projections";#N/A,#N/A,FALSE,"Multiples Valuation";#N/A,#N/A,FALSE,"LBO";#N/A,#N/A,FALSE,"Multiples_Sensitivity";#N/A,#N/A,FALSE,"Summary"}</definedName>
    <definedName name="Covenants" hidden="1">{#N/A,#N/A,FALSE,"Projections";#N/A,#N/A,FALSE,"Multiples Valuation";#N/A,#N/A,FALSE,"LBO";#N/A,#N/A,FALSE,"Multiples_Sensitivity";#N/A,#N/A,FALSE,"Summary"}</definedName>
    <definedName name="cxaa" localSheetId="1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aa" localSheetId="7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aa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d" localSheetId="15">{"'Hardware Req.'!$A$1:$C$23"}</definedName>
    <definedName name="d" localSheetId="7">{"'Hardware Req.'!$A$1:$C$23"}</definedName>
    <definedName name="d">{"'Hardware Req.'!$A$1:$C$23"}</definedName>
    <definedName name="DAIRY" localSheetId="15" hidden="1">{#N/A,#N/A,FALSE,"Nat Gas Chart";#N/A,#N/A,FALSE,"Diesel Chart";#N/A,#N/A,FALSE,"KC Wheat Chart";#N/A,#N/A,FALSE,"KC Midds Chart";#N/A,#N/A,FALSE,"KC Basis Chart";#N/A,#N/A,FALSE,"Minn Wheat Chart";#N/A,#N/A,FALSE,"Minn Midds Chart";#N/A,#N/A,FALSE,"Minn Basis Chart ";#N/A,#N/A,FALSE,"Chicago Wheat Chart";#N/A,#N/A,FALSE,"Chicago Midds Chart";#N/A,#N/A,FALSE,"Chicago Basis Chart";#N/A,#N/A,FALSE,"Soy Oil Chart";#N/A,#N/A,FALSE,"Soy Basis Chart";#N/A,#N/A,FALSE,"Corn Chart";#N/A,#N/A,FALSE,"Co-Products Chart";#N/A,#N/A,FALSE,"Alum Chart";#N/A,#N/A,FALSE,"MWP Chart"}</definedName>
    <definedName name="DAIRY" localSheetId="7" hidden="1">{#N/A,#N/A,FALSE,"Nat Gas Chart";#N/A,#N/A,FALSE,"Diesel Chart";#N/A,#N/A,FALSE,"KC Wheat Chart";#N/A,#N/A,FALSE,"KC Midds Chart";#N/A,#N/A,FALSE,"KC Basis Chart";#N/A,#N/A,FALSE,"Minn Wheat Chart";#N/A,#N/A,FALSE,"Minn Midds Chart";#N/A,#N/A,FALSE,"Minn Basis Chart ";#N/A,#N/A,FALSE,"Chicago Wheat Chart";#N/A,#N/A,FALSE,"Chicago Midds Chart";#N/A,#N/A,FALSE,"Chicago Basis Chart";#N/A,#N/A,FALSE,"Soy Oil Chart";#N/A,#N/A,FALSE,"Soy Basis Chart";#N/A,#N/A,FALSE,"Corn Chart";#N/A,#N/A,FALSE,"Co-Products Chart";#N/A,#N/A,FALSE,"Alum Chart";#N/A,#N/A,FALSE,"MWP Chart"}</definedName>
    <definedName name="DAIRY" hidden="1">{#N/A,#N/A,FALSE,"Nat Gas Chart";#N/A,#N/A,FALSE,"Diesel Chart";#N/A,#N/A,FALSE,"KC Wheat Chart";#N/A,#N/A,FALSE,"KC Midds Chart";#N/A,#N/A,FALSE,"KC Basis Chart";#N/A,#N/A,FALSE,"Minn Wheat Chart";#N/A,#N/A,FALSE,"Minn Midds Chart";#N/A,#N/A,FALSE,"Minn Basis Chart ";#N/A,#N/A,FALSE,"Chicago Wheat Chart";#N/A,#N/A,FALSE,"Chicago Midds Chart";#N/A,#N/A,FALSE,"Chicago Basis Chart";#N/A,#N/A,FALSE,"Soy Oil Chart";#N/A,#N/A,FALSE,"Soy Basis Chart";#N/A,#N/A,FALSE,"Corn Chart";#N/A,#N/A,FALSE,"Co-Products Chart";#N/A,#N/A,FALSE,"Alum Chart";#N/A,#N/A,FALSE,"MWP Chart"}</definedName>
    <definedName name="_xlnm.Database">"C9:F63"</definedName>
    <definedName name="Days" localSheetId="15">{0,1,2,3,4,5,6}</definedName>
    <definedName name="Days" localSheetId="7">{0,1,2,3,4,5,6}</definedName>
    <definedName name="Days">{0,1,2,3,4,5,6}</definedName>
    <definedName name="dd" localSheetId="15" hidden="1">{"totrevbx",#N/A,FALSE,"Paris Rev";"totrevbxparis",#N/A,FALSE,"Total Rev";"totprocrevben",#N/A,FALSE,"Tot Proc Rev";"totloss",#N/A,FALSE,"HL";"ISSummary",#N/A,FALSE,"Tot Proc Rev";"TotClientnum",#N/A,FALSE,"HL";"otherinc",#N/A,FALSE,"Other Inc";"totprocsched",#N/A,FALSE,"HL";"inputtotsal",#N/A,FALSE,"HL";"salesinputcap",#N/A,FALSE,"HL";"saleswoyrendtotben",#N/A,FALSE,"HL";"totprocsched",#N/A,FALSE,"HL";"TotClientnum",#N/A,FALSE,"HL";"otherinc",#N/A,FALSE,"HL";"totprocsched",#N/A,FALSE,"HL";"startcap",#N/A,FALSE,"HL";"starttotben",#N/A,FALSE,"HL"}</definedName>
    <definedName name="dd" localSheetId="7" hidden="1">{"totrevbx",#N/A,FALSE,"Paris Rev";"totrevbxparis",#N/A,FALSE,"Total Rev";"totprocrevben",#N/A,FALSE,"Tot Proc Rev";"totloss",#N/A,FALSE,"HL";"ISSummary",#N/A,FALSE,"Tot Proc Rev";"TotClientnum",#N/A,FALSE,"HL";"otherinc",#N/A,FALSE,"Other Inc";"totprocsched",#N/A,FALSE,"HL";"inputtotsal",#N/A,FALSE,"HL";"salesinputcap",#N/A,FALSE,"HL";"saleswoyrendtotben",#N/A,FALSE,"HL";"totprocsched",#N/A,FALSE,"HL";"TotClientnum",#N/A,FALSE,"HL";"otherinc",#N/A,FALSE,"HL";"totprocsched",#N/A,FALSE,"HL";"startcap",#N/A,FALSE,"HL";"starttotben",#N/A,FALSE,"HL"}</definedName>
    <definedName name="dd" hidden="1">{"totrevbx",#N/A,FALSE,"Paris Rev";"totrevbxparis",#N/A,FALSE,"Total Rev";"totprocrevben",#N/A,FALSE,"Tot Proc Rev";"totloss",#N/A,FALSE,"HL";"ISSummary",#N/A,FALSE,"Tot Proc Rev";"TotClientnum",#N/A,FALSE,"HL";"otherinc",#N/A,FALSE,"Other Inc";"totprocsched",#N/A,FALSE,"HL";"inputtotsal",#N/A,FALSE,"HL";"salesinputcap",#N/A,FALSE,"HL";"saleswoyrendtotben",#N/A,FALSE,"HL";"totprocsched",#N/A,FALSE,"HL";"TotClientnum",#N/A,FALSE,"HL";"otherinc",#N/A,FALSE,"HL";"totprocsched",#N/A,FALSE,"HL";"startcap",#N/A,FALSE,"HL";"starttotben",#N/A,FALSE,"HL"}</definedName>
    <definedName name="dda" hidden="1">'[5]Model Adjustments'!#REF!</definedName>
    <definedName name="dddd" localSheetId="15" hidden="1">{#N/A,#N/A,FALSE,"AD_Purchase";#N/A,#N/A,FALSE,"Credit";#N/A,#N/A,FALSE,"PF Acquisition";#N/A,#N/A,FALSE,"PF Offering"}</definedName>
    <definedName name="dddd" localSheetId="7" hidden="1">{#N/A,#N/A,FALSE,"AD_Purchase";#N/A,#N/A,FALSE,"Credit";#N/A,#N/A,FALSE,"PF Acquisition";#N/A,#N/A,FALSE,"PF Offering"}</definedName>
    <definedName name="dddd" hidden="1">{#N/A,#N/A,FALSE,"AD_Purchase";#N/A,#N/A,FALSE,"Credit";#N/A,#N/A,FALSE,"PF Acquisition";#N/A,#N/A,FALSE,"PF Offering"}</definedName>
    <definedName name="ddddddddd" localSheetId="1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" localSheetId="7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elta" localSheetId="15" hidden="1">{#N/A,#N/A,FALSE,"FY97";#N/A,#N/A,FALSE,"FY98";#N/A,#N/A,FALSE,"FY99";#N/A,#N/A,FALSE,"FY00";#N/A,#N/A,FALSE,"FY01"}</definedName>
    <definedName name="delta" localSheetId="7" hidden="1">{#N/A,#N/A,FALSE,"FY97";#N/A,#N/A,FALSE,"FY98";#N/A,#N/A,FALSE,"FY99";#N/A,#N/A,FALSE,"FY00";#N/A,#N/A,FALSE,"FY01"}</definedName>
    <definedName name="delta" hidden="1">{#N/A,#N/A,FALSE,"FY97";#N/A,#N/A,FALSE,"FY98";#N/A,#N/A,FALSE,"FY99";#N/A,#N/A,FALSE,"FY00";#N/A,#N/A,FALSE,"FY01"}</definedName>
    <definedName name="dfg" localSheetId="1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dfg" localSheetId="7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dfg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dfgdfg" localSheetId="1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" localSheetId="7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dfg" localSheetId="15" hidden="1">{#N/A,#N/A,FALSE,"Assump";#N/A,#N/A,FALSE,"Income";#N/A,#N/A,FALSE,"Balance";#N/A,#N/A,FALSE,"DCF Pump";#N/A,#N/A,FALSE,"Trans Assump";#N/A,#N/A,FALSE,"Combined Income";#N/A,#N/A,FALSE,"Combined Balance"}</definedName>
    <definedName name="dfgdfgdfg" localSheetId="7" hidden="1">{#N/A,#N/A,FALSE,"Assump";#N/A,#N/A,FALSE,"Income";#N/A,#N/A,FALSE,"Balance";#N/A,#N/A,FALSE,"DCF Pump";#N/A,#N/A,FALSE,"Trans Assump";#N/A,#N/A,FALSE,"Combined Income";#N/A,#N/A,FALSE,"Combined Balance"}</definedName>
    <definedName name="dfgdfgdfg" hidden="1">{#N/A,#N/A,FALSE,"Assump";#N/A,#N/A,FALSE,"Income";#N/A,#N/A,FALSE,"Balance";#N/A,#N/A,FALSE,"DCF Pump";#N/A,#N/A,FALSE,"Trans Assump";#N/A,#N/A,FALSE,"Combined Income";#N/A,#N/A,FALSE,"Combined Balance"}</definedName>
    <definedName name="DimList">[17]Setup!$A$6:$C$18</definedName>
    <definedName name="DimSelected">[17]Setup!$A$21</definedName>
    <definedName name="DocMgmt">[13]!Table3[[#All],[Column1]]</definedName>
    <definedName name="DropDownList">" =$w$24:INDEX($2$24:$w$2272,MAX($v$24:$v$2272),1)"</definedName>
    <definedName name="dwcwc" localSheetId="15" hidden="1">{#N/A,#N/A,FALSE,"Assump";#N/A,#N/A,FALSE,"Income";#N/A,#N/A,FALSE,"Balance";#N/A,#N/A,FALSE,"DCF Pump";#N/A,#N/A,FALSE,"Trans Assump";#N/A,#N/A,FALSE,"Combined Income";#N/A,#N/A,FALSE,"Combined Balance"}</definedName>
    <definedName name="dwcwc" localSheetId="7" hidden="1">{#N/A,#N/A,FALSE,"Assump";#N/A,#N/A,FALSE,"Income";#N/A,#N/A,FALSE,"Balance";#N/A,#N/A,FALSE,"DCF Pump";#N/A,#N/A,FALSE,"Trans Assump";#N/A,#N/A,FALSE,"Combined Income";#N/A,#N/A,FALSE,"Combined Balance"}</definedName>
    <definedName name="dwcwc" hidden="1">{#N/A,#N/A,FALSE,"Assump";#N/A,#N/A,FALSE,"Income";#N/A,#N/A,FALSE,"Balance";#N/A,#N/A,FALSE,"DCF Pump";#N/A,#N/A,FALSE,"Trans Assump";#N/A,#N/A,FALSE,"Combined Income";#N/A,#N/A,FALSE,"Combined Balance"}</definedName>
    <definedName name="e" localSheetId="15">{"'Hardware Req.'!$A$1:$C$23"}</definedName>
    <definedName name="e" localSheetId="7">{"'Hardware Req.'!$A$1:$C$23"}</definedName>
    <definedName name="e">{"'Hardware Req.'!$A$1:$C$23"}</definedName>
    <definedName name="ed" localSheetId="15" hidden="1">{#N/A,#N/A,FALSE,"Full Year";#N/A,#N/A,FALSE,"Current Month";#N/A,#N/A,FALSE,"YTD";#N/A,#N/A,FALSE,"Remainder";#N/A,#N/A,FALSE,"Full Year Variance";#N/A,#N/A,FALSE,"Quarterly Variance"}</definedName>
    <definedName name="ed" localSheetId="7" hidden="1">{#N/A,#N/A,FALSE,"Full Year";#N/A,#N/A,FALSE,"Current Month";#N/A,#N/A,FALSE,"YTD";#N/A,#N/A,FALSE,"Remainder";#N/A,#N/A,FALSE,"Full Year Variance";#N/A,#N/A,FALSE,"Quarterly Variance"}</definedName>
    <definedName name="ed" hidden="1">{#N/A,#N/A,FALSE,"Full Year";#N/A,#N/A,FALSE,"Current Month";#N/A,#N/A,FALSE,"YTD";#N/A,#N/A,FALSE,"Remainder";#N/A,#N/A,FALSE,"Full Year Variance";#N/A,#N/A,FALSE,"Quarterly Variance"}</definedName>
    <definedName name="EE" hidden="1">#REF!</definedName>
    <definedName name="EEE" hidden="1">#REF!</definedName>
    <definedName name="EEEE" hidden="1">#REF!</definedName>
    <definedName name="eerrr" localSheetId="15" hidden="1">{#N/A,#N/A,FALSE,"Full Year";#N/A,#N/A,FALSE,"Current Month";#N/A,#N/A,FALSE,"Remainder";#N/A,#N/A,FALSE,"Quarterly Variance";#N/A,#N/A,FALSE,"YTD";#N/A,#N/A,FALSE,"Full Year Variance";#N/A,#N/A,FALSE,"Growth";#N/A,#N/A,FALSE,"Risk Adj Summary";#N/A,#N/A,FALSE,"Selling";#N/A,#N/A,FALSE,"Setup";#N/A,#N/A,FALSE,"CM Comp"}</definedName>
    <definedName name="eerrr" localSheetId="7" hidden="1">{#N/A,#N/A,FALSE,"Full Year";#N/A,#N/A,FALSE,"Current Month";#N/A,#N/A,FALSE,"Remainder";#N/A,#N/A,FALSE,"Quarterly Variance";#N/A,#N/A,FALSE,"YTD";#N/A,#N/A,FALSE,"Full Year Variance";#N/A,#N/A,FALSE,"Growth";#N/A,#N/A,FALSE,"Risk Adj Summary";#N/A,#N/A,FALSE,"Selling";#N/A,#N/A,FALSE,"Setup";#N/A,#N/A,FALSE,"CM Comp"}</definedName>
    <definedName name="eerrr" hidden="1">{#N/A,#N/A,FALSE,"Full Year";#N/A,#N/A,FALSE,"Current Month";#N/A,#N/A,FALSE,"Remainder";#N/A,#N/A,FALSE,"Quarterly Variance";#N/A,#N/A,FALSE,"YTD";#N/A,#N/A,FALSE,"Full Year Variance";#N/A,#N/A,FALSE,"Growth";#N/A,#N/A,FALSE,"Risk Adj Summary";#N/A,#N/A,FALSE,"Selling";#N/A,#N/A,FALSE,"Setup";#N/A,#N/A,FALSE,"CM Comp"}</definedName>
    <definedName name="Eggs" localSheetId="15" hidden="1">{#N/A,#N/A,TRUE,"New Summary";#N/A,#N/A,TRUE,"New Top Item";#N/A,#N/A,TRUE,"Review Sheet";#N/A,#N/A,TRUE,"TOP SUMMARY";#N/A,#N/A,TRUE,"YTD-YTG";#N/A,#N/A,TRUE,"Total Impact";#N/A,#N/A,TRUE,"Total Impact Overview";#N/A,#N/A,TRUE,"Total Impact F&amp;B";#N/A,#N/A,TRUE,"Total Impact FoodService";#N/A,#N/A,TRUE,"Hedged Commodity";#N/A,#N/A,TRUE,"KC Wheat";#N/A,#N/A,TRUE,"MPLS Wheat";#N/A,#N/A,TRUE,"CGO Wheat";#N/A,#N/A,TRUE,"Soy Oil Comm";#N/A,#N/A,TRUE,"Corn Comm";#N/A,#N/A,TRUE,"Alum Comm";#N/A,#N/A,TRUE,"Natural Gas Hedged Commodity";#N/A,#N/A,TRUE,"Diesel Hedged Commodity";#N/A,#N/A,TRUE,"Packaging Summary";#N/A,#N/A,TRUE,"Bakery Bags";#N/A,#N/A,TRUE,"Fold Cart";#N/A,#N/A,TRUE,"Corrugated";#N/A,#N/A,TRUE,"Comp Cans";#N/A,#N/A,TRUE,"Aluminum";#N/A,#N/A,TRUE,"Rid Plastic";#N/A,#N/A,TRUE,"Misc Flex";#N/A,#N/A,TRUE,"Misc Pack";#N/A,#N/A,TRUE,"Dough Labels";#N/A,#N/A,TRUE,"LE &amp; Committed &amp; CS";#N/A,#N/A,TRUE,"Combined Rolling";#N/A,#N/A,TRUE,"Rolling LE";#N/A,#N/A,TRUE,"F&amp;B LE";#N/A,#N/A,TRUE,"FS LE";#N/A,#N/A,TRUE,"Rolling Commited";#N/A,#N/A,TRUE,"F&amp;B Commited";#N/A,#N/A,TRUE,"FS Commited";#N/A,#N/A,TRUE,"Rebate Schedule";#N/A,#N/A,TRUE,"Contract Log"}</definedName>
    <definedName name="Eggs" localSheetId="7" hidden="1">{#N/A,#N/A,TRUE,"New Summary";#N/A,#N/A,TRUE,"New Top Item";#N/A,#N/A,TRUE,"Review Sheet";#N/A,#N/A,TRUE,"TOP SUMMARY";#N/A,#N/A,TRUE,"YTD-YTG";#N/A,#N/A,TRUE,"Total Impact";#N/A,#N/A,TRUE,"Total Impact Overview";#N/A,#N/A,TRUE,"Total Impact F&amp;B";#N/A,#N/A,TRUE,"Total Impact FoodService";#N/A,#N/A,TRUE,"Hedged Commodity";#N/A,#N/A,TRUE,"KC Wheat";#N/A,#N/A,TRUE,"MPLS Wheat";#N/A,#N/A,TRUE,"CGO Wheat";#N/A,#N/A,TRUE,"Soy Oil Comm";#N/A,#N/A,TRUE,"Corn Comm";#N/A,#N/A,TRUE,"Alum Comm";#N/A,#N/A,TRUE,"Natural Gas Hedged Commodity";#N/A,#N/A,TRUE,"Diesel Hedged Commodity";#N/A,#N/A,TRUE,"Packaging Summary";#N/A,#N/A,TRUE,"Bakery Bags";#N/A,#N/A,TRUE,"Fold Cart";#N/A,#N/A,TRUE,"Corrugated";#N/A,#N/A,TRUE,"Comp Cans";#N/A,#N/A,TRUE,"Aluminum";#N/A,#N/A,TRUE,"Rid Plastic";#N/A,#N/A,TRUE,"Misc Flex";#N/A,#N/A,TRUE,"Misc Pack";#N/A,#N/A,TRUE,"Dough Labels";#N/A,#N/A,TRUE,"LE &amp; Committed &amp; CS";#N/A,#N/A,TRUE,"Combined Rolling";#N/A,#N/A,TRUE,"Rolling LE";#N/A,#N/A,TRUE,"F&amp;B LE";#N/A,#N/A,TRUE,"FS LE";#N/A,#N/A,TRUE,"Rolling Commited";#N/A,#N/A,TRUE,"F&amp;B Commited";#N/A,#N/A,TRUE,"FS Commited";#N/A,#N/A,TRUE,"Rebate Schedule";#N/A,#N/A,TRUE,"Contract Log"}</definedName>
    <definedName name="Eggs" hidden="1">{#N/A,#N/A,TRUE,"New Summary";#N/A,#N/A,TRUE,"New Top Item";#N/A,#N/A,TRUE,"Review Sheet";#N/A,#N/A,TRUE,"TOP SUMMARY";#N/A,#N/A,TRUE,"YTD-YTG";#N/A,#N/A,TRUE,"Total Impact";#N/A,#N/A,TRUE,"Total Impact Overview";#N/A,#N/A,TRUE,"Total Impact F&amp;B";#N/A,#N/A,TRUE,"Total Impact FoodService";#N/A,#N/A,TRUE,"Hedged Commodity";#N/A,#N/A,TRUE,"KC Wheat";#N/A,#N/A,TRUE,"MPLS Wheat";#N/A,#N/A,TRUE,"CGO Wheat";#N/A,#N/A,TRUE,"Soy Oil Comm";#N/A,#N/A,TRUE,"Corn Comm";#N/A,#N/A,TRUE,"Alum Comm";#N/A,#N/A,TRUE,"Natural Gas Hedged Commodity";#N/A,#N/A,TRUE,"Diesel Hedged Commodity";#N/A,#N/A,TRUE,"Packaging Summary";#N/A,#N/A,TRUE,"Bakery Bags";#N/A,#N/A,TRUE,"Fold Cart";#N/A,#N/A,TRUE,"Corrugated";#N/A,#N/A,TRUE,"Comp Cans";#N/A,#N/A,TRUE,"Aluminum";#N/A,#N/A,TRUE,"Rid Plastic";#N/A,#N/A,TRUE,"Misc Flex";#N/A,#N/A,TRUE,"Misc Pack";#N/A,#N/A,TRUE,"Dough Labels";#N/A,#N/A,TRUE,"LE &amp; Committed &amp; CS";#N/A,#N/A,TRUE,"Combined Rolling";#N/A,#N/A,TRUE,"Rolling LE";#N/A,#N/A,TRUE,"F&amp;B LE";#N/A,#N/A,TRUE,"FS LE";#N/A,#N/A,TRUE,"Rolling Commited";#N/A,#N/A,TRUE,"F&amp;B Commited";#N/A,#N/A,TRUE,"FS Commited";#N/A,#N/A,TRUE,"Rebate Schedule";#N/A,#N/A,TRUE,"Contract Log"}</definedName>
    <definedName name="EggsComm" localSheetId="15" hidden="1">{#N/A,#N/A,FALSE,"Nat Gas Chart";#N/A,#N/A,FALSE,"Diesel Chart";#N/A,#N/A,FALSE,"KC Wheat Chart";#N/A,#N/A,FALSE,"KC Midds Chart";#N/A,#N/A,FALSE,"KC Basis Chart";#N/A,#N/A,FALSE,"Minn Wheat Chart";#N/A,#N/A,FALSE,"Minn Midds Chart";#N/A,#N/A,FALSE,"Minn Basis Chart ";#N/A,#N/A,FALSE,"Chicago Wheat Chart";#N/A,#N/A,FALSE,"Chicago Midds Chart";#N/A,#N/A,FALSE,"Chicago Basis Chart";#N/A,#N/A,FALSE,"Soy Oil Chart";#N/A,#N/A,FALSE,"Soy Basis Chart";#N/A,#N/A,FALSE,"Corn Chart";#N/A,#N/A,FALSE,"Co-Products Chart";#N/A,#N/A,FALSE,"Alum Chart";#N/A,#N/A,FALSE,"MWP Chart"}</definedName>
    <definedName name="EggsComm" localSheetId="7" hidden="1">{#N/A,#N/A,FALSE,"Nat Gas Chart";#N/A,#N/A,FALSE,"Diesel Chart";#N/A,#N/A,FALSE,"KC Wheat Chart";#N/A,#N/A,FALSE,"KC Midds Chart";#N/A,#N/A,FALSE,"KC Basis Chart";#N/A,#N/A,FALSE,"Minn Wheat Chart";#N/A,#N/A,FALSE,"Minn Midds Chart";#N/A,#N/A,FALSE,"Minn Basis Chart ";#N/A,#N/A,FALSE,"Chicago Wheat Chart";#N/A,#N/A,FALSE,"Chicago Midds Chart";#N/A,#N/A,FALSE,"Chicago Basis Chart";#N/A,#N/A,FALSE,"Soy Oil Chart";#N/A,#N/A,FALSE,"Soy Basis Chart";#N/A,#N/A,FALSE,"Corn Chart";#N/A,#N/A,FALSE,"Co-Products Chart";#N/A,#N/A,FALSE,"Alum Chart";#N/A,#N/A,FALSE,"MWP Chart"}</definedName>
    <definedName name="EggsComm" hidden="1">{#N/A,#N/A,FALSE,"Nat Gas Chart";#N/A,#N/A,FALSE,"Diesel Chart";#N/A,#N/A,FALSE,"KC Wheat Chart";#N/A,#N/A,FALSE,"KC Midds Chart";#N/A,#N/A,FALSE,"KC Basis Chart";#N/A,#N/A,FALSE,"Minn Wheat Chart";#N/A,#N/A,FALSE,"Minn Midds Chart";#N/A,#N/A,FALSE,"Minn Basis Chart ";#N/A,#N/A,FALSE,"Chicago Wheat Chart";#N/A,#N/A,FALSE,"Chicago Midds Chart";#N/A,#N/A,FALSE,"Chicago Basis Chart";#N/A,#N/A,FALSE,"Soy Oil Chart";#N/A,#N/A,FALSE,"Soy Basis Chart";#N/A,#N/A,FALSE,"Corn Chart";#N/A,#N/A,FALSE,"Co-Products Chart";#N/A,#N/A,FALSE,"Alum Chart";#N/A,#N/A,FALSE,"MWP Chart"}</definedName>
    <definedName name="EPMWorkbookOptions_1">"SAEAAB|LCAAAAAAABADsvQdgHEmWJSYvbcp7f0r1StfgdKEIgGATJNiQQBDswYjN5pLsHWlHIymrKoHKZVZlXWYWQMztnbz33nvvvffee||997o7nU4n99//P1xmZAFs9s5K2smeIYCqyB8/fnwfPyIe/x7vFmV6mddNUS0/|2h3vPNRmi|n1axYXnz20bo939799KPf4|g3Th5/t6rfTqrq7Zerlpo2Kb23bB69a4rPPpq37erR3btXV1fjq3v"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>"jqr64u7ezs3v39/7i|evpPF9k28WyabPlNP/IvjW7|a2PqNc0ffwqP6/zZv7l8stVvjw6z8omf3w3/JDbnZR5Vj/N2uzL5evsMjctux9zWzOWl3XV5tM2n5nW/S/C9lez9C6IYRsqNY7|nwAAAP//Sn4wTEgBAAA="</definedName>
    <definedName name="ERE" localSheetId="15" hidden="1">{#N/A,#N/A,FALSE,"Full Year";#N/A,#N/A,FALSE,"Current Month";#N/A,#N/A,FALSE,"YTD";#N/A,#N/A,FALSE,"Remainder";#N/A,#N/A,FALSE,"Full Year Variance";#N/A,#N/A,FALSE,"Quarterly Variance"}</definedName>
    <definedName name="ERE" localSheetId="7" hidden="1">{#N/A,#N/A,FALSE,"Full Year";#N/A,#N/A,FALSE,"Current Month";#N/A,#N/A,FALSE,"YTD";#N/A,#N/A,FALSE,"Remainder";#N/A,#N/A,FALSE,"Full Year Variance";#N/A,#N/A,FALSE,"Quarterly Variance"}</definedName>
    <definedName name="ERE" hidden="1">{#N/A,#N/A,FALSE,"Full Year";#N/A,#N/A,FALSE,"Current Month";#N/A,#N/A,FALSE,"YTD";#N/A,#N/A,FALSE,"Remainder";#N/A,#N/A,FALSE,"Full Year Variance";#N/A,#N/A,FALSE,"Quarterly Variance"}</definedName>
    <definedName name="ert" localSheetId="15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ert" localSheetId="7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ert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EV__LASTREFTIME__">38618.5925694444</definedName>
    <definedName name="excel" localSheetId="15" hidden="1">{"cash flow - FY00",#N/A,FALSE,"P &amp; L";"cash flow - FY01",#N/A,FALSE,"P &amp; L"}</definedName>
    <definedName name="excel" localSheetId="7" hidden="1">{"cash flow - FY00",#N/A,FALSE,"P &amp; L";"cash flow - FY01",#N/A,FALSE,"P &amp; L"}</definedName>
    <definedName name="excel" hidden="1">{"cash flow - FY00",#N/A,FALSE,"P &amp; L";"cash flow - FY01",#N/A,FALSE,"P &amp; L"}</definedName>
    <definedName name="fasderqwrqwer" localSheetId="15">{"'Hardware Req.'!$A$1:$C$23"}</definedName>
    <definedName name="fasderqwrqwer" localSheetId="7">{"'Hardware Req.'!$A$1:$C$23"}</definedName>
    <definedName name="fasderqwrqwer">{"'Hardware Req.'!$A$1:$C$23"}</definedName>
    <definedName name="fdg" localSheetId="15" hidden="1">{"Assumptions",#N/A,TRUE,"Assumptions";"Income",#N/A,TRUE,"Income";"Balance",#N/A,TRUE,"Balance"}</definedName>
    <definedName name="fdg" localSheetId="7" hidden="1">{"Assumptions",#N/A,TRUE,"Assumptions";"Income",#N/A,TRUE,"Income";"Balance",#N/A,TRUE,"Balance"}</definedName>
    <definedName name="fdg" hidden="1">{"Assumptions",#N/A,TRUE,"Assumptions";"Income",#N/A,TRUE,"Income";"Balance",#N/A,TRUE,"Balance"}</definedName>
    <definedName name="fff" hidden="1">#REF!</definedName>
    <definedName name="fg" localSheetId="15" hidden="1">{#N/A,#N/A,FALSE,"Pooling";#N/A,#N/A,FALSE,"income";#N/A,#N/A,FALSE,"valuation"}</definedName>
    <definedName name="fg" localSheetId="7" hidden="1">{#N/A,#N/A,FALSE,"Pooling";#N/A,#N/A,FALSE,"income";#N/A,#N/A,FALSE,"valuation"}</definedName>
    <definedName name="fg" hidden="1">{#N/A,#N/A,FALSE,"Pooling";#N/A,#N/A,FALSE,"income";#N/A,#N/A,FALSE,"valuation"}</definedName>
    <definedName name="fgggggggg" localSheetId="15" hidden="1">{#N/A,#N/A,FALSE,"TOTAL";#N/A,#N/A,FALSE,"BURGER KING";#N/A,#N/A,FALSE,"MARRIOTT";#N/A,#N/A,FALSE,"DISNEY";#N/A,#N/A,FALSE,"DISTRIBUTORS";#N/A,#N/A,FALSE,"FORMULA"}</definedName>
    <definedName name="fgggggggg" localSheetId="7" hidden="1">{#N/A,#N/A,FALSE,"TOTAL";#N/A,#N/A,FALSE,"BURGER KING";#N/A,#N/A,FALSE,"MARRIOTT";#N/A,#N/A,FALSE,"DISNEY";#N/A,#N/A,FALSE,"DISTRIBUTORS";#N/A,#N/A,FALSE,"FORMULA"}</definedName>
    <definedName name="fgggggggg" hidden="1">{#N/A,#N/A,FALSE,"TOTAL";#N/A,#N/A,FALSE,"BURGER KING";#N/A,#N/A,FALSE,"MARRIOTT";#N/A,#N/A,FALSE,"DISNEY";#N/A,#N/A,FALSE,"DISTRIBUTORS";#N/A,#N/A,FALSE,"FORMULA"}</definedName>
    <definedName name="find" localSheetId="15" hidden="1">{#N/A,#N/A,FALSE,"Full Year";#N/A,#N/A,FALSE,"Current Month";#N/A,#N/A,FALSE,"Remainder";#N/A,#N/A,FALSE,"Quarterly Variance";#N/A,#N/A,FALSE,"YTD";#N/A,#N/A,FALSE,"Full Year Variance";#N/A,#N/A,FALSE,"Growth";#N/A,#N/A,FALSE,"Risk Adj Summary";#N/A,#N/A,FALSE,"Selling";#N/A,#N/A,FALSE,"Setup";#N/A,#N/A,FALSE,"CM Comp"}</definedName>
    <definedName name="find" localSheetId="7" hidden="1">{#N/A,#N/A,FALSE,"Full Year";#N/A,#N/A,FALSE,"Current Month";#N/A,#N/A,FALSE,"Remainder";#N/A,#N/A,FALSE,"Quarterly Variance";#N/A,#N/A,FALSE,"YTD";#N/A,#N/A,FALSE,"Full Year Variance";#N/A,#N/A,FALSE,"Growth";#N/A,#N/A,FALSE,"Risk Adj Summary";#N/A,#N/A,FALSE,"Selling";#N/A,#N/A,FALSE,"Setup";#N/A,#N/A,FALSE,"CM Comp"}</definedName>
    <definedName name="find" hidden="1">{#N/A,#N/A,FALSE,"Full Year";#N/A,#N/A,FALSE,"Current Month";#N/A,#N/A,FALSE,"Remainder";#N/A,#N/A,FALSE,"Quarterly Variance";#N/A,#N/A,FALSE,"YTD";#N/A,#N/A,FALSE,"Full Year Variance";#N/A,#N/A,FALSE,"Growth";#N/A,#N/A,FALSE,"Risk Adj Summary";#N/A,#N/A,FALSE,"Selling";#N/A,#N/A,FALSE,"Setup";#N/A,#N/A,FALSE,"CM Comp"}</definedName>
    <definedName name="FIND2" localSheetId="15" hidden="1">{#N/A,#N/A,FALSE,"Full Year";#N/A,#N/A,FALSE,"Current Month";#N/A,#N/A,FALSE,"Remainder";#N/A,#N/A,FALSE,"Quarterly Variance";#N/A,#N/A,FALSE,"YTD";#N/A,#N/A,FALSE,"Full Year Variance";#N/A,#N/A,FALSE,"Growth";#N/A,#N/A,FALSE,"Risk Adj Summary";#N/A,#N/A,FALSE,"Selling";#N/A,#N/A,FALSE,"Setup";#N/A,#N/A,FALSE,"CM Comp"}</definedName>
    <definedName name="FIND2" localSheetId="7" hidden="1">{#N/A,#N/A,FALSE,"Full Year";#N/A,#N/A,FALSE,"Current Month";#N/A,#N/A,FALSE,"Remainder";#N/A,#N/A,FALSE,"Quarterly Variance";#N/A,#N/A,FALSE,"YTD";#N/A,#N/A,FALSE,"Full Year Variance";#N/A,#N/A,FALSE,"Growth";#N/A,#N/A,FALSE,"Risk Adj Summary";#N/A,#N/A,FALSE,"Selling";#N/A,#N/A,FALSE,"Setup";#N/A,#N/A,FALSE,"CM Comp"}</definedName>
    <definedName name="FIND2" hidden="1">{#N/A,#N/A,FALSE,"Full Year";#N/A,#N/A,FALSE,"Current Month";#N/A,#N/A,FALSE,"Remainder";#N/A,#N/A,FALSE,"Quarterly Variance";#N/A,#N/A,FALSE,"YTD";#N/A,#N/A,FALSE,"Full Year Variance";#N/A,#N/A,FALSE,"Growth";#N/A,#N/A,FALSE,"Risk Adj Summary";#N/A,#N/A,FALSE,"Selling";#N/A,#N/A,FALSE,"Setup";#N/A,#N/A,FALSE,"CM Comp"}</definedName>
    <definedName name="folkert" localSheetId="15" hidden="1">{"totrevbx",#N/A,FALSE,"Paris Rev";"totrevbxparis",#N/A,FALSE,"Total Rev";"totprocrevben",#N/A,FALSE,"Tot Proc Rev";"totloss",#N/A,FALSE,"HL";"ISSummary",#N/A,FALSE,"Tot Proc Rev";"TotClientnum",#N/A,FALSE,"HL";"otherinc",#N/A,FALSE,"Other Inc";"totprocsched",#N/A,FALSE,"HL";"inputtotsal",#N/A,FALSE,"HL";"salesinputcap",#N/A,FALSE,"HL";"saleswoyrendtotben",#N/A,FALSE,"HL";"totprocsched",#N/A,FALSE,"HL";"TotClientnum",#N/A,FALSE,"HL";"otherinc",#N/A,FALSE,"HL";"totprocsched",#N/A,FALSE,"HL";"startcap",#N/A,FALSE,"HL";"starttotben",#N/A,FALSE,"HL"}</definedName>
    <definedName name="folkert" localSheetId="7" hidden="1">{"totrevbx",#N/A,FALSE,"Paris Rev";"totrevbxparis",#N/A,FALSE,"Total Rev";"totprocrevben",#N/A,FALSE,"Tot Proc Rev";"totloss",#N/A,FALSE,"HL";"ISSummary",#N/A,FALSE,"Tot Proc Rev";"TotClientnum",#N/A,FALSE,"HL";"otherinc",#N/A,FALSE,"Other Inc";"totprocsched",#N/A,FALSE,"HL";"inputtotsal",#N/A,FALSE,"HL";"salesinputcap",#N/A,FALSE,"HL";"saleswoyrendtotben",#N/A,FALSE,"HL";"totprocsched",#N/A,FALSE,"HL";"TotClientnum",#N/A,FALSE,"HL";"otherinc",#N/A,FALSE,"HL";"totprocsched",#N/A,FALSE,"HL";"startcap",#N/A,FALSE,"HL";"starttotben",#N/A,FALSE,"HL"}</definedName>
    <definedName name="folkert" hidden="1">{"totrevbx",#N/A,FALSE,"Paris Rev";"totrevbxparis",#N/A,FALSE,"Total Rev";"totprocrevben",#N/A,FALSE,"Tot Proc Rev";"totloss",#N/A,FALSE,"HL";"ISSummary",#N/A,FALSE,"Tot Proc Rev";"TotClientnum",#N/A,FALSE,"HL";"otherinc",#N/A,FALSE,"Other Inc";"totprocsched",#N/A,FALSE,"HL";"inputtotsal",#N/A,FALSE,"HL";"salesinputcap",#N/A,FALSE,"HL";"saleswoyrendtotben",#N/A,FALSE,"HL";"totprocsched",#N/A,FALSE,"HL";"TotClientnum",#N/A,FALSE,"HL";"otherinc",#N/A,FALSE,"HL";"totprocsched",#N/A,FALSE,"HL";"startcap",#N/A,FALSE,"HL";"starttotben",#N/A,FALSE,"HL"}</definedName>
    <definedName name="folkert1" localSheetId="15" hidden="1">{"totrevbx",#N/A,FALSE,"Paris Rev";"totrevbxparis",#N/A,FALSE,"Total Rev";"totprocrevben",#N/A,FALSE,"Tot Proc Rev";"totloss",#N/A,FALSE,"HL";"ISSummary",#N/A,FALSE,"Tot Proc Rev";"TotClientnum",#N/A,FALSE,"HL";"otherinc",#N/A,FALSE,"Other Inc";"totprocsched",#N/A,FALSE,"HL";"inputtotsal",#N/A,FALSE,"HL";"salesinputcap",#N/A,FALSE,"HL";"saleswoyrendtotben",#N/A,FALSE,"HL";"totprocsched",#N/A,FALSE,"HL";"TotClientnum",#N/A,FALSE,"HL";"otherinc",#N/A,FALSE,"HL";"totprocsched",#N/A,FALSE,"HL";"startcap",#N/A,FALSE,"HL";"starttotben",#N/A,FALSE,"HL"}</definedName>
    <definedName name="folkert1" localSheetId="7" hidden="1">{"totrevbx",#N/A,FALSE,"Paris Rev";"totrevbxparis",#N/A,FALSE,"Total Rev";"totprocrevben",#N/A,FALSE,"Tot Proc Rev";"totloss",#N/A,FALSE,"HL";"ISSummary",#N/A,FALSE,"Tot Proc Rev";"TotClientnum",#N/A,FALSE,"HL";"otherinc",#N/A,FALSE,"Other Inc";"totprocsched",#N/A,FALSE,"HL";"inputtotsal",#N/A,FALSE,"HL";"salesinputcap",#N/A,FALSE,"HL";"saleswoyrendtotben",#N/A,FALSE,"HL";"totprocsched",#N/A,FALSE,"HL";"TotClientnum",#N/A,FALSE,"HL";"otherinc",#N/A,FALSE,"HL";"totprocsched",#N/A,FALSE,"HL";"startcap",#N/A,FALSE,"HL";"starttotben",#N/A,FALSE,"HL"}</definedName>
    <definedName name="folkert1" hidden="1">{"totrevbx",#N/A,FALSE,"Paris Rev";"totrevbxparis",#N/A,FALSE,"Total Rev";"totprocrevben",#N/A,FALSE,"Tot Proc Rev";"totloss",#N/A,FALSE,"HL";"ISSummary",#N/A,FALSE,"Tot Proc Rev";"TotClientnum",#N/A,FALSE,"HL";"otherinc",#N/A,FALSE,"Other Inc";"totprocsched",#N/A,FALSE,"HL";"inputtotsal",#N/A,FALSE,"HL";"salesinputcap",#N/A,FALSE,"HL";"saleswoyrendtotben",#N/A,FALSE,"HL";"totprocsched",#N/A,FALSE,"HL";"TotClientnum",#N/A,FALSE,"HL";"otherinc",#N/A,FALSE,"HL";"totprocsched",#N/A,FALSE,"HL";"startcap",#N/A,FALSE,"HL";"starttotben",#N/A,FALSE,"HL"}</definedName>
    <definedName name="folkert2" localSheetId="15" hidden="1">{"UtrTotRev",#N/A,FALSE,"Utrecht";"UtrTotProc",#N/A,FALSE,"Utrecht";"UtrProcPRHR",#N/A,FALSE,"Utrecht";"UtrProcTAMS",#N/A,FALSE,"Utrecht";"UtrProcNewTot",#N/A,FALSE,"Utrecht";"UtrSalesStarts",#N/A,FALSE,"Utrecht";"UtrLoss",#N/A,FALSE,"Utrecht";"UtrSUYrEnd",#N/A,FALSE,"Utrecht";"Utrclients",#N/A,FALSE,"Utrecht";"Utrinput",#N/A,FALSE,"Utrecht"}</definedName>
    <definedName name="folkert2" localSheetId="7" hidden="1">{"UtrTotRev",#N/A,FALSE,"Utrecht";"UtrTotProc",#N/A,FALSE,"Utrecht";"UtrProcPRHR",#N/A,FALSE,"Utrecht";"UtrProcTAMS",#N/A,FALSE,"Utrecht";"UtrProcNewTot",#N/A,FALSE,"Utrecht";"UtrSalesStarts",#N/A,FALSE,"Utrecht";"UtrLoss",#N/A,FALSE,"Utrecht";"UtrSUYrEnd",#N/A,FALSE,"Utrecht";"Utrclients",#N/A,FALSE,"Utrecht";"Utrinput",#N/A,FALSE,"Utrecht"}</definedName>
    <definedName name="folkert2" hidden="1">{"UtrTotRev",#N/A,FALSE,"Utrecht";"UtrTotProc",#N/A,FALSE,"Utrecht";"UtrProcPRHR",#N/A,FALSE,"Utrecht";"UtrProcTAMS",#N/A,FALSE,"Utrecht";"UtrProcNewTot",#N/A,FALSE,"Utrecht";"UtrSalesStarts",#N/A,FALSE,"Utrecht";"UtrLoss",#N/A,FALSE,"Utrecht";"UtrSUYrEnd",#N/A,FALSE,"Utrecht";"Utrclients",#N/A,FALSE,"Utrecht";"Utrinput",#N/A,FALSE,"Utrecht"}</definedName>
    <definedName name="fr" localSheetId="15" hidden="1">{"TBB3 Assns",#N/A,FALSE,"Valuation";"TBB3 assumptions",#N/A,FALSE,"Assumptions";"TBB3 model",#N/A,FALSE,"INCOME"}</definedName>
    <definedName name="fr" localSheetId="7" hidden="1">{"TBB3 Assns",#N/A,FALSE,"Valuation";"TBB3 assumptions",#N/A,FALSE,"Assumptions";"TBB3 model",#N/A,FALSE,"INCOME"}</definedName>
    <definedName name="fr" hidden="1">{"TBB3 Assns",#N/A,FALSE,"Valuation";"TBB3 assumptions",#N/A,FALSE,"Assumptions";"TBB3 model",#N/A,FALSE,"INCOME"}</definedName>
    <definedName name="fsdfs" localSheetId="15" hidden="1">{"HLTotRev",#N/A,FALSE,"HL";"HLProcRev",#N/A,FALSE,"HL";"HLProcPRHRTA",#N/A,FALSE,"HL";"HLProcMSNEWTot",#N/A,FALSE,"HL";"HLSalesStarts",#N/A,FALSE,"HL";"HLLoss",#N/A,FALSE,"HL";"HLSUYrend",#N/A,FALSE,"HL";"Clients",#N/A,FALSE,"HL";"InputSales",#N/A,FALSE,"HL"}</definedName>
    <definedName name="fsdfs" localSheetId="7" hidden="1">{"HLTotRev",#N/A,FALSE,"HL";"HLProcRev",#N/A,FALSE,"HL";"HLProcPRHRTA",#N/A,FALSE,"HL";"HLProcMSNEWTot",#N/A,FALSE,"HL";"HLSalesStarts",#N/A,FALSE,"HL";"HLLoss",#N/A,FALSE,"HL";"HLSUYrend",#N/A,FALSE,"HL";"Clients",#N/A,FALSE,"HL";"InputSales",#N/A,FALSE,"HL"}</definedName>
    <definedName name="fsdfs" hidden="1">{"HLTotRev",#N/A,FALSE,"HL";"HLProcRev",#N/A,FALSE,"HL";"HLProcPRHRTA",#N/A,FALSE,"HL";"HLProcMSNEWTot",#N/A,FALSE,"HL";"HLSalesStarts",#N/A,FALSE,"HL";"HLLoss",#N/A,FALSE,"HL";"HLSUYrend",#N/A,FALSE,"HL";"Clients",#N/A,FALSE,"HL";"InputSales",#N/A,FALSE,"HL"}</definedName>
    <definedName name="gdfs" localSheetId="15" hidden="1">{#N/A,#N/A,FALSE,"Projections";#N/A,#N/A,FALSE,"Multiples Valuation";#N/A,#N/A,FALSE,"LBO";#N/A,#N/A,FALSE,"Multiples_Sensitivity";#N/A,#N/A,FALSE,"Summary"}</definedName>
    <definedName name="gdfs" localSheetId="7" hidden="1">{#N/A,#N/A,FALSE,"Projections";#N/A,#N/A,FALSE,"Multiples Valuation";#N/A,#N/A,FALSE,"LBO";#N/A,#N/A,FALSE,"Multiples_Sensitivity";#N/A,#N/A,FALSE,"Summary"}</definedName>
    <definedName name="gdfs" hidden="1">{#N/A,#N/A,FALSE,"Projections";#N/A,#N/A,FALSE,"Multiples Valuation";#N/A,#N/A,FALSE,"LBO";#N/A,#N/A,FALSE,"Multiples_Sensitivity";#N/A,#N/A,FALSE,"Summary"}</definedName>
    <definedName name="gg" hidden="1">#REF!</definedName>
    <definedName name="ggg" hidden="1">#REF!</definedName>
    <definedName name="GlideChartMarker">"Chart!A1"</definedName>
    <definedName name="GlideDataMarker">"Data!A1"</definedName>
    <definedName name="GlideHiddenMarker">"Costcurvedata!A1"</definedName>
    <definedName name="GlideMaxCharts">7</definedName>
    <definedName name="help" localSheetId="15" hidden="1">{#N/A,#N/A,FALSE,"Summary";#N/A,#N/A,FALSE,"proj1";#N/A,#N/A,FALSE,"proj2";#N/A,#N/A,FALSE,"DCF"}</definedName>
    <definedName name="help" localSheetId="7" hidden="1">{#N/A,#N/A,FALSE,"Summary";#N/A,#N/A,FALSE,"proj1";#N/A,#N/A,FALSE,"proj2";#N/A,#N/A,FALSE,"DCF"}</definedName>
    <definedName name="help" hidden="1">{#N/A,#N/A,FALSE,"Summary";#N/A,#N/A,FALSE,"proj1";#N/A,#N/A,FALSE,"proj2";#N/A,#N/A,FALSE,"DCF"}</definedName>
    <definedName name="HFM_Company_Cnvrt">'[18]HFM-Retrieve-IS-Acct'!$E$258:$CC$258</definedName>
    <definedName name="HFM_GLAcct_Group">'[18]HFM-Retrieve-IS-Acct'!$B$13:$B$249</definedName>
    <definedName name="HFM_Retrieve_Data">'[18]HFM-Retrieve-IS-Acct'!$E$13:$CC$249</definedName>
    <definedName name="HH" hidden="1">#REF!</definedName>
    <definedName name="hhh" hidden="1">#REF!</definedName>
    <definedName name="hhhh" hidden="1">#REF!</definedName>
    <definedName name="hilde" localSheetId="15" hidden="1">{"totrevbx",#N/A,FALSE,"Paris Rev";"totrevbxparis",#N/A,FALSE,"Total Rev";"totprocrevben",#N/A,FALSE,"Tot Proc Rev";"totloss",#N/A,FALSE,"HL";"ISSummary",#N/A,FALSE,"Tot Proc Rev";"TotClientnum",#N/A,FALSE,"HL";"otherinc",#N/A,FALSE,"Other Inc";"totprocsched",#N/A,FALSE,"HL";"inputtotsal",#N/A,FALSE,"HL";"salesinputcap",#N/A,FALSE,"HL";"saleswoyrendtotben",#N/A,FALSE,"HL";"totprocsched",#N/A,FALSE,"HL";"TotClientnum",#N/A,FALSE,"HL";"otherinc",#N/A,FALSE,"HL";"totprocsched",#N/A,FALSE,"HL";"startcap",#N/A,FALSE,"HL";"starttotben",#N/A,FALSE,"HL"}</definedName>
    <definedName name="hilde" localSheetId="7" hidden="1">{"totrevbx",#N/A,FALSE,"Paris Rev";"totrevbxparis",#N/A,FALSE,"Total Rev";"totprocrevben",#N/A,FALSE,"Tot Proc Rev";"totloss",#N/A,FALSE,"HL";"ISSummary",#N/A,FALSE,"Tot Proc Rev";"TotClientnum",#N/A,FALSE,"HL";"otherinc",#N/A,FALSE,"Other Inc";"totprocsched",#N/A,FALSE,"HL";"inputtotsal",#N/A,FALSE,"HL";"salesinputcap",#N/A,FALSE,"HL";"saleswoyrendtotben",#N/A,FALSE,"HL";"totprocsched",#N/A,FALSE,"HL";"TotClientnum",#N/A,FALSE,"HL";"otherinc",#N/A,FALSE,"HL";"totprocsched",#N/A,FALSE,"HL";"startcap",#N/A,FALSE,"HL";"starttotben",#N/A,FALSE,"HL"}</definedName>
    <definedName name="hilde" hidden="1">{"totrevbx",#N/A,FALSE,"Paris Rev";"totrevbxparis",#N/A,FALSE,"Total Rev";"totprocrevben",#N/A,FALSE,"Tot Proc Rev";"totloss",#N/A,FALSE,"HL";"ISSummary",#N/A,FALSE,"Tot Proc Rev";"TotClientnum",#N/A,FALSE,"HL";"otherinc",#N/A,FALSE,"Other Inc";"totprocsched",#N/A,FALSE,"HL";"inputtotsal",#N/A,FALSE,"HL";"salesinputcap",#N/A,FALSE,"HL";"saleswoyrendtotben",#N/A,FALSE,"HL";"totprocsched",#N/A,FALSE,"HL";"TotClientnum",#N/A,FALSE,"HL";"otherinc",#N/A,FALSE,"HL";"totprocsched",#N/A,FALSE,"HL";"startcap",#N/A,FALSE,"HL";"starttotben",#N/A,FALSE,"HL"}</definedName>
    <definedName name="hilde2" localSheetId="15" hidden="1">{"UtrTotRev",#N/A,FALSE,"Utrecht";"UtrTotProc",#N/A,FALSE,"Utrecht";"UtrProcPRHR",#N/A,FALSE,"Utrecht";"UtrProcTAMS",#N/A,FALSE,"Utrecht";"UtrProcNewTot",#N/A,FALSE,"Utrecht";"UtrSalesStarts",#N/A,FALSE,"Utrecht";"UtrLoss",#N/A,FALSE,"Utrecht";"UtrSUYrEnd",#N/A,FALSE,"Utrecht";"Utrclients",#N/A,FALSE,"Utrecht";"Utrinput",#N/A,FALSE,"Utrecht"}</definedName>
    <definedName name="hilde2" localSheetId="7" hidden="1">{"UtrTotRev",#N/A,FALSE,"Utrecht";"UtrTotProc",#N/A,FALSE,"Utrecht";"UtrProcPRHR",#N/A,FALSE,"Utrecht";"UtrProcTAMS",#N/A,FALSE,"Utrecht";"UtrProcNewTot",#N/A,FALSE,"Utrecht";"UtrSalesStarts",#N/A,FALSE,"Utrecht";"UtrLoss",#N/A,FALSE,"Utrecht";"UtrSUYrEnd",#N/A,FALSE,"Utrecht";"Utrclients",#N/A,FALSE,"Utrecht";"Utrinput",#N/A,FALSE,"Utrecht"}</definedName>
    <definedName name="hilde2" hidden="1">{"UtrTotRev",#N/A,FALSE,"Utrecht";"UtrTotProc",#N/A,FALSE,"Utrecht";"UtrProcPRHR",#N/A,FALSE,"Utrecht";"UtrProcTAMS",#N/A,FALSE,"Utrecht";"UtrProcNewTot",#N/A,FALSE,"Utrecht";"UtrSalesStarts",#N/A,FALSE,"Utrecht";"UtrLoss",#N/A,FALSE,"Utrecht";"UtrSUYrEnd",#N/A,FALSE,"Utrecht";"Utrclients",#N/A,FALSE,"Utrecht";"Utrinput",#N/A,FALSE,"Utrecht"}</definedName>
    <definedName name="hjyny" localSheetId="15" hidden="1">{#N/A,#N/A,FALSE,"TSUM";#N/A,#N/A,FALSE,"shares";#N/A,#N/A,FALSE,"earnout";#N/A,#N/A,FALSE,"Heaty";#N/A,#N/A,FALSE,"self-tend";#N/A,#N/A,FALSE,"self-sum"}</definedName>
    <definedName name="hjyny" localSheetId="7" hidden="1">{#N/A,#N/A,FALSE,"TSUM";#N/A,#N/A,FALSE,"shares";#N/A,#N/A,FALSE,"earnout";#N/A,#N/A,FALSE,"Heaty";#N/A,#N/A,FALSE,"self-tend";#N/A,#N/A,FALSE,"self-sum"}</definedName>
    <definedName name="hjyny" hidden="1">{#N/A,#N/A,FALSE,"TSUM";#N/A,#N/A,FALSE,"shares";#N/A,#N/A,FALSE,"earnout";#N/A,#N/A,FALSE,"Heaty";#N/A,#N/A,FALSE,"self-tend";#N/A,#N/A,FALSE,"self-sum"}</definedName>
    <definedName name="hod" localSheetId="1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" localSheetId="7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localSheetId="15" hidden="1">{#N/A,#N/A,FALSE,"AD_Purchase";#N/A,#N/A,FALSE,"Credit";#N/A,#N/A,FALSE,"PF Acquisition";#N/A,#N/A,FALSE,"PF Offering"}</definedName>
    <definedName name="houy" localSheetId="7" hidden="1">{#N/A,#N/A,FALSE,"AD_Purchase";#N/A,#N/A,FALSE,"Credit";#N/A,#N/A,FALSE,"PF Acquisition";#N/A,#N/A,FALSE,"PF Offering"}</definedName>
    <definedName name="houy" hidden="1">{#N/A,#N/A,FALSE,"AD_Purchase";#N/A,#N/A,FALSE,"Credit";#N/A,#N/A,FALSE,"PF Acquisition";#N/A,#N/A,FALSE,"PF Offering"}</definedName>
    <definedName name="houy2" localSheetId="15" hidden="1">{#N/A,#N/A,FALSE,"AD_Purchase";#N/A,#N/A,FALSE,"Credit";#N/A,#N/A,FALSE,"PF Acquisition";#N/A,#N/A,FALSE,"PF Offering"}</definedName>
    <definedName name="houy2" localSheetId="7" hidden="1">{#N/A,#N/A,FALSE,"AD_Purchase";#N/A,#N/A,FALSE,"Credit";#N/A,#N/A,FALSE,"PF Acquisition";#N/A,#N/A,FALSE,"PF Offering"}</definedName>
    <definedName name="houy2" hidden="1">{#N/A,#N/A,FALSE,"AD_Purchase";#N/A,#N/A,FALSE,"Credit";#N/A,#N/A,FALSE,"PF Acquisition";#N/A,#N/A,FALSE,"PF Offering"}</definedName>
    <definedName name="HTML_CodePage">1252</definedName>
    <definedName name="HTML_Control" localSheetId="15">{"'Hardware Req.'!$A$1:$C$23"}</definedName>
    <definedName name="HTML_Control" localSheetId="7">{"'Hardware Req.'!$A$1:$C$23"}</definedName>
    <definedName name="HTML_Control">{"'Hardware Req.'!$A$1:$C$23"}</definedName>
    <definedName name="HTML_Description">""</definedName>
    <definedName name="HTML_Email">""</definedName>
    <definedName name="HTML_Header">"Hardware Req."</definedName>
    <definedName name="HTML_LastUpdate">"5/31/02"</definedName>
    <definedName name="HTML_LineAfter">FALSE</definedName>
    <definedName name="HTML_LineBefore">FALSE</definedName>
    <definedName name="HTML_Name">"Preferred Customer"</definedName>
    <definedName name="HTML_OBDlg2">TRUE</definedName>
    <definedName name="HTML_OBDlg4">TRUE</definedName>
    <definedName name="HTML_OS">0</definedName>
    <definedName name="HTML_PathFile">"a:\nitra-environment.html"</definedName>
    <definedName name="HTML_Title">"Nitra-Staging-Environment"</definedName>
    <definedName name="iffy" localSheetId="15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" localSheetId="7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jn" localSheetId="15" hidden="1">{#N/A,#N/A,FALSE,"AD_Purchase";#N/A,#N/A,FALSE,"Credit";#N/A,#N/A,FALSE,"PF Acquisition";#N/A,#N/A,FALSE,"PF Offering"}</definedName>
    <definedName name="ijn" localSheetId="7" hidden="1">{#N/A,#N/A,FALSE,"AD_Purchase";#N/A,#N/A,FALSE,"Credit";#N/A,#N/A,FALSE,"PF Acquisition";#N/A,#N/A,FALSE,"PF Offering"}</definedName>
    <definedName name="ijn" hidden="1">{#N/A,#N/A,FALSE,"AD_Purchase";#N/A,#N/A,FALSE,"Credit";#N/A,#N/A,FALSE,"PF Acquisition";#N/A,#N/A,FALSE,"PF Offering"}</definedName>
    <definedName name="Imagyn" localSheetId="15" hidden="1">{#N/A,#N/A,FALSE,"Projections";#N/A,#N/A,FALSE,"Multiples Valuation";#N/A,#N/A,FALSE,"LBO";#N/A,#N/A,FALSE,"Multiples_Sensitivity";#N/A,#N/A,FALSE,"Summary"}</definedName>
    <definedName name="Imagyn" localSheetId="7" hidden="1">{#N/A,#N/A,FALSE,"Projections";#N/A,#N/A,FALSE,"Multiples Valuation";#N/A,#N/A,FALSE,"LBO";#N/A,#N/A,FALSE,"Multiples_Sensitivity";#N/A,#N/A,FALSE,"Summary"}</definedName>
    <definedName name="Imagyn" hidden="1">{#N/A,#N/A,FALSE,"Projections";#N/A,#N/A,FALSE,"Multiples Valuation";#N/A,#N/A,FALSE,"LBO";#N/A,#N/A,FALSE,"Multiples_Sensitivity";#N/A,#N/A,FALSE,"Summary"}</definedName>
    <definedName name="IQ_ACCOUNT_CHANGE">"c1449"</definedName>
    <definedName name="IQ_ACCOUNTING_STANDARD">"c4539"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GROWTH">"c1924"</definedName>
    <definedName name="IQ_ACCT_RECV_1YR_ANN_GROWTH">"c1919"</definedName>
    <definedName name="IQ_ACCT_RECV_2YR_ANN_GROWTH">"c1920"</definedName>
    <definedName name="IQ_ACCT_RECV_3YR_ANN_GROWTH">"c1921"</definedName>
    <definedName name="IQ_ACCT_RECV_5YR_ANN_GROWTH">"c1922"</definedName>
    <definedName name="IQ_ACCT_RECV_7YR_ANN_GROWTH">"c1923"</definedName>
    <definedName name="IQ_ACCUM_DEP">"c1340"</definedName>
    <definedName name="IQ_ACCUMULATED_PENSION_OBLIGATION">"c2244"</definedName>
    <definedName name="IQ_ACCUMULATED_PENSION_OBLIGATION_DOMESTIC">"c2657"</definedName>
    <definedName name="IQ_ACCUMULATED_PENSION_OBLIGATION_FOREIGN">"c2665"</definedName>
    <definedName name="IQ_ACQ_COST_SUB">"c2125"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"c1344"</definedName>
    <definedName name="IQ_ADDIN">"AUTO"</definedName>
    <definedName name="IQ_ADJ_AVG_BANK_ASSETS">"c2671"</definedName>
    <definedName name="IQ_ADMIN_RATIO">"c2784"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H_EARNED">"c2744"</definedName>
    <definedName name="IQ_AH_POLICY_BENEFITS_EXP">"c2789"</definedName>
    <definedName name="IQ_AIR_AIRPLANES_NOT_IN_SERVICE">"c2842"</definedName>
    <definedName name="IQ_AIR_AIRPLANES_SUBLEASED">"c2841"</definedName>
    <definedName name="IQ_AIR_ASK">"c2813"</definedName>
    <definedName name="IQ_AIR_ASK_INCREASE">"c2826"</definedName>
    <definedName name="IQ_AIR_ASM">"c2812"</definedName>
    <definedName name="IQ_AIR_ASM_INCREASE">"c2825"</definedName>
    <definedName name="IQ_AIR_AVG_AGE">"c2843"</definedName>
    <definedName name="IQ_AIR_BREAK_EVEN_FACTOR">"c2822"</definedName>
    <definedName name="IQ_AIR_CAPITAL_LEASE">"c2833"</definedName>
    <definedName name="IQ_AIR_COMPLETION_FACTOR">"c2824"</definedName>
    <definedName name="IQ_AIR_ENPLANED_PSGRS">"c2809"</definedName>
    <definedName name="IQ_AIR_FUEL_CONSUMED">"c2806"</definedName>
    <definedName name="IQ_AIR_FUEL_CONSUMED_L">"c2807"</definedName>
    <definedName name="IQ_AIR_FUEL_COST">"c2803"</definedName>
    <definedName name="IQ_AIR_FUEL_COST_L">"c2804"</definedName>
    <definedName name="IQ_AIR_FUEL_EXP">"c2802"</definedName>
    <definedName name="IQ_AIR_FUEL_EXP_PERCENT">"c2805"</definedName>
    <definedName name="IQ_AIR_LEASED">"c2835"</definedName>
    <definedName name="IQ_AIR_LOAD_FACTOR">"c2823"</definedName>
    <definedName name="IQ_AIR_NEW_AIRPLANES">"c2839"</definedName>
    <definedName name="IQ_AIR_OPER_EXP_ASK">"c2821"</definedName>
    <definedName name="IQ_AIR_OPER_EXP_ASM">"c2820"</definedName>
    <definedName name="IQ_AIR_OPER_LEASE">"c2834"</definedName>
    <definedName name="IQ_AIR_OPER_REV_YIELD_ASK">"c2819"</definedName>
    <definedName name="IQ_AIR_OPER_REV_YIELD_ASM">"c2818"</definedName>
    <definedName name="IQ_AIR_OPTIONS">"c2837"</definedName>
    <definedName name="IQ_AIR_ORDERS">"c2836"</definedName>
    <definedName name="IQ_AIR_OWNED">"c2832"</definedName>
    <definedName name="IQ_AIR_PSGR_REV_YIELD_ASK">"c2817"</definedName>
    <definedName name="IQ_AIR_PSGR_REV_YIELD_ASM">"c2816"</definedName>
    <definedName name="IQ_AIR_PSGR_REV_YIELD_RPK">"c2815"</definedName>
    <definedName name="IQ_AIR_PSGR_REV_YIELD_RPM">"c2814"</definedName>
    <definedName name="IQ_AIR_PURCHASE_RIGHTS">"c2838"</definedName>
    <definedName name="IQ_AIR_RETIRED_AIRPLANES">"c2840"</definedName>
    <definedName name="IQ_AIR_REV_PSGRS_CARRIED">"c2808"</definedName>
    <definedName name="IQ_AIR_REV_SCHEDULED_SERVICE">"c2830"</definedName>
    <definedName name="IQ_AIR_RPK">"c2811"</definedName>
    <definedName name="IQ_AIR_RPM">"c2810"</definedName>
    <definedName name="IQ_AIR_STAGE_LENGTH">"c2828"</definedName>
    <definedName name="IQ_AIR_STAGE_LENGTH_KM">"c2829"</definedName>
    <definedName name="IQ_AIR_TOTAL">"c2831"</definedName>
    <definedName name="IQ_AIR_UTILIZATION">"c2827"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"c1591"</definedName>
    <definedName name="IQ_AMT_OUT">"c2145"</definedName>
    <definedName name="IQ_ANNU_DISTRIBUTION_UNIT">"c3004"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RPU">"c2126"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SSETS_CAP_LEASE_DEPR">"c2068"</definedName>
    <definedName name="IQ_ASSETS_CAP_LEASE_GROSS">"c2069"</definedName>
    <definedName name="IQ_ASSETS_OPER_LEASE_DEPR">"c2070"</definedName>
    <definedName name="IQ_ASSETS_OPER_LEASE_GROSS">"c2071"</definedName>
    <definedName name="IQ_ASSUMED_AH_EARNED">"c2741"</definedName>
    <definedName name="IQ_ASSUMED_EARNED">"c2731"</definedName>
    <definedName name="IQ_ASSUMED_LIFE_EARNED">"c2736"</definedName>
    <definedName name="IQ_ASSUMED_LIFE_IN_FORCE">"c2766"</definedName>
    <definedName name="IQ_ASSUMED_PC_EARNED">"c2746"</definedName>
    <definedName name="IQ_ASSUMED_WRITTEN">"c2725"</definedName>
    <definedName name="IQ_AUDITOR_NAME">"c1539"</definedName>
    <definedName name="IQ_AUDITOR_OPINION">"c1540"</definedName>
    <definedName name="IQ_AUTO_WRITTEN">"c62"</definedName>
    <definedName name="IQ_AVG_BANK_ASSETS">"c2072"</definedName>
    <definedName name="IQ_AVG_BANK_LOANS">"c2073"</definedName>
    <definedName name="IQ_AVG_BROKER_REC">"c63"</definedName>
    <definedName name="IQ_AVG_BROKER_REC_NO">"c64"</definedName>
    <definedName name="IQ_AVG_BROKER_REC_NO_REUT">"c5315"</definedName>
    <definedName name="IQ_AVG_BROKER_REC_REUT">"c3630"</definedName>
    <definedName name="IQ_AVG_DAILY_VOL">"c65"</definedName>
    <definedName name="IQ_AVG_INDUSTRY_REC">"c4455"</definedName>
    <definedName name="IQ_AVG_INDUSTRY_REC_NO">"c4454"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"c1346"</definedName>
    <definedName name="IQ_BANK_DEBT">"c2544"</definedName>
    <definedName name="IQ_BANK_DEBT_PCT">"c2545"</definedName>
    <definedName name="IQ_BASIC_EPS_EXCL">"c85"</definedName>
    <definedName name="IQ_BASIC_EPS_INCL">"c86"</definedName>
    <definedName name="IQ_BASIC_NORMAL_EPS">"c1592"</definedName>
    <definedName name="IQ_BASIC_OUTSTANDING_CURRENT_EST">"c4128"</definedName>
    <definedName name="IQ_BASIC_OUTSTANDING_CURRENT_HIGH_EST">"c4129"</definedName>
    <definedName name="IQ_BASIC_OUTSTANDING_CURRENT_LOW_EST">"c4130"</definedName>
    <definedName name="IQ_BASIC_OUTSTANDING_CURRENT_MEDIAN_EST">"c4131"</definedName>
    <definedName name="IQ_BASIC_OUTSTANDING_CURRENT_NUM_EST">"c4132"</definedName>
    <definedName name="IQ_BASIC_OUTSTANDING_CURRENT_STDDEV_EST">"c4133"</definedName>
    <definedName name="IQ_BASIC_OUTSTANDING_EST">"c4134"</definedName>
    <definedName name="IQ_BASIC_OUTSTANDING_HIGH_EST">"c4135"</definedName>
    <definedName name="IQ_BASIC_OUTSTANDING_LOW_EST">"c4136"</definedName>
    <definedName name="IQ_BASIC_OUTSTANDING_MEDIAN_EST">"c4137"</definedName>
    <definedName name="IQ_BASIC_OUTSTANDING_NUM_EST">"c4138"</definedName>
    <definedName name="IQ_BASIC_OUTSTANDING_STDDEV_EST">"c4139"</definedName>
    <definedName name="IQ_BASIC_WEIGHT">"c87"</definedName>
    <definedName name="IQ_BASIC_WEIGHT_EST">"c4140"</definedName>
    <definedName name="IQ_BASIC_WEIGHT_GUIDANCE">"c4141"</definedName>
    <definedName name="IQ_BASIC_WEIGHT_HIGH_EST">"c4142"</definedName>
    <definedName name="IQ_BASIC_WEIGHT_LOW_EST">"c4143"</definedName>
    <definedName name="IQ_BASIC_WEIGHT_MEDIAN_EST">"c4144"</definedName>
    <definedName name="IQ_BASIC_WEIGHT_NUM_EST">"c4145"</definedName>
    <definedName name="IQ_BASIC_WEIGHT_STDDEV_EST">"c4146"</definedName>
    <definedName name="IQ_BENCHMARK_SECURITY">"c2154"</definedName>
    <definedName name="IQ_BENCHMARK_SPRD">"c2153"</definedName>
    <definedName name="IQ_BETA">"c88"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TITLE">"c97"</definedName>
    <definedName name="IQ_BOND_COUPON">"c2183"</definedName>
    <definedName name="IQ_BOND_COUPON_TYPE">"c2184"</definedName>
    <definedName name="IQ_BOND_PRICE">"c2162"</definedName>
    <definedName name="IQ_BROK_COMISSION">"c98"</definedName>
    <definedName name="IQ_BROK_COMMISSION">"c3514"</definedName>
    <definedName name="IQ_BUILDINGS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REV">"c4068"</definedName>
    <definedName name="IQ_BUS_SEG_REV_ABS">"c4090"</definedName>
    <definedName name="IQ_BUS_SEG_REV_TOTAL">"c4106"</definedName>
    <definedName name="IQ_BUSINESS_DESCRIPTION">"c322"</definedName>
    <definedName name="IQ_BV_ACT_OR_EST_REUT">"c5471"</definedName>
    <definedName name="IQ_BV_EST_REUT">"c5403"</definedName>
    <definedName name="IQ_BV_HIGH_EST_REUT">"c5405"</definedName>
    <definedName name="IQ_BV_LOW_EST_REUT">"c5406"</definedName>
    <definedName name="IQ_BV_MEDIAN_EST_REUT">"c5404"</definedName>
    <definedName name="IQ_BV_NUM_EST_REUT">"c5407"</definedName>
    <definedName name="IQ_BV_OVER_SHARES">"c1349"</definedName>
    <definedName name="IQ_BV_SHARE">"c100"</definedName>
    <definedName name="IQ_BV_SHARE_ACT_OR_EST">"c3587"</definedName>
    <definedName name="IQ_BV_SHARE_ACT_OR_EST_REUT">"c5477"</definedName>
    <definedName name="IQ_BV_SHARE_EST">"c3541"</definedName>
    <definedName name="IQ_BV_SHARE_EST_REUT">"c5439"</definedName>
    <definedName name="IQ_BV_SHARE_HIGH_EST">"c3542"</definedName>
    <definedName name="IQ_BV_SHARE_HIGH_EST_REUT">"c5441"</definedName>
    <definedName name="IQ_BV_SHARE_LOW_EST">"c3543"</definedName>
    <definedName name="IQ_BV_SHARE_LOW_EST_REUT">"c5442"</definedName>
    <definedName name="IQ_BV_SHARE_MEDIAN_EST">"c3544"</definedName>
    <definedName name="IQ_BV_SHARE_MEDIAN_EST_REUT">"c5440"</definedName>
    <definedName name="IQ_BV_SHARE_NUM_EST">"c3539"</definedName>
    <definedName name="IQ_BV_SHARE_NUM_EST_REUT">"c5443"</definedName>
    <definedName name="IQ_BV_SHARE_STDDEV_EST">"c3540"</definedName>
    <definedName name="IQ_BV_SHARE_STDDEV_EST_REUT">"c5444"</definedName>
    <definedName name="IQ_BV_STDDEV_EST_REUT">"c5408"</definedName>
    <definedName name="IQ_CABLE_ARPU">"c2869"</definedName>
    <definedName name="IQ_CABLE_ARPU_ANALOG">"c2864"</definedName>
    <definedName name="IQ_CABLE_ARPU_BASIC">"c2866"</definedName>
    <definedName name="IQ_CABLE_ARPU_BBAND">"c2867"</definedName>
    <definedName name="IQ_CABLE_ARPU_DIG">"c2865"</definedName>
    <definedName name="IQ_CABLE_ARPU_PHONE">"c2868"</definedName>
    <definedName name="IQ_CABLE_BASIC_PENETRATION">"c2850"</definedName>
    <definedName name="IQ_CABLE_BBAND_PENETRATION">"c2852"</definedName>
    <definedName name="IQ_CABLE_BBAND_PENETRATION_THP">"c2851"</definedName>
    <definedName name="IQ_CABLE_CHURN">"c2874"</definedName>
    <definedName name="IQ_CABLE_CHURN_BASIC">"c2871"</definedName>
    <definedName name="IQ_CABLE_CHURN_BBAND">"c2872"</definedName>
    <definedName name="IQ_CABLE_CHURN_DIG">"c2870"</definedName>
    <definedName name="IQ_CABLE_CHURN_PHONE">"c2873"</definedName>
    <definedName name="IQ_CABLE_HOMES_PER_MILE">"c2849"</definedName>
    <definedName name="IQ_CABLE_HP_BBAND">"c2845"</definedName>
    <definedName name="IQ_CABLE_HP_DIG">"c2844"</definedName>
    <definedName name="IQ_CABLE_HP_PHONE">"c2846"</definedName>
    <definedName name="IQ_CABLE_MILES_PASSED">"c2848"</definedName>
    <definedName name="IQ_CABLE_OTHER_REV">"c2882"</definedName>
    <definedName name="IQ_CABLE_PHONE_PENETRATION">"c2853"</definedName>
    <definedName name="IQ_CABLE_PROGRAMMING_COSTS">"c2884"</definedName>
    <definedName name="IQ_CABLE_REV_ADVERT">"c2880"</definedName>
    <definedName name="IQ_CABLE_REV_ANALOG">"c2875"</definedName>
    <definedName name="IQ_CABLE_REV_BASIC">"c2877"</definedName>
    <definedName name="IQ_CABLE_REV_BBAND">"c2878"</definedName>
    <definedName name="IQ_CABLE_REV_COMMERCIAL">"c2881"</definedName>
    <definedName name="IQ_CABLE_REV_DIG">"c2876"</definedName>
    <definedName name="IQ_CABLE_REV_PHONE">"c2879"</definedName>
    <definedName name="IQ_CABLE_RGU">"c2863"</definedName>
    <definedName name="IQ_CABLE_SUBS_ANALOG">"c2855"</definedName>
    <definedName name="IQ_CABLE_SUBS_BASIC">"c2857"</definedName>
    <definedName name="IQ_CABLE_SUBS_BBAND">"c2858"</definedName>
    <definedName name="IQ_CABLE_SUBS_BUNDLED">"c2861"</definedName>
    <definedName name="IQ_CABLE_SUBS_DIG">"c2856"</definedName>
    <definedName name="IQ_CABLE_SUBS_NON_VIDEO">"c2860"</definedName>
    <definedName name="IQ_CABLE_SUBS_PHONE">"c2859"</definedName>
    <definedName name="IQ_CABLE_SUBS_TOTAL">"c2862"</definedName>
    <definedName name="IQ_CABLE_THP">"c2847"</definedName>
    <definedName name="IQ_CABLE_TOTAL_PENETRATION">"c2854"</definedName>
    <definedName name="IQ_CABLE_TOTAL_REV">"c2883"</definedName>
    <definedName name="IQ_CAL_Q">"c101"</definedName>
    <definedName name="IQ_CAL_Y">"c102"</definedName>
    <definedName name="IQ_CALC_TYPE_BS">"c3086"</definedName>
    <definedName name="IQ_CALC_TYPE_CF">"c3085"</definedName>
    <definedName name="IQ_CALC_TYPE_IS">"c3084"</definedName>
    <definedName name="IQ_CALL_DATE_SCHEDULE">"c2481"</definedName>
    <definedName name="IQ_CALL_FEATURE">"c2197"</definedName>
    <definedName name="IQ_CALL_PRICE_SCHEDULE">"c2482"</definedName>
    <definedName name="IQ_CALLABLE">"c2196"</definedName>
    <definedName name="IQ_CAP_LOSS_CF_1YR">"c3474"</definedName>
    <definedName name="IQ_CAP_LOSS_CF_2YR">"c3475"</definedName>
    <definedName name="IQ_CAP_LOSS_CF_3YR">"c3476"</definedName>
    <definedName name="IQ_CAP_LOSS_CF_4YR">"c3477"</definedName>
    <definedName name="IQ_CAP_LOSS_CF_5YR">"c3478"</definedName>
    <definedName name="IQ_CAP_LOSS_CF_AFTER_FIVE">"c3479"</definedName>
    <definedName name="IQ_CAP_LOSS_CF_MAX_YEAR">"c3482"</definedName>
    <definedName name="IQ_CAP_LOSS_CF_NO_EXP">"c3480"</definedName>
    <definedName name="IQ_CAP_LOSS_CF_TOTAL">"c3481"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ACT_OR_EST">"c3584"</definedName>
    <definedName name="IQ_CAPEX_ACT_OR_EST_REUT">"c5474"</definedName>
    <definedName name="IQ_CAPEX_BNK">"c110"</definedName>
    <definedName name="IQ_CAPEX_BR">"c111"</definedName>
    <definedName name="IQ_CAPEX_EST">"c3523"</definedName>
    <definedName name="IQ_CAPEX_EST_REUT">"c3969"</definedName>
    <definedName name="IQ_CAPEX_FIN">"c112"</definedName>
    <definedName name="IQ_CAPEX_GUIDANCE">"c4150"</definedName>
    <definedName name="IQ_CAPEX_HIGH_EST">"c3524"</definedName>
    <definedName name="IQ_CAPEX_HIGH_EST_REUT">"c3971"</definedName>
    <definedName name="IQ_CAPEX_HIGH_GUIDANCE">"c4180"</definedName>
    <definedName name="IQ_CAPEX_INS">"c113"</definedName>
    <definedName name="IQ_CAPEX_LOW_EST">"c3525"</definedName>
    <definedName name="IQ_CAPEX_LOW_EST_REUT">"c3972"</definedName>
    <definedName name="IQ_CAPEX_LOW_GUIDANCE">"c4220"</definedName>
    <definedName name="IQ_CAPEX_MEDIAN_EST">"c3526"</definedName>
    <definedName name="IQ_CAPEX_MEDIAN_EST_REUT">"c3970"</definedName>
    <definedName name="IQ_CAPEX_NUM_EST">"c3521"</definedName>
    <definedName name="IQ_CAPEX_NUM_EST_REUT">"c3973"</definedName>
    <definedName name="IQ_CAPEX_STDDEV_EST">"c3522"</definedName>
    <definedName name="IQ_CAPEX_STDDEV_EST_REUT">"c3974"</definedName>
    <definedName name="IQ_CAPEX_UTI">"c114"</definedName>
    <definedName name="IQ_CAPITAL_LEASE">"c1350"</definedName>
    <definedName name="IQ_CAPITAL_LEASES">"c115"</definedName>
    <definedName name="IQ_CAPITAL_LEASES_TOTAL">"c3031"</definedName>
    <definedName name="IQ_CAPITAL_LEASES_TOTAL_PCT">"c2506"</definedName>
    <definedName name="IQ_CAPITALIZED_INTEREST">"c2076"</definedName>
    <definedName name="IQ_CAPITALIZED_INTEREST_BOP">"c3459"</definedName>
    <definedName name="IQ_CAPITALIZED_INTEREST_EOP">"c3464"</definedName>
    <definedName name="IQ_CAPITALIZED_INTEREST_EXP">"c3461"</definedName>
    <definedName name="IQ_CAPITALIZED_INTEREST_OTHER_ADJ">"c3463"</definedName>
    <definedName name="IQ_CAPITALIZED_INTEREST_WRITE_OFF">"c3462"</definedName>
    <definedName name="IQ_CASH">"c1458"</definedName>
    <definedName name="IQ_CASH_ACQUIRE_CF">"c1630"</definedName>
    <definedName name="IQ_CASH_CONVERSION">"c117"</definedName>
    <definedName name="IQ_CASH_DUE_BANKS">"c1351"</definedName>
    <definedName name="IQ_CASH_EQUIV">"c118"</definedName>
    <definedName name="IQ_CASH_FINAN">"c119"</definedName>
    <definedName name="IQ_CASH_FLOW_ACT_OR_EST">"c4154"</definedName>
    <definedName name="IQ_CASH_FLOW_EST">"c4153"</definedName>
    <definedName name="IQ_CASH_FLOW_GUIDANCE">"c4155"</definedName>
    <definedName name="IQ_CASH_FLOW_HIGH_EST">"c4156"</definedName>
    <definedName name="IQ_CASH_FLOW_HIGH_GUIDANCE">"c4201"</definedName>
    <definedName name="IQ_CASH_FLOW_LOW_EST">"c4157"</definedName>
    <definedName name="IQ_CASH_FLOW_LOW_GUIDANCE">"c4241"</definedName>
    <definedName name="IQ_CASH_FLOW_MEDIAN_EST">"c4158"</definedName>
    <definedName name="IQ_CASH_FLOW_NUM_EST">"c4159"</definedName>
    <definedName name="IQ_CASH_FLOW_STDDEV_EST">"c4160"</definedName>
    <definedName name="IQ_CASH_INTEREST">"c120"</definedName>
    <definedName name="IQ_CASH_INVEST">"c121"</definedName>
    <definedName name="IQ_CASH_OPER">"c122"</definedName>
    <definedName name="IQ_CASH_OPER_ACT_OR_EST">"c4164"</definedName>
    <definedName name="IQ_CASH_OPER_EST">"c4163"</definedName>
    <definedName name="IQ_CASH_OPER_GUIDANCE">"c4165"</definedName>
    <definedName name="IQ_CASH_OPER_HIGH_EST">"c4166"</definedName>
    <definedName name="IQ_CASH_OPER_HIGH_GUIDANCE">"c4185"</definedName>
    <definedName name="IQ_CASH_OPER_LOW_EST">"c4244"</definedName>
    <definedName name="IQ_CASH_OPER_LOW_GUIDANCE">"c4225"</definedName>
    <definedName name="IQ_CASH_OPER_MEDIAN_EST">"c4245"</definedName>
    <definedName name="IQ_CASH_OPER_NUM_EST">"c4246"</definedName>
    <definedName name="IQ_CASH_OPER_STDDEV_EST">"c4247"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ST_INVEST_EST">"c4249"</definedName>
    <definedName name="IQ_CASH_ST_INVEST_GUIDANCE">"c4250"</definedName>
    <definedName name="IQ_CASH_ST_INVEST_HIGH_EST">"c4251"</definedName>
    <definedName name="IQ_CASH_ST_INVEST_HIGH_GUIDANCE">"c4195"</definedName>
    <definedName name="IQ_CASH_ST_INVEST_LOW_EST">"c4252"</definedName>
    <definedName name="IQ_CASH_ST_INVEST_LOW_GUIDANCE">"c4235"</definedName>
    <definedName name="IQ_CASH_ST_INVEST_MEDIAN_EST">"c4253"</definedName>
    <definedName name="IQ_CASH_ST_INVEST_NUM_EST">"c4254"</definedName>
    <definedName name="IQ_CASH_ST_INVEST_STDDEV_EST">"c4255"</definedName>
    <definedName name="IQ_CASH_TAXES">"c125"</definedName>
    <definedName name="IQ_CEDED_AH_EARNED">"c2743"</definedName>
    <definedName name="IQ_CEDED_CLAIM_EXP_INCUR">"c2756"</definedName>
    <definedName name="IQ_CEDED_CLAIM_EXP_PAID">"c2759"</definedName>
    <definedName name="IQ_CEDED_CLAIM_EXP_RES">"c2753"</definedName>
    <definedName name="IQ_CEDED_EARNED">"c2733"</definedName>
    <definedName name="IQ_CEDED_LIFE_EARNED">"c2738"</definedName>
    <definedName name="IQ_CEDED_LIFE_IN_FORCE">"c2768"</definedName>
    <definedName name="IQ_CEDED_PC_EARNED">"c2748"</definedName>
    <definedName name="IQ_CEDED_WRITTEN">"c2727"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FPS_ACT_OR_EST">"c2217"</definedName>
    <definedName name="IQ_CFPS_ACT_OR_EST_REUT">"c5463"</definedName>
    <definedName name="IQ_CFPS_EST">"c1667"</definedName>
    <definedName name="IQ_CFPS_EST_REUT">"c3844"</definedName>
    <definedName name="IQ_CFPS_GUIDANCE">"c4256"</definedName>
    <definedName name="IQ_CFPS_HIGH_EST">"c1669"</definedName>
    <definedName name="IQ_CFPS_HIGH_EST_REUT">"c3846"</definedName>
    <definedName name="IQ_CFPS_HIGH_GUIDANCE">"c4167"</definedName>
    <definedName name="IQ_CFPS_LOW_EST">"c1670"</definedName>
    <definedName name="IQ_CFPS_LOW_EST_REUT">"c3847"</definedName>
    <definedName name="IQ_CFPS_LOW_GUIDANCE">"c4207"</definedName>
    <definedName name="IQ_CFPS_MEDIAN_EST">"c1668"</definedName>
    <definedName name="IQ_CFPS_MEDIAN_EST_REUT">"c3845"</definedName>
    <definedName name="IQ_CFPS_NUM_EST">"c1671"</definedName>
    <definedName name="IQ_CFPS_NUM_EST_REUT">"c3848"</definedName>
    <definedName name="IQ_CFPS_STDDEV_EST">"c1672"</definedName>
    <definedName name="IQ_CFPS_STDDEV_EST_REUT">"c3849"</definedName>
    <definedName name="IQ_CH">110000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NET_OPER_ASSETS">"c3592"</definedName>
    <definedName name="IQ_CHANGE_NET_WORKING_CAPITAL">"c1909"</definedName>
    <definedName name="IQ_CHANGE_OTHER_NET_OPER_ASSETS">"c3593"</definedName>
    <definedName name="IQ_CHANGE_OTHER_NET_OPER_ASSETS_BNK">"c3594"</definedName>
    <definedName name="IQ_CHANGE_OTHER_NET_OPER_ASSETS_BR">"c3595"</definedName>
    <definedName name="IQ_CHANGE_OTHER_NET_OPER_ASSETS_FIN">"c3596"</definedName>
    <definedName name="IQ_CHANGE_OTHER_NET_OPER_ASSETS_INS">"c3597"</definedName>
    <definedName name="IQ_CHANGE_OTHER_NET_OPER_ASSETS_REIT">"c3598"</definedName>
    <definedName name="IQ_CHANGE_OTHER_NET_OPER_ASSETS_UTI">"c3599"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OBLIGATION_IMMEDIATE">"c2253"</definedName>
    <definedName name="IQ_CLASSA_OPTIONS_BEG_OS">"c2679"</definedName>
    <definedName name="IQ_CLASSA_OPTIONS_CANCELLED">"c2682"</definedName>
    <definedName name="IQ_CLASSA_OPTIONS_END_OS">"c2683"</definedName>
    <definedName name="IQ_CLASSA_OPTIONS_EXERCISED">"c2681"</definedName>
    <definedName name="IQ_CLASSA_OPTIONS_GRANTED">"c2680"</definedName>
    <definedName name="IQ_CLASSA_OPTIONS_STRIKE_PRICE_OS">"c2684"</definedName>
    <definedName name="IQ_CLASSA_OUTSTANDING_BS_DATE">"c1971"</definedName>
    <definedName name="IQ_CLASSA_OUTSTANDING_FILING_DATE">"c1973"</definedName>
    <definedName name="IQ_CLASSA_STRIKE_PRICE_GRANTED">"c2685"</definedName>
    <definedName name="IQ_CLASSA_WARRANTS_BEG_OS">"c2705"</definedName>
    <definedName name="IQ_CLASSA_WARRANTS_CANCELLED">"c2708"</definedName>
    <definedName name="IQ_CLASSA_WARRANTS_END_OS">"c2709"</definedName>
    <definedName name="IQ_CLASSA_WARRANTS_EXERCISED">"c2707"</definedName>
    <definedName name="IQ_CLASSA_WARRANTS_ISSUED">"c2706"</definedName>
    <definedName name="IQ_CLASSA_WARRANTS_STRIKE_PRICE_ISSUED">"c2711"</definedName>
    <definedName name="IQ_CLASSA_WARRANTS_STRIKE_PRICE_OS">"c2710"</definedName>
    <definedName name="IQ_CLOSEPRICE">"c174"</definedName>
    <definedName name="IQ_CLOSEPRICE_ADJ">"c2115"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">"c3006"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ID">"c3513"</definedName>
    <definedName name="IQ_COMPANY_NAME">"c215"</definedName>
    <definedName name="IQ_COMPANY_NAME_LONG">"c1585"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NV_DATE">"c2191"</definedName>
    <definedName name="IQ_CONV_EXP_DATE">"c3043"</definedName>
    <definedName name="IQ_CONV_PREMIUM">"c2195"</definedName>
    <definedName name="IQ_CONV_PRICE">"c2193"</definedName>
    <definedName name="IQ_CONV_RATE">"c2192"</definedName>
    <definedName name="IQ_CONV_RATIO">"c2192"</definedName>
    <definedName name="IQ_CONV_SECURITY">"c2189"</definedName>
    <definedName name="IQ_CONV_SECURITY_ISSUER">"c2190"</definedName>
    <definedName name="IQ_CONV_SECURITY_PRICE">"c2194"</definedName>
    <definedName name="IQ_CONVERT">"c2536"</definedName>
    <definedName name="IQ_CONVERT_PCT">"c2537"</definedName>
    <definedName name="IQ_CONVEXITY">"c2182"</definedName>
    <definedName name="IQ_COST_BORROWING">"c2936"</definedName>
    <definedName name="IQ_COST_BORROWINGS">"c225"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OVERED_POPS">"c2124"</definedName>
    <definedName name="IQ_CP">"c2495"</definedName>
    <definedName name="IQ_CP_PCT">"c2496"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MULATIVE_SPLIT_FACTOR">"c2094"</definedName>
    <definedName name="IQ_CURR_DOMESTIC_TAXES">"c2074"</definedName>
    <definedName name="IQ_CURR_FOREIGN_TAXES">"c2075"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PORT_PCT">"c2541"</definedName>
    <definedName name="IQ_CURRENT_RATIO">"c246"</definedName>
    <definedName name="IQ_CUSIP">"c2245"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EBITDA">"c5528"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ILY">500000</definedName>
    <definedName name="IQ_DATED_DATE">"c2185"</definedName>
    <definedName name="IQ_DAY_COUNT">"c2161"</definedName>
    <definedName name="IQ_DAYS_COVER_SHORT">"c1578"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BT_ADJ">"c2515"</definedName>
    <definedName name="IQ_DEBT_ADJ_PCT">"c2516"</definedName>
    <definedName name="IQ_DEBT_EQUITY_EST">"c4257"</definedName>
    <definedName name="IQ_DEBT_EQUITY_HIGH_EST">"c4258"</definedName>
    <definedName name="IQ_DEBT_EQUITY_LOW_EST">"c4259"</definedName>
    <definedName name="IQ_DEBT_EQUITY_MEDIAN_EST">"c4260"</definedName>
    <definedName name="IQ_DEBT_EQUITY_NUM_EST">"c4261"</definedName>
    <definedName name="IQ_DEBT_EQUITY_STDDEV_EST">"c4262"</definedName>
    <definedName name="IQ_DEBT_EQUIV_NET_PBO">"c2938"</definedName>
    <definedName name="IQ_DEBT_EQUIV_OPER_LEASE">"c2935"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INTEREST_COST_DOMESTIC">"c2652"</definedName>
    <definedName name="IQ_DEF_BENEFIT_INTEREST_COST_FOREIGN">"c2660"</definedName>
    <definedName name="IQ_DEF_BENEFIT_OTHER_COST">"c284"</definedName>
    <definedName name="IQ_DEF_BENEFIT_OTHER_COST_DOMESTIC">"c2654"</definedName>
    <definedName name="IQ_DEF_BENEFIT_OTHER_COST_FOREIGN">"c2662"</definedName>
    <definedName name="IQ_DEF_BENEFIT_ROA">"c285"</definedName>
    <definedName name="IQ_DEF_BENEFIT_ROA_DOMESTIC">"c2653"</definedName>
    <definedName name="IQ_DEF_BENEFIT_ROA_FOREIGN">"c2661"</definedName>
    <definedName name="IQ_DEF_BENEFIT_SERVICE_COST">"c286"</definedName>
    <definedName name="IQ_DEF_BENEFIT_SERVICE_COST_DOMESTIC">"c2651"</definedName>
    <definedName name="IQ_DEF_BENEFIT_SERVICE_COST_FOREIGN">"c2659"</definedName>
    <definedName name="IQ_DEF_BENEFIT_TOTAL_COST">"c287"</definedName>
    <definedName name="IQ_DEF_BENEFIT_TOTAL_COST_DOMESTIC">"c2655"</definedName>
    <definedName name="IQ_DEF_BENEFIT_TOTAL_COST_FOREIGN">"c2663"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POSITS_FIN">"c321"</definedName>
    <definedName name="IQ_DEPOSITS_INTEREST_SECURITIES">"c5509"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SCRIPTION_LONG">"c322"</definedName>
    <definedName name="IQ_DEVELOP_LAND">"c323"</definedName>
    <definedName name="IQ_DIFF_LASTCLOSE_TARGET_PRICE">"c1854"</definedName>
    <definedName name="IQ_DIFF_LASTCLOSE_TARGET_PRICE_REUT">"c5436"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OUTSTANDING_CURRENT_EST">"c4263"</definedName>
    <definedName name="IQ_DILUT_OUTSTANDING_CURRENT_HIGH_EST">"c4264"</definedName>
    <definedName name="IQ_DILUT_OUTSTANDING_CURRENT_LOW_EST">"c4265"</definedName>
    <definedName name="IQ_DILUT_OUTSTANDING_CURRENT_MEDIAN_EST">"c4266"</definedName>
    <definedName name="IQ_DILUT_OUTSTANDING_CURRENT_NUM_EST">"c4267"</definedName>
    <definedName name="IQ_DILUT_OUTSTANDING_CURRENT_STDDEV_EST">"c4268"</definedName>
    <definedName name="IQ_DILUT_WEIGHT">"c326"</definedName>
    <definedName name="IQ_DILUT_WEIGHT_EST">"c4269"</definedName>
    <definedName name="IQ_DILUT_WEIGHT_GUIDANCE">"c4270"</definedName>
    <definedName name="IQ_DILUT_WEIGHT_HIGH_EST">"c4271"</definedName>
    <definedName name="IQ_DILUT_WEIGHT_LOW_EST">"c4272"</definedName>
    <definedName name="IQ_DILUT_WEIGHT_MEDIAN_EST">"c4273"</definedName>
    <definedName name="IQ_DILUT_WEIGHT_NUM_EST">"c4274"</definedName>
    <definedName name="IQ_DILUT_WEIGHT_STDDEV_EST">"c4275"</definedName>
    <definedName name="IQ_DIRECT_AH_EARNED">"c2740"</definedName>
    <definedName name="IQ_DIRECT_EARNED">"c2730"</definedName>
    <definedName name="IQ_DIRECT_LIFE_EARNED">"c2735"</definedName>
    <definedName name="IQ_DIRECT_LIFE_IN_FORCE">"c2765"</definedName>
    <definedName name="IQ_DIRECT_PC_EARNED">"c2745"</definedName>
    <definedName name="IQ_DIRECT_WRITTEN">"c2724"</definedName>
    <definedName name="IQ_DISCONT_OPER">"c1367"</definedName>
    <definedName name="IQ_DISCOUNT_RATE_PENSION_DOMESTIC">"c327"</definedName>
    <definedName name="IQ_DISCOUNT_RATE_PENSION_FOREIGN">"c328"</definedName>
    <definedName name="IQ_DISTR_EXCESS_EARN">"c329"</definedName>
    <definedName name="IQ_DISTRIBUTABLE_CASH">"c3002"</definedName>
    <definedName name="IQ_DISTRIBUTABLE_CASH_ACT_OR_EST">"c4278"</definedName>
    <definedName name="IQ_DISTRIBUTABLE_CASH_EST">"c4277"</definedName>
    <definedName name="IQ_DISTRIBUTABLE_CASH_GUIDANCE">"c4279"</definedName>
    <definedName name="IQ_DISTRIBUTABLE_CASH_HIGH_EST">"c4280"</definedName>
    <definedName name="IQ_DISTRIBUTABLE_CASH_HIGH_GUIDANCE">"c4198"</definedName>
    <definedName name="IQ_DISTRIBUTABLE_CASH_LOW_EST">"c4281"</definedName>
    <definedName name="IQ_DISTRIBUTABLE_CASH_LOW_GUIDANCE">"c4238"</definedName>
    <definedName name="IQ_DISTRIBUTABLE_CASH_MEDIAN_EST">"c4282"</definedName>
    <definedName name="IQ_DISTRIBUTABLE_CASH_NUM_EST">"c4283"</definedName>
    <definedName name="IQ_DISTRIBUTABLE_CASH_PAYOUT">"c3005"</definedName>
    <definedName name="IQ_DISTRIBUTABLE_CASH_SHARE">"c3003"</definedName>
    <definedName name="IQ_DISTRIBUTABLE_CASH_SHARE_ACT_OR_EST">"c4286"</definedName>
    <definedName name="IQ_DISTRIBUTABLE_CASH_SHARE_EST">"c4285"</definedName>
    <definedName name="IQ_DISTRIBUTABLE_CASH_SHARE_GUIDANCE">"c4287"</definedName>
    <definedName name="IQ_DISTRIBUTABLE_CASH_SHARE_HIGH_EST">"c4288"</definedName>
    <definedName name="IQ_DISTRIBUTABLE_CASH_SHARE_HIGH_GUIDANCE">"c4199"</definedName>
    <definedName name="IQ_DISTRIBUTABLE_CASH_SHARE_LOW_EST">"c4289"</definedName>
    <definedName name="IQ_DISTRIBUTABLE_CASH_SHARE_LOW_GUIDANCE">"c4239"</definedName>
    <definedName name="IQ_DISTRIBUTABLE_CASH_SHARE_MEDIAN_EST">"c4290"</definedName>
    <definedName name="IQ_DISTRIBUTABLE_CASH_SHARE_NUM_EST">"c4291"</definedName>
    <definedName name="IQ_DISTRIBUTABLE_CASH_SHARE_STDDEV_EST">"c4292"</definedName>
    <definedName name="IQ_DISTRIBUTABLE_CASH_STDDEV_EST">"c4294"</definedName>
    <definedName name="IQ_DIV_AMOUNT">"c3041"</definedName>
    <definedName name="IQ_DIV_PAYMENT_DATE">"c2106"</definedName>
    <definedName name="IQ_DIV_RECORD_DATE">"c2105"</definedName>
    <definedName name="IQ_DIV_SHARE">"c330"</definedName>
    <definedName name="IQ_DIVEST_CF">"c331"</definedName>
    <definedName name="IQ_DIVID_SHARE">"c1366"</definedName>
    <definedName name="IQ_DIVIDEND_EST">"c4296"</definedName>
    <definedName name="IQ_DIVIDEND_HIGH_EST">"c4297"</definedName>
    <definedName name="IQ_DIVIDEND_LOW_EST">"c4298"</definedName>
    <definedName name="IQ_DIVIDEND_MEDIAN_EST">"c4299"</definedName>
    <definedName name="IQ_DIVIDEND_NUM_EST">"c4300"</definedName>
    <definedName name="IQ_DIVIDEND_STDDEV_EST">"c4301"</definedName>
    <definedName name="IQ_DIVIDEND_YIELD">"c332"</definedName>
    <definedName name="IQ_DNTM">700000</definedName>
    <definedName name="IQ_DO">"c333"</definedName>
    <definedName name="IQ_DO_ASSETS_CURRENT">"c334"</definedName>
    <definedName name="IQ_DO_ASSETS_LT">"c335"</definedName>
    <definedName name="IQ_DO_CF">"c336"</definedName>
    <definedName name="IQ_DPAC_ACC">"c2799"</definedName>
    <definedName name="IQ_DPAC_AMORT">"c2795"</definedName>
    <definedName name="IQ_DPAC_BEG">"c2791"</definedName>
    <definedName name="IQ_DPAC_COMMISSIONS">"c2792"</definedName>
    <definedName name="IQ_DPAC_END">"c2801"</definedName>
    <definedName name="IQ_DPAC_FX">"c2798"</definedName>
    <definedName name="IQ_DPAC_OTHER_ADJ">"c2800"</definedName>
    <definedName name="IQ_DPAC_OTHERS">"c2793"</definedName>
    <definedName name="IQ_DPAC_PERIOD">"c2794"</definedName>
    <definedName name="IQ_DPAC_REAL_GAIN">"c2797"</definedName>
    <definedName name="IQ_DPAC_UNREAL_GAIN">"c2796"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DPS_ACT_OR_EST">"c2218"</definedName>
    <definedName name="IQ_DPS_ACT_OR_EST_REUT">"c5464"</definedName>
    <definedName name="IQ_DPS_EST">"c1674"</definedName>
    <definedName name="IQ_DPS_EST_BOTTOM_UP">"c5493"</definedName>
    <definedName name="IQ_DPS_EST_BOTTOM_UP_REUT">"c5501"</definedName>
    <definedName name="IQ_DPS_EST_REUT">"c3851"</definedName>
    <definedName name="IQ_DPS_GUIDANCE">"c4302"</definedName>
    <definedName name="IQ_DPS_HIGH_EST">"c1676"</definedName>
    <definedName name="IQ_DPS_HIGH_EST_REUT">"c3853"</definedName>
    <definedName name="IQ_DPS_HIGH_GUIDANCE">"c4168"</definedName>
    <definedName name="IQ_DPS_LOW_EST">"c1677"</definedName>
    <definedName name="IQ_DPS_LOW_EST_REUT">"c3854"</definedName>
    <definedName name="IQ_DPS_LOW_GUIDANCE">"c4208"</definedName>
    <definedName name="IQ_DPS_MEDIAN_EST">"c1675"</definedName>
    <definedName name="IQ_DPS_MEDIAN_EST_REUT">"c3852"</definedName>
    <definedName name="IQ_DPS_NUM_EST">"c1678"</definedName>
    <definedName name="IQ_DPS_NUM_EST_REUT">"c3855"</definedName>
    <definedName name="IQ_DPS_STDDEV_EST">"c1679"</definedName>
    <definedName name="IQ_DPS_STDDEV_EST_REUT">"c3856"</definedName>
    <definedName name="IQ_DURATION">"c2181"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ARNINGS_ANNOUNCE_DATE">"c1649"</definedName>
    <definedName name="IQ_EARNINGS_ANNOUNCE_DATE_REUT">"c5314"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ACT_OR_EST">"c2219"</definedName>
    <definedName name="IQ_EBIT_ACT_OR_EST_REUT">"c5465"</definedName>
    <definedName name="IQ_EBIT_EQ_INC">"c3498"</definedName>
    <definedName name="IQ_EBIT_EQ_INC_EXCL_SBC">"c3502"</definedName>
    <definedName name="IQ_EBIT_EST">"c1681"</definedName>
    <definedName name="IQ_EBIT_EST_REUT">"c5333"</definedName>
    <definedName name="IQ_EBIT_EXCL_SBC">"c3082"</definedName>
    <definedName name="IQ_EBIT_GUIDANCE">"c4303"</definedName>
    <definedName name="IQ_EBIT_GW_ACT_OR_EST">"c4306"</definedName>
    <definedName name="IQ_EBIT_GW_EST">"c4305"</definedName>
    <definedName name="IQ_EBIT_GW_GUIDANCE">"c4307"</definedName>
    <definedName name="IQ_EBIT_GW_HIGH_EST">"c4308"</definedName>
    <definedName name="IQ_EBIT_GW_HIGH_GUIDANCE">"c4171"</definedName>
    <definedName name="IQ_EBIT_GW_LOW_EST">"c4309"</definedName>
    <definedName name="IQ_EBIT_GW_LOW_GUIDANCE">"c4211"</definedName>
    <definedName name="IQ_EBIT_GW_MEDIAN_EST">"c4310"</definedName>
    <definedName name="IQ_EBIT_GW_NUM_EST">"c4311"</definedName>
    <definedName name="IQ_EBIT_GW_STDDEV_EST">"c4312"</definedName>
    <definedName name="IQ_EBIT_HIGH_EST">"c1683"</definedName>
    <definedName name="IQ_EBIT_HIGH_EST_REUT">"c5335"</definedName>
    <definedName name="IQ_EBIT_HIGH_GUIDANCE">"c4172"</definedName>
    <definedName name="IQ_EBIT_INT">"c360"</definedName>
    <definedName name="IQ_EBIT_LOW_EST">"c1684"</definedName>
    <definedName name="IQ_EBIT_LOW_EST_REUT">"c5336"</definedName>
    <definedName name="IQ_EBIT_LOW_GUIDANCE">"c4212"</definedName>
    <definedName name="IQ_EBIT_MARGIN">"c359"</definedName>
    <definedName name="IQ_EBIT_MEDIAN_EST">"c1682"</definedName>
    <definedName name="IQ_EBIT_MEDIAN_EST_REUT">"c5334"</definedName>
    <definedName name="IQ_EBIT_NUM_EST">"c1685"</definedName>
    <definedName name="IQ_EBIT_NUM_EST_REUT">"c5337"</definedName>
    <definedName name="IQ_EBIT_OVER_IE">"c1369"</definedName>
    <definedName name="IQ_EBIT_SBC_ACT_OR_EST">"c4316"</definedName>
    <definedName name="IQ_EBIT_SBC_EST">"c4315"</definedName>
    <definedName name="IQ_EBIT_SBC_GUIDANCE">"c4317"</definedName>
    <definedName name="IQ_EBIT_SBC_GW_ACT_OR_EST">"c4320"</definedName>
    <definedName name="IQ_EBIT_SBC_GW_EST">"c4319"</definedName>
    <definedName name="IQ_EBIT_SBC_GW_GUIDANCE">"c4321"</definedName>
    <definedName name="IQ_EBIT_SBC_GW_HIGH_EST">"c4322"</definedName>
    <definedName name="IQ_EBIT_SBC_GW_HIGH_GUIDANCE">"c4193"</definedName>
    <definedName name="IQ_EBIT_SBC_GW_LOW_EST">"c4323"</definedName>
    <definedName name="IQ_EBIT_SBC_GW_LOW_GUIDANCE">"c4233"</definedName>
    <definedName name="IQ_EBIT_SBC_GW_MEDIAN_EST">"c4324"</definedName>
    <definedName name="IQ_EBIT_SBC_GW_NUM_EST">"c4325"</definedName>
    <definedName name="IQ_EBIT_SBC_GW_STDDEV_EST">"c4326"</definedName>
    <definedName name="IQ_EBIT_SBC_HIGH_EST">"c4328"</definedName>
    <definedName name="IQ_EBIT_SBC_HIGH_GUIDANCE">"c4192"</definedName>
    <definedName name="IQ_EBIT_SBC_LOW_EST">"c4329"</definedName>
    <definedName name="IQ_EBIT_SBC_LOW_GUIDANCE">"c4232"</definedName>
    <definedName name="IQ_EBIT_SBC_MEDIAN_EST">"c4330"</definedName>
    <definedName name="IQ_EBIT_SBC_NUM_EST">"c4331"</definedName>
    <definedName name="IQ_EBIT_SBC_STDDEV_EST">"c4332"</definedName>
    <definedName name="IQ_EBIT_STDDEV_EST">"c1686"</definedName>
    <definedName name="IQ_EBIT_STDDEV_EST_REUT">"c5338"</definedName>
    <definedName name="IQ_EBITA">"c1910"</definedName>
    <definedName name="IQ_EBITA_10YR_ANN_GROWTH">"c1954"</definedName>
    <definedName name="IQ_EBITA_1YR_ANN_GROWTH">"c1949"</definedName>
    <definedName name="IQ_EBITA_2YR_ANN_GROWTH">"c1950"</definedName>
    <definedName name="IQ_EBITA_3YR_ANN_GROWTH">"c1951"</definedName>
    <definedName name="IQ_EBITA_5YR_ANN_GROWTH">"c1952"</definedName>
    <definedName name="IQ_EBITA_7YR_ANN_GROWTH">"c1953"</definedName>
    <definedName name="IQ_EBITA_EQ_INC">"c3497"</definedName>
    <definedName name="IQ_EBITA_EQ_INC_EXCL_SBC">"c3501"</definedName>
    <definedName name="IQ_EBITA_EXCL_SBC">"c3080"</definedName>
    <definedName name="IQ_EBITA_MARGIN">"c1963"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ACT_OR_EST">"c2215"</definedName>
    <definedName name="IQ_EBITDA_ACT_OR_EST_REUT">"c5462"</definedName>
    <definedName name="IQ_EBITDA_CAPEX_INT">"c368"</definedName>
    <definedName name="IQ_EBITDA_CAPEX_OVER_TOTAL_IE">"c1370"</definedName>
    <definedName name="IQ_EBITDA_EQ_INC">"c3496"</definedName>
    <definedName name="IQ_EBITDA_EQ_INC_EXCL_SBC">"c3500"</definedName>
    <definedName name="IQ_EBITDA_EST">"c369"</definedName>
    <definedName name="IQ_EBITDA_EST_REUT">"c3640"</definedName>
    <definedName name="IQ_EBITDA_EXCL_SBC">"c3081"</definedName>
    <definedName name="IQ_EBITDA_GUIDANCE">"c4334"</definedName>
    <definedName name="IQ_EBITDA_HIGH_EST">"c370"</definedName>
    <definedName name="IQ_EBITDA_HIGH_EST_REUT">"c3642"</definedName>
    <definedName name="IQ_EBITDA_HIGH_GUIDANCE">"c4170"</definedName>
    <definedName name="IQ_EBITDA_INT">"c373"</definedName>
    <definedName name="IQ_EBITDA_LOW_EST">"c371"</definedName>
    <definedName name="IQ_EBITDA_LOW_EST_REUT">"c3643"</definedName>
    <definedName name="IQ_EBITDA_LOW_GUIDANCE">"c4210"</definedName>
    <definedName name="IQ_EBITDA_MARGIN">"c372"</definedName>
    <definedName name="IQ_EBITDA_MEDIAN_EST">"c1663"</definedName>
    <definedName name="IQ_EBITDA_MEDIAN_EST_REUT">"c3641"</definedName>
    <definedName name="IQ_EBITDA_NUM_EST">"c374"</definedName>
    <definedName name="IQ_EBITDA_NUM_EST_REUT">"c3644"</definedName>
    <definedName name="IQ_EBITDA_OVER_TOTAL_IE">"c1371"</definedName>
    <definedName name="IQ_EBITDA_SBC_ACT_OR_EST">"c4337"</definedName>
    <definedName name="IQ_EBITDA_SBC_EST">"c4336"</definedName>
    <definedName name="IQ_EBITDA_SBC_GUIDANCE">"c4338"</definedName>
    <definedName name="IQ_EBITDA_SBC_HIGH_EST">"c4339"</definedName>
    <definedName name="IQ_EBITDA_SBC_HIGH_GUIDANCE">"c4194"</definedName>
    <definedName name="IQ_EBITDA_SBC_LOW_EST">"c4340"</definedName>
    <definedName name="IQ_EBITDA_SBC_LOW_GUIDANCE">"c4234"</definedName>
    <definedName name="IQ_EBITDA_SBC_MEDIAN_EST">"c4341"</definedName>
    <definedName name="IQ_EBITDA_SBC_NUM_EST">"c4342"</definedName>
    <definedName name="IQ_EBITDA_SBC_STDDEV_EST">"c4343"</definedName>
    <definedName name="IQ_EBITDA_STDDEV_EST">"c375"</definedName>
    <definedName name="IQ_EBITDA_STDDEV_EST_REUT">"c3645"</definedName>
    <definedName name="IQ_EBITDAR">"c2989"</definedName>
    <definedName name="IQ_EBITDAR_EQ_INC">"c3499"</definedName>
    <definedName name="IQ_EBITDAR_EQ_INC_EXCL_SBC">"c3503"</definedName>
    <definedName name="IQ_EBITDAR_EXCL_SBC">"c3083"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GAAP_GUIDANCE">"c4345"</definedName>
    <definedName name="IQ_EBT_GAAP_HIGH_GUIDANCE">"c4174"</definedName>
    <definedName name="IQ_EBT_GAAP_LOW_GUIDANCE">"c4214"</definedName>
    <definedName name="IQ_EBT_GUIDANCE">"c4346"</definedName>
    <definedName name="IQ_EBT_GW_GUIDANCE">"c4347"</definedName>
    <definedName name="IQ_EBT_GW_HIGH_GUIDANCE">"c4175"</definedName>
    <definedName name="IQ_EBT_GW_LOW_GUIDANCE">"c4215"</definedName>
    <definedName name="IQ_EBT_HIGH_GUIDANCE">"c4173"</definedName>
    <definedName name="IQ_EBT_INCL_MARGIN">"c387"</definedName>
    <definedName name="IQ_EBT_INS">"c388"</definedName>
    <definedName name="IQ_EBT_LOW_GUIDANCE">"c4213"</definedName>
    <definedName name="IQ_EBT_REIT">"c389"</definedName>
    <definedName name="IQ_EBT_SBC_ACT_OR_EST">"c4350"</definedName>
    <definedName name="IQ_EBT_SBC_EST">"c4349"</definedName>
    <definedName name="IQ_EBT_SBC_GUIDANCE">"c4351"</definedName>
    <definedName name="IQ_EBT_SBC_GW_ACT_OR_EST">"c4354"</definedName>
    <definedName name="IQ_EBT_SBC_GW_EST">"c4353"</definedName>
    <definedName name="IQ_EBT_SBC_GW_GUIDANCE">"c4355"</definedName>
    <definedName name="IQ_EBT_SBC_GW_HIGH_EST">"c4356"</definedName>
    <definedName name="IQ_EBT_SBC_GW_HIGH_GUIDANCE">"c4191"</definedName>
    <definedName name="IQ_EBT_SBC_GW_LOW_EST">"c4357"</definedName>
    <definedName name="IQ_EBT_SBC_GW_LOW_GUIDANCE">"c4231"</definedName>
    <definedName name="IQ_EBT_SBC_GW_MEDIAN_EST">"c4358"</definedName>
    <definedName name="IQ_EBT_SBC_GW_NUM_EST">"c4359"</definedName>
    <definedName name="IQ_EBT_SBC_GW_STDDEV_EST">"c4360"</definedName>
    <definedName name="IQ_EBT_SBC_HIGH_EST">"c4362"</definedName>
    <definedName name="IQ_EBT_SBC_HIGH_GUIDANCE">"c4190"</definedName>
    <definedName name="IQ_EBT_SBC_LOW_EST">"c4363"</definedName>
    <definedName name="IQ_EBT_SBC_LOW_GUIDANCE">"c4230"</definedName>
    <definedName name="IQ_EBT_SBC_MEDIAN_EST">"c4364"</definedName>
    <definedName name="IQ_EBT_SBC_NUM_EST">"c4365"</definedName>
    <definedName name="IQ_EBT_SBC_STDDEV_EST">"c4366"</definedName>
    <definedName name="IQ_EBT_UTI">"c390"</definedName>
    <definedName name="IQ_EFFECT_SPECIAL_CHARGE">"c1595"</definedName>
    <definedName name="IQ_EFFECT_TAX_RATE">"c1899"</definedName>
    <definedName name="IQ_EFFICIENCY_RATIO">"c391"</definedName>
    <definedName name="IQ_EMPLOYEES">"c392"</definedName>
    <definedName name="IQ_ENTERPRISE_VALUE">"c1348"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ACT_OR_EST">"c2213"</definedName>
    <definedName name="IQ_EPS_ACT_OR_EST_REUT">"c5460"</definedName>
    <definedName name="IQ_EPS_EST">"c399"</definedName>
    <definedName name="IQ_EPS_EST_BOTTOM_UP">"c5489"</definedName>
    <definedName name="IQ_EPS_EST_BOTTOM_UP_REUT">"c5497"</definedName>
    <definedName name="IQ_EPS_EST_REUT">"c5453"</definedName>
    <definedName name="IQ_EPS_EXCL_GUIDANCE">"c4368"</definedName>
    <definedName name="IQ_EPS_EXCL_HIGH_GUIDANCE">"c4369"</definedName>
    <definedName name="IQ_EPS_EXCL_LOW_GUIDANCE">"c4204"</definedName>
    <definedName name="IQ_EPS_GAAP_GUIDANCE">"c4370"</definedName>
    <definedName name="IQ_EPS_GAAP_HIGH_GUIDANCE">"c4371"</definedName>
    <definedName name="IQ_EPS_GAAP_LOW_GUIDANCE">"c4205"</definedName>
    <definedName name="IQ_EPS_GW_ACT_OR_EST">"c2223"</definedName>
    <definedName name="IQ_EPS_GW_ACT_OR_EST_REUT">"c5469"</definedName>
    <definedName name="IQ_EPS_GW_EST">"c1737"</definedName>
    <definedName name="IQ_EPS_GW_EST_BOTTOM_UP">"c5491"</definedName>
    <definedName name="IQ_EPS_GW_EST_BOTTOM_UP_REUT">"c5499"</definedName>
    <definedName name="IQ_EPS_GW_EST_REUT">"c5389"</definedName>
    <definedName name="IQ_EPS_GW_GUIDANCE">"c4372"</definedName>
    <definedName name="IQ_EPS_GW_HIGH_EST">"c1739"</definedName>
    <definedName name="IQ_EPS_GW_HIGH_EST_REUT">"c5391"</definedName>
    <definedName name="IQ_EPS_GW_HIGH_GUIDANCE">"c4373"</definedName>
    <definedName name="IQ_EPS_GW_LOW_EST">"c1740"</definedName>
    <definedName name="IQ_EPS_GW_LOW_EST_REUT">"c5392"</definedName>
    <definedName name="IQ_EPS_GW_LOW_GUIDANCE">"c4206"</definedName>
    <definedName name="IQ_EPS_GW_MEDIAN_EST">"c1738"</definedName>
    <definedName name="IQ_EPS_GW_MEDIAN_EST_REUT">"c5390"</definedName>
    <definedName name="IQ_EPS_GW_NUM_EST">"c1741"</definedName>
    <definedName name="IQ_EPS_GW_NUM_EST_REUT">"c5393"</definedName>
    <definedName name="IQ_EPS_GW_STDDEV_EST">"c1742"</definedName>
    <definedName name="IQ_EPS_GW_STDDEV_EST_REUT">"c5394"</definedName>
    <definedName name="IQ_EPS_HIGH_EST">"c400"</definedName>
    <definedName name="IQ_EPS_HIGH_EST_REUT">"c5454"</definedName>
    <definedName name="IQ_EPS_LOW_EST">"c401"</definedName>
    <definedName name="IQ_EPS_LOW_EST_REUT">"c5455"</definedName>
    <definedName name="IQ_EPS_MEDIAN_EST">"c1661"</definedName>
    <definedName name="IQ_EPS_MEDIAN_EST_REUT">"c5456"</definedName>
    <definedName name="IQ_EPS_NORM">"c1902"</definedName>
    <definedName name="IQ_EPS_NORM_EST">"c2226"</definedName>
    <definedName name="IQ_EPS_NORM_EST_BOTTOM_UP">"c5490"</definedName>
    <definedName name="IQ_EPS_NORM_EST_BOTTOM_UP_REUT">"c5498"</definedName>
    <definedName name="IQ_EPS_NORM_EST_REUT">"c5326"</definedName>
    <definedName name="IQ_EPS_NORM_HIGH_EST">"c2228"</definedName>
    <definedName name="IQ_EPS_NORM_HIGH_EST_REUT">"c5328"</definedName>
    <definedName name="IQ_EPS_NORM_LOW_EST">"c2229"</definedName>
    <definedName name="IQ_EPS_NORM_LOW_EST_REUT">"c5329"</definedName>
    <definedName name="IQ_EPS_NORM_MEDIAN_EST">"c2227"</definedName>
    <definedName name="IQ_EPS_NORM_MEDIAN_EST_REUT">"c5327"</definedName>
    <definedName name="IQ_EPS_NORM_NUM_EST">"c2230"</definedName>
    <definedName name="IQ_EPS_NORM_NUM_EST_REUT">"c5330"</definedName>
    <definedName name="IQ_EPS_NORM_STDDEV_EST">"c2231"</definedName>
    <definedName name="IQ_EPS_NORM_STDDEV_EST_REUT">"c5331"</definedName>
    <definedName name="IQ_EPS_NUM_EST">"c402"</definedName>
    <definedName name="IQ_EPS_NUM_EST_REUT">"c5451"</definedName>
    <definedName name="IQ_EPS_REPORT_ACT_OR_EST">"c2224"</definedName>
    <definedName name="IQ_EPS_REPORT_ACT_OR_EST_REUT">"c5470"</definedName>
    <definedName name="IQ_EPS_REPORTED_EST">"c1744"</definedName>
    <definedName name="IQ_EPS_REPORTED_EST_BOTTOM_UP">"c5492"</definedName>
    <definedName name="IQ_EPS_REPORTED_EST_BOTTOM_UP_REUT">"c5500"</definedName>
    <definedName name="IQ_EPS_REPORTED_EST_REUT">"c5396"</definedName>
    <definedName name="IQ_EPS_REPORTED_HIGH_EST">"c1746"</definedName>
    <definedName name="IQ_EPS_REPORTED_HIGH_EST_REUT">"c5398"</definedName>
    <definedName name="IQ_EPS_REPORTED_LOW_EST">"c1747"</definedName>
    <definedName name="IQ_EPS_REPORTED_LOW_EST_REUT">"c5399"</definedName>
    <definedName name="IQ_EPS_REPORTED_MEDIAN_EST">"c1745"</definedName>
    <definedName name="IQ_EPS_REPORTED_MEDIAN_EST_REUT">"c5397"</definedName>
    <definedName name="IQ_EPS_REPORTED_NUM_EST">"c1748"</definedName>
    <definedName name="IQ_EPS_REPORTED_NUM_EST_REUT">"c5400"</definedName>
    <definedName name="IQ_EPS_REPORTED_STDDEV_EST">"c1749"</definedName>
    <definedName name="IQ_EPS_REPORTED_STDDEV_EST_REUT">"c5401"</definedName>
    <definedName name="IQ_EPS_SBC_ACT_OR_EST">"c4376"</definedName>
    <definedName name="IQ_EPS_SBC_EST">"c4375"</definedName>
    <definedName name="IQ_EPS_SBC_GUIDANCE">"c4377"</definedName>
    <definedName name="IQ_EPS_SBC_GW_ACT_OR_EST">"c4380"</definedName>
    <definedName name="IQ_EPS_SBC_GW_EST">"c4379"</definedName>
    <definedName name="IQ_EPS_SBC_GW_GUIDANCE">"c4381"</definedName>
    <definedName name="IQ_EPS_SBC_GW_HIGH_EST">"c4382"</definedName>
    <definedName name="IQ_EPS_SBC_GW_HIGH_GUIDANCE">"c4189"</definedName>
    <definedName name="IQ_EPS_SBC_GW_LOW_EST">"c4383"</definedName>
    <definedName name="IQ_EPS_SBC_GW_LOW_GUIDANCE">"c4229"</definedName>
    <definedName name="IQ_EPS_SBC_GW_MEDIAN_EST">"c4384"</definedName>
    <definedName name="IQ_EPS_SBC_GW_NUM_EST">"c4385"</definedName>
    <definedName name="IQ_EPS_SBC_GW_STDDEV_EST">"c4386"</definedName>
    <definedName name="IQ_EPS_SBC_HIGH_EST">"c4388"</definedName>
    <definedName name="IQ_EPS_SBC_HIGH_GUIDANCE">"c4188"</definedName>
    <definedName name="IQ_EPS_SBC_LOW_EST">"c4389"</definedName>
    <definedName name="IQ_EPS_SBC_LOW_GUIDANCE">"c4228"</definedName>
    <definedName name="IQ_EPS_SBC_MEDIAN_EST">"c4390"</definedName>
    <definedName name="IQ_EPS_SBC_NUM_EST">"c4391"</definedName>
    <definedName name="IQ_EPS_SBC_STDDEV_EST">"c4392"</definedName>
    <definedName name="IQ_EPS_STDDEV_EST">"c403"</definedName>
    <definedName name="IQ_EPS_STDDEV_EST_REUT">"c5452"</definedName>
    <definedName name="IQ_EQUITY_AFFIL">"c1451"</definedName>
    <definedName name="IQ_EQUITY_METHOD">"c404"</definedName>
    <definedName name="IQ_EQV_OVER_BV">"c1596"</definedName>
    <definedName name="IQ_EQV_OVER_LTM_PRETAX_INC">"c1390"</definedName>
    <definedName name="IQ_ESOP_DEBT">"c1597"</definedName>
    <definedName name="IQ_EST_ACT_BV_REUT">"c5409"</definedName>
    <definedName name="IQ_EST_ACT_BV_SHARE">"c3549"</definedName>
    <definedName name="IQ_EST_ACT_BV_SHARE_REUT">"c5445"</definedName>
    <definedName name="IQ_EST_ACT_CAPEX">"c3546"</definedName>
    <definedName name="IQ_EST_ACT_CAPEX_REUT">"c3975"</definedName>
    <definedName name="IQ_EST_ACT_CASH_FLOW">"c4394"</definedName>
    <definedName name="IQ_EST_ACT_CASH_OPER">"c4395"</definedName>
    <definedName name="IQ_EST_ACT_CFPS">"c1673"</definedName>
    <definedName name="IQ_EST_ACT_CFPS_REUT">"c3850"</definedName>
    <definedName name="IQ_EST_ACT_DISTRIBUTABLE_CASH">"c4396"</definedName>
    <definedName name="IQ_EST_ACT_DISTRIBUTABLE_CASH_SHARE">"c4397"</definedName>
    <definedName name="IQ_EST_ACT_DPS">"c1680"</definedName>
    <definedName name="IQ_EST_ACT_DPS_REUT">"c3857"</definedName>
    <definedName name="IQ_EST_ACT_EBIT">"c1687"</definedName>
    <definedName name="IQ_EST_ACT_EBIT_GW">"c4398"</definedName>
    <definedName name="IQ_EST_ACT_EBIT_REUT">"c5339"</definedName>
    <definedName name="IQ_EST_ACT_EBIT_SBC">"c4399"</definedName>
    <definedName name="IQ_EST_ACT_EBIT_SBC_GW">"c4400"</definedName>
    <definedName name="IQ_EST_ACT_EBITDA">"c1664"</definedName>
    <definedName name="IQ_EST_ACT_EBITDA_REUT">"c3836"</definedName>
    <definedName name="IQ_EST_ACT_EBITDA_SBC">"c4401"</definedName>
    <definedName name="IQ_EST_ACT_EBT_SBC">"c4402"</definedName>
    <definedName name="IQ_EST_ACT_EBT_SBC_GW">"c4403"</definedName>
    <definedName name="IQ_EST_ACT_EPS">"c1648"</definedName>
    <definedName name="IQ_EST_ACT_EPS_GW">"c1743"</definedName>
    <definedName name="IQ_EST_ACT_EPS_GW_REUT">"c5395"</definedName>
    <definedName name="IQ_EST_ACT_EPS_NORM">"c2232"</definedName>
    <definedName name="IQ_EST_ACT_EPS_NORM_REUT">"c5332"</definedName>
    <definedName name="IQ_EST_ACT_EPS_REPORTED">"c1750"</definedName>
    <definedName name="IQ_EST_ACT_EPS_REPORTED_REUT">"c5402"</definedName>
    <definedName name="IQ_EST_ACT_EPS_REUT">"c5457"</definedName>
    <definedName name="IQ_EST_ACT_EPS_SBC">"c4404"</definedName>
    <definedName name="IQ_EST_ACT_EPS_SBC_GW">"c4405"</definedName>
    <definedName name="IQ_EST_ACT_FFO">"c1666"</definedName>
    <definedName name="IQ_EST_ACT_FFO_ADJ">"c4406"</definedName>
    <definedName name="IQ_EST_ACT_FFO_REUT">"c3843"</definedName>
    <definedName name="IQ_EST_ACT_FFO_SHARE">"c4407"</definedName>
    <definedName name="IQ_EST_ACT_GROSS_MARGIN">"c5553"</definedName>
    <definedName name="IQ_EST_ACT_MAINT_CAPEX">"c4408"</definedName>
    <definedName name="IQ_EST_ACT_NAV">"c1757"</definedName>
    <definedName name="IQ_EST_ACT_NET_DEBT">"c3545"</definedName>
    <definedName name="IQ_EST_ACT_NET_DEBT_REUT">"c5446"</definedName>
    <definedName name="IQ_EST_ACT_NI">"c1722"</definedName>
    <definedName name="IQ_EST_ACT_NI_GW">"c1729"</definedName>
    <definedName name="IQ_EST_ACT_NI_GW_REUT">"c5381"</definedName>
    <definedName name="IQ_EST_ACT_NI_REPORTED">"c1736"</definedName>
    <definedName name="IQ_EST_ACT_NI_REPORTED_REUT">"c5388"</definedName>
    <definedName name="IQ_EST_ACT_NI_REUT">"c5374"</definedName>
    <definedName name="IQ_EST_ACT_NI_SBC">"c4409"</definedName>
    <definedName name="IQ_EST_ACT_NI_SBC_GW">"c4410"</definedName>
    <definedName name="IQ_EST_ACT_OPER_INC">"c1694"</definedName>
    <definedName name="IQ_EST_ACT_OPER_INC_REUT">"c5346"</definedName>
    <definedName name="IQ_EST_ACT_PRETAX_GW_INC">"c1708"</definedName>
    <definedName name="IQ_EST_ACT_PRETAX_GW_INC_REUT">"c5360"</definedName>
    <definedName name="IQ_EST_ACT_PRETAX_INC">"c1701"</definedName>
    <definedName name="IQ_EST_ACT_PRETAX_INC_REUT">"c5353"</definedName>
    <definedName name="IQ_EST_ACT_PRETAX_REPORT_INC">"c1715"</definedName>
    <definedName name="IQ_EST_ACT_PRETAX_REPORT_INC_REUT">"c5367"</definedName>
    <definedName name="IQ_EST_ACT_RECURRING_PROFIT">"c4411"</definedName>
    <definedName name="IQ_EST_ACT_RECURRING_PROFIT_SHARE">"c4412"</definedName>
    <definedName name="IQ_EST_ACT_RETURN_ASSETS">"c3547"</definedName>
    <definedName name="IQ_EST_ACT_RETURN_ASSETS_REUT">"c3996"</definedName>
    <definedName name="IQ_EST_ACT_RETURN_EQUITY">"c3548"</definedName>
    <definedName name="IQ_EST_ACT_RETURN_EQUITY_REUT">"c3989"</definedName>
    <definedName name="IQ_EST_ACT_REV">"c2113"</definedName>
    <definedName name="IQ_EST_ACT_REV_REUT">"c3835"</definedName>
    <definedName name="IQ_EST_BV_DIFF_REUT">"c5433"</definedName>
    <definedName name="IQ_EST_BV_SHARE_DIFF">"c4147"</definedName>
    <definedName name="IQ_EST_BV_SHARE_SURPRISE_PERCENT">"c4148"</definedName>
    <definedName name="IQ_EST_BV_SURPRISE_PERCENT_REUT">"c5434"</definedName>
    <definedName name="IQ_EST_CAPEX_DIFF">"c4149"</definedName>
    <definedName name="IQ_EST_CAPEX_GROWTH_1YR">"c3588"</definedName>
    <definedName name="IQ_EST_CAPEX_GROWTH_1YR_REUT">"c5447"</definedName>
    <definedName name="IQ_EST_CAPEX_GROWTH_2YR">"c3589"</definedName>
    <definedName name="IQ_EST_CAPEX_GROWTH_2YR_REUT">"c5448"</definedName>
    <definedName name="IQ_EST_CAPEX_GROWTH_Q_1YR">"c3590"</definedName>
    <definedName name="IQ_EST_CAPEX_GROWTH_Q_1YR_REUT">"c5449"</definedName>
    <definedName name="IQ_EST_CAPEX_SEQ_GROWTH_Q">"c3591"</definedName>
    <definedName name="IQ_EST_CAPEX_SEQ_GROWTH_Q_REUT">"c5450"</definedName>
    <definedName name="IQ_EST_CAPEX_SURPRISE_PERCENT">"c4151"</definedName>
    <definedName name="IQ_EST_CASH_FLOW_DIFF">"c4152"</definedName>
    <definedName name="IQ_EST_CASH_FLOW_SURPRISE_PERCENT">"c4161"</definedName>
    <definedName name="IQ_EST_CASH_OPER_DIFF">"c4162"</definedName>
    <definedName name="IQ_EST_CASH_OPER_SURPRISE_PERCENT">"c4248"</definedName>
    <definedName name="IQ_EST_CFPS_DIFF">"c1871"</definedName>
    <definedName name="IQ_EST_CFPS_DIFF_REUT">"c3892"</definedName>
    <definedName name="IQ_EST_CFPS_GROWTH_1YR">"c1774"</definedName>
    <definedName name="IQ_EST_CFPS_GROWTH_1YR_REUT">"c3878"</definedName>
    <definedName name="IQ_EST_CFPS_GROWTH_2YR">"c1775"</definedName>
    <definedName name="IQ_EST_CFPS_GROWTH_2YR_REUT">"c3879"</definedName>
    <definedName name="IQ_EST_CFPS_GROWTH_Q_1YR">"c1776"</definedName>
    <definedName name="IQ_EST_CFPS_GROWTH_Q_1YR_REUT">"c3880"</definedName>
    <definedName name="IQ_EST_CFPS_SEQ_GROWTH_Q">"c1777"</definedName>
    <definedName name="IQ_EST_CFPS_SEQ_GROWTH_Q_REUT">"c3881"</definedName>
    <definedName name="IQ_EST_CFPS_SURPRISE_PERCENT">"c1872"</definedName>
    <definedName name="IQ_EST_CFPS_SURPRISE_PERCENT_REUT">"c3893"</definedName>
    <definedName name="IQ_EST_CURRENCY">"c2140"</definedName>
    <definedName name="IQ_EST_CURRENCY_REUT">"c5437"</definedName>
    <definedName name="IQ_EST_DATE">"c1634"</definedName>
    <definedName name="IQ_EST_DATE_REUT">"c5438"</definedName>
    <definedName name="IQ_EST_DISTRIBUTABLE_CASH_DIFF">"c4276"</definedName>
    <definedName name="IQ_EST_DISTRIBUTABLE_CASH_GROWTH_1YR">"c4413"</definedName>
    <definedName name="IQ_EST_DISTRIBUTABLE_CASH_GROWTH_2YR">"c4414"</definedName>
    <definedName name="IQ_EST_DISTRIBUTABLE_CASH_GROWTH_Q_1YR">"c4415"</definedName>
    <definedName name="IQ_EST_DISTRIBUTABLE_CASH_SEQ_GROWTH_Q">"c4416"</definedName>
    <definedName name="IQ_EST_DISTRIBUTABLE_CASH_SHARE_DIFF">"c4284"</definedName>
    <definedName name="IQ_EST_DISTRIBUTABLE_CASH_SHARE_GROWTH_1YR">"c4417"</definedName>
    <definedName name="IQ_EST_DISTRIBUTABLE_CASH_SHARE_GROWTH_2YR">"c4418"</definedName>
    <definedName name="IQ_EST_DISTRIBUTABLE_CASH_SHARE_GROWTH_Q_1YR">"c4419"</definedName>
    <definedName name="IQ_EST_DISTRIBUTABLE_CASH_SHARE_SEQ_GROWTH_Q">"c4420"</definedName>
    <definedName name="IQ_EST_DISTRIBUTABLE_CASH_SHARE_SURPRISE_PERCENT">"c4293"</definedName>
    <definedName name="IQ_EST_DISTRIBUTABLE_CASH_SURPRISE_PERCENT">"c4295"</definedName>
    <definedName name="IQ_EST_DPS_DIFF">"c1873"</definedName>
    <definedName name="IQ_EST_DPS_DIFF_REUT">"c3894"</definedName>
    <definedName name="IQ_EST_DPS_GROWTH_1YR">"c1778"</definedName>
    <definedName name="IQ_EST_DPS_GROWTH_1YR_REUT">"c3882"</definedName>
    <definedName name="IQ_EST_DPS_GROWTH_2YR">"c1779"</definedName>
    <definedName name="IQ_EST_DPS_GROWTH_2YR_REUT">"c3883"</definedName>
    <definedName name="IQ_EST_DPS_GROWTH_Q_1YR">"c1780"</definedName>
    <definedName name="IQ_EST_DPS_GROWTH_Q_1YR_REUT">"c3884"</definedName>
    <definedName name="IQ_EST_DPS_SEQ_GROWTH_Q">"c1781"</definedName>
    <definedName name="IQ_EST_DPS_SEQ_GROWTH_Q_REUT">"c3885"</definedName>
    <definedName name="IQ_EST_DPS_SURPRISE_PERCENT">"c1874"</definedName>
    <definedName name="IQ_EST_DPS_SURPRISE_PERCENT_REUT">"c3895"</definedName>
    <definedName name="IQ_EST_EBIT_DIFF">"c1875"</definedName>
    <definedName name="IQ_EST_EBIT_DIFF_REUT">"c5413"</definedName>
    <definedName name="IQ_EST_EBIT_GW_DIFF">"c4304"</definedName>
    <definedName name="IQ_EST_EBIT_GW_SURPRISE_PERCENT">"c4313"</definedName>
    <definedName name="IQ_EST_EBIT_SBC_DIFF">"c4314"</definedName>
    <definedName name="IQ_EST_EBIT_SBC_GW_DIFF">"c4318"</definedName>
    <definedName name="IQ_EST_EBIT_SBC_GW_SURPRISE_PERCENT">"c4327"</definedName>
    <definedName name="IQ_EST_EBIT_SBC_SURPRISE_PERCENT">"c4333"</definedName>
    <definedName name="IQ_EST_EBIT_SURPRISE_PERCENT">"c1876"</definedName>
    <definedName name="IQ_EST_EBIT_SURPRISE_PERCENT_REUT">"c5414"</definedName>
    <definedName name="IQ_EST_EBITDA_DIFF">"c1867"</definedName>
    <definedName name="IQ_EST_EBITDA_DIFF_REUT">"c3888"</definedName>
    <definedName name="IQ_EST_EBITDA_GROWTH_1YR">"c1766"</definedName>
    <definedName name="IQ_EST_EBITDA_GROWTH_1YR_REUT">"c3864"</definedName>
    <definedName name="IQ_EST_EBITDA_GROWTH_2YR">"c1767"</definedName>
    <definedName name="IQ_EST_EBITDA_GROWTH_2YR_REUT">"c3865"</definedName>
    <definedName name="IQ_EST_EBITDA_GROWTH_Q_1YR">"c1768"</definedName>
    <definedName name="IQ_EST_EBITDA_GROWTH_Q_1YR_REUT">"c3866"</definedName>
    <definedName name="IQ_EST_EBITDA_SBC_DIFF">"c4335"</definedName>
    <definedName name="IQ_EST_EBITDA_SBC_SURPRISE_PERCENT">"c4344"</definedName>
    <definedName name="IQ_EST_EBITDA_SEQ_GROWTH_Q">"c1769"</definedName>
    <definedName name="IQ_EST_EBITDA_SEQ_GROWTH_Q_REUT">"c3867"</definedName>
    <definedName name="IQ_EST_EBITDA_SURPRISE_PERCENT">"c1868"</definedName>
    <definedName name="IQ_EST_EBITDA_SURPRISE_PERCENT_REUT">"c3889"</definedName>
    <definedName name="IQ_EST_EBT_SBC_DIFF">"c4348"</definedName>
    <definedName name="IQ_EST_EBT_SBC_GW_DIFF">"c4352"</definedName>
    <definedName name="IQ_EST_EBT_SBC_GW_SURPRISE_PERCENT">"c4361"</definedName>
    <definedName name="IQ_EST_EBT_SBC_SURPRISE_PERCENT">"c4367"</definedName>
    <definedName name="IQ_EST_EPS_DIFF">"c1864"</definedName>
    <definedName name="IQ_EST_EPS_DIFF_REUT">"c5458"</definedName>
    <definedName name="IQ_EST_EPS_GROWTH_1YR">"c1636"</definedName>
    <definedName name="IQ_EST_EPS_GROWTH_1YR_REUT">"c3646"</definedName>
    <definedName name="IQ_EST_EPS_GROWTH_2YR">"c1637"</definedName>
    <definedName name="IQ_EST_EPS_GROWTH_2YR_REUT">"c3858"</definedName>
    <definedName name="IQ_EST_EPS_GROWTH_5YR">"c1655"</definedName>
    <definedName name="IQ_EST_EPS_GROWTH_5YR_BOTTOM_UP">"c5487"</definedName>
    <definedName name="IQ_EST_EPS_GROWTH_5YR_BOTTOM_UP_REUT">"c5495"</definedName>
    <definedName name="IQ_EST_EPS_GROWTH_5YR_HIGH">"c1657"</definedName>
    <definedName name="IQ_EST_EPS_GROWTH_5YR_HIGH_REUT">"c5322"</definedName>
    <definedName name="IQ_EST_EPS_GROWTH_5YR_LOW">"c1658"</definedName>
    <definedName name="IQ_EST_EPS_GROWTH_5YR_LOW_REUT">"c5323"</definedName>
    <definedName name="IQ_EST_EPS_GROWTH_5YR_MEDIAN">"c1656"</definedName>
    <definedName name="IQ_EST_EPS_GROWTH_5YR_MEDIAN_REUT">"c5321"</definedName>
    <definedName name="IQ_EST_EPS_GROWTH_5YR_NUM">"c1659"</definedName>
    <definedName name="IQ_EST_EPS_GROWTH_5YR_NUM_REUT">"c5324"</definedName>
    <definedName name="IQ_EST_EPS_GROWTH_5YR_REUT">"c3633"</definedName>
    <definedName name="IQ_EST_EPS_GROWTH_5YR_STDDEV">"c1660"</definedName>
    <definedName name="IQ_EST_EPS_GROWTH_5YR_STDDEV_REUT">"c5325"</definedName>
    <definedName name="IQ_EST_EPS_GROWTH_Q_1YR">"c1641"</definedName>
    <definedName name="IQ_EST_EPS_GROWTH_Q_1YR_REUT">"c5410"</definedName>
    <definedName name="IQ_EST_EPS_GW_DIFF">"c1891"</definedName>
    <definedName name="IQ_EST_EPS_GW_DIFF_REUT">"c5429"</definedName>
    <definedName name="IQ_EST_EPS_GW_SURPRISE_PERCENT">"c1892"</definedName>
    <definedName name="IQ_EST_EPS_GW_SURPRISE_PERCENT_REUT">"c5430"</definedName>
    <definedName name="IQ_EST_EPS_NORM_DIFF">"c2247"</definedName>
    <definedName name="IQ_EST_EPS_NORM_DIFF_REUT">"c5411"</definedName>
    <definedName name="IQ_EST_EPS_NORM_SURPRISE_PERCENT">"c2248"</definedName>
    <definedName name="IQ_EST_EPS_NORM_SURPRISE_PERCENT_REUT">"c5412"</definedName>
    <definedName name="IQ_EST_EPS_REPORT_DIFF">"c1893"</definedName>
    <definedName name="IQ_EST_EPS_REPORT_DIFF_REUT">"c5431"</definedName>
    <definedName name="IQ_EST_EPS_REPORT_SURPRISE_PERCENT">"c1894"</definedName>
    <definedName name="IQ_EST_EPS_REPORT_SURPRISE_PERCENT_REUT">"c5432"</definedName>
    <definedName name="IQ_EST_EPS_SBC_DIFF">"c4374"</definedName>
    <definedName name="IQ_EST_EPS_SBC_GW_DIFF">"c4378"</definedName>
    <definedName name="IQ_EST_EPS_SBC_GW_SURPRISE_PERCENT">"c4387"</definedName>
    <definedName name="IQ_EST_EPS_SBC_SURPRISE_PERCENT">"c4393"</definedName>
    <definedName name="IQ_EST_EPS_SEQ_GROWTH_Q">"c1764"</definedName>
    <definedName name="IQ_EST_EPS_SEQ_GROWTH_Q_REUT">"c3859"</definedName>
    <definedName name="IQ_EST_EPS_SURPRISE">"c1635"</definedName>
    <definedName name="IQ_EST_EPS_SURPRISE_PERCENT">"c1635"</definedName>
    <definedName name="IQ_EST_EPS_SURPRISE_PERCENT_REUT">"c5459"</definedName>
    <definedName name="IQ_EST_FFO_ADJ_DIFF">"c4433"</definedName>
    <definedName name="IQ_EST_FFO_ADJ_GROWTH_1YR">"c4421"</definedName>
    <definedName name="IQ_EST_FFO_ADJ_GROWTH_2YR">"c4422"</definedName>
    <definedName name="IQ_EST_FFO_ADJ_GROWTH_Q_1YR">"c4423"</definedName>
    <definedName name="IQ_EST_FFO_ADJ_SEQ_GROWTH_Q">"c4424"</definedName>
    <definedName name="IQ_EST_FFO_ADJ_SURPRISE_PERCENT">"c4442"</definedName>
    <definedName name="IQ_EST_FFO_DIFF">"c1869"</definedName>
    <definedName name="IQ_EST_FFO_DIFF_REUT">"c3890"</definedName>
    <definedName name="IQ_EST_FFO_GROWTH_1YR">"c1770"</definedName>
    <definedName name="IQ_EST_FFO_GROWTH_1YR_REUT">"c3874"</definedName>
    <definedName name="IQ_EST_FFO_GROWTH_2YR">"c1771"</definedName>
    <definedName name="IQ_EST_FFO_GROWTH_2YR_REUT">"c3875"</definedName>
    <definedName name="IQ_EST_FFO_GROWTH_Q_1YR">"c1772"</definedName>
    <definedName name="IQ_EST_FFO_GROWTH_Q_1YR_REUT">"c3876"</definedName>
    <definedName name="IQ_EST_FFO_SEQ_GROWTH_Q">"c1773"</definedName>
    <definedName name="IQ_EST_FFO_SEQ_GROWTH_Q_REUT">"c3877"</definedName>
    <definedName name="IQ_EST_FFO_SHARE_DIFF">"c4444"</definedName>
    <definedName name="IQ_EST_FFO_SHARE_GROWTH_1YR">"c4425"</definedName>
    <definedName name="IQ_EST_FFO_SHARE_GROWTH_2YR">"c4426"</definedName>
    <definedName name="IQ_EST_FFO_SHARE_GROWTH_Q_1YR">"c4427"</definedName>
    <definedName name="IQ_EST_FFO_SHARE_SEQ_GROWTH_Q">"c4428"</definedName>
    <definedName name="IQ_EST_FFO_SHARE_SURPRISE_PERCENT">"c4453"</definedName>
    <definedName name="IQ_EST_FFO_SURPRISE_PERCENT">"c1870"</definedName>
    <definedName name="IQ_EST_FFO_SURPRISE_PERCENT_REUT">"c3891"</definedName>
    <definedName name="IQ_EST_FOOTNOTE">"c4540"</definedName>
    <definedName name="IQ_EST_FOOTNOTE_REUT">"c5478"</definedName>
    <definedName name="IQ_EST_MAINT_CAPEX_DIFF">"c4456"</definedName>
    <definedName name="IQ_EST_MAINT_CAPEX_GROWTH_1YR">"c4429"</definedName>
    <definedName name="IQ_EST_MAINT_CAPEX_GROWTH_2YR">"c4430"</definedName>
    <definedName name="IQ_EST_MAINT_CAPEX_GROWTH_Q_1YR">"c4431"</definedName>
    <definedName name="IQ_EST_MAINT_CAPEX_SEQ_GROWTH_Q">"c4432"</definedName>
    <definedName name="IQ_EST_MAINT_CAPEX_SURPRISE_PERCENT">"c4465"</definedName>
    <definedName name="IQ_EST_NAV_DIFF">"c1895"</definedName>
    <definedName name="IQ_EST_NAV_SURPRISE_PERCENT">"c1896"</definedName>
    <definedName name="IQ_EST_NET_DEBT_DIFF">"c4466"</definedName>
    <definedName name="IQ_EST_NET_DEBT_SURPRISE_PERCENT">"c4468"</definedName>
    <definedName name="IQ_EST_NI_DIFF">"c1885"</definedName>
    <definedName name="IQ_EST_NI_DIFF_REUT">"c5423"</definedName>
    <definedName name="IQ_EST_NI_GW_DIFF">"c1887"</definedName>
    <definedName name="IQ_EST_NI_GW_DIFF_REUT">"c5425"</definedName>
    <definedName name="IQ_EST_NI_GW_SURPRISE_PERCENT">"c1888"</definedName>
    <definedName name="IQ_EST_NI_GW_SURPRISE_PERCENT_REUT">"c5426"</definedName>
    <definedName name="IQ_EST_NI_REPORT_DIFF">"c1889"</definedName>
    <definedName name="IQ_EST_NI_REPORT_DIFF_REUT">"c5427"</definedName>
    <definedName name="IQ_EST_NI_REPORT_SURPRISE_PERCENT">"c1890"</definedName>
    <definedName name="IQ_EST_NI_REPORT_SURPRISE_PERCENT_REUT">"c5428"</definedName>
    <definedName name="IQ_EST_NI_SBC_DIFF">"c4472"</definedName>
    <definedName name="IQ_EST_NI_SBC_GW_DIFF">"c4476"</definedName>
    <definedName name="IQ_EST_NI_SBC_GW_SURPRISE_PERCENT">"c4485"</definedName>
    <definedName name="IQ_EST_NI_SBC_SURPRISE_PERCENT">"c4491"</definedName>
    <definedName name="IQ_EST_NI_SURPRISE_PERCENT">"c1886"</definedName>
    <definedName name="IQ_EST_NI_SURPRISE_PERCENT_REUT">"c5424"</definedName>
    <definedName name="IQ_EST_NUM_BUY">"c1759"</definedName>
    <definedName name="IQ_EST_NUM_BUY_REUT">"c3869"</definedName>
    <definedName name="IQ_EST_NUM_HOLD">"c1761"</definedName>
    <definedName name="IQ_EST_NUM_HOLD_REUT">"c3871"</definedName>
    <definedName name="IQ_EST_NUM_NO_OPINION">"c1758"</definedName>
    <definedName name="IQ_EST_NUM_NO_OPINION_REUT">"c3868"</definedName>
    <definedName name="IQ_EST_NUM_OUTPERFORM">"c1760"</definedName>
    <definedName name="IQ_EST_NUM_OUTPERFORM_REUT">"c3870"</definedName>
    <definedName name="IQ_EST_NUM_SELL">"c1763"</definedName>
    <definedName name="IQ_EST_NUM_SELL_REUT">"c3873"</definedName>
    <definedName name="IQ_EST_NUM_UNDERPERFORM">"c1762"</definedName>
    <definedName name="IQ_EST_NUM_UNDERPERFORM_REUT">"c3872"</definedName>
    <definedName name="IQ_EST_OPER_INC_DIFF">"c1877"</definedName>
    <definedName name="IQ_EST_OPER_INC_DIFF_REUT">"c5415"</definedName>
    <definedName name="IQ_EST_OPER_INC_SURPRISE_PERCENT">"c1878"</definedName>
    <definedName name="IQ_EST_OPER_INC_SURPRISE_PERCENT_REUT">"c5416"</definedName>
    <definedName name="IQ_EST_PRE_TAX_DIFF">"c1879"</definedName>
    <definedName name="IQ_EST_PRE_TAX_DIFF_REUT">"c5417"</definedName>
    <definedName name="IQ_EST_PRE_TAX_GW_DIFF">"c1881"</definedName>
    <definedName name="IQ_EST_PRE_TAX_GW_DIFF_REUT">"c5419"</definedName>
    <definedName name="IQ_EST_PRE_TAX_GW_SURPRISE_PERCENT">"c1882"</definedName>
    <definedName name="IQ_EST_PRE_TAX_GW_SURPRISE_PERCENT_REUT">"c5420"</definedName>
    <definedName name="IQ_EST_PRE_TAX_REPORT_DIFF">"c1883"</definedName>
    <definedName name="IQ_EST_PRE_TAX_REPORT_DIFF_REUT">"c5421"</definedName>
    <definedName name="IQ_EST_PRE_TAX_REPORT_SURPRISE_PERCENT">"c1884"</definedName>
    <definedName name="IQ_EST_PRE_TAX_REPORT_SURPRISE_PERCENT_REUT">"c5422"</definedName>
    <definedName name="IQ_EST_PRE_TAX_SURPRISE_PERCENT">"c1880"</definedName>
    <definedName name="IQ_EST_PRE_TAX_SURPRISE_PERCENT_REUT">"c5418"</definedName>
    <definedName name="IQ_EST_RECURRING_PROFIT_SHARE_DIFF">"c4505"</definedName>
    <definedName name="IQ_EST_RECURRING_PROFIT_SHARE_SURPRISE_PERCENT">"c4515"</definedName>
    <definedName name="IQ_EST_REV_DIFF">"c1865"</definedName>
    <definedName name="IQ_EST_REV_DIFF_REUT">"c3886"</definedName>
    <definedName name="IQ_EST_REV_GROWTH_1YR">"c1638"</definedName>
    <definedName name="IQ_EST_REV_GROWTH_1YR_REUT">"c3860"</definedName>
    <definedName name="IQ_EST_REV_GROWTH_2YR">"c1639"</definedName>
    <definedName name="IQ_EST_REV_GROWTH_2YR_REUT">"c3861"</definedName>
    <definedName name="IQ_EST_REV_GROWTH_Q_1YR">"c1640"</definedName>
    <definedName name="IQ_EST_REV_GROWTH_Q_1YR_REUT">"c3862"</definedName>
    <definedName name="IQ_EST_REV_SEQ_GROWTH_Q">"c1765"</definedName>
    <definedName name="IQ_EST_REV_SEQ_GROWTH_Q_REUT">"c3863"</definedName>
    <definedName name="IQ_EST_REV_SURPRISE_PERCENT">"c1866"</definedName>
    <definedName name="IQ_EST_REV_SURPRISE_PERCENT_REUT">"c3887"</definedName>
    <definedName name="IQ_EST_VENDOR">"c5564"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VAL_DATE">"c2180"</definedName>
    <definedName name="IQ_EXCHANGE">"c405"</definedName>
    <definedName name="IQ_EXCISE_TAXES_EXCL_SALES">"c5515"</definedName>
    <definedName name="IQ_EXCISE_TAXES_INCL_SALES">"c5514"</definedName>
    <definedName name="IQ_EXERCISE_PRICE">"c1897"</definedName>
    <definedName name="IQ_EXERCISED">"c406"</definedName>
    <definedName name="IQ_EXP_RETTRN_PENSION_FOREIGN">"c408"</definedName>
    <definedName name="IQ_EXP_RETURN_PENSION_DOMESTIC">"c407"</definedName>
    <definedName name="IQ_EXP_RETURN_PENSION_FOREIGN">"c408"</definedName>
    <definedName name="IQ_EXPLORE_DRILL">"c409"</definedName>
    <definedName name="IQ_EXTRA_ACC_ATEMS_BR">"c412"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"c1459"</definedName>
    <definedName name="IQ_FDIC">"c417"</definedName>
    <definedName name="IQ_FEDFUNDS_SOLD">"c2256"</definedName>
    <definedName name="IQ_FFO">"c1574"</definedName>
    <definedName name="IQ_FFO_ACT_OR_EST">"c2216"</definedName>
    <definedName name="IQ_FFO_ADJ_ACT_OR_EST">"c4435"</definedName>
    <definedName name="IQ_FFO_ADJ_EST">"c4434"</definedName>
    <definedName name="IQ_FFO_ADJ_GUIDANCE">"c4436"</definedName>
    <definedName name="IQ_FFO_ADJ_HIGH_EST">"c4437"</definedName>
    <definedName name="IQ_FFO_ADJ_HIGH_GUIDANCE">"c4202"</definedName>
    <definedName name="IQ_FFO_ADJ_LOW_EST">"c4438"</definedName>
    <definedName name="IQ_FFO_ADJ_LOW_GUIDANCE">"c4242"</definedName>
    <definedName name="IQ_FFO_ADJ_MEDIAN_EST">"c4439"</definedName>
    <definedName name="IQ_FFO_ADJ_NUM_EST">"c4440"</definedName>
    <definedName name="IQ_FFO_ADJ_STDDEV_EST">"c4441"</definedName>
    <definedName name="IQ_FFO_EST">"c418"</definedName>
    <definedName name="IQ_FFO_EST_REUT">"c3837"</definedName>
    <definedName name="IQ_FFO_GUIDANCE">"c4443"</definedName>
    <definedName name="IQ_FFO_HIGH_EST">"c419"</definedName>
    <definedName name="IQ_FFO_HIGH_EST_REUT">"c3839"</definedName>
    <definedName name="IQ_FFO_HIGH_GUIDANCE">"c4184"</definedName>
    <definedName name="IQ_FFO_LOW_EST">"c420"</definedName>
    <definedName name="IQ_FFO_LOW_EST_REUT">"c3840"</definedName>
    <definedName name="IQ_FFO_LOW_GUIDANCE">"c4224"</definedName>
    <definedName name="IQ_FFO_MEDIAN_EST">"c1665"</definedName>
    <definedName name="IQ_FFO_MEDIAN_EST_REUT">"c3838"</definedName>
    <definedName name="IQ_FFO_NUM_EST">"c421"</definedName>
    <definedName name="IQ_FFO_NUM_EST_REUT">"c3841"</definedName>
    <definedName name="IQ_FFO_PAYOUT_RATIO">"c3492"</definedName>
    <definedName name="IQ_FFO_SHARE_ACT_OR_EST">"c4446"</definedName>
    <definedName name="IQ_FFO_SHARE_EST">"c4445"</definedName>
    <definedName name="IQ_FFO_SHARE_GUIDANCE">"c4447"</definedName>
    <definedName name="IQ_FFO_SHARE_HIGH_EST">"c4448"</definedName>
    <definedName name="IQ_FFO_SHARE_HIGH_GUIDANCE">"c4203"</definedName>
    <definedName name="IQ_FFO_SHARE_LOW_EST">"c4449"</definedName>
    <definedName name="IQ_FFO_SHARE_LOW_GUIDANCE">"c4243"</definedName>
    <definedName name="IQ_FFO_SHARE_MEDIAN_EST">"c4450"</definedName>
    <definedName name="IQ_FFO_SHARE_NUM_EST">"c4451"</definedName>
    <definedName name="IQ_FFO_SHARE_STDDEV_EST">"c4452"</definedName>
    <definedName name="IQ_FFO_STDDEV_EST">"c422"</definedName>
    <definedName name="IQ_FFO_STDDEV_EST_REUT">"c3842"</definedName>
    <definedName name="IQ_FH">100000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HLB_DUE_NEXTVFIVE">"c2085"</definedName>
    <definedName name="IQ_FILING_CURRENCY">"c2129"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IV_ASSETS_CURRENT">"c427"</definedName>
    <definedName name="IQ_FIN_DIV_ASSETS_LT">"c428"</definedName>
    <definedName name="IQ_FIN_DIV_CURRENT_PORT_DEBT_TOTAL">"c5524"</definedName>
    <definedName name="IQ_FIN_DIV_CURRENT_PORT_LEASES_TOTAL">"c5523"</definedName>
    <definedName name="IQ_FIN_DIV_DEBT_CURRENT">"c429"</definedName>
    <definedName name="IQ_FIN_DIV_DEBT_LT">"c430"</definedName>
    <definedName name="IQ_FIN_DIV_DEBT_LT_TOTAL">"c5526"</definedName>
    <definedName name="IQ_FIN_DIV_EXP">"c431"</definedName>
    <definedName name="IQ_FIN_DIV_INT_EXP">"c432"</definedName>
    <definedName name="IQ_FIN_DIV_LEASES_LT_TOTAL">"c5525"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NOTES_PAY_TOTAL">"c5522"</definedName>
    <definedName name="IQ_FIN_DIV_REV">"c437"</definedName>
    <definedName name="IQ_FIN_DIV_ST_DEBT_TOTAL">"c5527"</definedName>
    <definedName name="IQ_FINANCING_CASH">"c1405"</definedName>
    <definedName name="IQ_FINANCING_CASH_SUPPL">"c1406"</definedName>
    <definedName name="IQ_FINISHED_INV">"c438"</definedName>
    <definedName name="IQ_FIRST_INT_DATE">"c2186"</definedName>
    <definedName name="IQ_FIRST_YEAR_LIFE">"c439"</definedName>
    <definedName name="IQ_FIRST_YEAR_LIFE_PREM">"c2787"</definedName>
    <definedName name="IQ_FIRST_YEAR_PREM">"c2786"</definedName>
    <definedName name="IQ_FIRSTPRICINGDATE">"c3050"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"c1376"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_EXP">"c2241"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OODWILL_NET">"c1380"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AH_EARNED">"c2742"</definedName>
    <definedName name="IQ_GROSS_CLAIM_EXP_INCUR">"c2755"</definedName>
    <definedName name="IQ_GROSS_CLAIM_EXP_PAID">"c2758"</definedName>
    <definedName name="IQ_GROSS_CLAIM_EXP_RES">"c2752"</definedName>
    <definedName name="IQ_GROSS_DIVID">"c1446"</definedName>
    <definedName name="IQ_GROSS_EARNED">"c2732"</definedName>
    <definedName name="IQ_GROSS_LIFE_EARNED">"c2737"</definedName>
    <definedName name="IQ_GROSS_LIFE_IN_FORCE">"c2767"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MARGIN_ACT_OR_EST">"c5554"</definedName>
    <definedName name="IQ_GROSS_MARGIN_EST">"c5547"</definedName>
    <definedName name="IQ_GROSS_MARGIN_HIGH_EST">"c5549"</definedName>
    <definedName name="IQ_GROSS_MARGIN_LOW_EST">"c5550"</definedName>
    <definedName name="IQ_GROSS_MARGIN_MEDIAN_EST">"c5548"</definedName>
    <definedName name="IQ_GROSS_MARGIN_NUM_EST">"c5551"</definedName>
    <definedName name="IQ_GROSS_MARGIN_STDDEV_EST">"c5552"</definedName>
    <definedName name="IQ_GROSS_PC_EARNED">"c2747"</definedName>
    <definedName name="IQ_GROSS_PROFIT">"c1378"</definedName>
    <definedName name="IQ_GROSS_SPRD">"c2155"</definedName>
    <definedName name="IQ_GROSS_WRITTEN">"c2726"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_TARGET_PRICE">"c1651"</definedName>
    <definedName name="IQ_HIGH_TARGET_PRICE_REUT">"c5317"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MPUT_OPER_LEASE_DEPR">"c2987"</definedName>
    <definedName name="IQ_IMPUT_OPER_LEASE_INT_EXP">"c2986"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DUSTRY">"c3601"</definedName>
    <definedName name="IQ_INDUSTRY_GROUP">"c3602"</definedName>
    <definedName name="IQ_INDUSTRY_SECTOR">"c3603"</definedName>
    <definedName name="IQ_INS_ANNUITY_LIAB">"c563"</definedName>
    <definedName name="IQ_INS_ANNUITY_REV">"c2788"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CL_CAP">"c2988"</definedName>
    <definedName name="IQ_INT_EXP_INS">"c589"</definedName>
    <definedName name="IQ_INT_EXP_LTD">"c2086"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"c1407"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NON">"c1384"</definedName>
    <definedName name="IQ_INTEREST_INVEST_INC">"c619"</definedName>
    <definedName name="IQ_INV_10YR_ANN_GROWTH">"c1930"</definedName>
    <definedName name="IQ_INV_1YR_ANN_GROWTH">"c1925"</definedName>
    <definedName name="IQ_INV_2YR_ANN_GROWTH">"c1926"</definedName>
    <definedName name="IQ_INV_3YR_ANN_GROWTH">"c1927"</definedName>
    <definedName name="IQ_INV_5YR_ANN_GROWTH">"c1928"</definedName>
    <definedName name="IQ_INV_7YR_ANN_GROWTH">"c1929"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GOV_SECURITY">"c5510"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MUNI_SECURITY">"c5512"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NVEST_SECURITY_SUPPL">"c5511"</definedName>
    <definedName name="IQ_IPRD">"c644"</definedName>
    <definedName name="IQ_ISS_DEBT_NET">"c1391"</definedName>
    <definedName name="IQ_ISS_STOCK_NET">"c1601"</definedName>
    <definedName name="IQ_ISSUE_CURRENCY">"c2156"</definedName>
    <definedName name="IQ_ISSUE_NAME">"c2142"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JR_SUB_DEBT">"c2534"</definedName>
    <definedName name="IQ_JR_SUB_DEBT_EBITDA">"c2560"</definedName>
    <definedName name="IQ_JR_SUB_DEBT_EBITDA_CAPEX">"c2561"</definedName>
    <definedName name="IQ_JR_SUB_DEBT_PCT">"c2535"</definedName>
    <definedName name="IQ_LAND">"c645"</definedName>
    <definedName name="IQ_LAST_PMT_DATE">"c2188"</definedName>
    <definedName name="IQ_LAST_SPLIT_DATE">"c2095"</definedName>
    <definedName name="IQ_LAST_SPLIT_FACTOR">"c2093"</definedName>
    <definedName name="IQ_LASTPRICINGDATE">"c3051"</definedName>
    <definedName name="IQ_LASTSALEPRICE">"c646"</definedName>
    <definedName name="IQ_LASTSALEPRICE_DATE">"c2109"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GROWTH">"c1942"</definedName>
    <definedName name="IQ_LFCF_1YR_ANN_GROWTH">"c1937"</definedName>
    <definedName name="IQ_LFCF_2YR_ANN_GROWTH">"c1938"</definedName>
    <definedName name="IQ_LFCF_3YR_ANN_GROWTH">"c1939"</definedName>
    <definedName name="IQ_LFCF_5YR_ANN_GROWTH">"c1940"</definedName>
    <definedName name="IQ_LFCF_7YR_ANN_GROWTH">"c1941"</definedName>
    <definedName name="IQ_LFCF_MARGIN">"c1961"</definedName>
    <definedName name="IQ_LH_STATUTORY_SURPLUS">"c2771"</definedName>
    <definedName name="IQ_LICENSED_POPS">"c2123"</definedName>
    <definedName name="IQ_LIFE_EARNED">"c2739"</definedName>
    <definedName name="IQ_LIFOR">"c655"</definedName>
    <definedName name="IQ_LL">"c656"</definedName>
    <definedName name="IQ_LOAN_LEASE_RECEIV">"c657"</definedName>
    <definedName name="IQ_LOAN_LOSS">"c1386"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LOSS_EXP">"c672"</definedName>
    <definedName name="IQ_LOSS_TO_NET_EARNED">"c2751"</definedName>
    <definedName name="IQ_LOW_TARGET_PRICE">"c1652"</definedName>
    <definedName name="IQ_LOW_TARGET_PRICE_REUT">"c5318"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CAPITAL_LEASES">"c2542"</definedName>
    <definedName name="IQ_LT_DEBT_CAPITAL_LEASES_PCT">"c2543"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"c1437"</definedName>
    <definedName name="IQ_LTMMONTH">120000</definedName>
    <definedName name="IQ_MACHINERY">"c711"</definedName>
    <definedName name="IQ_MAINT_CAPEX">"c2947"</definedName>
    <definedName name="IQ_MAINT_CAPEX_ACT_OR_EST">"c4458"</definedName>
    <definedName name="IQ_MAINT_CAPEX_EST">"c4457"</definedName>
    <definedName name="IQ_MAINT_CAPEX_GUIDANCE">"c4459"</definedName>
    <definedName name="IQ_MAINT_CAPEX_HIGH_EST">"c4460"</definedName>
    <definedName name="IQ_MAINT_CAPEX_HIGH_GUIDANCE">"c4197"</definedName>
    <definedName name="IQ_MAINT_CAPEX_LOW_EST">"c4461"</definedName>
    <definedName name="IQ_MAINT_CAPEX_LOW_GUIDANCE">"c4237"</definedName>
    <definedName name="IQ_MAINT_CAPEX_MEDIAN_EST">"c4462"</definedName>
    <definedName name="IQ_MAINT_CAPEX_NUM_EST">"c4463"</definedName>
    <definedName name="IQ_MAINT_CAPEX_STDDEV_EST">"c4464"</definedName>
    <definedName name="IQ_MAINT_REPAIR">"c2087"</definedName>
    <definedName name="IQ_MAKE_WHOLE_END_DATE">"c2493"</definedName>
    <definedName name="IQ_MAKE_WHOLE_SPREAD">"c2494"</definedName>
    <definedName name="IQ_MAKE_WHOLE_START_DATE">"c2492"</definedName>
    <definedName name="IQ_MARKET_CAP_LFCF">"c2209"</definedName>
    <definedName name="IQ_MARKETCAP">"c712"</definedName>
    <definedName name="IQ_MARKETING">"c2239"</definedName>
    <definedName name="IQ_MATURITY_DATE">"c2146"</definedName>
    <definedName name="IQ_MC_RATIO">"c2783"</definedName>
    <definedName name="IQ_MC_STATUTORY_SURPLUS">"c2772"</definedName>
    <definedName name="IQ_MEDIAN_TARGET_PRICE">"c1650"</definedName>
    <definedName name="IQ_MEDIAN_TARGET_PRICE_REUT">"c5316"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KTCAP_TOTAL_REV_FWD_REUT">"c4048"</definedName>
    <definedName name="IQ_MM_ACCOUNT">"c743"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SERV_RIGHTS">"c2242"</definedName>
    <definedName name="IQ_MTD">800000</definedName>
    <definedName name="IQ_NAMES_REVISION_DATE_">41014.5946875</definedName>
    <definedName name="IQ_NAV_ACT_OR_EST">"c2225"</definedName>
    <definedName name="IQ_NAV_EST">"c1751"</definedName>
    <definedName name="IQ_NAV_HIGH_EST">"c1753"</definedName>
    <definedName name="IQ_NAV_LOW_EST">"c1754"</definedName>
    <definedName name="IQ_NAV_MEDIAN_EST">"c1752"</definedName>
    <definedName name="IQ_NAV_NUM_EST">"c1755"</definedName>
    <definedName name="IQ_NAV_STDDEV_EST">"c1756"</definedName>
    <definedName name="IQ_NET_CHANGE">"c749"</definedName>
    <definedName name="IQ_NET_CLAIM_EXP_INCUR">"c2757"</definedName>
    <definedName name="IQ_NET_CLAIM_EXP_INCUR_CY">"c2761"</definedName>
    <definedName name="IQ_NET_CLAIM_EXP_INCUR_PY">"c2762"</definedName>
    <definedName name="IQ_NET_CLAIM_EXP_PAID">"c2760"</definedName>
    <definedName name="IQ_NET_CLAIM_EXP_PAID_CY">"c2763"</definedName>
    <definedName name="IQ_NET_CLAIM_EXP_PAID_PY">"c2764"</definedName>
    <definedName name="IQ_NET_CLAIM_EXP_RES">"c2754"</definedName>
    <definedName name="IQ_NET_DEBT">"c1584"</definedName>
    <definedName name="IQ_NET_DEBT_ACT_OR_EST">"c3583"</definedName>
    <definedName name="IQ_NET_DEBT_ACT_OR_EST_REUT">"c5473"</definedName>
    <definedName name="IQ_NET_DEBT_EBITDA">"c750"</definedName>
    <definedName name="IQ_NET_DEBT_EBITDA_CAPEX">"c2949"</definedName>
    <definedName name="IQ_NET_DEBT_EST">"c3517"</definedName>
    <definedName name="IQ_NET_DEBT_EST_REUT">"c3976"</definedName>
    <definedName name="IQ_NET_DEBT_GUIDANCE">"c4467"</definedName>
    <definedName name="IQ_NET_DEBT_HIGH_EST">"c3518"</definedName>
    <definedName name="IQ_NET_DEBT_HIGH_EST_REUT">"c3978"</definedName>
    <definedName name="IQ_NET_DEBT_HIGH_GUIDANCE">"c4181"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DEBT_LOW_EST">"c3519"</definedName>
    <definedName name="IQ_NET_DEBT_LOW_EST_REUT">"c3979"</definedName>
    <definedName name="IQ_NET_DEBT_LOW_GUIDANCE">"c4221"</definedName>
    <definedName name="IQ_NET_DEBT_MEDIAN_EST">"c3520"</definedName>
    <definedName name="IQ_NET_DEBT_MEDIAN_EST_REUT">"c3977"</definedName>
    <definedName name="IQ_NET_DEBT_NUM_EST">"c3515"</definedName>
    <definedName name="IQ_NET_DEBT_NUM_EST_REUT">"c3980"</definedName>
    <definedName name="IQ_NET_DEBT_STDDEV_EST">"c3516"</definedName>
    <definedName name="IQ_NET_DEBT_STDDEV_EST_REUT">"c3981"</definedName>
    <definedName name="IQ_NET_EARNED">"c2734"</definedName>
    <definedName name="IQ_NET_INC">"c1394"</definedName>
    <definedName name="IQ_NET_INC_BEFORE">"c1368"</definedName>
    <definedName name="IQ_NET_INC_CF">"c1397"</definedName>
    <definedName name="IQ_NET_INC_MARGIN">"c1398"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LIFE_INS_IN_FORCE">"c2769"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ET_TO_GROSS_EARNED">"c2750"</definedName>
    <definedName name="IQ_NET_TO_GROSS_WRITTEN">"c2729"</definedName>
    <definedName name="IQ_NET_WORKING_CAP">"c3493"</definedName>
    <definedName name="IQ_NET_WRITTEN">"c2728"</definedName>
    <definedName name="IQ_NEW_PREM">"c2785"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EXT_SINK_FUND_AMOUNT">"c2490"</definedName>
    <definedName name="IQ_NEXT_SINK_FUND_DATE">"c2489"</definedName>
    <definedName name="IQ_NEXT_SINK_FUND_PRICE">"c2491"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CT_OR_EST">"c2222"</definedName>
    <definedName name="IQ_NI_ACT_OR_EST_REUT">"c5468"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EST">"c1716"</definedName>
    <definedName name="IQ_NI_EST_REUT">"c5368"</definedName>
    <definedName name="IQ_NI_GAAP_GUIDANCE">"c4470"</definedName>
    <definedName name="IQ_NI_GAAP_HIGH_GUIDANCE">"c4177"</definedName>
    <definedName name="IQ_NI_GAAP_LOW_GUIDANCE">"c4217"</definedName>
    <definedName name="IQ_NI_GUIDANCE">"c4469"</definedName>
    <definedName name="IQ_NI_GW_EST">"c1723"</definedName>
    <definedName name="IQ_NI_GW_EST_REUT">"c5375"</definedName>
    <definedName name="IQ_NI_GW_GUIDANCE">"c4471"</definedName>
    <definedName name="IQ_NI_GW_HIGH_EST">"c1725"</definedName>
    <definedName name="IQ_NI_GW_HIGH_EST_REUT">"c5377"</definedName>
    <definedName name="IQ_NI_GW_HIGH_GUIDANCE">"c4178"</definedName>
    <definedName name="IQ_NI_GW_LOW_EST">"c1726"</definedName>
    <definedName name="IQ_NI_GW_LOW_EST_REUT">"c5378"</definedName>
    <definedName name="IQ_NI_GW_LOW_GUIDANCE">"c4218"</definedName>
    <definedName name="IQ_NI_GW_MEDIAN_EST">"c1724"</definedName>
    <definedName name="IQ_NI_GW_MEDIAN_EST_REUT">"c5376"</definedName>
    <definedName name="IQ_NI_GW_NUM_EST">"c1727"</definedName>
    <definedName name="IQ_NI_GW_NUM_EST_REUT">"c5379"</definedName>
    <definedName name="IQ_NI_GW_STDDEV_EST">"c1728"</definedName>
    <definedName name="IQ_NI_GW_STDDEV_EST_REUT">"c5380"</definedName>
    <definedName name="IQ_NI_HIGH_EST">"c1718"</definedName>
    <definedName name="IQ_NI_HIGH_EST_REUT">"c5370"</definedName>
    <definedName name="IQ_NI_HIGH_GUIDANCE">"c4176"</definedName>
    <definedName name="IQ_NI_LOW_EST">"c1719"</definedName>
    <definedName name="IQ_NI_LOW_EST_REUT">"c5371"</definedName>
    <definedName name="IQ_NI_LOW_GUIDANCE">"c4216"</definedName>
    <definedName name="IQ_NI_MARGIN">"c794"</definedName>
    <definedName name="IQ_NI_MEDIAN_EST">"c1717"</definedName>
    <definedName name="IQ_NI_MEDIAN_EST_REUT">"c5369"</definedName>
    <definedName name="IQ_NI_NORM">"c1901"</definedName>
    <definedName name="IQ_NI_NORM_10YR_ANN_GROWTH">"c1960"</definedName>
    <definedName name="IQ_NI_NORM_1YR_ANN_GROWTH">"c1955"</definedName>
    <definedName name="IQ_NI_NORM_2YR_ANN_GROWTH">"c1956"</definedName>
    <definedName name="IQ_NI_NORM_3YR_ANN_GROWTH">"c1957"</definedName>
    <definedName name="IQ_NI_NORM_5YR_ANN_GROWTH">"c1958"</definedName>
    <definedName name="IQ_NI_NORM_7YR_ANN_GROWTH">"c1959"</definedName>
    <definedName name="IQ_NI_NORM_MARGIN">"c1964"</definedName>
    <definedName name="IQ_NI_NUM_EST">"c1720"</definedName>
    <definedName name="IQ_NI_NUM_EST_REUT">"c5372"</definedName>
    <definedName name="IQ_NI_REPORTED_EST">"c1730"</definedName>
    <definedName name="IQ_NI_REPORTED_EST_REUT">"c5382"</definedName>
    <definedName name="IQ_NI_REPORTED_HIGH_EST">"c1732"</definedName>
    <definedName name="IQ_NI_REPORTED_HIGH_EST_REUT">"c5384"</definedName>
    <definedName name="IQ_NI_REPORTED_LOW_EST">"c1733"</definedName>
    <definedName name="IQ_NI_REPORTED_LOW_EST_REUT">"c5385"</definedName>
    <definedName name="IQ_NI_REPORTED_MEDIAN_EST">"c1731"</definedName>
    <definedName name="IQ_NI_REPORTED_MEDIAN_EST_REUT">"c5383"</definedName>
    <definedName name="IQ_NI_REPORTED_NUM_EST">"c1734"</definedName>
    <definedName name="IQ_NI_REPORTED_NUM_EST_REUT">"c5386"</definedName>
    <definedName name="IQ_NI_REPORTED_STDDEV_EST">"c1735"</definedName>
    <definedName name="IQ_NI_REPORTED_STDDEV_EST_REUT">"c5387"</definedName>
    <definedName name="IQ_NI_SBC_ACT_OR_EST">"c4474"</definedName>
    <definedName name="IQ_NI_SBC_EST">"c4473"</definedName>
    <definedName name="IQ_NI_SBC_GUIDANCE">"c4475"</definedName>
    <definedName name="IQ_NI_SBC_GW_ACT_OR_EST">"c4478"</definedName>
    <definedName name="IQ_NI_SBC_GW_EST">"c4477"</definedName>
    <definedName name="IQ_NI_SBC_GW_GUIDANCE">"c4479"</definedName>
    <definedName name="IQ_NI_SBC_GW_HIGH_EST">"c4480"</definedName>
    <definedName name="IQ_NI_SBC_GW_HIGH_GUIDANCE">"c4187"</definedName>
    <definedName name="IQ_NI_SBC_GW_LOW_EST">"c4481"</definedName>
    <definedName name="IQ_NI_SBC_GW_LOW_GUIDANCE">"c4227"</definedName>
    <definedName name="IQ_NI_SBC_GW_MEDIAN_EST">"c4482"</definedName>
    <definedName name="IQ_NI_SBC_GW_NUM_EST">"c4483"</definedName>
    <definedName name="IQ_NI_SBC_GW_STDDEV_EST">"c4484"</definedName>
    <definedName name="IQ_NI_SBC_HIGH_EST">"c4486"</definedName>
    <definedName name="IQ_NI_SBC_HIGH_GUIDANCE">"c4186"</definedName>
    <definedName name="IQ_NI_SBC_LOW_EST">"c4487"</definedName>
    <definedName name="IQ_NI_SBC_LOW_GUIDANCE">"c4226"</definedName>
    <definedName name="IQ_NI_SBC_MEDIAN_EST">"c4488"</definedName>
    <definedName name="IQ_NI_SBC_NUM_EST">"c4489"</definedName>
    <definedName name="IQ_NI_SBC_STDDEV_EST">"c4490"</definedName>
    <definedName name="IQ_NI_SFAS">"c795"</definedName>
    <definedName name="IQ_NI_STDDEV_EST">"c1721"</definedName>
    <definedName name="IQ_NI_STDDEV_EST_REUT">"c5373"</definedName>
    <definedName name="IQ_NOL_CF_1YR">"c3465"</definedName>
    <definedName name="IQ_NOL_CF_2YR">"c3466"</definedName>
    <definedName name="IQ_NOL_CF_3YR">"c3467"</definedName>
    <definedName name="IQ_NOL_CF_4YR">"c3468"</definedName>
    <definedName name="IQ_NOL_CF_5YR">"c3469"</definedName>
    <definedName name="IQ_NOL_CF_AFTER_FIVE">"c3470"</definedName>
    <definedName name="IQ_NOL_CF_MAX_YEAR">"c3473"</definedName>
    <definedName name="IQ_NOL_CF_NO_EXP">"c3471"</definedName>
    <definedName name="IQ_NOL_CF_TOTAL">"c3472"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CASH_PENSION_EXP">"c3000"</definedName>
    <definedName name="IQ_NONRECOURSE_DEBT">"c2550"</definedName>
    <definedName name="IQ_NONRECOURSE_DEBT_PCT">"c2551"</definedName>
    <definedName name="IQ_NONUTIL_REV">"c2089"</definedName>
    <definedName name="IQ_NORM_EPS_ACT_OR_EST">"c2249"</definedName>
    <definedName name="IQ_NORM_EPS_ACT_OR_EST_REUT">"c5472"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SHAREHOLDERS">"c1967"</definedName>
    <definedName name="IQ_NUMBER_SHAREHOLDERS_CLASSA">"c1968"</definedName>
    <definedName name="IQ_NUMBER_SHAREHOLDERS_OTHER">"c1969"</definedName>
    <definedName name="IQ_OCCUPY_EXP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AVG_DAILY_PROD_GAS">"c2910"</definedName>
    <definedName name="IQ_OG_AVG_DAILY_PROD_NGL">"c2911"</definedName>
    <definedName name="IQ_OG_AVG_DAILY_PROD_OIL">"c2909"</definedName>
    <definedName name="IQ_OG_CLOSE_BALANCE_GAS">"c2049"</definedName>
    <definedName name="IQ_OG_CLOSE_BALANCE_NGL">"c2920"</definedName>
    <definedName name="IQ_OG_CLOSE_BALANCE_OIL">"c2037"</definedName>
    <definedName name="IQ_OG_DCF_BEFORE_TAXES">"c2023"</definedName>
    <definedName name="IQ_OG_DCF_BEFORE_TAXES_GAS">"c2025"</definedName>
    <definedName name="IQ_OG_DCF_BEFORE_TAXES_OIL">"c2024"</definedName>
    <definedName name="IQ_OG_DEVELOPED_RESERVES_GAS">"c2053"</definedName>
    <definedName name="IQ_OG_DEVELOPED_RESERVES_NGL">"c2922"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NGL">"c2921"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T_DISC_GAS">"c2043"</definedName>
    <definedName name="IQ_OG_EXT_DISC_NGL">"c2914"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IMPROVED_RECOVERY_GAS">"c2044"</definedName>
    <definedName name="IQ_OG_IMPROVED_RECOVERY_NGL">"c2915"</definedName>
    <definedName name="IQ_OG_IMPROVED_RECOVERY_OIL">"c2032"</definedName>
    <definedName name="IQ_OG_LIQUID_GAS_PRICE_HEDGED">"c2233"</definedName>
    <definedName name="IQ_OG_LIQUID_GAS_PRICE_UNHEDGED">"c2234"</definedName>
    <definedName name="IQ_OG_NET_FUTURE_CASH_FLOWS">"c1996"</definedName>
    <definedName name="IQ_OG_NET_FUTURE_CASH_FLOWS_GAS">"c2016"</definedName>
    <definedName name="IQ_OG_NET_FUTURE_CASH_FLOWS_OIL">"c2006"</definedName>
    <definedName name="IQ_OG_OIL_PRICE_HEDGED">"c2055"</definedName>
    <definedName name="IQ_OG_OIL_PRICE_UNHEDGED">"c2057"</definedName>
    <definedName name="IQ_OG_OPEN_BALANCE_GAS">"c2041"</definedName>
    <definedName name="IQ_OG_OPEN_BALANCE_NGL">"c2912"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NGL">"c2919"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NGL">"c2918"</definedName>
    <definedName name="IQ_OG_PRODUCTION_OIL">"c2035"</definedName>
    <definedName name="IQ_OG_PURCHASES_GAS">"c2045"</definedName>
    <definedName name="IQ_OG_PURCHASES_NGL">"c2916"</definedName>
    <definedName name="IQ_OG_PURCHASES_OIL">"c2033"</definedName>
    <definedName name="IQ_OG_REVISIONS_GAS">"c2042"</definedName>
    <definedName name="IQ_OG_REVISIONS_NGL">"c2913"</definedName>
    <definedName name="IQ_OG_REVISIONS_OIL">"c2030"</definedName>
    <definedName name="IQ_OG_SALES_IN_PLACE_GAS">"c2046"</definedName>
    <definedName name="IQ_OG_SALES_IN_PLACE_NGL">"c2917"</definedName>
    <definedName name="IQ_OG_SALES_IN_PLACE_OIL">"c2034"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PRODUCTION">"c2060"</definedName>
    <definedName name="IQ_OG_TOTAL_LIQUID_GAS_PRODUCTION">"c2235"</definedName>
    <definedName name="IQ_OG_TOTAL_OIL_PRODUCTION">"c2059"</definedName>
    <definedName name="IQ_OG_TOTAL_OIL_PRODUCTON">"c2059"</definedName>
    <definedName name="IQ_OG_UNDEVELOPED_RESERVES_GAS">"c2051"</definedName>
    <definedName name="IQ_OG_UNDEVELOPED_RESERVES_NGL">"c2923"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B_ACCRUED_LIAB">"c3308"</definedName>
    <definedName name="IQ_OPEB_ACCRUED_LIAB_DOM">"c3306"</definedName>
    <definedName name="IQ_OPEB_ACCRUED_LIAB_FOREIGN">"c3307"</definedName>
    <definedName name="IQ_OPEB_ACCUM_OTHER_CI">"c3314"</definedName>
    <definedName name="IQ_OPEB_ACCUM_OTHER_CI_DOM">"c3312"</definedName>
    <definedName name="IQ_OPEB_ACCUM_OTHER_CI_FOREIGN">"c3313"</definedName>
    <definedName name="IQ_OPEB_ASSETS">"c3356"</definedName>
    <definedName name="IQ_OPEB_ASSETS_ACQ">"c3347"</definedName>
    <definedName name="IQ_OPEB_ASSETS_ACQ_DOM">"c3345"</definedName>
    <definedName name="IQ_OPEB_ASSETS_ACQ_FOREIGN">"c3346"</definedName>
    <definedName name="IQ_OPEB_ASSETS_ACTUAL_RETURN">"c3332"</definedName>
    <definedName name="IQ_OPEB_ASSETS_ACTUAL_RETURN_DOM">"c3330"</definedName>
    <definedName name="IQ_OPEB_ASSETS_ACTUAL_RETURN_FOREIGN">"c3331"</definedName>
    <definedName name="IQ_OPEB_ASSETS_BEG">"c3329"</definedName>
    <definedName name="IQ_OPEB_ASSETS_BEG_DOM">"c3327"</definedName>
    <definedName name="IQ_OPEB_ASSETS_BEG_FOREIGN">"c3328"</definedName>
    <definedName name="IQ_OPEB_ASSETS_BENEFITS_PAID">"c3341"</definedName>
    <definedName name="IQ_OPEB_ASSETS_BENEFITS_PAID_DOM">"c3339"</definedName>
    <definedName name="IQ_OPEB_ASSETS_BENEFITS_PAID_FOREIGN">"c3340"</definedName>
    <definedName name="IQ_OPEB_ASSETS_CURTAIL">"c3350"</definedName>
    <definedName name="IQ_OPEB_ASSETS_CURTAIL_DOM">"c3348"</definedName>
    <definedName name="IQ_OPEB_ASSETS_CURTAIL_FOREIGN">"c3349"</definedName>
    <definedName name="IQ_OPEB_ASSETS_DOM">"c3354"</definedName>
    <definedName name="IQ_OPEB_ASSETS_EMPLOYER_CONTRIBUTIONS">"c3335"</definedName>
    <definedName name="IQ_OPEB_ASSETS_EMPLOYER_CONTRIBUTIONS_DOM">"c3333"</definedName>
    <definedName name="IQ_OPEB_ASSETS_EMPLOYER_CONTRIBUTIONS_FOREIGN">"c3334"</definedName>
    <definedName name="IQ_OPEB_ASSETS_FOREIGN">"c3355"</definedName>
    <definedName name="IQ_OPEB_ASSETS_FX_ADJ">"c3344"</definedName>
    <definedName name="IQ_OPEB_ASSETS_FX_ADJ_DOM">"c3342"</definedName>
    <definedName name="IQ_OPEB_ASSETS_FX_ADJ_FOREIGN">"c3343"</definedName>
    <definedName name="IQ_OPEB_ASSETS_OTHER_PLAN_ADJ">"c3353"</definedName>
    <definedName name="IQ_OPEB_ASSETS_OTHER_PLAN_ADJ_DOM">"c3351"</definedName>
    <definedName name="IQ_OPEB_ASSETS_OTHER_PLAN_ADJ_FOREIGN">"c3352"</definedName>
    <definedName name="IQ_OPEB_ASSETS_PARTICIP_CONTRIBUTIONS">"c3338"</definedName>
    <definedName name="IQ_OPEB_ASSETS_PARTICIP_CONTRIBUTIONS_DOM">"c3336"</definedName>
    <definedName name="IQ_OPEB_ASSETS_PARTICIP_CONTRIBUTIONS_FOREIGN">"c3337"</definedName>
    <definedName name="IQ_OPEB_BENEFIT_INFO_DATE">"c3410"</definedName>
    <definedName name="IQ_OPEB_BENEFIT_INFO_DATE_DOM">"c3408"</definedName>
    <definedName name="IQ_OPEB_BENEFIT_INFO_DATE_FOREIGN">"c3409"</definedName>
    <definedName name="IQ_OPEB_BREAKDOWN_EQ">"c3275"</definedName>
    <definedName name="IQ_OPEB_BREAKDOWN_EQ_DOM">"c3273"</definedName>
    <definedName name="IQ_OPEB_BREAKDOWN_EQ_FOREIGN">"c3274"</definedName>
    <definedName name="IQ_OPEB_BREAKDOWN_FI">"c3278"</definedName>
    <definedName name="IQ_OPEB_BREAKDOWN_FI_DOM">"c3276"</definedName>
    <definedName name="IQ_OPEB_BREAKDOWN_FI_FOREIGN">"c3277"</definedName>
    <definedName name="IQ_OPEB_BREAKDOWN_OTHER">"c3284"</definedName>
    <definedName name="IQ_OPEB_BREAKDOWN_OTHER_DOM">"c3282"</definedName>
    <definedName name="IQ_OPEB_BREAKDOWN_OTHER_FOREIGN">"c3283"</definedName>
    <definedName name="IQ_OPEB_BREAKDOWN_PCT_EQ">"c3263"</definedName>
    <definedName name="IQ_OPEB_BREAKDOWN_PCT_EQ_DOM">"c3261"</definedName>
    <definedName name="IQ_OPEB_BREAKDOWN_PCT_EQ_FOREIGN">"c3262"</definedName>
    <definedName name="IQ_OPEB_BREAKDOWN_PCT_FI">"c3266"</definedName>
    <definedName name="IQ_OPEB_BREAKDOWN_PCT_FI_DOM">"c3264"</definedName>
    <definedName name="IQ_OPEB_BREAKDOWN_PCT_FI_FOREIGN">"c3265"</definedName>
    <definedName name="IQ_OPEB_BREAKDOWN_PCT_OTHER">"c3272"</definedName>
    <definedName name="IQ_OPEB_BREAKDOWN_PCT_OTHER_DOM">"c3270"</definedName>
    <definedName name="IQ_OPEB_BREAKDOWN_PCT_OTHER_FOREIGN">"c3271"</definedName>
    <definedName name="IQ_OPEB_BREAKDOWN_PCT_RE">"c3269"</definedName>
    <definedName name="IQ_OPEB_BREAKDOWN_PCT_RE_DOM">"c3267"</definedName>
    <definedName name="IQ_OPEB_BREAKDOWN_PCT_RE_FOREIGN">"c3268"</definedName>
    <definedName name="IQ_OPEB_BREAKDOWN_RE">"c3281"</definedName>
    <definedName name="IQ_OPEB_BREAKDOWN_RE_DOM">"c3279"</definedName>
    <definedName name="IQ_OPEB_BREAKDOWN_RE_FOREIGN">"c3280"</definedName>
    <definedName name="IQ_OPEB_DECREASE_EFFECT_PBO">"c3458"</definedName>
    <definedName name="IQ_OPEB_DECREASE_EFFECT_PBO_DOM">"c3456"</definedName>
    <definedName name="IQ_OPEB_DECREASE_EFFECT_PBO_FOREIGN">"c3457"</definedName>
    <definedName name="IQ_OPEB_DECREASE_EFFECT_SERVICE_INT_COST">"c3455"</definedName>
    <definedName name="IQ_OPEB_DECREASE_EFFECT_SERVICE_INT_COST_DOM">"c3453"</definedName>
    <definedName name="IQ_OPEB_DECREASE_EFFECT_SERVICE_INT_COST_FOREIGN">"c3454"</definedName>
    <definedName name="IQ_OPEB_DISC_RATE_MAX">"c3422"</definedName>
    <definedName name="IQ_OPEB_DISC_RATE_MAX_DOM">"c3420"</definedName>
    <definedName name="IQ_OPEB_DISC_RATE_MAX_FOREIGN">"c3421"</definedName>
    <definedName name="IQ_OPEB_DISC_RATE_MIN">"c3419"</definedName>
    <definedName name="IQ_OPEB_DISC_RATE_MIN_DOM">"c3417"</definedName>
    <definedName name="IQ_OPEB_DISC_RATE_MIN_FOREIGN">"c3418"</definedName>
    <definedName name="IQ_OPEB_EST_BENEFIT_1YR">"c3287"</definedName>
    <definedName name="IQ_OPEB_EST_BENEFIT_1YR_DOM">"c3285"</definedName>
    <definedName name="IQ_OPEB_EST_BENEFIT_1YR_FOREIGN">"c3286"</definedName>
    <definedName name="IQ_OPEB_EST_BENEFIT_2YR">"c3290"</definedName>
    <definedName name="IQ_OPEB_EST_BENEFIT_2YR_DOM">"c3288"</definedName>
    <definedName name="IQ_OPEB_EST_BENEFIT_2YR_FOREIGN">"c3289"</definedName>
    <definedName name="IQ_OPEB_EST_BENEFIT_3YR">"c3293"</definedName>
    <definedName name="IQ_OPEB_EST_BENEFIT_3YR_DOM">"c3291"</definedName>
    <definedName name="IQ_OPEB_EST_BENEFIT_3YR_FOREIGN">"c3292"</definedName>
    <definedName name="IQ_OPEB_EST_BENEFIT_4YR">"c3296"</definedName>
    <definedName name="IQ_OPEB_EST_BENEFIT_4YR_DOM">"c3294"</definedName>
    <definedName name="IQ_OPEB_EST_BENEFIT_4YR_FOREIGN">"c3295"</definedName>
    <definedName name="IQ_OPEB_EST_BENEFIT_5YR">"c3299"</definedName>
    <definedName name="IQ_OPEB_EST_BENEFIT_5YR_DOM">"c3297"</definedName>
    <definedName name="IQ_OPEB_EST_BENEFIT_5YR_FOREIGN">"c3298"</definedName>
    <definedName name="IQ_OPEB_EST_BENEFIT_AFTER5">"c3302"</definedName>
    <definedName name="IQ_OPEB_EST_BENEFIT_AFTER5_DOM">"c3300"</definedName>
    <definedName name="IQ_OPEB_EST_BENEFIT_AFTER5_FOREIGN">"c3301"</definedName>
    <definedName name="IQ_OPEB_EXP_RATE_RETURN_MAX">"c3434"</definedName>
    <definedName name="IQ_OPEB_EXP_RATE_RETURN_MAX_DOM">"c3432"</definedName>
    <definedName name="IQ_OPEB_EXP_RATE_RETURN_MAX_FOREIGN">"c3433"</definedName>
    <definedName name="IQ_OPEB_EXP_RATE_RETURN_MIN">"c3431"</definedName>
    <definedName name="IQ_OPEB_EXP_RATE_RETURN_MIN_DOM">"c3429"</definedName>
    <definedName name="IQ_OPEB_EXP_RATE_RETURN_MIN_FOREIGN">"c3430"</definedName>
    <definedName name="IQ_OPEB_EXP_RETURN">"c3398"</definedName>
    <definedName name="IQ_OPEB_EXP_RETURN_DOM">"c3396"</definedName>
    <definedName name="IQ_OPEB_EXP_RETURN_FOREIGN">"c3397"</definedName>
    <definedName name="IQ_OPEB_HEALTH_COST_TREND_INITIAL">"c3413"</definedName>
    <definedName name="IQ_OPEB_HEALTH_COST_TREND_INITIAL_DOM">"c3411"</definedName>
    <definedName name="IQ_OPEB_HEALTH_COST_TREND_INITIAL_FOREIGN">"c3412"</definedName>
    <definedName name="IQ_OPEB_HEALTH_COST_TREND_ULTIMATE">"c3416"</definedName>
    <definedName name="IQ_OPEB_HEALTH_COST_TREND_ULTIMATE_DOM">"c3414"</definedName>
    <definedName name="IQ_OPEB_HEALTH_COST_TREND_ULTIMATE_FOREIGN">"c3415"</definedName>
    <definedName name="IQ_OPEB_INCREASE_EFFECT_PBO">"c3452"</definedName>
    <definedName name="IQ_OPEB_INCREASE_EFFECT_PBO_DOM">"c3450"</definedName>
    <definedName name="IQ_OPEB_INCREASE_EFFECT_PBO_FOREIGN">"c3451"</definedName>
    <definedName name="IQ_OPEB_INCREASE_EFFECT_SERVICE_INT_COST">"c3449"</definedName>
    <definedName name="IQ_OPEB_INCREASE_EFFECT_SERVICE_INT_COST_DOM">"c3447"</definedName>
    <definedName name="IQ_OPEB_INCREASE_EFFECT_SERVICE_INT_COST_FOREIGN">"c3448"</definedName>
    <definedName name="IQ_OPEB_INTAN_ASSETS">"c3311"</definedName>
    <definedName name="IQ_OPEB_INTAN_ASSETS_DOM">"c3309"</definedName>
    <definedName name="IQ_OPEB_INTAN_ASSETS_FOREIGN">"c3310"</definedName>
    <definedName name="IQ_OPEB_INTEREST_COST">"c3395"</definedName>
    <definedName name="IQ_OPEB_INTEREST_COST_DOM">"c3393"</definedName>
    <definedName name="IQ_OPEB_INTEREST_COST_FOREIGN">"c3394"</definedName>
    <definedName name="IQ_OPEB_NET_ASSET_RECOG">"c3326"</definedName>
    <definedName name="IQ_OPEB_NET_ASSET_RECOG_DOM">"c3324"</definedName>
    <definedName name="IQ_OPEB_NET_ASSET_RECOG_FOREIGN">"c3325"</definedName>
    <definedName name="IQ_OPEB_OBLIGATION_ACCUMULATED">"c3407"</definedName>
    <definedName name="IQ_OPEB_OBLIGATION_ACCUMULATED_DOM">"c3405"</definedName>
    <definedName name="IQ_OPEB_OBLIGATION_ACCUMULATED_FOREIGN">"c3406"</definedName>
    <definedName name="IQ_OPEB_OBLIGATION_ACQ">"c3380"</definedName>
    <definedName name="IQ_OPEB_OBLIGATION_ACQ_DOM">"c3378"</definedName>
    <definedName name="IQ_OPEB_OBLIGATION_ACQ_FOREIGN">"c3379"</definedName>
    <definedName name="IQ_OPEB_OBLIGATION_ACTUARIAL_GAIN_LOSS">"c3371"</definedName>
    <definedName name="IQ_OPEB_OBLIGATION_ACTUARIAL_GAIN_LOSS_DOM">"c3369"</definedName>
    <definedName name="IQ_OPEB_OBLIGATION_ACTUARIAL_GAIN_LOSS_FOREIGN">"c3370"</definedName>
    <definedName name="IQ_OPEB_OBLIGATION_BEG">"c3359"</definedName>
    <definedName name="IQ_OPEB_OBLIGATION_BEG_DOM">"c3357"</definedName>
    <definedName name="IQ_OPEB_OBLIGATION_BEG_FOREIGN">"c3358"</definedName>
    <definedName name="IQ_OPEB_OBLIGATION_CURTAIL">"c3383"</definedName>
    <definedName name="IQ_OPEB_OBLIGATION_CURTAIL_DOM">"c3381"</definedName>
    <definedName name="IQ_OPEB_OBLIGATION_CURTAIL_FOREIGN">"c3382"</definedName>
    <definedName name="IQ_OPEB_OBLIGATION_EMPLOYEE_CONTRIBUTIONS">"c3368"</definedName>
    <definedName name="IQ_OPEB_OBLIGATION_EMPLOYEE_CONTRIBUTIONS_DOM">"c3366"</definedName>
    <definedName name="IQ_OPEB_OBLIGATION_EMPLOYEE_CONTRIBUTIONS_FOREIGN">"c3367"</definedName>
    <definedName name="IQ_OPEB_OBLIGATION_FX_ADJ">"c3377"</definedName>
    <definedName name="IQ_OPEB_OBLIGATION_FX_ADJ_DOM">"c3375"</definedName>
    <definedName name="IQ_OPEB_OBLIGATION_FX_ADJ_FOREIGN">"c3376"</definedName>
    <definedName name="IQ_OPEB_OBLIGATION_INTEREST_COST">"c3365"</definedName>
    <definedName name="IQ_OPEB_OBLIGATION_INTEREST_COST_DOM">"c3363"</definedName>
    <definedName name="IQ_OPEB_OBLIGATION_INTEREST_COST_FOREIGN">"c3364"</definedName>
    <definedName name="IQ_OPEB_OBLIGATION_OTHER_PLAN_ADJ">"c3386"</definedName>
    <definedName name="IQ_OPEB_OBLIGATION_OTHER_PLAN_ADJ_DOM">"c3384"</definedName>
    <definedName name="IQ_OPEB_OBLIGATION_OTHER_PLAN_ADJ_FOREIGN">"c3385"</definedName>
    <definedName name="IQ_OPEB_OBLIGATION_PAID">"c3374"</definedName>
    <definedName name="IQ_OPEB_OBLIGATION_PAID_DOM">"c3372"</definedName>
    <definedName name="IQ_OPEB_OBLIGATION_PAID_FOREIGN">"c3373"</definedName>
    <definedName name="IQ_OPEB_OBLIGATION_PROJECTED">"c3389"</definedName>
    <definedName name="IQ_OPEB_OBLIGATION_PROJECTED_DOM">"c3387"</definedName>
    <definedName name="IQ_OPEB_OBLIGATION_PROJECTED_FOREIGN">"c3388"</definedName>
    <definedName name="IQ_OPEB_OBLIGATION_SERVICE_COST">"c3362"</definedName>
    <definedName name="IQ_OPEB_OBLIGATION_SERVICE_COST_DOM">"c3360"</definedName>
    <definedName name="IQ_OPEB_OBLIGATION_SERVICE_COST_FOREIGN">"c3361"</definedName>
    <definedName name="IQ_OPEB_OTHER">"c3317"</definedName>
    <definedName name="IQ_OPEB_OTHER_ADJ">"c3323"</definedName>
    <definedName name="IQ_OPEB_OTHER_ADJ_DOM">"c3321"</definedName>
    <definedName name="IQ_OPEB_OTHER_ADJ_FOREIGN">"c3322"</definedName>
    <definedName name="IQ_OPEB_OTHER_COST">"c3401"</definedName>
    <definedName name="IQ_OPEB_OTHER_COST_DOM">"c3399"</definedName>
    <definedName name="IQ_OPEB_OTHER_COST_FOREIGN">"c3400"</definedName>
    <definedName name="IQ_OPEB_OTHER_DOM">"c3315"</definedName>
    <definedName name="IQ_OPEB_OTHER_FOREIGN">"c3316"</definedName>
    <definedName name="IQ_OPEB_PBO_ASSUMED_RATE_RET_MAX">"c3440"</definedName>
    <definedName name="IQ_OPEB_PBO_ASSUMED_RATE_RET_MAX_DOM">"c3438"</definedName>
    <definedName name="IQ_OPEB_PBO_ASSUMED_RATE_RET_MAX_FOREIGN">"c3439"</definedName>
    <definedName name="IQ_OPEB_PBO_ASSUMED_RATE_RET_MIN">"c3437"</definedName>
    <definedName name="IQ_OPEB_PBO_ASSUMED_RATE_RET_MIN_DOM">"c3435"</definedName>
    <definedName name="IQ_OPEB_PBO_ASSUMED_RATE_RET_MIN_FOREIGN">"c3436"</definedName>
    <definedName name="IQ_OPEB_PBO_RATE_COMP_INCREASE_MAX">"c3446"</definedName>
    <definedName name="IQ_OPEB_PBO_RATE_COMP_INCREASE_MAX_DOM">"c3444"</definedName>
    <definedName name="IQ_OPEB_PBO_RATE_COMP_INCREASE_MAX_FOREIGN">"c3445"</definedName>
    <definedName name="IQ_OPEB_PBO_RATE_COMP_INCREASE_MIN">"c3443"</definedName>
    <definedName name="IQ_OPEB_PBO_RATE_COMP_INCREASE_MIN_DOM">"c3441"</definedName>
    <definedName name="IQ_OPEB_PBO_RATE_COMP_INCREASE_MIN_FOREIGN">"c3442"</definedName>
    <definedName name="IQ_OPEB_PREPAID_COST">"c3305"</definedName>
    <definedName name="IQ_OPEB_PREPAID_COST_DOM">"c3303"</definedName>
    <definedName name="IQ_OPEB_PREPAID_COST_FOREIGN">"c3304"</definedName>
    <definedName name="IQ_OPEB_RATE_COMP_INCREASE_MAX">"c3428"</definedName>
    <definedName name="IQ_OPEB_RATE_COMP_INCREASE_MAX_DOM">"c3426"</definedName>
    <definedName name="IQ_OPEB_RATE_COMP_INCREASE_MAX_FOREIGN">"c3427"</definedName>
    <definedName name="IQ_OPEB_RATE_COMP_INCREASE_MIN">"c3425"</definedName>
    <definedName name="IQ_OPEB_RATE_COMP_INCREASE_MIN_DOM">"c3423"</definedName>
    <definedName name="IQ_OPEB_RATE_COMP_INCREASE_MIN_FOREIGN">"c3424"</definedName>
    <definedName name="IQ_OPEB_SERVICE_COST">"c3392"</definedName>
    <definedName name="IQ_OPEB_SERVICE_COST_DOM">"c3390"</definedName>
    <definedName name="IQ_OPEB_SERVICE_COST_FOREIGN">"c3391"</definedName>
    <definedName name="IQ_OPEB_TOTAL_COST">"c3404"</definedName>
    <definedName name="IQ_OPEB_TOTAL_COST_DOM">"c3402"</definedName>
    <definedName name="IQ_OPEB_TOTAL_COST_FOREIGN">"c3403"</definedName>
    <definedName name="IQ_OPEB_UNRECOG_PRIOR">"c3320"</definedName>
    <definedName name="IQ_OPEB_UNRECOG_PRIOR_DOM">"c3318"</definedName>
    <definedName name="IQ_OPEB_UNRECOG_PRIOR_FOREIGN">"c3319"</definedName>
    <definedName name="IQ_OPENED55">1</definedName>
    <definedName name="IQ_OPENPRICE">"c848"</definedName>
    <definedName name="IQ_OPER_INC">"c849"</definedName>
    <definedName name="IQ_OPER_INC_ACT_OR_EST">"c2220"</definedName>
    <definedName name="IQ_OPER_INC_ACT_OR_EST_REUT">"c5466"</definedName>
    <definedName name="IQ_OPER_INC_BR">"c850"</definedName>
    <definedName name="IQ_OPER_INC_EST">"c1688"</definedName>
    <definedName name="IQ_OPER_INC_EST_REUT">"c5340"</definedName>
    <definedName name="IQ_OPER_INC_FIN">"c851"</definedName>
    <definedName name="IQ_OPER_INC_HIGH_EST">"c1690"</definedName>
    <definedName name="IQ_OPER_INC_HIGH_EST_REUT">"c5342"</definedName>
    <definedName name="IQ_OPER_INC_INS">"c852"</definedName>
    <definedName name="IQ_OPER_INC_LOW_EST">"c1691"</definedName>
    <definedName name="IQ_OPER_INC_LOW_EST_REUT">"c5343"</definedName>
    <definedName name="IQ_OPER_INC_MARGIN">"c1448"</definedName>
    <definedName name="IQ_OPER_INC_MEDIAN_EST">"c1689"</definedName>
    <definedName name="IQ_OPER_INC_MEDIAN_EST_REUT">"c5341"</definedName>
    <definedName name="IQ_OPER_INC_NUM_EST">"c1692"</definedName>
    <definedName name="IQ_OPER_INC_NUM_EST_REUT">"c5344"</definedName>
    <definedName name="IQ_OPER_INC_REIT">"c853"</definedName>
    <definedName name="IQ_OPER_INC_STDDEV_EST">"c1693"</definedName>
    <definedName name="IQ_OPER_INC_STDDEV_EST_REUT">"c5345"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ED">"c2116"</definedName>
    <definedName name="IQ_OPTIONS_GRANTED">"c2673"</definedName>
    <definedName name="IQ_OPTIONS_ISSUED">"c857"</definedName>
    <definedName name="IQ_OPTIONS_STRIKE_PRICE_GRANTED">"c2678"</definedName>
    <definedName name="IQ_OPTIONS_STRIKE_PRICE_OS">"c2677"</definedName>
    <definedName name="IQ_ORDER_BACKLOG">"c2090"</definedName>
    <definedName name="IQ_OTHER_ADJUST_GROSS_LOANS">"c859"</definedName>
    <definedName name="IQ_OTHER_AMORT">"c5563"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"c1403"</definedName>
    <definedName name="IQ_OTHER_CURRENT_LIAB">"c1404"</definedName>
    <definedName name="IQ_OTHER_DEBT">"c2507"</definedName>
    <definedName name="IQ_OTHER_DEBT_PCT">"c2508"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OPTIONS_BEG_OS">"c2686"</definedName>
    <definedName name="IQ_OTHER_OPTIONS_CANCELLED">"c2689"</definedName>
    <definedName name="IQ_OTHER_OPTIONS_END_OS">"c2690"</definedName>
    <definedName name="IQ_OTHER_OPTIONS_EXERCISED">"c2688"</definedName>
    <definedName name="IQ_OTHER_OPTIONS_GRANTED">"c2687"</definedName>
    <definedName name="IQ_OTHER_OPTIONS_STRIKE_PRICE_OS">"c2691"</definedName>
    <definedName name="IQ_OTHER_OUTSTANDING_BS_DATE">"c1972"</definedName>
    <definedName name="IQ_OTHER_OUTSTANDING_FILING_DATE">"c1974"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STRIKE_PRICE_GRANTED">"c2692"</definedName>
    <definedName name="IQ_OTHER_UNDRAWN">"c2522"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THER_WARRANTS_BEG_OS">"c2712"</definedName>
    <definedName name="IQ_OTHER_WARRANTS_CANCELLED">"c2715"</definedName>
    <definedName name="IQ_OTHER_WARRANTS_END_OS">"c2716"</definedName>
    <definedName name="IQ_OTHER_WARRANTS_EXERCISED">"c2714"</definedName>
    <definedName name="IQ_OTHER_WARRANTS_ISSUED">"c2713"</definedName>
    <definedName name="IQ_OTHER_WARRANTS_STRIKE_PRICE_ISSUED">"c2718"</definedName>
    <definedName name="IQ_OTHER_WARRANTS_STRIKE_PRICE_OS">"c2717"</definedName>
    <definedName name="IQ_OUTSTANDING_BS_DATE">"c1022"</definedName>
    <definedName name="IQ_OUTSTANDING_FILING_DATE">"c1023"</definedName>
    <definedName name="IQ_OWNERSHIP">"c2160"</definedName>
    <definedName name="IQ_PART_TIME">"c1024"</definedName>
    <definedName name="IQ_PAY_ACCRUED">"c1457"</definedName>
    <definedName name="IQ_PAYOUT_RATIO">"c1900"</definedName>
    <definedName name="IQ_PBV">"c1025"</definedName>
    <definedName name="IQ_PBV_AVG">"c1026"</definedName>
    <definedName name="IQ_PC_EARNED">"c2749"</definedName>
    <definedName name="IQ_PC_GAAP_COMBINED_RATIO">"c2781"</definedName>
    <definedName name="IQ_PC_GAAP_COMBINED_RATIO_EXCL_CL">"c2782"</definedName>
    <definedName name="IQ_PC_GAAP_EXPENSE_RATIO">"c2780"</definedName>
    <definedName name="IQ_PC_GAAP_LOSS">"c2779"</definedName>
    <definedName name="IQ_PC_POLICY_BENEFITS_EXP">"c2790"</definedName>
    <definedName name="IQ_PC_STAT_COMBINED_RATIO">"c2778"</definedName>
    <definedName name="IQ_PC_STAT_COMBINED_RATIO_EXCL_DIV">"c2777"</definedName>
    <definedName name="IQ_PC_STAT_DIVIDEND_RATIO">"c2776"</definedName>
    <definedName name="IQ_PC_STAT_EXPENSE_RATIO">"c2775"</definedName>
    <definedName name="IQ_PC_STAT_LOSS_RATIO">"c2774"</definedName>
    <definedName name="IQ_PC_STATUTORY_SURPLUS">"c2770"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EXCL_FWD_REUT">"c4049"</definedName>
    <definedName name="IQ_PE_NORMALIZED">"c2207"</definedName>
    <definedName name="IQ_PE_RATIO">"c1610"</definedName>
    <definedName name="IQ_PEG_FWD">"c1863"</definedName>
    <definedName name="IQ_PEG_FWD_REUT">"c4052"</definedName>
    <definedName name="IQ_PENSION">"c1031"</definedName>
    <definedName name="IQ_PENSION_ACCRUED_LIAB">"c3134"</definedName>
    <definedName name="IQ_PENSION_ACCRUED_LIAB_DOM">"c3132"</definedName>
    <definedName name="IQ_PENSION_ACCRUED_LIAB_FOREIGN">"c3133"</definedName>
    <definedName name="IQ_PENSION_ACCUM_OTHER_CI">"c3140"</definedName>
    <definedName name="IQ_PENSION_ACCUM_OTHER_CI_DOM">"c3138"</definedName>
    <definedName name="IQ_PENSION_ACCUM_OTHER_CI_FOREIGN">"c3139"</definedName>
    <definedName name="IQ_PENSION_ACCUMULATED_OBLIGATION">"c3570"</definedName>
    <definedName name="IQ_PENSION_ACCUMULATED_OBLIGATION_DOMESTIC">"c3568"</definedName>
    <definedName name="IQ_PENSION_ACCUMULATED_OBLIGATION_FOREIGN">"c3569"</definedName>
    <definedName name="IQ_PENSION_ASSETS">"c3182"</definedName>
    <definedName name="IQ_PENSION_ASSETS_ACQ">"c3173"</definedName>
    <definedName name="IQ_PENSION_ASSETS_ACQ_DOM">"c3171"</definedName>
    <definedName name="IQ_PENSION_ASSETS_ACQ_FOREIGN">"c3172"</definedName>
    <definedName name="IQ_PENSION_ASSETS_ACTUAL_RETURN">"c3158"</definedName>
    <definedName name="IQ_PENSION_ASSETS_ACTUAL_RETURN_DOM">"c3156"</definedName>
    <definedName name="IQ_PENSION_ASSETS_ACTUAL_RETURN_FOREIGN">"c3157"</definedName>
    <definedName name="IQ_PENSION_ASSETS_BEG">"c3155"</definedName>
    <definedName name="IQ_PENSION_ASSETS_BEG_DOM">"c3153"</definedName>
    <definedName name="IQ_PENSION_ASSETS_BEG_FOREIGN">"c3154"</definedName>
    <definedName name="IQ_PENSION_ASSETS_BENEFITS_PAID">"c3167"</definedName>
    <definedName name="IQ_PENSION_ASSETS_BENEFITS_PAID_DOM">"c3165"</definedName>
    <definedName name="IQ_PENSION_ASSETS_BENEFITS_PAID_FOREIGN">"c3166"</definedName>
    <definedName name="IQ_PENSION_ASSETS_CURTAIL">"c3176"</definedName>
    <definedName name="IQ_PENSION_ASSETS_CURTAIL_DOM">"c3174"</definedName>
    <definedName name="IQ_PENSION_ASSETS_CURTAIL_FOREIGN">"c3175"</definedName>
    <definedName name="IQ_PENSION_ASSETS_DOM">"c3180"</definedName>
    <definedName name="IQ_PENSION_ASSETS_EMPLOYER_CONTRIBUTIONS">"c3161"</definedName>
    <definedName name="IQ_PENSION_ASSETS_EMPLOYER_CONTRIBUTIONS_DOM">"c3159"</definedName>
    <definedName name="IQ_PENSION_ASSETS_EMPLOYER_CONTRIBUTIONS_FOREIGN">"c3160"</definedName>
    <definedName name="IQ_PENSION_ASSETS_FOREIGN">"c3181"</definedName>
    <definedName name="IQ_PENSION_ASSETS_FX_ADJ">"c3170"</definedName>
    <definedName name="IQ_PENSION_ASSETS_FX_ADJ_DOM">"c3168"</definedName>
    <definedName name="IQ_PENSION_ASSETS_FX_ADJ_FOREIGN">"c3169"</definedName>
    <definedName name="IQ_PENSION_ASSETS_OTHER_PLAN_ADJ">"c3179"</definedName>
    <definedName name="IQ_PENSION_ASSETS_OTHER_PLAN_ADJ_DOM">"c3177"</definedName>
    <definedName name="IQ_PENSION_ASSETS_OTHER_PLAN_ADJ_FOREIGN">"c3178"</definedName>
    <definedName name="IQ_PENSION_ASSETS_PARTICIP_CONTRIBUTIONS">"c3164"</definedName>
    <definedName name="IQ_PENSION_ASSETS_PARTICIP_CONTRIBUTIONS_DOM">"c3162"</definedName>
    <definedName name="IQ_PENSION_ASSETS_PARTICIP_CONTRIBUTIONS_FOREIGN">"c3163"</definedName>
    <definedName name="IQ_PENSION_BENEFIT_INFO_DATE">"c3230"</definedName>
    <definedName name="IQ_PENSION_BENEFIT_INFO_DATE_DOM">"c3228"</definedName>
    <definedName name="IQ_PENSION_BENEFIT_INFO_DATE_FOREIGN">"c3229"</definedName>
    <definedName name="IQ_PENSION_BREAKDOWN_EQ">"c3101"</definedName>
    <definedName name="IQ_PENSION_BREAKDOWN_EQ_DOM">"c3099"</definedName>
    <definedName name="IQ_PENSION_BREAKDOWN_EQ_FOREIGN">"c3100"</definedName>
    <definedName name="IQ_PENSION_BREAKDOWN_FI">"c3104"</definedName>
    <definedName name="IQ_PENSION_BREAKDOWN_FI_DOM">"c3102"</definedName>
    <definedName name="IQ_PENSION_BREAKDOWN_FI_FOREIGN">"c3103"</definedName>
    <definedName name="IQ_PENSION_BREAKDOWN_OTHER">"c3110"</definedName>
    <definedName name="IQ_PENSION_BREAKDOWN_OTHER_DOM">"c3108"</definedName>
    <definedName name="IQ_PENSION_BREAKDOWN_OTHER_FOREIGN">"c3109"</definedName>
    <definedName name="IQ_PENSION_BREAKDOWN_PCT_EQ">"c3089"</definedName>
    <definedName name="IQ_PENSION_BREAKDOWN_PCT_EQ_DOM">"c3087"</definedName>
    <definedName name="IQ_PENSION_BREAKDOWN_PCT_EQ_FOREIGN">"c3088"</definedName>
    <definedName name="IQ_PENSION_BREAKDOWN_PCT_FI">"c3092"</definedName>
    <definedName name="IQ_PENSION_BREAKDOWN_PCT_FI_DOM">"c3090"</definedName>
    <definedName name="IQ_PENSION_BREAKDOWN_PCT_FI_FOREIGN">"c3091"</definedName>
    <definedName name="IQ_PENSION_BREAKDOWN_PCT_OTHER">"c3098"</definedName>
    <definedName name="IQ_PENSION_BREAKDOWN_PCT_OTHER_DOM">"c3096"</definedName>
    <definedName name="IQ_PENSION_BREAKDOWN_PCT_OTHER_FOREIGN">"c3097"</definedName>
    <definedName name="IQ_PENSION_BREAKDOWN_PCT_RE">"c3095"</definedName>
    <definedName name="IQ_PENSION_BREAKDOWN_PCT_RE_DOM">"c3093"</definedName>
    <definedName name="IQ_PENSION_BREAKDOWN_PCT_RE_FOREIGN">"c3094"</definedName>
    <definedName name="IQ_PENSION_BREAKDOWN_RE">"c3107"</definedName>
    <definedName name="IQ_PENSION_BREAKDOWN_RE_DOM">"c3105"</definedName>
    <definedName name="IQ_PENSION_BREAKDOWN_RE_FOREIGN">"c3106"</definedName>
    <definedName name="IQ_PENSION_CONTRIBUTION_TOTAL_COST">"c3559"</definedName>
    <definedName name="IQ_PENSION_DISC_RATE_MAX">"c3236"</definedName>
    <definedName name="IQ_PENSION_DISC_RATE_MAX_DOM">"c3234"</definedName>
    <definedName name="IQ_PENSION_DISC_RATE_MAX_FOREIGN">"c3235"</definedName>
    <definedName name="IQ_PENSION_DISC_RATE_MIN">"c3233"</definedName>
    <definedName name="IQ_PENSION_DISC_RATE_MIN_DOM">"c3231"</definedName>
    <definedName name="IQ_PENSION_DISC_RATE_MIN_FOREIGN">"c3232"</definedName>
    <definedName name="IQ_PENSION_DISCOUNT_RATE_DOMESTIC">"c3573"</definedName>
    <definedName name="IQ_PENSION_DISCOUNT_RATE_FOREIGN">"c3574"</definedName>
    <definedName name="IQ_PENSION_EST_BENEFIT_1YR">"c3113"</definedName>
    <definedName name="IQ_PENSION_EST_BENEFIT_1YR_DOM">"c3111"</definedName>
    <definedName name="IQ_PENSION_EST_BENEFIT_1YR_FOREIGN">"c3112"</definedName>
    <definedName name="IQ_PENSION_EST_BENEFIT_2YR">"c3116"</definedName>
    <definedName name="IQ_PENSION_EST_BENEFIT_2YR_DOM">"c3114"</definedName>
    <definedName name="IQ_PENSION_EST_BENEFIT_2YR_FOREIGN">"c3115"</definedName>
    <definedName name="IQ_PENSION_EST_BENEFIT_3YR">"c3119"</definedName>
    <definedName name="IQ_PENSION_EST_BENEFIT_3YR_DOM">"c3117"</definedName>
    <definedName name="IQ_PENSION_EST_BENEFIT_3YR_FOREIGN">"c3118"</definedName>
    <definedName name="IQ_PENSION_EST_BENEFIT_4YR">"c3122"</definedName>
    <definedName name="IQ_PENSION_EST_BENEFIT_4YR_DOM">"c3120"</definedName>
    <definedName name="IQ_PENSION_EST_BENEFIT_4YR_FOREIGN">"c3121"</definedName>
    <definedName name="IQ_PENSION_EST_BENEFIT_5YR">"c3125"</definedName>
    <definedName name="IQ_PENSION_EST_BENEFIT_5YR_DOM">"c3123"</definedName>
    <definedName name="IQ_PENSION_EST_BENEFIT_5YR_FOREIGN">"c3124"</definedName>
    <definedName name="IQ_PENSION_EST_BENEFIT_AFTER5">"c3128"</definedName>
    <definedName name="IQ_PENSION_EST_BENEFIT_AFTER5_DOM">"c3126"</definedName>
    <definedName name="IQ_PENSION_EST_BENEFIT_AFTER5_FOREIGN">"c3127"</definedName>
    <definedName name="IQ_PENSION_EST_CONTRIBUTIONS_NEXTYR">"c3218"</definedName>
    <definedName name="IQ_PENSION_EST_CONTRIBUTIONS_NEXTYR_DOM">"c3216"</definedName>
    <definedName name="IQ_PENSION_EST_CONTRIBUTIONS_NEXTYR_FOREIGN">"c3217"</definedName>
    <definedName name="IQ_PENSION_EXP_RATE_RETURN_MAX">"c3248"</definedName>
    <definedName name="IQ_PENSION_EXP_RATE_RETURN_MAX_DOM">"c3246"</definedName>
    <definedName name="IQ_PENSION_EXP_RATE_RETURN_MAX_FOREIGN">"c3247"</definedName>
    <definedName name="IQ_PENSION_EXP_RATE_RETURN_MIN">"c3245"</definedName>
    <definedName name="IQ_PENSION_EXP_RATE_RETURN_MIN_DOM">"c3243"</definedName>
    <definedName name="IQ_PENSION_EXP_RATE_RETURN_MIN_FOREIGN">"c3244"</definedName>
    <definedName name="IQ_PENSION_EXP_RETURN_DOMESTIC">"c3571"</definedName>
    <definedName name="IQ_PENSION_EXP_RETURN_FOREIGN">"c3572"</definedName>
    <definedName name="IQ_PENSION_INTAN_ASSETS">"c3137"</definedName>
    <definedName name="IQ_PENSION_INTAN_ASSETS_DOM">"c3135"</definedName>
    <definedName name="IQ_PENSION_INTAN_ASSETS_FOREIGN">"c3136"</definedName>
    <definedName name="IQ_PENSION_INTEREST_COST">"c3582"</definedName>
    <definedName name="IQ_PENSION_INTEREST_COST_DOM">"c3580"</definedName>
    <definedName name="IQ_PENSION_INTEREST_COST_FOREIGN">"c3581"</definedName>
    <definedName name="IQ_PENSION_NET_ASSET_RECOG">"c3152"</definedName>
    <definedName name="IQ_PENSION_NET_ASSET_RECOG_DOM">"c3150"</definedName>
    <definedName name="IQ_PENSION_NET_ASSET_RECOG_FOREIGN">"c3151"</definedName>
    <definedName name="IQ_PENSION_OBLIGATION_ACQ">"c3206"</definedName>
    <definedName name="IQ_PENSION_OBLIGATION_ACQ_DOM">"c3204"</definedName>
    <definedName name="IQ_PENSION_OBLIGATION_ACQ_FOREIGN">"c3205"</definedName>
    <definedName name="IQ_PENSION_OBLIGATION_ACTUARIAL_GAIN_LOSS">"c3197"</definedName>
    <definedName name="IQ_PENSION_OBLIGATION_ACTUARIAL_GAIN_LOSS_DOM">"c3195"</definedName>
    <definedName name="IQ_PENSION_OBLIGATION_ACTUARIAL_GAIN_LOSS_FOREIGN">"c3196"</definedName>
    <definedName name="IQ_PENSION_OBLIGATION_BEG">"c3185"</definedName>
    <definedName name="IQ_PENSION_OBLIGATION_BEG_DOM">"c3183"</definedName>
    <definedName name="IQ_PENSION_OBLIGATION_BEG_FOREIGN">"c3184"</definedName>
    <definedName name="IQ_PENSION_OBLIGATION_CURTAIL">"c3209"</definedName>
    <definedName name="IQ_PENSION_OBLIGATION_CURTAIL_DOM">"c3207"</definedName>
    <definedName name="IQ_PENSION_OBLIGATION_CURTAIL_FOREIGN">"c3208"</definedName>
    <definedName name="IQ_PENSION_OBLIGATION_EMPLOYEE_CONTRIBUTIONS">"c3194"</definedName>
    <definedName name="IQ_PENSION_OBLIGATION_EMPLOYEE_CONTRIBUTIONS_DOM">"c3192"</definedName>
    <definedName name="IQ_PENSION_OBLIGATION_EMPLOYEE_CONTRIBUTIONS_FOREIGN">"c3193"</definedName>
    <definedName name="IQ_PENSION_OBLIGATION_FX_ADJ">"c3203"</definedName>
    <definedName name="IQ_PENSION_OBLIGATION_FX_ADJ_DOM">"c3201"</definedName>
    <definedName name="IQ_PENSION_OBLIGATION_FX_ADJ_FOREIGN">"c3202"</definedName>
    <definedName name="IQ_PENSION_OBLIGATION_INTEREST_COST">"c3191"</definedName>
    <definedName name="IQ_PENSION_OBLIGATION_INTEREST_COST_DOM">"c3189"</definedName>
    <definedName name="IQ_PENSION_OBLIGATION_INTEREST_COST_FOREIGN">"c3190"</definedName>
    <definedName name="IQ_PENSION_OBLIGATION_OTHER_COST">"c3555"</definedName>
    <definedName name="IQ_PENSION_OBLIGATION_OTHER_COST_DOM">"c3553"</definedName>
    <definedName name="IQ_PENSION_OBLIGATION_OTHER_COST_FOREIGN">"c3554"</definedName>
    <definedName name="IQ_PENSION_OBLIGATION_OTHER_PLAN_ADJ">"c3212"</definedName>
    <definedName name="IQ_PENSION_OBLIGATION_OTHER_PLAN_ADJ_DOM">"c3210"</definedName>
    <definedName name="IQ_PENSION_OBLIGATION_OTHER_PLAN_ADJ_FOREIGN">"c3211"</definedName>
    <definedName name="IQ_PENSION_OBLIGATION_PAID">"c3200"</definedName>
    <definedName name="IQ_PENSION_OBLIGATION_PAID_DOM">"c3198"</definedName>
    <definedName name="IQ_PENSION_OBLIGATION_PAID_FOREIGN">"c3199"</definedName>
    <definedName name="IQ_PENSION_OBLIGATION_PROJECTED">"c3215"</definedName>
    <definedName name="IQ_PENSION_OBLIGATION_PROJECTED_DOM">"c3213"</definedName>
    <definedName name="IQ_PENSION_OBLIGATION_PROJECTED_FOREIGN">"c3214"</definedName>
    <definedName name="IQ_PENSION_OBLIGATION_ROA">"c3552"</definedName>
    <definedName name="IQ_PENSION_OBLIGATION_ROA_DOM">"c3550"</definedName>
    <definedName name="IQ_PENSION_OBLIGATION_ROA_FOREIGN">"c3551"</definedName>
    <definedName name="IQ_PENSION_OBLIGATION_SERVICE_COST">"c3188"</definedName>
    <definedName name="IQ_PENSION_OBLIGATION_SERVICE_COST_DOM">"c3186"</definedName>
    <definedName name="IQ_PENSION_OBLIGATION_SERVICE_COST_FOREIGN">"c3187"</definedName>
    <definedName name="IQ_PENSION_OBLIGATION_TOTAL_COST">"c3558"</definedName>
    <definedName name="IQ_PENSION_OBLIGATION_TOTAL_COST_DOM">"c3556"</definedName>
    <definedName name="IQ_PENSION_OBLIGATION_TOTAL_COST_FOREIGN">"c3557"</definedName>
    <definedName name="IQ_PENSION_OTHER">"c3143"</definedName>
    <definedName name="IQ_PENSION_OTHER_ADJ">"c3149"</definedName>
    <definedName name="IQ_PENSION_OTHER_ADJ_DOM">"c3147"</definedName>
    <definedName name="IQ_PENSION_OTHER_ADJ_FOREIGN">"c3148"</definedName>
    <definedName name="IQ_PENSION_OTHER_DOM">"c3141"</definedName>
    <definedName name="IQ_PENSION_OTHER_FOREIGN">"c3142"</definedName>
    <definedName name="IQ_PENSION_PBO_ASSUMED_RATE_RET_MAX">"c3254"</definedName>
    <definedName name="IQ_PENSION_PBO_ASSUMED_RATE_RET_MAX_DOM">"c3252"</definedName>
    <definedName name="IQ_PENSION_PBO_ASSUMED_RATE_RET_MAX_FOREIGN">"c3253"</definedName>
    <definedName name="IQ_PENSION_PBO_ASSUMED_RATE_RET_MIN">"c3251"</definedName>
    <definedName name="IQ_PENSION_PBO_ASSUMED_RATE_RET_MIN_DOM">"c3249"</definedName>
    <definedName name="IQ_PENSION_PBO_ASSUMED_RATE_RET_MIN_FOREIGN">"c3250"</definedName>
    <definedName name="IQ_PENSION_PBO_RATE_COMP_INCREASE_MAX">"c3260"</definedName>
    <definedName name="IQ_PENSION_PBO_RATE_COMP_INCREASE_MAX_DOM">"c3258"</definedName>
    <definedName name="IQ_PENSION_PBO_RATE_COMP_INCREASE_MAX_FOREIGN">"c3259"</definedName>
    <definedName name="IQ_PENSION_PBO_RATE_COMP_INCREASE_MIN">"c3257"</definedName>
    <definedName name="IQ_PENSION_PBO_RATE_COMP_INCREASE_MIN_DOM">"c3255"</definedName>
    <definedName name="IQ_PENSION_PBO_RATE_COMP_INCREASE_MIN_FOREIGN">"c3256"</definedName>
    <definedName name="IQ_PENSION_PREPAID_COST">"c3131"</definedName>
    <definedName name="IQ_PENSION_PREPAID_COST_DOM">"c3129"</definedName>
    <definedName name="IQ_PENSION_PREPAID_COST_FOREIGN">"c3130"</definedName>
    <definedName name="IQ_PENSION_PROJECTED_OBLIGATION">"c3566"</definedName>
    <definedName name="IQ_PENSION_PROJECTED_OBLIGATION_DOMESTIC">"c3564"</definedName>
    <definedName name="IQ_PENSION_PROJECTED_OBLIGATION_FOREIGN">"c3565"</definedName>
    <definedName name="IQ_PENSION_QUART_ADDL_CONTRIBUTIONS_EXP">"c3224"</definedName>
    <definedName name="IQ_PENSION_QUART_ADDL_CONTRIBUTIONS_EXP_DOM">"c3222"</definedName>
    <definedName name="IQ_PENSION_QUART_ADDL_CONTRIBUTIONS_EXP_FOREIGN">"c3223"</definedName>
    <definedName name="IQ_PENSION_QUART_EMPLOYER_CONTRIBUTIONS">"c3221"</definedName>
    <definedName name="IQ_PENSION_QUART_EMPLOYER_CONTRIBUTIONS_DOM">"c3219"</definedName>
    <definedName name="IQ_PENSION_QUART_EMPLOYER_CONTRIBUTIONS_FOREIGN">"c3220"</definedName>
    <definedName name="IQ_PENSION_RATE_COMP_GROWTH_DOMESTIC">"c3575"</definedName>
    <definedName name="IQ_PENSION_RATE_COMP_GROWTH_FOREIGN">"c3576"</definedName>
    <definedName name="IQ_PENSION_RATE_COMP_INCREASE_MAX">"c3242"</definedName>
    <definedName name="IQ_PENSION_RATE_COMP_INCREASE_MAX_DOM">"c3240"</definedName>
    <definedName name="IQ_PENSION_RATE_COMP_INCREASE_MAX_FOREIGN">"c3241"</definedName>
    <definedName name="IQ_PENSION_RATE_COMP_INCREASE_MIN">"c3239"</definedName>
    <definedName name="IQ_PENSION_RATE_COMP_INCREASE_MIN_DOM">"c3237"</definedName>
    <definedName name="IQ_PENSION_RATE_COMP_INCREASE_MIN_FOREIGN">"c3238"</definedName>
    <definedName name="IQ_PENSION_SERVICE_COST">"c3579"</definedName>
    <definedName name="IQ_PENSION_SERVICE_COST_DOM">"c3577"</definedName>
    <definedName name="IQ_PENSION_SERVICE_COST_FOREIGN">"c3578"</definedName>
    <definedName name="IQ_PENSION_TOTAL_ASSETS">"c3563"</definedName>
    <definedName name="IQ_PENSION_TOTAL_ASSETS_DOMESTIC">"c3561"</definedName>
    <definedName name="IQ_PENSION_TOTAL_ASSETS_FOREIGN">"c3562"</definedName>
    <definedName name="IQ_PENSION_TOTAL_EXP">"c3560"</definedName>
    <definedName name="IQ_PENSION_UNFUNDED_ADDL_MIN_LIAB">"c3227"</definedName>
    <definedName name="IQ_PENSION_UNFUNDED_ADDL_MIN_LIAB_DOM">"c3225"</definedName>
    <definedName name="IQ_PENSION_UNFUNDED_ADDL_MIN_LIAB_FOREIGN">"c3226"</definedName>
    <definedName name="IQ_PENSION_UNRECOG_PRIOR">"c3146"</definedName>
    <definedName name="IQ_PENSION_UNRECOG_PRIOR_DOM">"c3144"</definedName>
    <definedName name="IQ_PENSION_UNRECOG_PRIOR_FOREIGN">"c3145"</definedName>
    <definedName name="IQ_PENSION_UV_LIAB">"c3567"</definedName>
    <definedName name="IQ_PERCENT_CHANGE_EST_5YR_GROWTH_RATE_12MONTHS">"c1852"</definedName>
    <definedName name="IQ_PERCENT_CHANGE_EST_5YR_GROWTH_RATE_12MONTHS_REUT">"c3959"</definedName>
    <definedName name="IQ_PERCENT_CHANGE_EST_5YR_GROWTH_RATE_18MONTHS">"c1853"</definedName>
    <definedName name="IQ_PERCENT_CHANGE_EST_5YR_GROWTH_RATE_18MONTHS_REUT">"c3960"</definedName>
    <definedName name="IQ_PERCENT_CHANGE_EST_5YR_GROWTH_RATE_3MONTHS">"c1849"</definedName>
    <definedName name="IQ_PERCENT_CHANGE_EST_5YR_GROWTH_RATE_3MONTHS_REUT">"c3956"</definedName>
    <definedName name="IQ_PERCENT_CHANGE_EST_5YR_GROWTH_RATE_6MONTHS">"c1850"</definedName>
    <definedName name="IQ_PERCENT_CHANGE_EST_5YR_GROWTH_RATE_6MONTHS_REUT">"c3957"</definedName>
    <definedName name="IQ_PERCENT_CHANGE_EST_5YR_GROWTH_RATE_9MONTHS">"c1851"</definedName>
    <definedName name="IQ_PERCENT_CHANGE_EST_5YR_GROWTH_RATE_9MONTHS_REUT">"c3958"</definedName>
    <definedName name="IQ_PERCENT_CHANGE_EST_5YR_GROWTH_RATE_DAY">"c1846"</definedName>
    <definedName name="IQ_PERCENT_CHANGE_EST_5YR_GROWTH_RATE_DAY_REUT">"c3954"</definedName>
    <definedName name="IQ_PERCENT_CHANGE_EST_5YR_GROWTH_RATE_MONTH">"c1848"</definedName>
    <definedName name="IQ_PERCENT_CHANGE_EST_5YR_GROWTH_RATE_MONTH_REUT">"c3955"</definedName>
    <definedName name="IQ_PERCENT_CHANGE_EST_5YR_GROWTH_RATE_WEEK">"c1847"</definedName>
    <definedName name="IQ_PERCENT_CHANGE_EST_5YR_GROWTH_RATE_WEEK_REUT">"c5435"</definedName>
    <definedName name="IQ_PERCENT_CHANGE_EST_CFPS_12MONTHS">"c1812"</definedName>
    <definedName name="IQ_PERCENT_CHANGE_EST_CFPS_12MONTHS_REUT">"c3924"</definedName>
    <definedName name="IQ_PERCENT_CHANGE_EST_CFPS_18MONTHS">"c1813"</definedName>
    <definedName name="IQ_PERCENT_CHANGE_EST_CFPS_18MONTHS_REUT">"c3925"</definedName>
    <definedName name="IQ_PERCENT_CHANGE_EST_CFPS_3MONTHS">"c1809"</definedName>
    <definedName name="IQ_PERCENT_CHANGE_EST_CFPS_3MONTHS_REUT">"c3921"</definedName>
    <definedName name="IQ_PERCENT_CHANGE_EST_CFPS_6MONTHS">"c1810"</definedName>
    <definedName name="IQ_PERCENT_CHANGE_EST_CFPS_6MONTHS_REUT">"c3922"</definedName>
    <definedName name="IQ_PERCENT_CHANGE_EST_CFPS_9MONTHS">"c1811"</definedName>
    <definedName name="IQ_PERCENT_CHANGE_EST_CFPS_9MONTHS_REUT">"c3923"</definedName>
    <definedName name="IQ_PERCENT_CHANGE_EST_CFPS_DAY">"c1806"</definedName>
    <definedName name="IQ_PERCENT_CHANGE_EST_CFPS_DAY_REUT">"c3919"</definedName>
    <definedName name="IQ_PERCENT_CHANGE_EST_CFPS_MONTH">"c1808"</definedName>
    <definedName name="IQ_PERCENT_CHANGE_EST_CFPS_MONTH_REUT">"c3920"</definedName>
    <definedName name="IQ_PERCENT_CHANGE_EST_CFPS_WEEK">"c1807"</definedName>
    <definedName name="IQ_PERCENT_CHANGE_EST_CFPS_WEEK_REUT">"c3962"</definedName>
    <definedName name="IQ_PERCENT_CHANGE_EST_DPS_12MONTHS">"c1820"</definedName>
    <definedName name="IQ_PERCENT_CHANGE_EST_DPS_12MONTHS_REUT">"c3931"</definedName>
    <definedName name="IQ_PERCENT_CHANGE_EST_DPS_18MONTHS">"c1821"</definedName>
    <definedName name="IQ_PERCENT_CHANGE_EST_DPS_18MONTHS_REUT">"c3932"</definedName>
    <definedName name="IQ_PERCENT_CHANGE_EST_DPS_3MONTHS">"c1817"</definedName>
    <definedName name="IQ_PERCENT_CHANGE_EST_DPS_3MONTHS_REUT">"c3928"</definedName>
    <definedName name="IQ_PERCENT_CHANGE_EST_DPS_6MONTHS">"c1818"</definedName>
    <definedName name="IQ_PERCENT_CHANGE_EST_DPS_6MONTHS_REUT">"c3929"</definedName>
    <definedName name="IQ_PERCENT_CHANGE_EST_DPS_9MONTHS">"c1819"</definedName>
    <definedName name="IQ_PERCENT_CHANGE_EST_DPS_9MONTHS_REUT">"c3930"</definedName>
    <definedName name="IQ_PERCENT_CHANGE_EST_DPS_DAY">"c1814"</definedName>
    <definedName name="IQ_PERCENT_CHANGE_EST_DPS_DAY_REUT">"c3926"</definedName>
    <definedName name="IQ_PERCENT_CHANGE_EST_DPS_MONTH">"c1816"</definedName>
    <definedName name="IQ_PERCENT_CHANGE_EST_DPS_MONTH_REUT">"c3927"</definedName>
    <definedName name="IQ_PERCENT_CHANGE_EST_DPS_WEEK">"c1815"</definedName>
    <definedName name="IQ_PERCENT_CHANGE_EST_DPS_WEEK_REUT">"c3963"</definedName>
    <definedName name="IQ_PERCENT_CHANGE_EST_EBITDA_12MONTHS">"c1804"</definedName>
    <definedName name="IQ_PERCENT_CHANGE_EST_EBITDA_12MONTHS_REUT">"c3917"</definedName>
    <definedName name="IQ_PERCENT_CHANGE_EST_EBITDA_18MONTHS">"c1805"</definedName>
    <definedName name="IQ_PERCENT_CHANGE_EST_EBITDA_18MONTHS_REUT">"c3918"</definedName>
    <definedName name="IQ_PERCENT_CHANGE_EST_EBITDA_3MONTHS">"c1801"</definedName>
    <definedName name="IQ_PERCENT_CHANGE_EST_EBITDA_3MONTHS_REUT">"c3914"</definedName>
    <definedName name="IQ_PERCENT_CHANGE_EST_EBITDA_6MONTHS">"c1802"</definedName>
    <definedName name="IQ_PERCENT_CHANGE_EST_EBITDA_6MONTHS_REUT">"c3915"</definedName>
    <definedName name="IQ_PERCENT_CHANGE_EST_EBITDA_9MONTHS">"c1803"</definedName>
    <definedName name="IQ_PERCENT_CHANGE_EST_EBITDA_9MONTHS_REUT">"c3916"</definedName>
    <definedName name="IQ_PERCENT_CHANGE_EST_EBITDA_DAY">"c1798"</definedName>
    <definedName name="IQ_PERCENT_CHANGE_EST_EBITDA_DAY_REUT">"c3912"</definedName>
    <definedName name="IQ_PERCENT_CHANGE_EST_EBITDA_MONTH">"c1800"</definedName>
    <definedName name="IQ_PERCENT_CHANGE_EST_EBITDA_MONTH_REUT">"c3913"</definedName>
    <definedName name="IQ_PERCENT_CHANGE_EST_EBITDA_WEEK">"c1799"</definedName>
    <definedName name="IQ_PERCENT_CHANGE_EST_EBITDA_WEEK_REUT">"c3961"</definedName>
    <definedName name="IQ_PERCENT_CHANGE_EST_EPS_12MONTHS">"c1788"</definedName>
    <definedName name="IQ_PERCENT_CHANGE_EST_EPS_12MONTHS_REUT">"c3902"</definedName>
    <definedName name="IQ_PERCENT_CHANGE_EST_EPS_18MONTHS">"c1789"</definedName>
    <definedName name="IQ_PERCENT_CHANGE_EST_EPS_18MONTHS_REUT">"c3903"</definedName>
    <definedName name="IQ_PERCENT_CHANGE_EST_EPS_3MONTHS">"c1785"</definedName>
    <definedName name="IQ_PERCENT_CHANGE_EST_EPS_3MONTHS_REUT">"c3899"</definedName>
    <definedName name="IQ_PERCENT_CHANGE_EST_EPS_6MONTHS">"c1786"</definedName>
    <definedName name="IQ_PERCENT_CHANGE_EST_EPS_6MONTHS_REUT">"c3900"</definedName>
    <definedName name="IQ_PERCENT_CHANGE_EST_EPS_9MONTHS">"c1787"</definedName>
    <definedName name="IQ_PERCENT_CHANGE_EST_EPS_9MONTHS_REUT">"c3901"</definedName>
    <definedName name="IQ_PERCENT_CHANGE_EST_EPS_DAY">"c1782"</definedName>
    <definedName name="IQ_PERCENT_CHANGE_EST_EPS_DAY_REUT">"c3896"</definedName>
    <definedName name="IQ_PERCENT_CHANGE_EST_EPS_MONTH">"c1784"</definedName>
    <definedName name="IQ_PERCENT_CHANGE_EST_EPS_MONTH_REUT">"c3898"</definedName>
    <definedName name="IQ_PERCENT_CHANGE_EST_EPS_WEEK">"c1783"</definedName>
    <definedName name="IQ_PERCENT_CHANGE_EST_EPS_WEEK_REUT">"c3897"</definedName>
    <definedName name="IQ_PERCENT_CHANGE_EST_FFO_12MONTHS">"c1828"</definedName>
    <definedName name="IQ_PERCENT_CHANGE_EST_FFO_12MONTHS_REUT">"c3938"</definedName>
    <definedName name="IQ_PERCENT_CHANGE_EST_FFO_18MONTHS">"c1829"</definedName>
    <definedName name="IQ_PERCENT_CHANGE_EST_FFO_18MONTHS_REUT">"c3939"</definedName>
    <definedName name="IQ_PERCENT_CHANGE_EST_FFO_3MONTHS">"c1825"</definedName>
    <definedName name="IQ_PERCENT_CHANGE_EST_FFO_3MONTHS_REUT">"c3935"</definedName>
    <definedName name="IQ_PERCENT_CHANGE_EST_FFO_6MONTHS">"c1826"</definedName>
    <definedName name="IQ_PERCENT_CHANGE_EST_FFO_6MONTHS_REUT">"c3936"</definedName>
    <definedName name="IQ_PERCENT_CHANGE_EST_FFO_9MONTHS">"c1827"</definedName>
    <definedName name="IQ_PERCENT_CHANGE_EST_FFO_9MONTHS_REUT">"c3937"</definedName>
    <definedName name="IQ_PERCENT_CHANGE_EST_FFO_DAY">"c1822"</definedName>
    <definedName name="IQ_PERCENT_CHANGE_EST_FFO_DAY_REUT">"c3933"</definedName>
    <definedName name="IQ_PERCENT_CHANGE_EST_FFO_MONTH">"c1824"</definedName>
    <definedName name="IQ_PERCENT_CHANGE_EST_FFO_MONTH_REUT">"c3934"</definedName>
    <definedName name="IQ_PERCENT_CHANGE_EST_FFO_WEEK">"c1823"</definedName>
    <definedName name="IQ_PERCENT_CHANGE_EST_FFO_WEEK_REUT">"c3964"</definedName>
    <definedName name="IQ_PERCENT_CHANGE_EST_PRICE_TARGET_12MONTHS">"c1844"</definedName>
    <definedName name="IQ_PERCENT_CHANGE_EST_PRICE_TARGET_12MONTHS_REUT">"c3952"</definedName>
    <definedName name="IQ_PERCENT_CHANGE_EST_PRICE_TARGET_18MONTHS">"c1845"</definedName>
    <definedName name="IQ_PERCENT_CHANGE_EST_PRICE_TARGET_18MONTHS_REUT">"c3953"</definedName>
    <definedName name="IQ_PERCENT_CHANGE_EST_PRICE_TARGET_3MONTHS">"c1841"</definedName>
    <definedName name="IQ_PERCENT_CHANGE_EST_PRICE_TARGET_3MONTHS_REUT">"c3949"</definedName>
    <definedName name="IQ_PERCENT_CHANGE_EST_PRICE_TARGET_6MONTHS">"c1842"</definedName>
    <definedName name="IQ_PERCENT_CHANGE_EST_PRICE_TARGET_6MONTHS_REUT">"c3950"</definedName>
    <definedName name="IQ_PERCENT_CHANGE_EST_PRICE_TARGET_9MONTHS">"c1843"</definedName>
    <definedName name="IQ_PERCENT_CHANGE_EST_PRICE_TARGET_9MONTHS_REUT">"c3951"</definedName>
    <definedName name="IQ_PERCENT_CHANGE_EST_PRICE_TARGET_DAY">"c1838"</definedName>
    <definedName name="IQ_PERCENT_CHANGE_EST_PRICE_TARGET_DAY_REUT">"c3947"</definedName>
    <definedName name="IQ_PERCENT_CHANGE_EST_PRICE_TARGET_MONTH">"c1840"</definedName>
    <definedName name="IQ_PERCENT_CHANGE_EST_PRICE_TARGET_MONTH_REUT">"c3948"</definedName>
    <definedName name="IQ_PERCENT_CHANGE_EST_PRICE_TARGET_WEEK">"c1839"</definedName>
    <definedName name="IQ_PERCENT_CHANGE_EST_PRICE_TARGET_WEEK_REUT">"c3967"</definedName>
    <definedName name="IQ_PERCENT_CHANGE_EST_RECO_12MONTHS">"c1836"</definedName>
    <definedName name="IQ_PERCENT_CHANGE_EST_RECO_12MONTHS_REUT">"c3945"</definedName>
    <definedName name="IQ_PERCENT_CHANGE_EST_RECO_18MONTHS">"c1837"</definedName>
    <definedName name="IQ_PERCENT_CHANGE_EST_RECO_18MONTHS_REUT">"c3946"</definedName>
    <definedName name="IQ_PERCENT_CHANGE_EST_RECO_3MONTHS">"c1833"</definedName>
    <definedName name="IQ_PERCENT_CHANGE_EST_RECO_3MONTHS_REUT">"c3942"</definedName>
    <definedName name="IQ_PERCENT_CHANGE_EST_RECO_6MONTHS">"c1834"</definedName>
    <definedName name="IQ_PERCENT_CHANGE_EST_RECO_6MONTHS_REUT">"c3943"</definedName>
    <definedName name="IQ_PERCENT_CHANGE_EST_RECO_9MONTHS">"c1835"</definedName>
    <definedName name="IQ_PERCENT_CHANGE_EST_RECO_9MONTHS_REUT">"c3944"</definedName>
    <definedName name="IQ_PERCENT_CHANGE_EST_RECO_DAY">"c1830"</definedName>
    <definedName name="IQ_PERCENT_CHANGE_EST_RECO_DAY_REUT">"c3940"</definedName>
    <definedName name="IQ_PERCENT_CHANGE_EST_RECO_MONTH">"c1832"</definedName>
    <definedName name="IQ_PERCENT_CHANGE_EST_RECO_MONTH_REUT">"c3941"</definedName>
    <definedName name="IQ_PERCENT_CHANGE_EST_RECO_WEEK">"c1831"</definedName>
    <definedName name="IQ_PERCENT_CHANGE_EST_RECO_WEEK_REUT">"c3965"</definedName>
    <definedName name="IQ_PERCENT_CHANGE_EST_REV_12MONTHS">"c1796"</definedName>
    <definedName name="IQ_PERCENT_CHANGE_EST_REV_12MONTHS_REUT">"c3910"</definedName>
    <definedName name="IQ_PERCENT_CHANGE_EST_REV_18MONTHS">"c1797"</definedName>
    <definedName name="IQ_PERCENT_CHANGE_EST_REV_18MONTHS_REUT">"c3911"</definedName>
    <definedName name="IQ_PERCENT_CHANGE_EST_REV_3MONTHS">"c1793"</definedName>
    <definedName name="IQ_PERCENT_CHANGE_EST_REV_3MONTHS_REUT">"c3907"</definedName>
    <definedName name="IQ_PERCENT_CHANGE_EST_REV_6MONTHS">"c1794"</definedName>
    <definedName name="IQ_PERCENT_CHANGE_EST_REV_6MONTHS_REUT">"c3908"</definedName>
    <definedName name="IQ_PERCENT_CHANGE_EST_REV_9MONTHS">"c1795"</definedName>
    <definedName name="IQ_PERCENT_CHANGE_EST_REV_9MONTHS_REUT">"c3909"</definedName>
    <definedName name="IQ_PERCENT_CHANGE_EST_REV_DAY">"c1790"</definedName>
    <definedName name="IQ_PERCENT_CHANGE_EST_REV_DAY_REUT">"c3904"</definedName>
    <definedName name="IQ_PERCENT_CHANGE_EST_REV_MONTH">"c1792"</definedName>
    <definedName name="IQ_PERCENT_CHANGE_EST_REV_MONTH_REUT">"c3906"</definedName>
    <definedName name="IQ_PERCENT_CHANGE_EST_REV_WEEK">"c1791"</definedName>
    <definedName name="IQ_PERCENT_CHANGE_EST_REV_WEEK_REUT">"c3905"</definedName>
    <definedName name="IQ_PERIODDATE">"c1414"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LL">"c2114"</definedName>
    <definedName name="IQ_PMT_FREQ">"c2236"</definedName>
    <definedName name="IQ_POISON_PUT_EFFECT_DATE">"c2486"</definedName>
    <definedName name="IQ_POISON_PUT_EXPIRATION_DATE">"c2487"</definedName>
    <definedName name="IQ_POISON_PUT_PRICE">"c2488"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OSTPAID_CHURN">"c2121"</definedName>
    <definedName name="IQ_POSTPAID_SUBS">"c2118"</definedName>
    <definedName name="IQ_POTENTIAL_UPSIDE">"c1855"</definedName>
    <definedName name="IQ_POTENTIAL_UPSIDE_REUT">"c3968"</definedName>
    <definedName name="IQ_PRE_OPEN_COST">"c1040"</definedName>
    <definedName name="IQ_PRE_TAX_ACT_OR_EST">"c2221"</definedName>
    <definedName name="IQ_PRE_TAX_ACT_OR_EST_REUT">"c5467"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ETAX_GW_INC_EST">"c1702"</definedName>
    <definedName name="IQ_PRETAX_GW_INC_EST_REUT">"c5354"</definedName>
    <definedName name="IQ_PRETAX_GW_INC_HIGH_EST">"c1704"</definedName>
    <definedName name="IQ_PRETAX_GW_INC_HIGH_EST_REUT">"c5356"</definedName>
    <definedName name="IQ_PRETAX_GW_INC_LOW_EST">"c1705"</definedName>
    <definedName name="IQ_PRETAX_GW_INC_LOW_EST_REUT">"c5357"</definedName>
    <definedName name="IQ_PRETAX_GW_INC_MEDIAN_EST">"c1703"</definedName>
    <definedName name="IQ_PRETAX_GW_INC_MEDIAN_EST_REUT">"c5355"</definedName>
    <definedName name="IQ_PRETAX_GW_INC_NUM_EST">"c1706"</definedName>
    <definedName name="IQ_PRETAX_GW_INC_NUM_EST_REUT">"c5358"</definedName>
    <definedName name="IQ_PRETAX_GW_INC_STDDEV_EST">"c1707"</definedName>
    <definedName name="IQ_PRETAX_GW_INC_STDDEV_EST_REUT">"c5359"</definedName>
    <definedName name="IQ_PRETAX_INC_EST">"c1695"</definedName>
    <definedName name="IQ_PRETAX_INC_EST_REUT">"c5347"</definedName>
    <definedName name="IQ_PRETAX_INC_HIGH_EST">"c1697"</definedName>
    <definedName name="IQ_PRETAX_INC_HIGH_EST_REUT">"c5349"</definedName>
    <definedName name="IQ_PRETAX_INC_LOW_EST">"c1698"</definedName>
    <definedName name="IQ_PRETAX_INC_LOW_EST_REUT">"c5350"</definedName>
    <definedName name="IQ_PRETAX_INC_MEDIAN_EST">"c1696"</definedName>
    <definedName name="IQ_PRETAX_INC_MEDIAN_EST_REUT">"c5348"</definedName>
    <definedName name="IQ_PRETAX_INC_NUM_EST">"c1699"</definedName>
    <definedName name="IQ_PRETAX_INC_NUM_EST_REUT">"c5351"</definedName>
    <definedName name="IQ_PRETAX_INC_STDDEV_EST">"c1700"</definedName>
    <definedName name="IQ_PRETAX_INC_STDDEV_EST_REUT">"c5352"</definedName>
    <definedName name="IQ_PRETAX_REPORT_INC_EST">"c1709"</definedName>
    <definedName name="IQ_PRETAX_REPORT_INC_EST_REUT">"c5361"</definedName>
    <definedName name="IQ_PRETAX_REPORT_INC_HIGH_EST">"c1711"</definedName>
    <definedName name="IQ_PRETAX_REPORT_INC_HIGH_EST_REUT">"c5363"</definedName>
    <definedName name="IQ_PRETAX_REPORT_INC_LOW_EST">"c1712"</definedName>
    <definedName name="IQ_PRETAX_REPORT_INC_LOW_EST_REUT">"c5364"</definedName>
    <definedName name="IQ_PRETAX_REPORT_INC_MEDIAN_EST">"c1710"</definedName>
    <definedName name="IQ_PRETAX_REPORT_INC_MEDIAN_EST_REUT">"c5362"</definedName>
    <definedName name="IQ_PRETAX_REPORT_INC_NUM_EST">"c1713"</definedName>
    <definedName name="IQ_PRETAX_REPORT_INC_NUM_EST_REUT">"c5365"</definedName>
    <definedName name="IQ_PRETAX_REPORT_INC_STDDEV_EST">"c1714"</definedName>
    <definedName name="IQ_PRETAX_REPORT_INC_STDDEV_EST_REUT">"c5366"</definedName>
    <definedName name="IQ_PRICE_CFPS_FWD">"c2237"</definedName>
    <definedName name="IQ_PRICE_CFPS_FWD_REUT">"c4053"</definedName>
    <definedName name="IQ_PRICE_OVER_BVPS">"c1412"</definedName>
    <definedName name="IQ_PRICE_OVER_LTM_EPS">"c1413"</definedName>
    <definedName name="IQ_PRICE_TARGET">"c82"</definedName>
    <definedName name="IQ_PRICE_TARGET_BOTTOM_UP">"c5486"</definedName>
    <definedName name="IQ_PRICE_TARGET_BOTTOM_UP_REUT">"c5494"</definedName>
    <definedName name="IQ_PRICE_TARGET_REUT">"c3631"</definedName>
    <definedName name="IQ_PRICE_VOLATILITY_EST">"c4492"</definedName>
    <definedName name="IQ_PRICE_VOLATILITY_HIGH">"c4493"</definedName>
    <definedName name="IQ_PRICE_VOLATILITY_LOW">"c4494"</definedName>
    <definedName name="IQ_PRICE_VOLATILITY_MEDIAN">"c4495"</definedName>
    <definedName name="IQ_PRICE_VOLATILITY_NUM">"c4496"</definedName>
    <definedName name="IQ_PRICE_VOLATILITY_STDDEV">"c4497"</definedName>
    <definedName name="IQ_PRICEDATE">"c1069"</definedName>
    <definedName name="IQ_PRICING_DATE">"c1613"</definedName>
    <definedName name="IQ_PRIMARY_EPS_TYPE">"c4498"</definedName>
    <definedName name="IQ_PRIMARY_EPS_TYPE_REUT">"c5481"</definedName>
    <definedName name="IQ_PRIMARY_INDUSTRY">"c1070"</definedName>
    <definedName name="IQ_PRINCIPAL_AMT">"c2157"</definedName>
    <definedName name="IQ_PRO_FORMA_BASIC_EPS">"c1614"</definedName>
    <definedName name="IQ_PRO_FORMA_DILUT_EPS">"c1615"</definedName>
    <definedName name="IQ_PRO_FORMA_NET_INC">"c1452"</definedName>
    <definedName name="IQ_PROFESSIONAL">"c1071"</definedName>
    <definedName name="IQ_PROFESSIONAL_TITLE">"c1072"</definedName>
    <definedName name="IQ_PROJECTED_PENSION_OBLIGATION">"c1292"</definedName>
    <definedName name="IQ_PROJECTED_PENSION_OBLIGATION_DOMESTIC">"c2656"</definedName>
    <definedName name="IQ_PROJECTED_PENSION_OBLIGATION_FOREIGN">"c2664"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PUT_DATE_SCHEDULE">"c2483"</definedName>
    <definedName name="IQ_PUT_NOTIFICATION">"c2485"</definedName>
    <definedName name="IQ_PUT_PRICE_SCHEDULE">"c2484"</definedName>
    <definedName name="IQ_QTD">750000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C">"c2497"</definedName>
    <definedName name="IQ_RC_PCT">"c2498"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CURRING_PROFIT_ACT_OR_EST">"c4507"</definedName>
    <definedName name="IQ_RECURRING_PROFIT_EST">"c4499"</definedName>
    <definedName name="IQ_RECURRING_PROFIT_GUIDANCE">"c4500"</definedName>
    <definedName name="IQ_RECURRING_PROFIT_HIGH_EST">"c4501"</definedName>
    <definedName name="IQ_RECURRING_PROFIT_HIGH_GUIDANCE">"c4179"</definedName>
    <definedName name="IQ_RECURRING_PROFIT_LOW_EST">"c4502"</definedName>
    <definedName name="IQ_RECURRING_PROFIT_LOW_GUIDANCE">"c4219"</definedName>
    <definedName name="IQ_RECURRING_PROFIT_MEDIAN_EST">"c4503"</definedName>
    <definedName name="IQ_RECURRING_PROFIT_NUM_EST">"c4504"</definedName>
    <definedName name="IQ_RECURRING_PROFIT_SHARE_ACT_OR_EST">"c4508"</definedName>
    <definedName name="IQ_RECURRING_PROFIT_SHARE_EST">"c4506"</definedName>
    <definedName name="IQ_RECURRING_PROFIT_SHARE_GUIDANCE">"c4509"</definedName>
    <definedName name="IQ_RECURRING_PROFIT_SHARE_HIGH_EST">"c4510"</definedName>
    <definedName name="IQ_RECURRING_PROFIT_SHARE_HIGH_GUIDANCE">"c4200"</definedName>
    <definedName name="IQ_RECURRING_PROFIT_SHARE_LOW_EST">"c4511"</definedName>
    <definedName name="IQ_RECURRING_PROFIT_SHARE_LOW_GUIDANCE">"c4240"</definedName>
    <definedName name="IQ_RECURRING_PROFIT_SHARE_MEDIAN_EST">"c4512"</definedName>
    <definedName name="IQ_RECURRING_PROFIT_SHARE_NUM_EST">"c4513"</definedName>
    <definedName name="IQ_RECURRING_PROFIT_SHARE_STDDEV_EST">"c4514"</definedName>
    <definedName name="IQ_RECURRING_PROFIT_STDDEV_EST">"c4516"</definedName>
    <definedName name="IQ_REDEEM_PREF_STOCK">"c1417"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"c1419"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_STOCK_COMP">"c3506"</definedName>
    <definedName name="IQ_RESTR_STOCK_COMP_PRETAX">"c3504"</definedName>
    <definedName name="IQ_RESTR_STOCK_COMP_TAX">"c3505"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L_ACQUIRED_FRANCHISE_STORES">"c2903"</definedName>
    <definedName name="IQ_RETAIL_ACQUIRED_OWNED_STORES">"c2895"</definedName>
    <definedName name="IQ_RETAIL_ACQUIRED_STORES">"c2887"</definedName>
    <definedName name="IQ_RETAIL_AVG_STORE_SIZE_GROSS">"c2066"</definedName>
    <definedName name="IQ_RETAIL_AVG_STORE_SIZE_NET">"c2067"</definedName>
    <definedName name="IQ_RETAIL_AVG_WK_SALES">"c2891"</definedName>
    <definedName name="IQ_RETAIL_AVG_WK_SALES_FRANCHISE">"c2899"</definedName>
    <definedName name="IQ_RETAIL_AVG_WK_SALES_OWNED">"c2907"</definedName>
    <definedName name="IQ_RETAIL_CLOSED_FRANCHISE_STORES">"c2896"</definedName>
    <definedName name="IQ_RETAIL_CLOSED_OWNED_STORES">"c2904"</definedName>
    <definedName name="IQ_RETAIL_CLOSED_STORES">"c2063"</definedName>
    <definedName name="IQ_RETAIL_FRANCHISE_STORES_BEG">"c2893"</definedName>
    <definedName name="IQ_RETAIL_OPENED_FRANCHISE_STORES">"c2894"</definedName>
    <definedName name="IQ_RETAIL_OPENED_OWNED_STORES">"c2902"</definedName>
    <definedName name="IQ_RETAIL_OPENED_STORES">"c2062"</definedName>
    <definedName name="IQ_RETAIL_OWNED_STORES_BEG">"c2901"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OLD_FRANCHISE_STORES">"c2897"</definedName>
    <definedName name="IQ_RETAIL_SOLD_OWNED_STORES">"c2905"</definedName>
    <definedName name="IQ_RETAIL_SOLD_STORES">"c2889"</definedName>
    <definedName name="IQ_RETAIL_SQ_FOOTAGE">"c2064"</definedName>
    <definedName name="IQ_RETAIL_STORE_SELLING_AREA">"c2065"</definedName>
    <definedName name="IQ_RETAIL_STORES_BEG">"c2885"</definedName>
    <definedName name="IQ_RETAIL_TOTAL_FRANCHISE_STORES">"c2898"</definedName>
    <definedName name="IQ_RETAIL_TOTAL_OWNED_STORES">"c2906"</definedName>
    <definedName name="IQ_RETAIL_TOTAL_STORES">"c2061"</definedName>
    <definedName name="IQ_RETAINED_EARN">"c1420"</definedName>
    <definedName name="IQ_RETURN_ASSETS">"c1113"</definedName>
    <definedName name="IQ_RETURN_ASSETS_ACT_OR_EST">"c3585"</definedName>
    <definedName name="IQ_RETURN_ASSETS_ACT_OR_EST_REUT">"c5475"</definedName>
    <definedName name="IQ_RETURN_ASSETS_BANK">"c1114"</definedName>
    <definedName name="IQ_RETURN_ASSETS_BROK">"c1115"</definedName>
    <definedName name="IQ_RETURN_ASSETS_EST">"c3529"</definedName>
    <definedName name="IQ_RETURN_ASSETS_EST_REUT">"c3990"</definedName>
    <definedName name="IQ_RETURN_ASSETS_FS">"c1116"</definedName>
    <definedName name="IQ_RETURN_ASSETS_GUIDANCE">"c4517"</definedName>
    <definedName name="IQ_RETURN_ASSETS_HIGH_EST">"c3530"</definedName>
    <definedName name="IQ_RETURN_ASSETS_HIGH_EST_REUT">"c3992"</definedName>
    <definedName name="IQ_RETURN_ASSETS_HIGH_GUIDANCE">"c4183"</definedName>
    <definedName name="IQ_RETURN_ASSETS_LOW_EST">"c3531"</definedName>
    <definedName name="IQ_RETURN_ASSETS_LOW_EST_REUT">"c3993"</definedName>
    <definedName name="IQ_RETURN_ASSETS_LOW_GUIDANCE">"c4223"</definedName>
    <definedName name="IQ_RETURN_ASSETS_MEDIAN_EST">"c3532"</definedName>
    <definedName name="IQ_RETURN_ASSETS_MEDIAN_EST_REUT">"c3991"</definedName>
    <definedName name="IQ_RETURN_ASSETS_NUM_EST">"c3527"</definedName>
    <definedName name="IQ_RETURN_ASSETS_NUM_EST_REUT">"c3994"</definedName>
    <definedName name="IQ_RETURN_ASSETS_STDDEV_EST">"c3528"</definedName>
    <definedName name="IQ_RETURN_ASSETS_STDDEV_EST_REUT">"c3995"</definedName>
    <definedName name="IQ_RETURN_CAPITAL">"c1117"</definedName>
    <definedName name="IQ_RETURN_EQUITY">"c1118"</definedName>
    <definedName name="IQ_RETURN_EQUITY_ACT_OR_EST">"c3586"</definedName>
    <definedName name="IQ_RETURN_EQUITY_ACT_OR_EST_REUT">"c5476"</definedName>
    <definedName name="IQ_RETURN_EQUITY_BANK">"c1119"</definedName>
    <definedName name="IQ_RETURN_EQUITY_BROK">"c1120"</definedName>
    <definedName name="IQ_RETURN_EQUITY_EST">"c3535"</definedName>
    <definedName name="IQ_RETURN_EQUITY_EST_REUT">"c3983"</definedName>
    <definedName name="IQ_RETURN_EQUITY_FS">"c1121"</definedName>
    <definedName name="IQ_RETURN_EQUITY_GUIDANCE">"c4518"</definedName>
    <definedName name="IQ_RETURN_EQUITY_HIGH_EST">"c3536"</definedName>
    <definedName name="IQ_RETURN_EQUITY_HIGH_EST_REUT">"c3985"</definedName>
    <definedName name="IQ_RETURN_EQUITY_HIGH_GUIDANCE">"c4182"</definedName>
    <definedName name="IQ_RETURN_EQUITY_LOW_EST">"c3537"</definedName>
    <definedName name="IQ_RETURN_EQUITY_LOW_EST_REUT">"c3986"</definedName>
    <definedName name="IQ_RETURN_EQUITY_LOW_GUIDANCE">"c4222"</definedName>
    <definedName name="IQ_RETURN_EQUITY_MEDIAN_EST">"c3538"</definedName>
    <definedName name="IQ_RETURN_EQUITY_MEDIAN_EST_REUT">"c3984"</definedName>
    <definedName name="IQ_RETURN_EQUITY_NUM_EST">"c3533"</definedName>
    <definedName name="IQ_RETURN_EQUITY_NUM_EST_REUT">"c3987"</definedName>
    <definedName name="IQ_RETURN_EQUITY_STDDEV_EST">"c3534"</definedName>
    <definedName name="IQ_RETURN_EQUITY_STDDEV_EST_REUT">"c3988"</definedName>
    <definedName name="IQ_RETURN_INVESTMENT">"c1421"</definedName>
    <definedName name="IQ_REV">"c1122"</definedName>
    <definedName name="IQ_REV_BEFORE_LL">"c1123"</definedName>
    <definedName name="IQ_REV_STDDEV_EST">"c1124"</definedName>
    <definedName name="IQ_REV_STDDEV_EST_REUT">"c3639"</definedName>
    <definedName name="IQ_REV_UTI">"c1125"</definedName>
    <definedName name="IQ_REVENUE">"c1422"</definedName>
    <definedName name="IQ_REVENUE_ACT_OR_EST">"c2214"</definedName>
    <definedName name="IQ_REVENUE_ACT_OR_EST_REUT">"c5461"</definedName>
    <definedName name="IQ_REVENUE_EST">"c1126"</definedName>
    <definedName name="IQ_REVENUE_EST_BOTTOM_UP">"c5488"</definedName>
    <definedName name="IQ_REVENUE_EST_BOTTOM_UP_REUT">"c5496"</definedName>
    <definedName name="IQ_REVENUE_EST_REUT">"c3634"</definedName>
    <definedName name="IQ_REVENUE_GUIDANCE">"c4519"</definedName>
    <definedName name="IQ_REVENUE_HIGH_EST">"c1127"</definedName>
    <definedName name="IQ_REVENUE_HIGH_EST_REUT">"c3636"</definedName>
    <definedName name="IQ_REVENUE_HIGH_GUIDANCE">"c4169"</definedName>
    <definedName name="IQ_REVENUE_LOW_EST">"c1128"</definedName>
    <definedName name="IQ_REVENUE_LOW_EST_REUT">"c3637"</definedName>
    <definedName name="IQ_REVENUE_LOW_GUIDANCE">"c4209"</definedName>
    <definedName name="IQ_REVENUE_MEDIAN_EST">"c1662"</definedName>
    <definedName name="IQ_REVENUE_MEDIAN_EST_REUT">"c3635"</definedName>
    <definedName name="IQ_REVENUE_NUM_EST">"c1129"</definedName>
    <definedName name="IQ_REVENUE_NUM_EST_REUT">"c3638"</definedName>
    <definedName name="IQ_REVISION_DATE_">38894.5735185185</definedName>
    <definedName name="IQ_RISK_ADJ_BANK_ASSETS">"c2670"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ME_STORE_FRANCHISE">"c2900"</definedName>
    <definedName name="IQ_SAME_STORE_OWNED">"c2908"</definedName>
    <definedName name="IQ_SAME_STORE_TOTAL">"c2892"</definedName>
    <definedName name="IQ_SAVING_DEP">"c1150"</definedName>
    <definedName name="IQ_SEC_PURCHASED_RESELL">"c5513"</definedName>
    <definedName name="IQ_SECUR_RECEIV">"c1151"</definedName>
    <definedName name="IQ_SECURED_DEBT">"c2546"</definedName>
    <definedName name="IQ_SECURED_DEBT_PCT">"c2547"</definedName>
    <definedName name="IQ_SECURITY_BORROW">"c1152"</definedName>
    <definedName name="IQ_SECURITY_LEVEL">"c2159"</definedName>
    <definedName name="IQ_SECURITY_NOTES">"c2202"</definedName>
    <definedName name="IQ_SECURITY_OWN">"c1153"</definedName>
    <definedName name="IQ_SECURITY_RESELL">"c1154"</definedName>
    <definedName name="IQ_SECURITY_TYPE">"c2158"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MARGIN">"c1898"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"c1425"</definedName>
    <definedName name="IQ_SMALL_INT_BEAR_CD">"c1166"</definedName>
    <definedName name="IQ_SOFTWARE">"c1167"</definedName>
    <definedName name="IQ_SOURCE">"c1168"</definedName>
    <definedName name="IQ_SP">"c2171"</definedName>
    <definedName name="IQ_SP_BANK">"c2637"</definedName>
    <definedName name="IQ_SP_BANK_ACTION">"c2636"</definedName>
    <definedName name="IQ_SP_BANK_DATE">"c2635"</definedName>
    <definedName name="IQ_SP_DATE">"c2172"</definedName>
    <definedName name="IQ_SP_FIN_ENHANCE_FX">"c2631"</definedName>
    <definedName name="IQ_SP_FIN_ENHANCE_FX_ACTION">"c2630"</definedName>
    <definedName name="IQ_SP_FIN_ENHANCE_FX_DATE">"c2629"</definedName>
    <definedName name="IQ_SP_FIN_ENHANCE_LC">"c2634"</definedName>
    <definedName name="IQ_SP_FIN_ENHANCE_LC_ACTION">"c2633"</definedName>
    <definedName name="IQ_SP_FIN_ENHANCE_LC_DATE">"c2632"</definedName>
    <definedName name="IQ_SP_FIN_STRENGTH_LC_ACTION_LT">"c2625"</definedName>
    <definedName name="IQ_SP_FIN_STRENGTH_LC_ACTION_ST">"c2626"</definedName>
    <definedName name="IQ_SP_FIN_STRENGTH_LC_DATE_LT">"c2623"</definedName>
    <definedName name="IQ_SP_FIN_STRENGTH_LC_DATE_ST">"c2624"</definedName>
    <definedName name="IQ_SP_FIN_STRENGTH_LC_LT">"c2627"</definedName>
    <definedName name="IQ_SP_FIN_STRENGTH_LC_ST">"c2628"</definedName>
    <definedName name="IQ_SP_FX_ACTION_LT">"c2613"</definedName>
    <definedName name="IQ_SP_FX_ACTION_ST">"c2614"</definedName>
    <definedName name="IQ_SP_FX_DATE_LT">"c2611"</definedName>
    <definedName name="IQ_SP_FX_DATE_ST">"c2612"</definedName>
    <definedName name="IQ_SP_FX_LT">"c2615"</definedName>
    <definedName name="IQ_SP_FX_ST">"c2616"</definedName>
    <definedName name="IQ_SP_ISSUE_ACTION">"c2644"</definedName>
    <definedName name="IQ_SP_ISSUE_DATE">"c2643"</definedName>
    <definedName name="IQ_SP_ISSUE_LT">"c2645"</definedName>
    <definedName name="IQ_SP_ISSUE_OUTLOOK_WATCH">"c2650"</definedName>
    <definedName name="IQ_SP_ISSUE_OUTLOOK_WATCH_DATE">"c2649"</definedName>
    <definedName name="IQ_SP_ISSUE_RECOVER">"c2648"</definedName>
    <definedName name="IQ_SP_ISSUE_RECOVER_ACTION">"c2647"</definedName>
    <definedName name="IQ_SP_ISSUE_RECOVER_DATE">"c2646"</definedName>
    <definedName name="IQ_SP_LC_ACTION_LT">"c2619"</definedName>
    <definedName name="IQ_SP_LC_ACTION_ST">"c2620"</definedName>
    <definedName name="IQ_SP_LC_DATE_LT">"c2617"</definedName>
    <definedName name="IQ_SP_LC_DATE_ST">"c2618"</definedName>
    <definedName name="IQ_SP_LC_LT">"c2621"</definedName>
    <definedName name="IQ_SP_LC_ST">"c2622"</definedName>
    <definedName name="IQ_SP_OUTLOOK_WATCH">"c2639"</definedName>
    <definedName name="IQ_SP_OUTLOOK_WATCH_DATE">"c2638"</definedName>
    <definedName name="IQ_SP_REASON">"c2174"</definedName>
    <definedName name="IQ_SP_STATUS">"c2173"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PECIAL_DIV_SHARE">"c3007"</definedName>
    <definedName name="IQ_SR_BONDS_NOTES">"c2501"</definedName>
    <definedName name="IQ_SR_BONDS_NOTES_PCT">"c2502"</definedName>
    <definedName name="IQ_SR_DEBT">"c2526"</definedName>
    <definedName name="IQ_SR_DEBT_EBITDA">"c2552"</definedName>
    <definedName name="IQ_SR_DEBT_EBITDA_CAPEX">"c2553"</definedName>
    <definedName name="IQ_SR_DEBT_PCT">"c2527"</definedName>
    <definedName name="IQ_SR_SUB_DEBT">"c2530"</definedName>
    <definedName name="IQ_SR_SUB_DEBT_EBITDA">"c2556"</definedName>
    <definedName name="IQ_SR_SUB_DEBT_EBITDA_CAPEX">"c2557"</definedName>
    <definedName name="IQ_SR_SUB_DEBT_PCT">"c2531"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PCT">"c2539"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AT">"c2999"</definedName>
    <definedName name="IQ_STOCK_BASED_CF">"c1203"</definedName>
    <definedName name="IQ_STOCK_BASED_COGS">"c2990"</definedName>
    <definedName name="IQ_STOCK_BASED_COMP">"c3512"</definedName>
    <definedName name="IQ_STOCK_BASED_COMP_PRETAX">"c3510"</definedName>
    <definedName name="IQ_STOCK_BASED_COMP_TAX">"c3511"</definedName>
    <definedName name="IQ_STOCK_BASED_EST">"c4520"</definedName>
    <definedName name="IQ_STOCK_BASED_GA">"c2993"</definedName>
    <definedName name="IQ_STOCK_BASED_HIGH_EST">"c4521"</definedName>
    <definedName name="IQ_STOCK_BASED_LOW_EST">"c4522"</definedName>
    <definedName name="IQ_STOCK_BASED_MEDIAN_EST">"c4523"</definedName>
    <definedName name="IQ_STOCK_BASED_NUM_EST">"c4524"</definedName>
    <definedName name="IQ_STOCK_BASED_OTHER">"c2995"</definedName>
    <definedName name="IQ_STOCK_BASED_RD">"c2991"</definedName>
    <definedName name="IQ_STOCK_BASED_SGA">"c2994"</definedName>
    <definedName name="IQ_STOCK_BASED_SM">"c2992"</definedName>
    <definedName name="IQ_STOCK_BASED_STDDEV_EST">"c4525"</definedName>
    <definedName name="IQ_STOCK_BASED_TOTAL">"c3040"</definedName>
    <definedName name="IQ_STOCK_OPTIONS_COMP">"c3509"</definedName>
    <definedName name="IQ_STOCK_OPTIONS_COMP_PRETAX">"c3507"</definedName>
    <definedName name="IQ_STOCK_OPTIONS_COMP_TAX">"c3508"</definedName>
    <definedName name="IQ_STRIKE_PRICE_ISSUED">"c1645"</definedName>
    <definedName name="IQ_STRIKE_PRICE_OS">"c1646"</definedName>
    <definedName name="IQ_STW">"c2166"</definedName>
    <definedName name="IQ_SUB_BONDS_NOTES">"c2503"</definedName>
    <definedName name="IQ_SUB_BONDS_NOTES_PCT">"c2504"</definedName>
    <definedName name="IQ_SUB_DEBT">"c2532"</definedName>
    <definedName name="IQ_SUB_DEBT_EBITDA">"c2558"</definedName>
    <definedName name="IQ_SUB_DEBT_EBITDA_CAPEX">"c2559"</definedName>
    <definedName name="IQ_SUB_DEBT_PCT">"c2533"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RGET_PRICE_NUM">"c1653"</definedName>
    <definedName name="IQ_TARGET_PRICE_NUM_REUT">"c5319"</definedName>
    <definedName name="IQ_TARGET_PRICE_STDDEV">"c1654"</definedName>
    <definedName name="IQ_TARGET_PRICE_STDDEV_REUT">"c5320"</definedName>
    <definedName name="IQ_TAX_BENEFIT_CF_1YR">"c3483"</definedName>
    <definedName name="IQ_TAX_BENEFIT_CF_2YR">"c3484"</definedName>
    <definedName name="IQ_TAX_BENEFIT_CF_3YR">"c3485"</definedName>
    <definedName name="IQ_TAX_BENEFIT_CF_4YR">"c3486"</definedName>
    <definedName name="IQ_TAX_BENEFIT_CF_5YR">"c3487"</definedName>
    <definedName name="IQ_TAX_BENEFIT_CF_AFTER_FIVE">"c3488"</definedName>
    <definedName name="IQ_TAX_BENEFIT_CF_MAX_YEAR">"c3491"</definedName>
    <definedName name="IQ_TAX_BENEFIT_CF_NO_EXP">"c3489"</definedName>
    <definedName name="IQ_TAX_BENEFIT_CF_TOTAL">"c3490"</definedName>
    <definedName name="IQ_TAX_BENEFIT_OPTIONS">"c1215"</definedName>
    <definedName name="IQ_TAX_EQUIV_NET_INT_INC">"c1216"</definedName>
    <definedName name="IQ_TBV">"c1906"</definedName>
    <definedName name="IQ_TBV_10YR_ANN_GROWTH">"c1936"</definedName>
    <definedName name="IQ_TBV_1YR_ANN_GROWTH">"c1931"</definedName>
    <definedName name="IQ_TBV_2YR_ANN_GROWTH">"c1932"</definedName>
    <definedName name="IQ_TBV_3YR_ANN_GROWTH">"c1933"</definedName>
    <definedName name="IQ_TBV_5YR_ANN_GROWTH">"c1934"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RM_LOANS">"c2499"</definedName>
    <definedName name="IQ_TERM_LOANS_PCT">"c2500"</definedName>
    <definedName name="IQ_TEV">"c1219"</definedName>
    <definedName name="IQ_TEV_EBIT">"c1220"</definedName>
    <definedName name="IQ_TEV_EBIT_AVG">"c1221"</definedName>
    <definedName name="IQ_TEV_EBIT_FWD">"c2238"</definedName>
    <definedName name="IQ_TEV_EBIT_FWD_REUT">"c4054"</definedName>
    <definedName name="IQ_TEV_EBITDA">"c1222"</definedName>
    <definedName name="IQ_TEV_EBITDA_AVG">"c1223"</definedName>
    <definedName name="IQ_TEV_EBITDA_FWD">"c1224"</definedName>
    <definedName name="IQ_TEV_EBITDA_FWD_REUT">"c4050"</definedName>
    <definedName name="IQ_TEV_EMPLOYEE_AVG">"c1225"</definedName>
    <definedName name="IQ_TEV_EST">"c4526"</definedName>
    <definedName name="IQ_TEV_HIGH_EST">"c4527"</definedName>
    <definedName name="IQ_TEV_LOW_EST">"c4528"</definedName>
    <definedName name="IQ_TEV_MEDIAN_EST">"c4529"</definedName>
    <definedName name="IQ_TEV_NUM_EST">"c4530"</definedName>
    <definedName name="IQ_TEV_STDDEV_EST">"c4531"</definedName>
    <definedName name="IQ_TEV_TOTAL_REV">"c1226"</definedName>
    <definedName name="IQ_TEV_TOTAL_REV_AVG">"c1227"</definedName>
    <definedName name="IQ_TEV_TOTAL_REV_FWD">"c1228"</definedName>
    <definedName name="IQ_TEV_TOTAL_REV_FWD_REUT">"c4051"</definedName>
    <definedName name="IQ_TEV_UFCF">"c2208"</definedName>
    <definedName name="IQ_TIER_ONE_CAPITAL">"c2667"</definedName>
    <definedName name="IQ_TIER_ONE_RATIO">"c1229"</definedName>
    <definedName name="IQ_TIER_TWO_CAPITAL">"c2669"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BANK_CAPITAL">"c2668"</definedName>
    <definedName name="IQ_TOTAL_CA">"c1243"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URN">"c2122"</definedName>
    <definedName name="IQ_TOTAL_CL">"c1245"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EBITDA">"c1249"</definedName>
    <definedName name="IQ_TOTAL_DEBT_EBITDA_CAPEX">"c2948"</definedName>
    <definedName name="IQ_TOTAL_DEBT_EQUITY">"c1250"</definedName>
    <definedName name="IQ_TOTAL_DEBT_EST">"c4532"</definedName>
    <definedName name="IQ_TOTAL_DEBT_EXCL_FIN">"c2937"</definedName>
    <definedName name="IQ_TOTAL_DEBT_GUIDANCE">"c4533"</definedName>
    <definedName name="IQ_TOTAL_DEBT_HIGH_EST">"c4534"</definedName>
    <definedName name="IQ_TOTAL_DEBT_HIGH_GUIDANCE">"c4196"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LOW_EST">"c4535"</definedName>
    <definedName name="IQ_TOTAL_DEBT_LOW_GUIDANCE">"c4236"</definedName>
    <definedName name="IQ_TOTAL_DEBT_MEDIAN_EST">"c4536"</definedName>
    <definedName name="IQ_TOTAL_DEBT_NUM_EST">"c4537"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BT_STDDEV_EST">"c4538"</definedName>
    <definedName name="IQ_TOTAL_DEPOSITS">"c1265"</definedName>
    <definedName name="IQ_TOTAL_DIV_PAID_CF">"c1266"</definedName>
    <definedName name="IQ_TOTAL_EMPLOYEE">"c1522"</definedName>
    <definedName name="IQ_TOTAL_EMPLOYEES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"c1435"</definedName>
    <definedName name="IQ_TOTAL_LIAB_TOTAL_ASSETS">"c1283"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PTIONS_BEG_OS">"c2693"</definedName>
    <definedName name="IQ_TOTAL_OPTIONS_CANCELLED">"c2696"</definedName>
    <definedName name="IQ_TOTAL_OPTIONS_END_OS">"c2697"</definedName>
    <definedName name="IQ_TOTAL_OPTIONS_EXERCISED">"c2695"</definedName>
    <definedName name="IQ_TOTAL_OPTIONS_GRANTED">"c2694"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ASSETS_DOMESTIC">"c2658"</definedName>
    <definedName name="IQ_TOTAL_PENSION_ASSETS_FOREIGN">"c2666"</definedName>
    <definedName name="IQ_TOTAL_PENSION_EXP">"c1291"</definedName>
    <definedName name="IQ_TOTAL_PENSION_OBLIGATION">"c1292"</definedName>
    <definedName name="IQ_TOTAL_PRINCIPAL">"c2509"</definedName>
    <definedName name="IQ_TOTAL_PRINCIPAL_PCT">"c2510"</definedName>
    <definedName name="IQ_TOTAL_PROVED_RESERVES_NGL">"c2924"</definedName>
    <definedName name="IQ_TOTAL_PROVED_RESERVES_OIL">"c2040"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SHARE">"c1912"</definedName>
    <definedName name="IQ_TOTAL_REV_UTI">"c1308"</definedName>
    <definedName name="IQ_TOTAL_REVENUE">"c1436"</definedName>
    <definedName name="IQ_TOTAL_SPECIAL">"c1618"</definedName>
    <definedName name="IQ_TOTAL_ST_BORROW">"c1424"</definedName>
    <definedName name="IQ_TOTAL_SUB_DEBT">"c2528"</definedName>
    <definedName name="IQ_TOTAL_SUB_DEBT_EBITDA">"c2554"</definedName>
    <definedName name="IQ_TOTAL_SUB_DEBT_EBITDA_CAPEX">"c2555"</definedName>
    <definedName name="IQ_TOTAL_SUB_DEBT_PCT">"c2529"</definedName>
    <definedName name="IQ_TOTAL_SUBS">"c2119"</definedName>
    <definedName name="IQ_TOTAL_UNUSUAL">"c1508"</definedName>
    <definedName name="IQ_TOTAL_UNUSUAL_BNK">"c5516"</definedName>
    <definedName name="IQ_TOTAL_UNUSUAL_BR">"c5517"</definedName>
    <definedName name="IQ_TOTAL_UNUSUAL_FIN">"c5518"</definedName>
    <definedName name="IQ_TOTAL_UNUSUAL_INS">"c5519"</definedName>
    <definedName name="IQ_TOTAL_UNUSUAL_REIT">"c5520"</definedName>
    <definedName name="IQ_TOTAL_UNUSUAL_UTI">"c5521"</definedName>
    <definedName name="IQ_TOTAL_WARRANTS_BEG_OS">"c2719"</definedName>
    <definedName name="IQ_TOTAL_WARRANTS_CANCELLED">"c2722"</definedName>
    <definedName name="IQ_TOTAL_WARRANTS_END_OS">"c2723"</definedName>
    <definedName name="IQ_TOTAL_WARRANTS_EXERCISED">"c2721"</definedName>
    <definedName name="IQ_TOTAL_WARRANTS_ISSUED">"c2720"</definedName>
    <definedName name="IQ_TR_ACCT_METHOD">"c2363"</definedName>
    <definedName name="IQ_TR_ACQ_52_WK_HI_PCT">"c2348"</definedName>
    <definedName name="IQ_TR_ACQ_52_WK_LOW_PCT">"c2347"</definedName>
    <definedName name="IQ_TR_ACQ_CASH_ST_INVEST">"c2372"</definedName>
    <definedName name="IQ_TR_ACQ_CLOSEPRICE_1D">"c3027"</definedName>
    <definedName name="IQ_TR_ACQ_DILUT_EPS_EXCL">"c3028"</definedName>
    <definedName name="IQ_TR_ACQ_EARNING_CO">"c2379"</definedName>
    <definedName name="IQ_TR_ACQ_EBIT">"c2380"</definedName>
    <definedName name="IQ_TR_ACQ_EBIT_EQ_INC">"c3611"</definedName>
    <definedName name="IQ_TR_ACQ_EBITDA">"c2381"</definedName>
    <definedName name="IQ_TR_ACQ_EBITDA_EQ_INC">"c3610"</definedName>
    <definedName name="IQ_TR_ACQ_FILING_CURRENCY">"c3033"</definedName>
    <definedName name="IQ_TR_ACQ_FILINGDATE">"c3607"</definedName>
    <definedName name="IQ_TR_ACQ_MCAP_1DAY">"c2345"</definedName>
    <definedName name="IQ_TR_ACQ_MIN_INT">"c2374"</definedName>
    <definedName name="IQ_TR_ACQ_NET_DEBT">"c2373"</definedName>
    <definedName name="IQ_TR_ACQ_NI">"c2378"</definedName>
    <definedName name="IQ_TR_ACQ_PERIODDATE">"c3606"</definedName>
    <definedName name="IQ_TR_ACQ_PRICEDATE_1D">"c2346"</definedName>
    <definedName name="IQ_TR_ACQ_RETURN">"c2349"</definedName>
    <definedName name="IQ_TR_ACQ_STOCKYEARHIGH_1D">"c2343"</definedName>
    <definedName name="IQ_TR_ACQ_STOCKYEARLOW_1D">"c2344"</definedName>
    <definedName name="IQ_TR_ACQ_TOTAL_ASSETS">"c2371"</definedName>
    <definedName name="IQ_TR_ACQ_TOTAL_COMMON_EQ">"c2377"</definedName>
    <definedName name="IQ_TR_ACQ_TOTAL_DEBT">"c2376"</definedName>
    <definedName name="IQ_TR_ACQ_TOTAL_PREF">"c2375"</definedName>
    <definedName name="IQ_TR_ACQ_TOTAL_REV">"c2382"</definedName>
    <definedName name="IQ_TR_ADJ_SIZE">"c3024"</definedName>
    <definedName name="IQ_TR_ANN_DATE">"c2395"</definedName>
    <definedName name="IQ_TR_ANN_DATE_BL">"c2394"</definedName>
    <definedName name="IQ_TR_BID_DATE">"c2357"</definedName>
    <definedName name="IQ_TR_BLUESKY_FEES">"c2277"</definedName>
    <definedName name="IQ_TR_BUY_ACC_ADVISORS">"c3048"</definedName>
    <definedName name="IQ_TR_BUY_FIN_ADVISORS">"c3045"</definedName>
    <definedName name="IQ_TR_BUY_LEG_ADVISORS">"c2387"</definedName>
    <definedName name="IQ_TR_BUYER_ID">"c2404"</definedName>
    <definedName name="IQ_TR_BUYERNAME">"c2401"</definedName>
    <definedName name="IQ_TR_CANCELLED_DATE">"c2284"</definedName>
    <definedName name="IQ_TR_CASH_CONSID_PCT">"c2296"</definedName>
    <definedName name="IQ_TR_CASH_ST_INVEST">"c3025"</definedName>
    <definedName name="IQ_TR_CHANGE_CONTROL">"c2365"</definedName>
    <definedName name="IQ_TR_CLOSED_DATE">"c2283"</definedName>
    <definedName name="IQ_TR_CO_NET_PROCEEDS">"c2268"</definedName>
    <definedName name="IQ_TR_CO_NET_PROCEEDS_PCT">"c2270"</definedName>
    <definedName name="IQ_TR_COMMENTS">"c2383"</definedName>
    <definedName name="IQ_TR_CURRENCY">"c3016"</definedName>
    <definedName name="IQ_TR_DEAL_ATTITUDE">"c2364"</definedName>
    <definedName name="IQ_TR_DEAL_CONDITIONS">"c2367"</definedName>
    <definedName name="IQ_TR_DEAL_RESOLUTION">"c2391"</definedName>
    <definedName name="IQ_TR_DEAL_RESPONSES">"c2366"</definedName>
    <definedName name="IQ_TR_DEBT_CONSID_PCT">"c2299"</definedName>
    <definedName name="IQ_TR_DEF_AGRMT_DATE">"c2285"</definedName>
    <definedName name="IQ_TR_DISCLOSED_FEES_EXP">"c2288"</definedName>
    <definedName name="IQ_TR_EARNOUTS">"c3023"</definedName>
    <definedName name="IQ_TR_EXPIRED_DATE">"c2412"</definedName>
    <definedName name="IQ_TR_GROSS_OFFERING_AMT">"c2262"</definedName>
    <definedName name="IQ_TR_HYBRID_CONSID_PCT">"c2300"</definedName>
    <definedName name="IQ_TR_IMPLIED_EQ">"c3018"</definedName>
    <definedName name="IQ_TR_IMPLIED_EQ_BV">"c3019"</definedName>
    <definedName name="IQ_TR_IMPLIED_EQ_NI_LTM">"c3020"</definedName>
    <definedName name="IQ_TR_IMPLIED_EV">"c2301"</definedName>
    <definedName name="IQ_TR_IMPLIED_EV_BV">"c2306"</definedName>
    <definedName name="IQ_TR_IMPLIED_EV_EBIT">"c2302"</definedName>
    <definedName name="IQ_TR_IMPLIED_EV_EBITDA">"c2303"</definedName>
    <definedName name="IQ_TR_IMPLIED_EV_NI_LTM">"c2307"</definedName>
    <definedName name="IQ_TR_IMPLIED_EV_REV">"c2304"</definedName>
    <definedName name="IQ_TR_INIT_FILED_DATE">"c3495"</definedName>
    <definedName name="IQ_TR_LOI_DATE">"c2282"</definedName>
    <definedName name="IQ_TR_MAJ_MIN_STAKE">"c2389"</definedName>
    <definedName name="IQ_TR_NEGOTIATED_BUYBACK_PRICE">"c2414"</definedName>
    <definedName name="IQ_TR_NET_ASSUM_LIABILITIES">"c2308"</definedName>
    <definedName name="IQ_TR_NET_PROCEEDS">"c2267"</definedName>
    <definedName name="IQ_TR_OFFER_DATE">"c2265"</definedName>
    <definedName name="IQ_TR_OFFER_DATE_MA">"c3035"</definedName>
    <definedName name="IQ_TR_OFFER_PER_SHARE">"c3017"</definedName>
    <definedName name="IQ_TR_OPTIONS_CONSID_PCT">"c2311"</definedName>
    <definedName name="IQ_TR_OTHER_CONSID">"c3022"</definedName>
    <definedName name="IQ_TR_PCT_SOUGHT">"c2309"</definedName>
    <definedName name="IQ_TR_PFEATURES">"c2384"</definedName>
    <definedName name="IQ_TR_PIPE_CONV_PRICE_SHARE">"c2292"</definedName>
    <definedName name="IQ_TR_PIPE_CPN_PCT">"c2291"</definedName>
    <definedName name="IQ_TR_PIPE_NUMBER_SHARES">"c2293"</definedName>
    <definedName name="IQ_TR_PIPE_PPS">"c2290"</definedName>
    <definedName name="IQ_TR_POSTMONEY_VAL">"c2286"</definedName>
    <definedName name="IQ_TR_PREDEAL_SITUATION">"c2390"</definedName>
    <definedName name="IQ_TR_PREF_CONSID_PCT">"c2310"</definedName>
    <definedName name="IQ_TR_PREMONEY_VAL">"c2287"</definedName>
    <definedName name="IQ_TR_PRINTING_FEES">"c2276"</definedName>
    <definedName name="IQ_TR_PT_MONETARY_VALUES">"c2415"</definedName>
    <definedName name="IQ_TR_PT_NUMBER_SHARES">"c2417"</definedName>
    <definedName name="IQ_TR_PT_PCT_SHARES">"c2416"</definedName>
    <definedName name="IQ_TR_RATING_FEES">"c2275"</definedName>
    <definedName name="IQ_TR_REG_EFFECT_DATE">"c2264"</definedName>
    <definedName name="IQ_TR_REG_FILED_DATE">"c2263"</definedName>
    <definedName name="IQ_TR_RENEWAL_BUYBACK">"c2413"</definedName>
    <definedName name="IQ_TR_ROUND_NUMBER">"c2295"</definedName>
    <definedName name="IQ_TR_SEC_FEES">"c2274"</definedName>
    <definedName name="IQ_TR_SECURITY_TYPE_REG">"c2279"</definedName>
    <definedName name="IQ_TR_SELL_ACC_ADVISORS">"c3049"</definedName>
    <definedName name="IQ_TR_SELL_FIN_ADVISORS">"c3046"</definedName>
    <definedName name="IQ_TR_SELL_LEG_ADVISORS">"c2388"</definedName>
    <definedName name="IQ_TR_SELLER_ID">"c2406"</definedName>
    <definedName name="IQ_TR_SELLERNAME">"c2402"</definedName>
    <definedName name="IQ_TR_SFEATURES">"c2385"</definedName>
    <definedName name="IQ_TR_SH_NET_PROCEEDS">"c2269"</definedName>
    <definedName name="IQ_TR_SH_NET_PROCEEDS_PCT">"c2271"</definedName>
    <definedName name="IQ_TR_SPECIAL_COMMITTEE">"c2362"</definedName>
    <definedName name="IQ_TR_STATUS">"c2399"</definedName>
    <definedName name="IQ_TR_STOCK_CONSID_PCT">"c2312"</definedName>
    <definedName name="IQ_TR_SUSPENDED_DATE">"c2407"</definedName>
    <definedName name="IQ_TR_TARGET_52WKHI_PCT">"c2351"</definedName>
    <definedName name="IQ_TR_TARGET_52WKLOW_PCT">"c2350"</definedName>
    <definedName name="IQ_TR_TARGET_ACC_ADVISORS">"c3047"</definedName>
    <definedName name="IQ_TR_TARGET_CASH_ST_INVEST">"c2327"</definedName>
    <definedName name="IQ_TR_TARGET_CLOSEPRICE_1D">"c2352"</definedName>
    <definedName name="IQ_TR_TARGET_CLOSEPRICE_1M">"c2354"</definedName>
    <definedName name="IQ_TR_TARGET_CLOSEPRICE_1W">"c2353"</definedName>
    <definedName name="IQ_TR_TARGET_DILUT_EPS_EXCL">"c2324"</definedName>
    <definedName name="IQ_TR_TARGET_EARNING_CO">"c2332"</definedName>
    <definedName name="IQ_TR_TARGET_EBIT">"c2333"</definedName>
    <definedName name="IQ_TR_TARGET_EBIT_EQ_INC">"c3609"</definedName>
    <definedName name="IQ_TR_TARGET_EBITDA">"c2334"</definedName>
    <definedName name="IQ_TR_TARGET_EBITDA_EQ_INC">"c3608"</definedName>
    <definedName name="IQ_TR_TARGET_FILING_CURRENCY">"c3034"</definedName>
    <definedName name="IQ_TR_TARGET_FILINGDATE">"c3605"</definedName>
    <definedName name="IQ_TR_TARGET_FIN_ADVISORS">"c3044"</definedName>
    <definedName name="IQ_TR_TARGET_ID">"c2405"</definedName>
    <definedName name="IQ_TR_TARGET_LEG_ADVISORS">"c2386"</definedName>
    <definedName name="IQ_TR_TARGET_MARKETCAP">"c2342"</definedName>
    <definedName name="IQ_TR_TARGET_MIN_INT">"c2328"</definedName>
    <definedName name="IQ_TR_TARGET_NET_DEBT">"c2326"</definedName>
    <definedName name="IQ_TR_TARGET_NI">"c2331"</definedName>
    <definedName name="IQ_TR_TARGET_PERIODDATE">"c3604"</definedName>
    <definedName name="IQ_TR_TARGET_PRICEDATE_1D">"c2341"</definedName>
    <definedName name="IQ_TR_TARGET_RETURN">"c2355"</definedName>
    <definedName name="IQ_TR_TARGET_SEC_DETAIL">"c3021"</definedName>
    <definedName name="IQ_TR_TARGET_SEC_TI_ID">"c2368"</definedName>
    <definedName name="IQ_TR_TARGET_SEC_TYPE">"c2369"</definedName>
    <definedName name="IQ_TR_TARGET_SPD">"c2313"</definedName>
    <definedName name="IQ_TR_TARGET_SPD_PCT">"c2314"</definedName>
    <definedName name="IQ_TR_TARGET_STOCKPREMIUM_1D">"c2336"</definedName>
    <definedName name="IQ_TR_TARGET_STOCKPREMIUM_1M">"c2337"</definedName>
    <definedName name="IQ_TR_TARGET_STOCKPREMIUM_1W">"c2338"</definedName>
    <definedName name="IQ_TR_TARGET_STOCKYEARHIGH_1D">"c2339"</definedName>
    <definedName name="IQ_TR_TARGET_STOCKYEARLOW_1D">"c2340"</definedName>
    <definedName name="IQ_TR_TARGET_TOTAL_ASSETS">"c2325"</definedName>
    <definedName name="IQ_TR_TARGET_TOTAL_COMMON_EQ">"c2421"</definedName>
    <definedName name="IQ_TR_TARGET_TOTAL_DEBT">"c2330"</definedName>
    <definedName name="IQ_TR_TARGET_TOTAL_PREF">"c2329"</definedName>
    <definedName name="IQ_TR_TARGET_TOTAL_REV">"c2335"</definedName>
    <definedName name="IQ_TR_TARGETNAME">"c2403"</definedName>
    <definedName name="IQ_TR_TERM_FEE">"c2298"</definedName>
    <definedName name="IQ_TR_TERM_FEE_PCT">"c2297"</definedName>
    <definedName name="IQ_TR_TODATE">"c3036"</definedName>
    <definedName name="IQ_TR_TODATE_MONETARY_VALUE">"c2418"</definedName>
    <definedName name="IQ_TR_TODATE_NUMBER_SHARES">"c2420"</definedName>
    <definedName name="IQ_TR_TODATE_PCT_SHARES">"c2419"</definedName>
    <definedName name="IQ_TR_TOTAL_ACCT_FEES">"c2273"</definedName>
    <definedName name="IQ_TR_TOTAL_CASH">"c2315"</definedName>
    <definedName name="IQ_TR_TOTAL_CONSID_SH">"c2316"</definedName>
    <definedName name="IQ_TR_TOTAL_DEBT">"c2317"</definedName>
    <definedName name="IQ_TR_TOTAL_GROSS_TV">"c2318"</definedName>
    <definedName name="IQ_TR_TOTAL_HYBRID">"c2319"</definedName>
    <definedName name="IQ_TR_TOTAL_LEGAL_FEES">"c2272"</definedName>
    <definedName name="IQ_TR_TOTAL_NET_TV">"c2320"</definedName>
    <definedName name="IQ_TR_TOTAL_NEWMONEY">"c2289"</definedName>
    <definedName name="IQ_TR_TOTAL_OPTIONS">"c2322"</definedName>
    <definedName name="IQ_TR_TOTAL_OPTIONS_BUYER">"c3026"</definedName>
    <definedName name="IQ_TR_TOTAL_PREFERRED">"c2321"</definedName>
    <definedName name="IQ_TR_TOTAL_REG_AMT">"c2261"</definedName>
    <definedName name="IQ_TR_TOTAL_STOCK">"c2323"</definedName>
    <definedName name="IQ_TR_TOTAL_TAKEDOWNS">"c2278"</definedName>
    <definedName name="IQ_TR_TOTAL_UW_COMP">"c2280"</definedName>
    <definedName name="IQ_TR_TOTALVALUE">"c2400"</definedName>
    <definedName name="IQ_TR_TRANSACTION_TYPE">"c2398"</definedName>
    <definedName name="IQ_TR_WITHDRAWN_DTE">"c2266"</definedName>
    <definedName name="IQ_TRADE_AR">"c1345"</definedName>
    <definedName name="IQ_TRADE_PRINCIPAL">"c1309"</definedName>
    <definedName name="IQ_TRADING_ASSETS">"c1310"</definedName>
    <definedName name="IQ_TRADING_CURRENCY">"c2212"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"c1438"</definedName>
    <definedName name="IQ_TRUST_INC">"c1319"</definedName>
    <definedName name="IQ_TRUST_PREF">"c1320"</definedName>
    <definedName name="IQ_TRUST_PREFERRED">"c3029"</definedName>
    <definedName name="IQ_TRUST_PREFERRED_PCT">"c3030"</definedName>
    <definedName name="IQ_UFCF_10YR_ANN_GROWTH">"c1948"</definedName>
    <definedName name="IQ_UFCF_1YR_ANN_GROWTH">"c1943"</definedName>
    <definedName name="IQ_UFCF_2YR_ANN_GROWTH">"c1944"</definedName>
    <definedName name="IQ_UFCF_3YR_ANN_GROWTH">"c1945"</definedName>
    <definedName name="IQ_UFCF_5YR_ANN_GROWTH">"c1946"</definedName>
    <definedName name="IQ_UFCF_7YR_ANN_GROWTH">"c1947"</definedName>
    <definedName name="IQ_UFCF_MARGIN">"c1962"</definedName>
    <definedName name="IQ_ULT_PARENT">"c3037"</definedName>
    <definedName name="IQ_ULT_PARENT_CIQID">"c3039"</definedName>
    <definedName name="IQ_ULT_PARENT_TICKER">"c3038"</definedName>
    <definedName name="IQ_UNAMORT_DISC">"c2513"</definedName>
    <definedName name="IQ_UNAMORT_DISC_PCT">"c2514"</definedName>
    <definedName name="IQ_UNAMORT_PREMIUM">"c2511"</definedName>
    <definedName name="IQ_UNAMORT_PREMIUM_PCT">"c2512"</definedName>
    <definedName name="IQ_UNDRAWN_CP">"c2518"</definedName>
    <definedName name="IQ_UNDRAWN_CREDIT">"c3032"</definedName>
    <definedName name="IQ_UNDRAWN_RC">"c2517"</definedName>
    <definedName name="IQ_UNDRAWN_TL">"c2519"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LEVERED_FCF">"c1908"</definedName>
    <definedName name="IQ_UNPAID_CLAIMS">"c1330"</definedName>
    <definedName name="IQ_UNREALIZED_GAIN">"c1619"</definedName>
    <definedName name="IQ_UNSECURED_DEBT">"c2548"</definedName>
    <definedName name="IQ_UNSECURED_DEBT_PCT">"c2549"</definedName>
    <definedName name="IQ_UNUSUAL_EXP">"c1456"</definedName>
    <definedName name="IQ_US_GAAP">"c1331"</definedName>
    <definedName name="IQ_US_GAAP_BASIC_EPS_EXCL">"c2984"</definedName>
    <definedName name="IQ_US_GAAP_BASIC_EPS_INCL">"c2982"</definedName>
    <definedName name="IQ_US_GAAP_BASIC_WEIGHT">"c2980"</definedName>
    <definedName name="IQ_US_GAAP_CA_ADJ">"c2925"</definedName>
    <definedName name="IQ_US_GAAP_CASH_FINAN">"c2945"</definedName>
    <definedName name="IQ_US_GAAP_CASH_FINAN_ADJ">"c2941"</definedName>
    <definedName name="IQ_US_GAAP_CASH_INVEST">"c2944"</definedName>
    <definedName name="IQ_US_GAAP_CASH_INVEST_ADJ">"c2940"</definedName>
    <definedName name="IQ_US_GAAP_CASH_OPER">"c2943"</definedName>
    <definedName name="IQ_US_GAAP_CASH_OPER_ADJ">"c2939"</definedName>
    <definedName name="IQ_US_GAAP_CL_ADJ">"c2927"</definedName>
    <definedName name="IQ_US_GAAP_COST_REV_ADJ">"c2951"</definedName>
    <definedName name="IQ_US_GAAP_DILUT_EPS_EXCL">"c2985"</definedName>
    <definedName name="IQ_US_GAAP_DILUT_EPS_INCL">"c2983"</definedName>
    <definedName name="IQ_US_GAAP_DILUT_NI">"c2979"</definedName>
    <definedName name="IQ_US_GAAP_DILUT_WEIGHT">"c2981"</definedName>
    <definedName name="IQ_US_GAAP_DO_ADJ">"c2959"</definedName>
    <definedName name="IQ_US_GAAP_EXTRA_ACC_ITEMS_ADJ">"c2958"</definedName>
    <definedName name="IQ_US_GAAP_INC_TAX_ADJ">"c2961"</definedName>
    <definedName name="IQ_US_GAAP_INTEREST_EXP_ADJ">"c2957"</definedName>
    <definedName name="IQ_US_GAAP_LIAB_LT_ADJ">"c2928"</definedName>
    <definedName name="IQ_US_GAAP_LIAB_TOTAL_LIAB">"c2933"</definedName>
    <definedName name="IQ_US_GAAP_MINORITY_INTEREST_IS_ADJ">"c2960"</definedName>
    <definedName name="IQ_US_GAAP_NCA_ADJ">"c2926"</definedName>
    <definedName name="IQ_US_GAAP_NET_CHANGE">"c2946"</definedName>
    <definedName name="IQ_US_GAAP_NET_CHANGE_ADJ">"c2942"</definedName>
    <definedName name="IQ_US_GAAP_NI">"c2976"</definedName>
    <definedName name="IQ_US_GAAP_NI_ADJ">"c2963"</definedName>
    <definedName name="IQ_US_GAAP_NI_AVAIL_INCL">"c2978"</definedName>
    <definedName name="IQ_US_GAAP_OTHER_ADJ_ADJ">"c2962"</definedName>
    <definedName name="IQ_US_GAAP_OTHER_NON_OPER_ADJ">"c2955"</definedName>
    <definedName name="IQ_US_GAAP_OTHER_OPER_ADJ">"c2954"</definedName>
    <definedName name="IQ_US_GAAP_RD_ADJ">"c2953"</definedName>
    <definedName name="IQ_US_GAAP_SGA_ADJ">"c2952"</definedName>
    <definedName name="IQ_US_GAAP_TOTAL_ASSETS">"c2931"</definedName>
    <definedName name="IQ_US_GAAP_TOTAL_EQUITY">"c2934"</definedName>
    <definedName name="IQ_US_GAAP_TOTAL_EQUITY_ADJ">"c2929"</definedName>
    <definedName name="IQ_US_GAAP_TOTAL_REV_ADJ">"c2950"</definedName>
    <definedName name="IQ_US_GAAP_TOTAL_UNUSUAL_ADJ">"c2956"</definedName>
    <definedName name="IQ_UTIL_PPE_NET">"c1620"</definedName>
    <definedName name="IQ_UTIL_REV">"c2091"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ARRANTS_BEG_OS">"c2698"</definedName>
    <definedName name="IQ_WARRANTS_CANCELLED">"c2701"</definedName>
    <definedName name="IQ_WARRANTS_END_OS">"c2702"</definedName>
    <definedName name="IQ_WARRANTS_EXERCISED">"c2700"</definedName>
    <definedName name="IQ_WARRANTS_ISSUED">"c2699"</definedName>
    <definedName name="IQ_WARRANTS_STRIKE_PRICE_ISSUED">"c2704"</definedName>
    <definedName name="IQ_WARRANTS_STRIKE_PRICE_OS">"c2703"</definedName>
    <definedName name="IQ_WEEK">50000</definedName>
    <definedName name="IQ_WEIGHTED_AVG_PRICE">"c1334"</definedName>
    <definedName name="IQ_WIP_INV">"c1335"</definedName>
    <definedName name="IQ_WORKING_CAP">"c3494"</definedName>
    <definedName name="IQ_WORKMEN_WRITTEN">"c1336"</definedName>
    <definedName name="IQ_XDIV_DATE">"c2104"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DMONTH">130000</definedName>
    <definedName name="IQ_YTW">"c2163"</definedName>
    <definedName name="IQ_YTW_DATE">"c2164"</definedName>
    <definedName name="IQ_YTW_DATE_TYPE">"c2165"</definedName>
    <definedName name="IQ_Z_SCORE">"c1339"</definedName>
    <definedName name="IRI_WorkspaceId">"e0a3a37b0bef47cfbb640cda5eee3e2d"</definedName>
    <definedName name="jj" hidden="1">#REF!</definedName>
    <definedName name="jjjj" hidden="1">#REF!</definedName>
    <definedName name="kk" localSheetId="15" hidden="1">{"HLTotRev",#N/A,FALSE,"HL";"HLProcRev",#N/A,FALSE,"HL";"HLProcPRHRTA",#N/A,FALSE,"HL";"HLProcMSNEWTot",#N/A,FALSE,"HL";"HLSalesStarts",#N/A,FALSE,"HL";"HLLoss",#N/A,FALSE,"HL";"HLSUYrend",#N/A,FALSE,"HL";"Clients",#N/A,FALSE,"HL";"InputSales",#N/A,FALSE,"HL"}</definedName>
    <definedName name="kk" localSheetId="7" hidden="1">{"HLTotRev",#N/A,FALSE,"HL";"HLProcRev",#N/A,FALSE,"HL";"HLProcPRHRTA",#N/A,FALSE,"HL";"HLProcMSNEWTot",#N/A,FALSE,"HL";"HLSalesStarts",#N/A,FALSE,"HL";"HLLoss",#N/A,FALSE,"HL";"HLSUYrend",#N/A,FALSE,"HL";"Clients",#N/A,FALSE,"HL";"InputSales",#N/A,FALSE,"HL"}</definedName>
    <definedName name="kk" hidden="1">{"HLTotRev",#N/A,FALSE,"HL";"HLProcRev",#N/A,FALSE,"HL";"HLProcPRHRTA",#N/A,FALSE,"HL";"HLProcMSNEWTot",#N/A,FALSE,"HL";"HLSalesStarts",#N/A,FALSE,"HL";"HLLoss",#N/A,FALSE,"HL";"HLSUYrend",#N/A,FALSE,"HL";"Clients",#N/A,FALSE,"HL";"InputSales",#N/A,FALSE,"HL"}</definedName>
    <definedName name="kkkk" hidden="1">#REF!</definedName>
    <definedName name="l" hidden="1">#REF!</definedName>
    <definedName name="lbo" localSheetId="15" hidden="1">{#N/A,#N/A,FALSE,"Summary";#N/A,#N/A,FALSE,"Projections";#N/A,#N/A,FALSE,"Mkt Mults";#N/A,#N/A,FALSE,"DCF";#N/A,#N/A,FALSE,"Accr Dil";#N/A,#N/A,FALSE,"PIC LBO";#N/A,#N/A,FALSE,"MULT10_4";#N/A,#N/A,FALSE,"CBI LBO"}</definedName>
    <definedName name="lbo" localSheetId="7" hidden="1">{#N/A,#N/A,FALSE,"Summary";#N/A,#N/A,FALSE,"Projections";#N/A,#N/A,FALSE,"Mkt Mults";#N/A,#N/A,FALSE,"DCF";#N/A,#N/A,FALSE,"Accr Dil";#N/A,#N/A,FALSE,"PIC LBO";#N/A,#N/A,FALSE,"MULT10_4";#N/A,#N/A,FALSE,"CBI LBO"}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ea" localSheetId="15" hidden="1">{"AprJE to Everham",#N/A,FALSE,"JEto Jen"}</definedName>
    <definedName name="Lea" localSheetId="7" hidden="1">{"AprJE to Everham",#N/A,FALSE,"JEto Jen"}</definedName>
    <definedName name="Lea" hidden="1">{"AprJE to Everham",#N/A,FALSE,"JEto Jen"}</definedName>
    <definedName name="lkl" localSheetId="15" hidden="1">{#N/A,#N/A,FALSE,"TOTAL";#N/A,#N/A,FALSE,"BURGER KING";#N/A,#N/A,FALSE,"MARRIOTT";#N/A,#N/A,FALSE,"DISNEY";#N/A,#N/A,FALSE,"DISTRIBUTORS";#N/A,#N/A,FALSE,"FORMULA"}</definedName>
    <definedName name="lkl" localSheetId="7" hidden="1">{#N/A,#N/A,FALSE,"TOTAL";#N/A,#N/A,FALSE,"BURGER KING";#N/A,#N/A,FALSE,"MARRIOTT";#N/A,#N/A,FALSE,"DISNEY";#N/A,#N/A,FALSE,"DISTRIBUTORS";#N/A,#N/A,FALSE,"FORMULA"}</definedName>
    <definedName name="lkl" hidden="1">{#N/A,#N/A,FALSE,"TOTAL";#N/A,#N/A,FALSE,"BURGER KING";#N/A,#N/A,FALSE,"MARRIOTT";#N/A,#N/A,FALSE,"DISNEY";#N/A,#N/A,FALSE,"DISTRIBUTORS";#N/A,#N/A,FALSE,"FORMULA"}</definedName>
    <definedName name="ll" localSheetId="15" hidden="1">{"totrevbx",#N/A,FALSE,"Paris Rev";"totrevbxparis",#N/A,FALSE,"Total Rev";"totprocrevben",#N/A,FALSE,"Tot Proc Rev";"totloss",#N/A,FALSE,"HL";"ISSummary",#N/A,FALSE,"Tot Proc Rev";"TotClientnum",#N/A,FALSE,"HL";"otherinc",#N/A,FALSE,"Other Inc";"totprocsched",#N/A,FALSE,"HL";"inputtotsal",#N/A,FALSE,"HL";"salesinputcap",#N/A,FALSE,"HL";"saleswoyrendtotben",#N/A,FALSE,"HL";"totprocsched",#N/A,FALSE,"HL";"TotClientnum",#N/A,FALSE,"HL";"otherinc",#N/A,FALSE,"HL";"totprocsched",#N/A,FALSE,"HL";"startcap",#N/A,FALSE,"HL";"starttotben",#N/A,FALSE,"HL"}</definedName>
    <definedName name="ll" localSheetId="7" hidden="1">{"totrevbx",#N/A,FALSE,"Paris Rev";"totrevbxparis",#N/A,FALSE,"Total Rev";"totprocrevben",#N/A,FALSE,"Tot Proc Rev";"totloss",#N/A,FALSE,"HL";"ISSummary",#N/A,FALSE,"Tot Proc Rev";"TotClientnum",#N/A,FALSE,"HL";"otherinc",#N/A,FALSE,"Other Inc";"totprocsched",#N/A,FALSE,"HL";"inputtotsal",#N/A,FALSE,"HL";"salesinputcap",#N/A,FALSE,"HL";"saleswoyrendtotben",#N/A,FALSE,"HL";"totprocsched",#N/A,FALSE,"HL";"TotClientnum",#N/A,FALSE,"HL";"otherinc",#N/A,FALSE,"HL";"totprocsched",#N/A,FALSE,"HL";"startcap",#N/A,FALSE,"HL";"starttotben",#N/A,FALSE,"HL"}</definedName>
    <definedName name="ll" hidden="1">{"totrevbx",#N/A,FALSE,"Paris Rev";"totrevbxparis",#N/A,FALSE,"Total Rev";"totprocrevben",#N/A,FALSE,"Tot Proc Rev";"totloss",#N/A,FALSE,"HL";"ISSummary",#N/A,FALSE,"Tot Proc Rev";"TotClientnum",#N/A,FALSE,"HL";"otherinc",#N/A,FALSE,"Other Inc";"totprocsched",#N/A,FALSE,"HL";"inputtotsal",#N/A,FALSE,"HL";"salesinputcap",#N/A,FALSE,"HL";"saleswoyrendtotben",#N/A,FALSE,"HL";"totprocsched",#N/A,FALSE,"HL";"TotClientnum",#N/A,FALSE,"HL";"otherinc",#N/A,FALSE,"HL";"totprocsched",#N/A,FALSE,"HL";"startcap",#N/A,FALSE,"HL";"starttotben",#N/A,FALSE,"HL"}</definedName>
    <definedName name="matt" localSheetId="15" hidden="1">{"Oct 02 Revenue &amp; Expense",#N/A,FALSE,"October 02";"Oct 02 Recoveries",#N/A,FALSE,"October 02"}</definedName>
    <definedName name="matt" localSheetId="7" hidden="1">{"Oct 02 Revenue &amp; Expense",#N/A,FALSE,"October 02";"Oct 02 Recoveries",#N/A,FALSE,"October 02"}</definedName>
    <definedName name="matt" hidden="1">{"Oct 02 Revenue &amp; Expense",#N/A,FALSE,"October 02";"Oct 02 Recoveries",#N/A,FALSE,"October 02"}</definedName>
    <definedName name="Med_prod" localSheetId="15" hidden="1">{#N/A,#N/A,FALSE,"Prem_Sum";#N/A,#N/A,FALSE,"Prem"}</definedName>
    <definedName name="Med_prod" localSheetId="7" hidden="1">{#N/A,#N/A,FALSE,"Prem_Sum";#N/A,#N/A,FALSE,"Prem"}</definedName>
    <definedName name="Med_prod" hidden="1">{#N/A,#N/A,FALSE,"Prem_Sum";#N/A,#N/A,FALSE,"Prem"}</definedName>
    <definedName name="Med_prod.xls" localSheetId="15" hidden="1">{#N/A,#N/A,FALSE,"FACTSHEETS";#N/A,#N/A,FALSE,"pump";#N/A,#N/A,FALSE,"filter"}</definedName>
    <definedName name="Med_prod.xls" localSheetId="7" hidden="1">{#N/A,#N/A,FALSE,"FACTSHEETS";#N/A,#N/A,FALSE,"pump";#N/A,#N/A,FALSE,"filter"}</definedName>
    <definedName name="Med_prod.xls" hidden="1">{#N/A,#N/A,FALSE,"FACTSHEETS";#N/A,#N/A,FALSE,"pump";#N/A,#N/A,FALSE,"filter"}</definedName>
    <definedName name="Med_products" localSheetId="15" hidden="1">{#N/A,#N/A,FALSE,"FACTSHEETS";#N/A,#N/A,FALSE,"pump";#N/A,#N/A,FALSE,"filter"}</definedName>
    <definedName name="Med_products" localSheetId="7" hidden="1">{#N/A,#N/A,FALSE,"FACTSHEETS";#N/A,#N/A,FALSE,"pump";#N/A,#N/A,FALSE,"filter"}</definedName>
    <definedName name="Med_products" hidden="1">{#N/A,#N/A,FALSE,"FACTSHEETS";#N/A,#N/A,FALSE,"pump";#N/A,#N/A,FALSE,"filter"}</definedName>
    <definedName name="Months" localSheetId="15">{"January","February","March","April","May","June","July","August","September","October","November","December"}</definedName>
    <definedName name="Months" localSheetId="7">{"January","February","March","April","May","June","July","August","September","October","November","December"}</definedName>
    <definedName name="Months">{"January","February","March","April","May","June","July","August","September","October","November","December"}</definedName>
    <definedName name="Mults02" localSheetId="15" hidden="1">{#N/A,#N/A,FALSE,"Projections";#N/A,#N/A,FALSE,"Multiples Valuation";#N/A,#N/A,FALSE,"LBO";#N/A,#N/A,FALSE,"Multiples_Sensitivity";#N/A,#N/A,FALSE,"Summary"}</definedName>
    <definedName name="Mults02" localSheetId="7" hidden="1">{#N/A,#N/A,FALSE,"Projections";#N/A,#N/A,FALSE,"Multiples Valuation";#N/A,#N/A,FALSE,"LBO";#N/A,#N/A,FALSE,"Multiples_Sensitivity";#N/A,#N/A,FALSE,"Summary"}</definedName>
    <definedName name="Mults02" hidden="1">{#N/A,#N/A,FALSE,"Projections";#N/A,#N/A,FALSE,"Multiples Valuation";#N/A,#N/A,FALSE,"LBO";#N/A,#N/A,FALSE,"Multiples_Sensitivity";#N/A,#N/A,FALSE,"Summary"}</definedName>
    <definedName name="new" localSheetId="15">{"'Hardware Req.'!$A$1:$C$23"}</definedName>
    <definedName name="new" localSheetId="7">{"'Hardware Req.'!$A$1:$C$23"}</definedName>
    <definedName name="new">{"'Hardware Req.'!$A$1:$C$23"}</definedName>
    <definedName name="nnnnnnn" localSheetId="15" hidden="1">{#N/A,#N/A,TRUE,"TS";#N/A,#N/A,TRUE,"Combo";#N/A,#N/A,TRUE,"FAIR";#N/A,#N/A,TRUE,"RBC";#N/A,#N/A,TRUE,"xxxx"}</definedName>
    <definedName name="nnnnnnn" localSheetId="7" hidden="1">{#N/A,#N/A,TRUE,"TS";#N/A,#N/A,TRUE,"Combo";#N/A,#N/A,TRUE,"FAIR";#N/A,#N/A,TRUE,"RBC";#N/A,#N/A,TRUE,"xxxx"}</definedName>
    <definedName name="nnnnnnn" hidden="1">{#N/A,#N/A,TRUE,"TS";#N/A,#N/A,TRUE,"Combo";#N/A,#N/A,TRUE,"FAIR";#N/A,#N/A,TRUE,"RBC";#N/A,#N/A,TRUE,"xxxx"}</definedName>
    <definedName name="o" hidden="1">#REF!</definedName>
    <definedName name="ok" localSheetId="15" hidden="1">{"AprJE to Everham",#N/A,FALSE,"JEto Jen"}</definedName>
    <definedName name="ok" localSheetId="7" hidden="1">{"AprJE to Everham",#N/A,FALSE,"JEto Jen"}</definedName>
    <definedName name="ok" hidden="1">{"AprJE to Everham",#N/A,FALSE,"JEto Jen"}</definedName>
    <definedName name="OO" hidden="1">#REF!</definedName>
    <definedName name="p.kh" localSheetId="15" hidden="1">{#N/A,#N/A,FALSE,"Heat";#N/A,#N/A,FALSE,"DCF";#N/A,#N/A,FALSE,"LBO";#N/A,#N/A,FALSE,"A";#N/A,#N/A,FALSE,"C";#N/A,#N/A,FALSE,"impd";#N/A,#N/A,FALSE,"Accr-Dilu"}</definedName>
    <definedName name="p.kh" localSheetId="7" hidden="1">{#N/A,#N/A,FALSE,"Heat";#N/A,#N/A,FALSE,"DCF";#N/A,#N/A,FALSE,"LBO";#N/A,#N/A,FALSE,"A";#N/A,#N/A,FALSE,"C";#N/A,#N/A,FALSE,"impd";#N/A,#N/A,FALSE,"Accr-Dilu"}</definedName>
    <definedName name="p.kh" hidden="1">{#N/A,#N/A,FALSE,"Heat";#N/A,#N/A,FALSE,"DCF";#N/A,#N/A,FALSE,"LBO";#N/A,#N/A,FALSE,"A";#N/A,#N/A,FALSE,"C";#N/A,#N/A,FALSE,"impd";#N/A,#N/A,FALSE,"Accr-Dilu"}</definedName>
    <definedName name="Pivot_Range" localSheetId="15">#REF!</definedName>
    <definedName name="Pivot_Range" localSheetId="12">#REF!</definedName>
    <definedName name="Pivot_Range">#REF!</definedName>
    <definedName name="plan" localSheetId="15" hidden="1">{#N/A,#N/A,FALSE,"BalSheet 0899";#N/A,#N/A,FALSE,"ytdpl899";#N/A,#N/A,FALSE,"Aug PL";#N/A,#N/A,FALSE,"Minority Int";#N/A,#N/A,FALSE,"Equity Roll Forward";#N/A,#N/A,FALSE,"Book Equity Test"}</definedName>
    <definedName name="plan" localSheetId="7" hidden="1">{#N/A,#N/A,FALSE,"BalSheet 0899";#N/A,#N/A,FALSE,"ytdpl899";#N/A,#N/A,FALSE,"Aug PL";#N/A,#N/A,FALSE,"Minority Int";#N/A,#N/A,FALSE,"Equity Roll Forward";#N/A,#N/A,FALSE,"Book Equity Test"}</definedName>
    <definedName name="plan" hidden="1">{#N/A,#N/A,FALSE,"BalSheet 0899";#N/A,#N/A,FALSE,"ytdpl899";#N/A,#N/A,FALSE,"Aug PL";#N/A,#N/A,FALSE,"Minority Int";#N/A,#N/A,FALSE,"Equity Roll Forward";#N/A,#N/A,FALSE,"Book Equity Test"}</definedName>
    <definedName name="planning" localSheetId="15" hidden="1">{#N/A,#N/A,FALSE,"BalSheet 0899";#N/A,#N/A,FALSE,"ytdpl899";#N/A,#N/A,FALSE,"Aug PL";#N/A,#N/A,FALSE,"Minority Int";#N/A,#N/A,FALSE,"Equity Roll Forward";#N/A,#N/A,FALSE,"Book Equity Test"}</definedName>
    <definedName name="planning" localSheetId="7" hidden="1">{#N/A,#N/A,FALSE,"BalSheet 0899";#N/A,#N/A,FALSE,"ytdpl899";#N/A,#N/A,FALSE,"Aug PL";#N/A,#N/A,FALSE,"Minority Int";#N/A,#N/A,FALSE,"Equity Roll Forward";#N/A,#N/A,FALSE,"Book Equity Test"}</definedName>
    <definedName name="planning" hidden="1">{#N/A,#N/A,FALSE,"BalSheet 0899";#N/A,#N/A,FALSE,"ytdpl899";#N/A,#N/A,FALSE,"Aug PL";#N/A,#N/A,FALSE,"Minority Int";#N/A,#N/A,FALSE,"Equity Roll Forward";#N/A,#N/A,FALSE,"Book Equity Test"}</definedName>
    <definedName name="ploi" localSheetId="15" hidden="1">{#N/A,#N/A,FALSE,"Assump2";#N/A,#N/A,FALSE,"Income2";#N/A,#N/A,FALSE,"Balance2";#N/A,#N/A,FALSE,"DCF Filter";#N/A,#N/A,FALSE,"Trans Assump2";#N/A,#N/A,FALSE,"Combined Income2";#N/A,#N/A,FALSE,"Combined Balance2"}</definedName>
    <definedName name="ploi" localSheetId="7" hidden="1">{#N/A,#N/A,FALSE,"Assump2";#N/A,#N/A,FALSE,"Income2";#N/A,#N/A,FALSE,"Balance2";#N/A,#N/A,FALSE,"DCF Filter";#N/A,#N/A,FALSE,"Trans Assump2";#N/A,#N/A,FALSE,"Combined Income2";#N/A,#N/A,FALSE,"Combined Balance2"}</definedName>
    <definedName name="ploi" hidden="1">{#N/A,#N/A,FALSE,"Assump2";#N/A,#N/A,FALSE,"Income2";#N/A,#N/A,FALSE,"Balance2";#N/A,#N/A,FALSE,"DCF Filter";#N/A,#N/A,FALSE,"Trans Assump2";#N/A,#N/A,FALSE,"Combined Income2";#N/A,#N/A,FALSE,"Combined Balance2"}</definedName>
    <definedName name="PopCache_GL_INTERFACE_REFERENCE7" hidden="1">[19]PopCache!$A$1:$A$2</definedName>
    <definedName name="PremiumPaidSUmmary" localSheetId="15" hidden="1">{#N/A,#N/A,FALSE,"Projections";#N/A,#N/A,FALSE,"Multiples Valuation";#N/A,#N/A,FALSE,"LBO";#N/A,#N/A,FALSE,"Multiples_Sensitivity";#N/A,#N/A,FALSE,"Summary"}</definedName>
    <definedName name="PremiumPaidSUmmary" localSheetId="7" hidden="1">{#N/A,#N/A,FALSE,"Projections";#N/A,#N/A,FALSE,"Multiples Valuation";#N/A,#N/A,FALSE,"LBO";#N/A,#N/A,FALSE,"Multiples_Sensitivity";#N/A,#N/A,FALSE,"Summary"}</definedName>
    <definedName name="PremiumPaidSUmmary" hidden="1">{#N/A,#N/A,FALSE,"Projections";#N/A,#N/A,FALSE,"Multiples Valuation";#N/A,#N/A,FALSE,"LBO";#N/A,#N/A,FALSE,"Multiples_Sensitivity";#N/A,#N/A,FALSE,"Summary"}</definedName>
    <definedName name="Product">[13]!Table2[[#All],[Product]]</definedName>
    <definedName name="q" hidden="1">#REF!</definedName>
    <definedName name="q4NIvsplan" localSheetId="15" hidden="1">{#N/A,#N/A,FALSE,"BalSheet 0899";#N/A,#N/A,FALSE,"ytdpl899";#N/A,#N/A,FALSE,"Aug PL";#N/A,#N/A,FALSE,"Minority Int";#N/A,#N/A,FALSE,"Equity Roll Forward";#N/A,#N/A,FALSE,"Book Equity Test"}</definedName>
    <definedName name="q4NIvsplan" localSheetId="7" hidden="1">{#N/A,#N/A,FALSE,"BalSheet 0899";#N/A,#N/A,FALSE,"ytdpl899";#N/A,#N/A,FALSE,"Aug PL";#N/A,#N/A,FALSE,"Minority Int";#N/A,#N/A,FALSE,"Equity Roll Forward";#N/A,#N/A,FALSE,"Book Equity Test"}</definedName>
    <definedName name="q4NIvsplan" hidden="1">{#N/A,#N/A,FALSE,"BalSheet 0899";#N/A,#N/A,FALSE,"ytdpl899";#N/A,#N/A,FALSE,"Aug PL";#N/A,#N/A,FALSE,"Minority Int";#N/A,#N/A,FALSE,"Equity Roll Forward";#N/A,#N/A,FALSE,"Book Equity Test"}</definedName>
    <definedName name="QQ" hidden="1">#REF!</definedName>
    <definedName name="QQQQ" hidden="1">#REF!</definedName>
    <definedName name="QQQQQ" hidden="1">#REF!</definedName>
    <definedName name="QQQQQQ" hidden="1">#REF!</definedName>
    <definedName name="QQQQQQQ" hidden="1">#REF!</definedName>
    <definedName name="qwe" localSheetId="15" hidden="1">{#N/A,#N/A,FALSE,"Projections";#N/A,#N/A,FALSE,"Multiples Valuation";#N/A,#N/A,FALSE,"LBO";#N/A,#N/A,FALSE,"Multiples_Sensitivity";#N/A,#N/A,FALSE,"Summary"}</definedName>
    <definedName name="qwe" localSheetId="7" hidden="1">{#N/A,#N/A,FALSE,"Projections";#N/A,#N/A,FALSE,"Multiples Valuation";#N/A,#N/A,FALSE,"LBO";#N/A,#N/A,FALSE,"Multiples_Sensitivity";#N/A,#N/A,FALSE,"Summary"}</definedName>
    <definedName name="qwe" hidden="1">{#N/A,#N/A,FALSE,"Projections";#N/A,#N/A,FALSE,"Multiples Valuation";#N/A,#N/A,FALSE,"LBO";#N/A,#N/A,FALSE,"Multiples_Sensitivity";#N/A,#N/A,FALSE,"Summary"}</definedName>
    <definedName name="Recruitment" localSheetId="15" hidden="1">{#N/A,#N/A,FALSE,"BrkgCover";#N/A,#N/A,FALSE,"brrevex";#N/A,#N/A,FALSE,"brbkbo";#N/A,#N/A,FALSE,"NOISum";#N/A,#N/A,FALSE,"inst";#N/A,#N/A,FALSE,"164";#N/A,#N/A,FALSE,"167";#N/A,#N/A,FALSE,"168";#N/A,#N/A,FALSE,"169";#N/A,#N/A,FALSE,"180";#N/A,#N/A,FALSE,"181";#N/A,#N/A,FALSE,"182";#N/A,#N/A,FALSE,"194";#N/A,#N/A,FALSE,"199";#N/A,#N/A,FALSE,"178-9";#N/A,#N/A,FALSE,"Heads";#N/A,#N/A,FALSE,"Capital"}</definedName>
    <definedName name="Recruitment" localSheetId="7" hidden="1">{#N/A,#N/A,FALSE,"BrkgCover";#N/A,#N/A,FALSE,"brrevex";#N/A,#N/A,FALSE,"brbkbo";#N/A,#N/A,FALSE,"NOISum";#N/A,#N/A,FALSE,"inst";#N/A,#N/A,FALSE,"164";#N/A,#N/A,FALSE,"167";#N/A,#N/A,FALSE,"168";#N/A,#N/A,FALSE,"169";#N/A,#N/A,FALSE,"180";#N/A,#N/A,FALSE,"181";#N/A,#N/A,FALSE,"182";#N/A,#N/A,FALSE,"194";#N/A,#N/A,FALSE,"199";#N/A,#N/A,FALSE,"178-9";#N/A,#N/A,FALSE,"Heads";#N/A,#N/A,FALSE,"Capital"}</definedName>
    <definedName name="Recruitment" hidden="1">{#N/A,#N/A,FALSE,"BrkgCover";#N/A,#N/A,FALSE,"brrevex";#N/A,#N/A,FALSE,"brbkbo";#N/A,#N/A,FALSE,"NOISum";#N/A,#N/A,FALSE,"inst";#N/A,#N/A,FALSE,"164";#N/A,#N/A,FALSE,"167";#N/A,#N/A,FALSE,"168";#N/A,#N/A,FALSE,"169";#N/A,#N/A,FALSE,"180";#N/A,#N/A,FALSE,"181";#N/A,#N/A,FALSE,"182";#N/A,#N/A,FALSE,"194";#N/A,#N/A,FALSE,"199";#N/A,#N/A,FALSE,"178-9";#N/A,#N/A,FALSE,"Heads";#N/A,#N/A,FALSE,"Capital"}</definedName>
    <definedName name="Recrutiement" localSheetId="15" hidden="1">{#N/A,#N/A,FALSE,"BrkgCover";#N/A,#N/A,FALSE,"brrevex";#N/A,#N/A,FALSE,"brbkbo";#N/A,#N/A,FALSE,"NOISum";#N/A,#N/A,FALSE,"inst";#N/A,#N/A,FALSE,"164";#N/A,#N/A,FALSE,"167";#N/A,#N/A,FALSE,"168";#N/A,#N/A,FALSE,"169";#N/A,#N/A,FALSE,"180";#N/A,#N/A,FALSE,"181";#N/A,#N/A,FALSE,"182";#N/A,#N/A,FALSE,"194";#N/A,#N/A,FALSE,"199";#N/A,#N/A,FALSE,"178-9";#N/A,#N/A,FALSE,"Heads";#N/A,#N/A,FALSE,"Capital"}</definedName>
    <definedName name="Recrutiement" localSheetId="7" hidden="1">{#N/A,#N/A,FALSE,"BrkgCover";#N/A,#N/A,FALSE,"brrevex";#N/A,#N/A,FALSE,"brbkbo";#N/A,#N/A,FALSE,"NOISum";#N/A,#N/A,FALSE,"inst";#N/A,#N/A,FALSE,"164";#N/A,#N/A,FALSE,"167";#N/A,#N/A,FALSE,"168";#N/A,#N/A,FALSE,"169";#N/A,#N/A,FALSE,"180";#N/A,#N/A,FALSE,"181";#N/A,#N/A,FALSE,"182";#N/A,#N/A,FALSE,"194";#N/A,#N/A,FALSE,"199";#N/A,#N/A,FALSE,"178-9";#N/A,#N/A,FALSE,"Heads";#N/A,#N/A,FALSE,"Capital"}</definedName>
    <definedName name="Recrutiement" hidden="1">{#N/A,#N/A,FALSE,"BrkgCover";#N/A,#N/A,FALSE,"brrevex";#N/A,#N/A,FALSE,"brbkbo";#N/A,#N/A,FALSE,"NOISum";#N/A,#N/A,FALSE,"inst";#N/A,#N/A,FALSE,"164";#N/A,#N/A,FALSE,"167";#N/A,#N/A,FALSE,"168";#N/A,#N/A,FALSE,"169";#N/A,#N/A,FALSE,"180";#N/A,#N/A,FALSE,"181";#N/A,#N/A,FALSE,"182";#N/A,#N/A,FALSE,"194";#N/A,#N/A,FALSE,"199";#N/A,#N/A,FALSE,"178-9";#N/A,#N/A,FALSE,"Heads";#N/A,#N/A,FALSE,"Capital"}</definedName>
    <definedName name="risks" localSheetId="15" hidden="1">{#N/A,#N/A,FALSE,"Full Year";#N/A,#N/A,FALSE,"Current Month";#N/A,#N/A,FALSE,"YTD";#N/A,#N/A,FALSE,"Remainder";#N/A,#N/A,FALSE,"Full Year Variance";#N/A,#N/A,FALSE,"Quarterly Variance"}</definedName>
    <definedName name="risks" localSheetId="7" hidden="1">{#N/A,#N/A,FALSE,"Full Year";#N/A,#N/A,FALSE,"Current Month";#N/A,#N/A,FALSE,"YTD";#N/A,#N/A,FALSE,"Remainder";#N/A,#N/A,FALSE,"Full Year Variance";#N/A,#N/A,FALSE,"Quarterly Variance"}</definedName>
    <definedName name="risks" hidden="1">{#N/A,#N/A,FALSE,"Full Year";#N/A,#N/A,FALSE,"Current Month";#N/A,#N/A,FALSE,"YTD";#N/A,#N/A,FALSE,"Remainder";#N/A,#N/A,FALSE,"Full Year Variance";#N/A,#N/A,FALSE,"Quarterly Variance"}</definedName>
    <definedName name="rr" hidden="1">#REF!</definedName>
    <definedName name="RRRR" hidden="1">#REF!</definedName>
    <definedName name="rx" localSheetId="15" hidden="1">{#N/A,#N/A,FALSE,"Full Year";#N/A,#N/A,FALSE,"Current Month";#N/A,#N/A,FALSE,"YTD";#N/A,#N/A,FALSE,"Remainder";#N/A,#N/A,FALSE,"Full Year Variance";#N/A,#N/A,FALSE,"Quarterly Variance"}</definedName>
    <definedName name="rx" localSheetId="7" hidden="1">{#N/A,#N/A,FALSE,"Full Year";#N/A,#N/A,FALSE,"Current Month";#N/A,#N/A,FALSE,"YTD";#N/A,#N/A,FALSE,"Remainder";#N/A,#N/A,FALSE,"Full Year Variance";#N/A,#N/A,FALSE,"Quarterly Variance"}</definedName>
    <definedName name="rx" hidden="1">{#N/A,#N/A,FALSE,"Full Year";#N/A,#N/A,FALSE,"Current Month";#N/A,#N/A,FALSE,"YTD";#N/A,#N/A,FALSE,"Remainder";#N/A,#N/A,FALSE,"Full Year Variance";#N/A,#N/A,FALSE,"Quarterly Variance"}</definedName>
    <definedName name="saf" localSheetId="15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" localSheetId="7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" hidden="1">{#N/A,#N/A,FALSE,"Projections";#N/A,#N/A,FALSE,"Contribution_Stock";#N/A,#N/A,FALSE,"PF_Combo_Stock";#N/A,#N/A,FALSE,"Projections";#N/A,#N/A,FALSE,"Contribution_Cash";#N/A,#N/A,FALSE,"PF_Combo_Cash";#N/A,#N/A,FALSE,"IPO_Cash"}</definedName>
    <definedName name="SAPBEXhrIndnt">"Wide"</definedName>
    <definedName name="SAPsysID">"708C5W7SBKP804JT78WJ0JNKI"</definedName>
    <definedName name="SAPwbID">"ARS"</definedName>
    <definedName name="sdf" localSheetId="15" hidden="1">{#N/A,#N/A,FALSE,"rollup";#N/A,#N/A,FALSE,"perf_total+gorm";#N/A,#N/A,FALSE,"perf_total";#N/A,#N/A,FALSE,"pi_total";#N/A,#N/A,FALSE,"pi_us";#N/A,#N/A,FALSE,"pi_can";#N/A,#N/A,FALSE,"pcc_total";#N/A,#N/A,FALSE,"pcc_us";#N/A,#N/A,FALSE,"pcc_can";#N/A,#N/A,FALSE,"gorman";#N/A,#N/A,FALSE,"novak_total";#N/A,#N/A,FALSE,"novak";#N/A,#N/A,FALSE,"novak_us"}</definedName>
    <definedName name="sdf" localSheetId="7" hidden="1">{#N/A,#N/A,FALSE,"rollup";#N/A,#N/A,FALSE,"perf_total+gorm";#N/A,#N/A,FALSE,"perf_total";#N/A,#N/A,FALSE,"pi_total";#N/A,#N/A,FALSE,"pi_us";#N/A,#N/A,FALSE,"pi_can";#N/A,#N/A,FALSE,"pcc_total";#N/A,#N/A,FALSE,"pcc_us";#N/A,#N/A,FALSE,"pcc_can";#N/A,#N/A,FALSE,"gorman";#N/A,#N/A,FALSE,"novak_total";#N/A,#N/A,FALSE,"novak";#N/A,#N/A,FALSE,"novak_us"}</definedName>
    <definedName name="sdf" hidden="1">{#N/A,#N/A,FALSE,"rollup";#N/A,#N/A,FALSE,"perf_total+gorm";#N/A,#N/A,FALSE,"perf_total";#N/A,#N/A,FALSE,"pi_total";#N/A,#N/A,FALSE,"pi_us";#N/A,#N/A,FALSE,"pi_can";#N/A,#N/A,FALSE,"pcc_total";#N/A,#N/A,FALSE,"pcc_us";#N/A,#N/A,FALSE,"pcc_can";#N/A,#N/A,FALSE,"gorman";#N/A,#N/A,FALSE,"novak_total";#N/A,#N/A,FALSE,"novak";#N/A,#N/A,FALSE,"novak_us"}</definedName>
    <definedName name="sdfsdaf" localSheetId="15" hidden="1">{"May 03 Revenue &amp; Expense",#N/A,FALSE,"May 03";"May 03 Recoveries",#N/A,FALSE,"May 03"}</definedName>
    <definedName name="sdfsdaf" localSheetId="7" hidden="1">{"May 03 Revenue &amp; Expense",#N/A,FALSE,"May 03";"May 03 Recoveries",#N/A,FALSE,"May 03"}</definedName>
    <definedName name="sdfsdaf" hidden="1">{"May 03 Revenue &amp; Expense",#N/A,FALSE,"May 03";"May 03 Recoveries",#N/A,FALSE,"May 03"}</definedName>
    <definedName name="Sheet2" localSheetId="1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2" localSheetId="7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3" localSheetId="15" hidden="1">{#N/A,#N/A,FALSE,"Projections";#N/A,#N/A,FALSE,"Multiples Valuation";#N/A,#N/A,FALSE,"LBO";#N/A,#N/A,FALSE,"Multiples_Sensitivity";#N/A,#N/A,FALSE,"Summary"}</definedName>
    <definedName name="Sheet3" localSheetId="7" hidden="1">{#N/A,#N/A,FALSE,"Projections";#N/A,#N/A,FALSE,"Multiples Valuation";#N/A,#N/A,FALSE,"LBO";#N/A,#N/A,FALSE,"Multiples_Sensitivity";#N/A,#N/A,FALSE,"Summary"}</definedName>
    <definedName name="Sheet3" hidden="1">{#N/A,#N/A,FALSE,"Projections";#N/A,#N/A,FALSE,"Multiples Valuation";#N/A,#N/A,FALSE,"LBO";#N/A,#N/A,FALSE,"Multiples_Sensitivity";#N/A,#N/A,FALSE,"Summary"}</definedName>
    <definedName name="Sheet4" localSheetId="15" hidden="1">{#N/A,#N/A,FALSE,"Projections";#N/A,#N/A,FALSE,"Multiples Valuation";#N/A,#N/A,FALSE,"LBO";#N/A,#N/A,FALSE,"Multiples_Sensitivity";#N/A,#N/A,FALSE,"Summary"}</definedName>
    <definedName name="Sheet4" localSheetId="7" hidden="1">{#N/A,#N/A,FALSE,"Projections";#N/A,#N/A,FALSE,"Multiples Valuation";#N/A,#N/A,FALSE,"LBO";#N/A,#N/A,FALSE,"Multiples_Sensitivity";#N/A,#N/A,FALSE,"Summary"}</definedName>
    <definedName name="Sheet4" hidden="1">{#N/A,#N/A,FALSE,"Projections";#N/A,#N/A,FALSE,"Multiples Valuation";#N/A,#N/A,FALSE,"LBO";#N/A,#N/A,FALSE,"Multiples_Sensitivity";#N/A,#N/A,FALSE,"Summary"}</definedName>
    <definedName name="Sheet6" localSheetId="15" hidden="1">{#N/A,#N/A,FALSE,"Projections";#N/A,#N/A,FALSE,"Multiples Valuation";#N/A,#N/A,FALSE,"LBO";#N/A,#N/A,FALSE,"Multiples_Sensitivity";#N/A,#N/A,FALSE,"Summary"}</definedName>
    <definedName name="Sheet6" localSheetId="7" hidden="1">{#N/A,#N/A,FALSE,"Projections";#N/A,#N/A,FALSE,"Multiples Valuation";#N/A,#N/A,FALSE,"LBO";#N/A,#N/A,FALSE,"Multiples_Sensitivity";#N/A,#N/A,FALSE,"Summary"}</definedName>
    <definedName name="Sheet6" hidden="1">{#N/A,#N/A,FALSE,"Projections";#N/A,#N/A,FALSE,"Multiples Valuation";#N/A,#N/A,FALSE,"LBO";#N/A,#N/A,FALSE,"Multiples_Sensitivity";#N/A,#N/A,FALSE,"Summary"}</definedName>
    <definedName name="SMPS" localSheetId="15" hidden="1">{#N/A,#N/A,FALSE,"AD_Purchase";#N/A,#N/A,FALSE,"Credit";#N/A,#N/A,FALSE,"PF Acquisition";#N/A,#N/A,FALSE,"PF Offering"}</definedName>
    <definedName name="SMPS" localSheetId="7" hidden="1">{#N/A,#N/A,FALSE,"AD_Purchase";#N/A,#N/A,FALSE,"Credit";#N/A,#N/A,FALSE,"PF Acquisition";#N/A,#N/A,FALSE,"PF Offering"}</definedName>
    <definedName name="SMPS" hidden="1">{#N/A,#N/A,FALSE,"AD_Purchase";#N/A,#N/A,FALSE,"Credit";#N/A,#N/A,FALSE,"PF Acquisition";#N/A,#N/A,FALSE,"PF Offering"}</definedName>
    <definedName name="solver_adj" hidden="1">#REF!</definedName>
    <definedName name="solver_adj1" hidden="1">#REF!</definedName>
    <definedName name="solver_lin">0</definedName>
    <definedName name="solver_num">0</definedName>
    <definedName name="solver_opt" hidden="1">#REF!</definedName>
    <definedName name="solver_opt1" hidden="1">#REF!</definedName>
    <definedName name="solver_typ">1</definedName>
    <definedName name="solver_val">0</definedName>
    <definedName name="ss" localSheetId="15" hidden="1">{#N/A,#N/A,FALSE,"BrkgCover";#N/A,#N/A,FALSE,"brrevex";#N/A,#N/A,FALSE,"brbkbo";#N/A,#N/A,FALSE,"NOISum";#N/A,#N/A,FALSE,"inst";#N/A,#N/A,FALSE,"164";#N/A,#N/A,FALSE,"167";#N/A,#N/A,FALSE,"168";#N/A,#N/A,FALSE,"169";#N/A,#N/A,FALSE,"180";#N/A,#N/A,FALSE,"181";#N/A,#N/A,FALSE,"182";#N/A,#N/A,FALSE,"194";#N/A,#N/A,FALSE,"199";#N/A,#N/A,FALSE,"178-9";#N/A,#N/A,FALSE,"Heads";#N/A,#N/A,FALSE,"Capital"}</definedName>
    <definedName name="ss" localSheetId="7" hidden="1">{#N/A,#N/A,FALSE,"BrkgCover";#N/A,#N/A,FALSE,"brrevex";#N/A,#N/A,FALSE,"brbkbo";#N/A,#N/A,FALSE,"NOISum";#N/A,#N/A,FALSE,"inst";#N/A,#N/A,FALSE,"164";#N/A,#N/A,FALSE,"167";#N/A,#N/A,FALSE,"168";#N/A,#N/A,FALSE,"169";#N/A,#N/A,FALSE,"180";#N/A,#N/A,FALSE,"181";#N/A,#N/A,FALSE,"182";#N/A,#N/A,FALSE,"194";#N/A,#N/A,FALSE,"199";#N/A,#N/A,FALSE,"178-9";#N/A,#N/A,FALSE,"Heads";#N/A,#N/A,FALSE,"Capital"}</definedName>
    <definedName name="ss" hidden="1">{#N/A,#N/A,FALSE,"BrkgCover";#N/A,#N/A,FALSE,"brrevex";#N/A,#N/A,FALSE,"brbkbo";#N/A,#N/A,FALSE,"NOISum";#N/A,#N/A,FALSE,"inst";#N/A,#N/A,FALSE,"164";#N/A,#N/A,FALSE,"167";#N/A,#N/A,FALSE,"168";#N/A,#N/A,FALSE,"169";#N/A,#N/A,FALSE,"180";#N/A,#N/A,FALSE,"181";#N/A,#N/A,FALSE,"182";#N/A,#N/A,FALSE,"194";#N/A,#N/A,FALSE,"199";#N/A,#N/A,FALSE,"178-9";#N/A,#N/A,FALSE,"Heads";#N/A,#N/A,FALSE,"Capital"}</definedName>
    <definedName name="ssss" hidden="1">'[5]Model Adjustments'!#REF!</definedName>
    <definedName name="sssss" hidden="1">'[5]Model Adjustments'!#REF!</definedName>
    <definedName name="ssssss" hidden="1">'[5]Model Adjustments'!#REF!</definedName>
    <definedName name="ST" localSheetId="15" hidden="1">{#N/A,#N/A,FALSE,"FY97";#N/A,#N/A,FALSE,"FY98";#N/A,#N/A,FALSE,"FY99";#N/A,#N/A,FALSE,"FY00";#N/A,#N/A,FALSE,"FY01"}</definedName>
    <definedName name="ST" localSheetId="7" hidden="1">{#N/A,#N/A,FALSE,"FY97";#N/A,#N/A,FALSE,"FY98";#N/A,#N/A,FALSE,"FY99";#N/A,#N/A,FALSE,"FY00";#N/A,#N/A,FALSE,"FY01"}</definedName>
    <definedName name="ST" hidden="1">{#N/A,#N/A,FALSE,"FY97";#N/A,#N/A,FALSE,"FY98";#N/A,#N/A,FALSE,"FY99";#N/A,#N/A,FALSE,"FY00";#N/A,#N/A,FALSE,"FY01"}</definedName>
    <definedName name="Summary2" localSheetId="15" hidden="1">{#N/A,#N/A,FALSE,"FACTSHEETS";#N/A,#N/A,FALSE,"pump";#N/A,#N/A,FALSE,"filter"}</definedName>
    <definedName name="Summary2" localSheetId="7" hidden="1">{#N/A,#N/A,FALSE,"FACTSHEETS";#N/A,#N/A,FALSE,"pump";#N/A,#N/A,FALSE,"filter"}</definedName>
    <definedName name="Summary2" hidden="1">{#N/A,#N/A,FALSE,"FACTSHEETS";#N/A,#N/A,FALSE,"pump";#N/A,#N/A,FALSE,"filter"}</definedName>
    <definedName name="Tax" localSheetId="15" hidden="1">{#N/A,#N/A,FALSE,"Full Year";#N/A,#N/A,FALSE,"Current Month";#N/A,#N/A,FALSE,"YTD";#N/A,#N/A,FALSE,"Remainder";#N/A,#N/A,FALSE,"Full Year Variance";#N/A,#N/A,FALSE,"Quarterly Variance"}</definedName>
    <definedName name="Tax" localSheetId="7" hidden="1">{#N/A,#N/A,FALSE,"Full Year";#N/A,#N/A,FALSE,"Current Month";#N/A,#N/A,FALSE,"YTD";#N/A,#N/A,FALSE,"Remainder";#N/A,#N/A,FALSE,"Full Year Variance";#N/A,#N/A,FALSE,"Quarterly Variance"}</definedName>
    <definedName name="Tax" hidden="1">{#N/A,#N/A,FALSE,"Full Year";#N/A,#N/A,FALSE,"Current Month";#N/A,#N/A,FALSE,"YTD";#N/A,#N/A,FALSE,"Remainder";#N/A,#N/A,FALSE,"Full Year Variance";#N/A,#N/A,FALSE,"Quarterly Variance"}</definedName>
    <definedName name="tbl_alphas">'[20]1.Admin'!$A$1:$B$468</definedName>
    <definedName name="tbl_betas">'[21]1.Admin'!$A$1:$B$468</definedName>
    <definedName name="TextRefCopyRangeCount">1</definedName>
    <definedName name="Tiger" localSheetId="1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Tiger" localSheetId="7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Tige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TTT" hidden="1">#REF!</definedName>
    <definedName name="TTTTT" hidden="1">#REF!</definedName>
    <definedName name="TTTTTTT" hidden="1">#REF!</definedName>
    <definedName name="u" hidden="1">#REF!</definedName>
    <definedName name="uiknu" localSheetId="1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knu" localSheetId="7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knu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nit">1000</definedName>
    <definedName name="UPDATESUMMARY" localSheetId="15" hidden="1">{#N/A,#N/A,FALSE,"FACTSHEETS";#N/A,#N/A,FALSE,"pump";#N/A,#N/A,FALSE,"filter"}</definedName>
    <definedName name="UPDATESUMMARY" localSheetId="7" hidden="1">{#N/A,#N/A,FALSE,"FACTSHEETS";#N/A,#N/A,FALSE,"pump";#N/A,#N/A,FALSE,"filter"}</definedName>
    <definedName name="UPDATESUMMARY" hidden="1">{#N/A,#N/A,FALSE,"FACTSHEETS";#N/A,#N/A,FALSE,"pump";#N/A,#N/A,FALSE,"filter"}</definedName>
    <definedName name="uyuyuy" hidden="1">#REF!</definedName>
    <definedName name="v" localSheetId="15">{"'Hardware Req.'!$A$1:$C$23"}</definedName>
    <definedName name="v" localSheetId="7">{"'Hardware Req.'!$A$1:$C$23"}</definedName>
    <definedName name="v">{"'Hardware Req.'!$A$1:$C$23"}</definedName>
    <definedName name="Varanalysis2001" localSheetId="15" hidden="1">{#N/A,#N/A,FALSE,"BalSheet 0899";#N/A,#N/A,FALSE,"ytdpl899";#N/A,#N/A,FALSE,"Aug PL";#N/A,#N/A,FALSE,"Minority Int";#N/A,#N/A,FALSE,"Equity Roll Forward";#N/A,#N/A,FALSE,"Book Equity Test"}</definedName>
    <definedName name="Varanalysis2001" localSheetId="7" hidden="1">{#N/A,#N/A,FALSE,"BalSheet 0899";#N/A,#N/A,FALSE,"ytdpl899";#N/A,#N/A,FALSE,"Aug PL";#N/A,#N/A,FALSE,"Minority Int";#N/A,#N/A,FALSE,"Equity Roll Forward";#N/A,#N/A,FALSE,"Book Equity Test"}</definedName>
    <definedName name="Varanalysis2001" hidden="1">{#N/A,#N/A,FALSE,"BalSheet 0899";#N/A,#N/A,FALSE,"ytdpl899";#N/A,#N/A,FALSE,"Aug PL";#N/A,#N/A,FALSE,"Minority Int";#N/A,#N/A,FALSE,"Equity Roll Forward";#N/A,#N/A,FALSE,"Book Equity Test"}</definedName>
    <definedName name="vwew32" localSheetId="15" hidden="1">{"Assumptions",#N/A,TRUE,"Assumptions";"Income",#N/A,TRUE,"Income";"Balance",#N/A,TRUE,"Balance"}</definedName>
    <definedName name="vwew32" localSheetId="7" hidden="1">{"Assumptions",#N/A,TRUE,"Assumptions";"Income",#N/A,TRUE,"Income";"Balance",#N/A,TRUE,"Balance"}</definedName>
    <definedName name="vwew32" hidden="1">{"Assumptions",#N/A,TRUE,"Assumptions";"Income",#N/A,TRUE,"Income";"Balance",#N/A,TRUE,"Balance"}</definedName>
    <definedName name="vzssw" localSheetId="15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vzssw" localSheetId="7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vzssw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w" localSheetId="15" hidden="1">{"TBB3 Assns",#N/A,FALSE,"Valuation";"TBB3 assumptions",#N/A,FALSE,"Assumptions";"TBB3 model",#N/A,FALSE,"INCOME"}</definedName>
    <definedName name="w" localSheetId="7" hidden="1">{"TBB3 Assns",#N/A,FALSE,"Valuation";"TBB3 assumptions",#N/A,FALSE,"Assumptions";"TBB3 model",#N/A,FALSE,"INCOME"}</definedName>
    <definedName name="w" hidden="1">{"TBB3 Assns",#N/A,FALSE,"Valuation";"TBB3 assumptions",#N/A,FALSE,"Assumptions";"TBB3 model",#N/A,FALSE,"INCOME"}</definedName>
    <definedName name="WDS" hidden="1">'[22]PERIOD MIX'!#REF!</definedName>
    <definedName name="WE" localSheetId="15" hidden="1">{#N/A,#N/A,FALSE,"Full Year";#N/A,#N/A,FALSE,"Current Month";#N/A,#N/A,FALSE,"Remainder";#N/A,#N/A,FALSE,"Quarterly Variance";#N/A,#N/A,FALSE,"YTD";#N/A,#N/A,FALSE,"Full Year Variance";#N/A,#N/A,FALSE,"Growth";#N/A,#N/A,FALSE,"Risk Adj Summary";#N/A,#N/A,FALSE,"Selling";#N/A,#N/A,FALSE,"Setup";#N/A,#N/A,FALSE,"CM Comp"}</definedName>
    <definedName name="WE" localSheetId="7" hidden="1">{#N/A,#N/A,FALSE,"Full Year";#N/A,#N/A,FALSE,"Current Month";#N/A,#N/A,FALSE,"Remainder";#N/A,#N/A,FALSE,"Quarterly Variance";#N/A,#N/A,FALSE,"YTD";#N/A,#N/A,FALSE,"Full Year Variance";#N/A,#N/A,FALSE,"Growth";#N/A,#N/A,FALSE,"Risk Adj Summary";#N/A,#N/A,FALSE,"Selling";#N/A,#N/A,FALSE,"Setup";#N/A,#N/A,FALSE,"CM Comp"}</definedName>
    <definedName name="WE" hidden="1">{#N/A,#N/A,FALSE,"Full Year";#N/A,#N/A,FALSE,"Current Month";#N/A,#N/A,FALSE,"Remainder";#N/A,#N/A,FALSE,"Quarterly Variance";#N/A,#N/A,FALSE,"YTD";#N/A,#N/A,FALSE,"Full Year Variance";#N/A,#N/A,FALSE,"Growth";#N/A,#N/A,FALSE,"Risk Adj Summary";#N/A,#N/A,FALSE,"Selling";#N/A,#N/A,FALSE,"Setup";#N/A,#N/A,FALSE,"CM Comp"}</definedName>
    <definedName name="WeekdayOption" localSheetId="15">MATCH(WeekStart,'3.10 Cancel List'!Weekdays,0)+10</definedName>
    <definedName name="WeekdayOption" localSheetId="7">MATCH(WeekStart,'TV active sites in March Cancel'!Weekdays,0)+10</definedName>
    <definedName name="WeekdayOption">MATCH(WeekStart,Weekdays,0)+10</definedName>
    <definedName name="Weekdays" localSheetId="15">{"Monday","Tuesday","Wednesday","Thursday","Friday","Saturday","Sunday"}</definedName>
    <definedName name="Weekdays" localSheetId="7">{"Monday","Tuesday","Wednesday","Thursday","Friday","Saturday","Sunday"}</definedName>
    <definedName name="Weekdays">{"Monday","Tuesday","Wednesday","Thursday","Friday","Saturday","Sunday"}</definedName>
    <definedName name="WeekStart">'[16]NA Finance Calendar'!$C$4</definedName>
    <definedName name="WeekStartValue" localSheetId="15">IF(WeekStart="Monday",2,1)</definedName>
    <definedName name="WeekStartValue" localSheetId="7">IF(WeekStart="Monday",2,1)</definedName>
    <definedName name="WeekStartValue">IF(WeekStart="Monday",2,1)</definedName>
    <definedName name="werrr" localSheetId="1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rr" localSheetId="7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rr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stburne" localSheetId="15" hidden="1">{#N/A,#N/A,FALSE,"Projections";#N/A,#N/A,FALSE,"Multiples Valuation";#N/A,#N/A,FALSE,"LBO";#N/A,#N/A,FALSE,"Multiples_Sensitivity";#N/A,#N/A,FALSE,"Summary"}</definedName>
    <definedName name="Westburne" localSheetId="7" hidden="1">{#N/A,#N/A,FALSE,"Projections";#N/A,#N/A,FALSE,"Multiples Valuation";#N/A,#N/A,FALSE,"LBO";#N/A,#N/A,FALSE,"Multiples_Sensitivity";#N/A,#N/A,FALSE,"Summary"}</definedName>
    <definedName name="Westburne" hidden="1">{#N/A,#N/A,FALSE,"Projections";#N/A,#N/A,FALSE,"Multiples Valuation";#N/A,#N/A,FALSE,"LBO";#N/A,#N/A,FALSE,"Multiples_Sensitivity";#N/A,#N/A,FALSE,"Summary"}</definedName>
    <definedName name="what" localSheetId="15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hat" localSheetId="7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hat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hatisthis" localSheetId="15" hidden="1">{#N/A,#N/A,FALSE,"Summary";#N/A,#N/A,FALSE,"Projections";#N/A,#N/A,FALSE,"Mkt Mults";#N/A,#N/A,FALSE,"DCF";#N/A,#N/A,FALSE,"Accr Dil";#N/A,#N/A,FALSE,"PIC LBO";#N/A,#N/A,FALSE,"MULT10_4";#N/A,#N/A,FALSE,"CBI LBO"}</definedName>
    <definedName name="whatisthis" localSheetId="7" hidden="1">{#N/A,#N/A,FALSE,"Summary";#N/A,#N/A,FALSE,"Projections";#N/A,#N/A,FALSE,"Mkt Mults";#N/A,#N/A,FALSE,"DCF";#N/A,#N/A,FALSE,"Accr Dil";#N/A,#N/A,FALSE,"PIC LBO";#N/A,#N/A,FALSE,"MULT10_4";#N/A,#N/A,FALSE,"CBI LBO"}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localSheetId="15" hidden="1">{#N/A,#N/A,FALSE,"IPO";#N/A,#N/A,FALSE,"DCF";#N/A,#N/A,FALSE,"LBO";#N/A,#N/A,FALSE,"MULT_VAL";#N/A,#N/A,FALSE,"Status Quo";#N/A,#N/A,FALSE,"Recap"}</definedName>
    <definedName name="whatisthissss" localSheetId="7" hidden="1">{#N/A,#N/A,FALSE,"IPO";#N/A,#N/A,FALSE,"DCF";#N/A,#N/A,FALSE,"LBO";#N/A,#N/A,FALSE,"MULT_VAL";#N/A,#N/A,FALSE,"Status Quo";#N/A,#N/A,FALSE,"Recap"}</definedName>
    <definedName name="whatisthissss" hidden="1">{#N/A,#N/A,FALSE,"IPO";#N/A,#N/A,FALSE,"DCF";#N/A,#N/A,FALSE,"LBO";#N/A,#N/A,FALSE,"MULT_VAL";#N/A,#N/A,FALSE,"Status Quo";#N/A,#N/A,FALSE,"Recap"}</definedName>
    <definedName name="whatisthisssss" localSheetId="15" hidden="1">{#N/A,#N/A,FALSE,"Summary";#N/A,#N/A,FALSE,"Projections";#N/A,#N/A,FALSE,"Mkt Mults";#N/A,#N/A,FALSE,"DCF";#N/A,#N/A,FALSE,"Accr Dil";#N/A,#N/A,FALSE,"PIC LBO";#N/A,#N/A,FALSE,"MULT10_4";#N/A,#N/A,FALSE,"CBI LBO"}</definedName>
    <definedName name="whatisthisssss" localSheetId="7" hidden="1">{#N/A,#N/A,FALSE,"Summary";#N/A,#N/A,FALSE,"Projections";#N/A,#N/A,FALSE,"Mkt Mults";#N/A,#N/A,FALSE,"DCF";#N/A,#N/A,FALSE,"Accr Dil";#N/A,#N/A,FALSE,"PIC LBO";#N/A,#N/A,FALSE,"MULT10_4";#N/A,#N/A,FALSE,"CBI LBO"}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illiam" localSheetId="1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illiam" localSheetId="7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illiam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o" localSheetId="15" hidden="1">{#N/A,#N/A,FALSE,"Full Year";#N/A,#N/A,FALSE,"Current Month";#N/A,#N/A,FALSE,"Remainder";#N/A,#N/A,FALSE,"Quarterly Variance";#N/A,#N/A,FALSE,"YTD";#N/A,#N/A,FALSE,"Full Year Variance";#N/A,#N/A,FALSE,"Growth";#N/A,#N/A,FALSE,"Risk Adj Summary";#N/A,#N/A,FALSE,"Selling";#N/A,#N/A,FALSE,"Setup";#N/A,#N/A,FALSE,"CM Comp"}</definedName>
    <definedName name="wo" localSheetId="7" hidden="1">{#N/A,#N/A,FALSE,"Full Year";#N/A,#N/A,FALSE,"Current Month";#N/A,#N/A,FALSE,"Remainder";#N/A,#N/A,FALSE,"Quarterly Variance";#N/A,#N/A,FALSE,"YTD";#N/A,#N/A,FALSE,"Full Year Variance";#N/A,#N/A,FALSE,"Growth";#N/A,#N/A,FALSE,"Risk Adj Summary";#N/A,#N/A,FALSE,"Selling";#N/A,#N/A,FALSE,"Setup";#N/A,#N/A,FALSE,"CM Comp"}</definedName>
    <definedName name="wo" hidden="1">{#N/A,#N/A,FALSE,"Full Year";#N/A,#N/A,FALSE,"Current Month";#N/A,#N/A,FALSE,"Remainder";#N/A,#N/A,FALSE,"Quarterly Variance";#N/A,#N/A,FALSE,"YTD";#N/A,#N/A,FALSE,"Full Year Variance";#N/A,#N/A,FALSE,"Growth";#N/A,#N/A,FALSE,"Risk Adj Summary";#N/A,#N/A,FALSE,"Selling";#N/A,#N/A,FALSE,"Setup";#N/A,#N/A,FALSE,"CM Comp"}</definedName>
    <definedName name="wqwt" localSheetId="15" hidden="1">{#N/A,#N/A,FALSE,"Projections";#N/A,#N/A,FALSE,"Contribution_Stock";#N/A,#N/A,FALSE,"PF_Combo_Stock";#N/A,#N/A,FALSE,"Projections";#N/A,#N/A,FALSE,"Contribution_Cash";#N/A,#N/A,FALSE,"PF_Combo_Cash";#N/A,#N/A,FALSE,"IPO_Cash"}</definedName>
    <definedName name="wqwt" localSheetId="7" hidden="1">{#N/A,#N/A,FALSE,"Projections";#N/A,#N/A,FALSE,"Contribution_Stock";#N/A,#N/A,FALSE,"PF_Combo_Stock";#N/A,#N/A,FALSE,"Projections";#N/A,#N/A,FALSE,"Contribution_Cash";#N/A,#N/A,FALSE,"PF_Combo_Cash";#N/A,#N/A,FALSE,"IPO_Cash"}</definedName>
    <definedName name="wqwt" hidden="1">{#N/A,#N/A,FALSE,"Projections";#N/A,#N/A,FALSE,"Contribution_Stock";#N/A,#N/A,FALSE,"PF_Combo_Stock";#N/A,#N/A,FALSE,"Projections";#N/A,#N/A,FALSE,"Contribution_Cash";#N/A,#N/A,FALSE,"PF_Combo_Cash";#N/A,#N/A,FALSE,"IPO_Cash"}</definedName>
    <definedName name="wrbqerb" hidden="1">#REF!</definedName>
    <definedName name="wrn" localSheetId="15" hidden="1">{"AprJE to Everham",#N/A,FALSE,"JEto Jen"}</definedName>
    <definedName name="wrn" localSheetId="7" hidden="1">{"AprJE to Everham",#N/A,FALSE,"JEto Jen"}</definedName>
    <definedName name="wrn" hidden="1">{"AprJE to Everham",#N/A,FALSE,"JEto Jen"}</definedName>
    <definedName name="wrn.02._.PLAN." localSheetId="15" hidden="1">{"INT 02 PLAN",#N/A,FALSE,"INT";"INTCA 02 PLAN",#N/A,FALSE,"intca";"INTOFF 02 PLAN",#N/A,FALSE,"intoff";"INTCE 02 PLAN",#N/A,FALSE,"intce"}</definedName>
    <definedName name="wrn.02._.PLAN." localSheetId="7" hidden="1">{"INT 02 PLAN",#N/A,FALSE,"INT";"INTCA 02 PLAN",#N/A,FALSE,"intca";"INTOFF 02 PLAN",#N/A,FALSE,"intoff";"INTCE 02 PLAN",#N/A,FALSE,"intce"}</definedName>
    <definedName name="wrn.02._.PLAN." hidden="1">{"INT 02 PLAN",#N/A,FALSE,"INT";"INTCA 02 PLAN",#N/A,FALSE,"intca";"INTOFF 02 PLAN",#N/A,FALSE,"intoff";"INTCE 02 PLAN",#N/A,FALSE,"intce"}</definedName>
    <definedName name="wrn.A_VALUATION." localSheetId="15" hidden="1">{#N/A,#N/A,FALSE,"A_D";#N/A,#N/A,FALSE,"WACC";#N/A,#N/A,FALSE,"DCF";#N/A,#N/A,FALSE,"A";#N/A,#N/A,FALSE,"LBO";#N/A,#N/A,FALSE,"C";#N/A,#N/A,FALSE,"impd";#N/A,#N/A,FALSE,"comps"}</definedName>
    <definedName name="wrn.A_VALUATION." localSheetId="7" hidden="1">{#N/A,#N/A,FALSE,"A_D";#N/A,#N/A,FALSE,"WACC";#N/A,#N/A,FALSE,"DCF";#N/A,#N/A,FALSE,"A";#N/A,#N/A,FALSE,"LBO";#N/A,#N/A,FALSE,"C";#N/A,#N/A,FALSE,"impd";#N/A,#N/A,FALSE,"comps"}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localSheetId="15" hidden="1">{#N/A,#N/A,FALSE,"Debt Accr";#N/A,#N/A,FALSE,"Stock Accr";#N/A,#N/A,FALSE,"Debt Stock Accr"}</definedName>
    <definedName name="wrn.Accr_Dil." localSheetId="7" hidden="1">{#N/A,#N/A,FALSE,"Debt Accr";#N/A,#N/A,FALSE,"Stock Accr";#N/A,#N/A,FALSE,"Debt Stock Accr"}</definedName>
    <definedName name="wrn.Accr_Dil." hidden="1">{#N/A,#N/A,FALSE,"Debt Accr";#N/A,#N/A,FALSE,"Stock Accr";#N/A,#N/A,FALSE,"Debt Stock Accr"}</definedName>
    <definedName name="wrn.ACTUALS." localSheetId="15" hidden="1">{"INT ACTUALS",#N/A,FALSE,"intce";"INTCA ACTUALS",#N/A,FALSE,"intce";"INTCE ACTUALS",#N/A,FALSE,"intce";"INTOFF ACTUALS",#N/A,FALSE,"intce";"INTSRA ACTUALS",#N/A,FALSE,"intce"}</definedName>
    <definedName name="wrn.ACTUALS." localSheetId="7" hidden="1">{"INT ACTUALS",#N/A,FALSE,"intce";"INTCA ACTUALS",#N/A,FALSE,"intce";"INTCE ACTUALS",#N/A,FALSE,"intce";"INTOFF ACTUALS",#N/A,FALSE,"intce";"INTSRA ACTUALS",#N/A,FALSE,"intce"}</definedName>
    <definedName name="wrn.ACTUALS." hidden="1">{"INT ACTUALS",#N/A,FALSE,"intce";"INTCA ACTUALS",#N/A,FALSE,"intce";"INTCE ACTUALS",#N/A,FALSE,"intce";"INTOFF ACTUALS",#N/A,FALSE,"intce";"INTSRA ACTUALS",#N/A,FALSE,"intce"}</definedName>
    <definedName name="wrn.Aging._.and._.Trend._.Analysis." localSheetId="15" hidden="1">{#N/A,#N/A,FALSE,"Aging Summary";#N/A,#N/A,FALSE,"Ratio Analysis";#N/A,#N/A,FALSE,"Test 120 Day Accts";#N/A,#N/A,FALSE,"Tickmarks"}</definedName>
    <definedName name="wrn.Aging._.and._.Trend._.Analysis." localSheetId="7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15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" localSheetId="7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.gulp._.sheets." localSheetId="1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" localSheetId="7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PAGES." localSheetId="15" hidden="1">{#N/A,#N/A,FALSE,"puboff";#N/A,#N/A,FALSE,"financials";#N/A,#N/A,FALSE,"valuation";#N/A,#N/A,FALSE,"split"}</definedName>
    <definedName name="wrn.ALL._.PAGES." localSheetId="7" hidden="1">{#N/A,#N/A,FALSE,"puboff";#N/A,#N/A,FALSE,"financials";#N/A,#N/A,FALSE,"valuation";#N/A,#N/A,FALSE,"split"}</definedName>
    <definedName name="wrn.ALL._.PAGES." hidden="1">{#N/A,#N/A,FALSE,"puboff";#N/A,#N/A,FALSE,"financials";#N/A,#N/A,FALSE,"valuation";#N/A,#N/A,FALSE,"split"}</definedName>
    <definedName name="wrn.ALL._.SHEETS." localSheetId="1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" localSheetId="7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_Models." localSheetId="15" hidden="1">{#N/A,#N/A,FALSE,"Summary";#N/A,#N/A,FALSE,"Projections";#N/A,#N/A,FALSE,"Mkt Mults";#N/A,#N/A,FALSE,"DCF";#N/A,#N/A,FALSE,"Accr Dil";#N/A,#N/A,FALSE,"PIC LBO";#N/A,#N/A,FALSE,"MULT10_4";#N/A,#N/A,FALSE,"CBI LBO"}</definedName>
    <definedName name="wrn.All_Models." localSheetId="7" hidden="1">{#N/A,#N/A,FALSE,"Summary";#N/A,#N/A,FALSE,"Projections";#N/A,#N/A,FALSE,"Mkt Mults";#N/A,#N/A,FALSE,"DCF";#N/A,#N/A,FALSE,"Accr Dil";#N/A,#N/A,FALSE,"PIC LBO";#N/A,#N/A,FALSE,"MULT10_4";#N/A,#N/A,FALSE,"CBI LBO"}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Models2" localSheetId="15" hidden="1">{#N/A,#N/A,FALSE,"Projections";#N/A,#N/A,FALSE,"Multiples Valuation";#N/A,#N/A,FALSE,"LBO";#N/A,#N/A,FALSE,"Multiples_Sensitivity";#N/A,#N/A,FALSE,"Summary"}</definedName>
    <definedName name="wrn.All_Models2" localSheetId="7" hidden="1">{#N/A,#N/A,FALSE,"Projections";#N/A,#N/A,FALSE,"Multiples Valuation";#N/A,#N/A,FALSE,"LBO";#N/A,#N/A,FALSE,"Multiples_Sensitivity";#N/A,#N/A,FALSE,"Summary"}</definedName>
    <definedName name="wrn.All_Models2" hidden="1">{#N/A,#N/A,FALSE,"Projections";#N/A,#N/A,FALSE,"Multiples Valuation";#N/A,#N/A,FALSE,"LBO";#N/A,#N/A,FALSE,"Multiples_Sensitivity";#N/A,#N/A,FALSE,"Summary"}</definedName>
    <definedName name="wrn.All_Sheets." localSheetId="1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" localSheetId="7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localSheetId="1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" localSheetId="7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localSheetId="1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localSheetId="7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localSheetId="15" hidden="1">{#N/A,#N/A,FALSE,"AD_Purchase";#N/A,#N/A,FALSE,"Credit";#N/A,#N/A,FALSE,"PF Acquisition";#N/A,#N/A,FALSE,"PF Offering"}</definedName>
    <definedName name="wrn.AllModels." localSheetId="7" hidden="1">{#N/A,#N/A,FALSE,"AD_Purchase";#N/A,#N/A,FALSE,"Credit";#N/A,#N/A,FALSE,"PF Acquisition";#N/A,#N/A,FALSE,"PF Offering"}</definedName>
    <definedName name="wrn.AllModels." hidden="1">{#N/A,#N/A,FALSE,"AD_Purchase";#N/A,#N/A,FALSE,"Credit";#N/A,#N/A,FALSE,"PF Acquisition";#N/A,#N/A,FALSE,"PF Offering"}</definedName>
    <definedName name="wrn.ANALYSIS." localSheetId="15" hidden="1">{#N/A,#N/A,FALSE,"TOTAL";#N/A,#N/A,FALSE,"BURGER KING";#N/A,#N/A,FALSE,"MARRIOTT";#N/A,#N/A,FALSE,"DISNEY";#N/A,#N/A,FALSE,"DISTRIBUTORS";#N/A,#N/A,FALSE,"FORMULA"}</definedName>
    <definedName name="wrn.ANALYSIS." localSheetId="7" hidden="1">{#N/A,#N/A,FALSE,"TOTAL";#N/A,#N/A,FALSE,"BURGER KING";#N/A,#N/A,FALSE,"MARRIOTT";#N/A,#N/A,FALSE,"DISNEY";#N/A,#N/A,FALSE,"DISTRIBUTORS";#N/A,#N/A,FALSE,"FORMULA"}</definedName>
    <definedName name="wrn.ANALYSIS." hidden="1">{#N/A,#N/A,FALSE,"TOTAL";#N/A,#N/A,FALSE,"BURGER KING";#N/A,#N/A,FALSE,"MARRIOTT";#N/A,#N/A,FALSE,"DISNEY";#N/A,#N/A,FALSE,"DISTRIBUTORS";#N/A,#N/A,FALSE,"FORMULA"}</definedName>
    <definedName name="wrn.Analytic." localSheetId="15" hidden="1">{#N/A,#N/A,FALSE,"Fisons_Sci_Instr";#N/A,#N/A,FALSE,"Fisons_Lab_Supplies";#N/A,#N/A,FALSE,"Nunc";#N/A,#N/A,FALSE,"Sorvall";#N/A,#N/A,FALSE,"Dynatech";#N/A,#N/A,FALSE,"Hach"}</definedName>
    <definedName name="wrn.Analytic." localSheetId="7" hidden="1">{#N/A,#N/A,FALSE,"Fisons_Sci_Instr";#N/A,#N/A,FALSE,"Fisons_Lab_Supplies";#N/A,#N/A,FALSE,"Nunc";#N/A,#N/A,FALSE,"Sorvall";#N/A,#N/A,FALSE,"Dynatech";#N/A,#N/A,FALSE,"Hach"}</definedName>
    <definedName name="wrn.Analytic." hidden="1">{#N/A,#N/A,FALSE,"Fisons_Sci_Instr";#N/A,#N/A,FALSE,"Fisons_Lab_Supplies";#N/A,#N/A,FALSE,"Nunc";#N/A,#N/A,FALSE,"Sorvall";#N/A,#N/A,FALSE,"Dynatech";#N/A,#N/A,FALSE,"Hach"}</definedName>
    <definedName name="wrn.Apr._.03._.Key._.Stats." localSheetId="15" hidden="1">{"Apr 03 Revenue &amp; Expense",#N/A,FALSE,"Apr 03";"Apr 03 Recoveries",#N/A,FALSE,"Apr 03"}</definedName>
    <definedName name="wrn.Apr._.03._.Key._.Stats." localSheetId="7" hidden="1">{"Apr 03 Revenue &amp; Expense",#N/A,FALSE,"Apr 03";"Apr 03 Recoveries",#N/A,FALSE,"Apr 03"}</definedName>
    <definedName name="wrn.Apr._.03._.Key._.Stats." hidden="1">{"Apr 03 Revenue &amp; Expense",#N/A,FALSE,"Apr 03";"Apr 03 Recoveries",#N/A,FALSE,"Apr 03"}</definedName>
    <definedName name="wrn.April._.JE." localSheetId="15" hidden="1">{"AprJE to Everham",#N/A,FALSE,"JEto Jen"}</definedName>
    <definedName name="wrn.April._.JE." localSheetId="7" hidden="1">{"AprJE to Everham",#N/A,FALSE,"JEto Jen"}</definedName>
    <definedName name="wrn.April._.JE." hidden="1">{"AprJE to Everham",#N/A,FALSE,"JEto Jen"}</definedName>
    <definedName name="wrn.Aug._.02._.Key._.Stats." localSheetId="15" hidden="1">{"Aug 02 Revenue &amp; Expense",#N/A,FALSE,"August 02";"Aug 02 Recoveries",#N/A,FALSE,"August 02"}</definedName>
    <definedName name="wrn.Aug._.02._.Key._.Stats." localSheetId="7" hidden="1">{"Aug 02 Revenue &amp; Expense",#N/A,FALSE,"August 02";"Aug 02 Recoveries",#N/A,FALSE,"August 02"}</definedName>
    <definedName name="wrn.Aug._.02._.Key._.Stats." hidden="1">{"Aug 02 Revenue &amp; Expense",#N/A,FALSE,"August 02";"Aug 02 Recoveries",#N/A,FALSE,"August 02"}</definedName>
    <definedName name="wrn.b" localSheetId="15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" localSheetId="7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" localSheetId="15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" localSheetId="7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lance._.sheets._.FY01._.to._.FY03." localSheetId="15" hidden="1">{"BS FY01",#N/A,FALSE,"P &amp; L";"BS FY02",#N/A,FALSE,"P &amp; L";"BS FY03",#N/A,FALSE,"P &amp; L"}</definedName>
    <definedName name="wrn.Balance._.sheets._.FY01._.to._.FY03." localSheetId="7" hidden="1">{"BS FY01",#N/A,FALSE,"P &amp; L";"BS FY02",#N/A,FALSE,"P &amp; L";"BS FY03",#N/A,FALSE,"P &amp; L"}</definedName>
    <definedName name="wrn.Balance._.sheets._.FY01._.to._.FY03." hidden="1">{"BS FY01",#N/A,FALSE,"P &amp; L";"BS FY02",#N/A,FALSE,"P &amp; L";"BS FY03",#N/A,FALSE,"P &amp; L"}</definedName>
    <definedName name="wrn.bas" localSheetId="15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" localSheetId="7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1" localSheetId="15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1" localSheetId="7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1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2" localSheetId="15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2" localSheetId="7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3" localSheetId="15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3" localSheetId="7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3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" localSheetId="15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" localSheetId="7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" localSheetId="15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" localSheetId="7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" localSheetId="15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" localSheetId="7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2" localSheetId="15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2" localSheetId="7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3" localSheetId="15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3" localSheetId="7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3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2" localSheetId="15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2" localSheetId="7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3" localSheetId="15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3" localSheetId="7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3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4" localSheetId="15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4" localSheetId="7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4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5" localSheetId="15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5" localSheetId="7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5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s" localSheetId="15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s" localSheetId="7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s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s." localSheetId="15" hidden="1">{#N/A,#N/A,FALSE,"TSUM";#N/A,#N/A,FALSE,"shares";#N/A,#N/A,FALSE,"earnout";#N/A,#N/A,FALSE,"Heaty";#N/A,#N/A,FALSE,"self-tend";#N/A,#N/A,FALSE,"self-sum"}</definedName>
    <definedName name="wrn.basics." localSheetId="7" hidden="1">{#N/A,#N/A,FALSE,"TSUM";#N/A,#N/A,FALSE,"shares";#N/A,#N/A,FALSE,"earnout";#N/A,#N/A,FALSE,"Heaty";#N/A,#N/A,FALSE,"self-tend";#N/A,#N/A,FALSE,"self-sum"}</definedName>
    <definedName name="wrn.basics." hidden="1">{#N/A,#N/A,FALSE,"TSUM";#N/A,#N/A,FALSE,"shares";#N/A,#N/A,FALSE,"earnout";#N/A,#N/A,FALSE,"Heaty";#N/A,#N/A,FALSE,"self-tend";#N/A,#N/A,FALSE,"self-sum"}</definedName>
    <definedName name="wrn.basicss" localSheetId="15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ss" localSheetId="7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ss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ii" localSheetId="15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ii" localSheetId="7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ii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rad." localSheetId="15" hidden="1">{#N/A,#N/A,FALSE,"Rollop";#N/A,#N/A,FALSE,"4062";#N/A,#N/A,FALSE,"4063";#N/A,#N/A,FALSE,"4064";#N/A,#N/A,FALSE,"Rollce";#N/A,#N/A,FALSE,"8005";#N/A,#N/A,FALSE,"8006";#N/A,#N/A,FALSE,"8007";#N/A,#N/A,FALSE,"4040";#N/A,#N/A,FALSE,"Rollct";#N/A,#N/A,FALSE,"4046";#N/A,#N/A,FALSE,"4048";#N/A,#N/A,FALSE,"Rollfa";#N/A,#N/A,FALSE,"7122F";#N/A,#N/A,FALSE,"7127F";#N/A,#N/A,FALSE,"5430"}</definedName>
    <definedName name="wrn.brad." localSheetId="7" hidden="1">{#N/A,#N/A,FALSE,"Rollop";#N/A,#N/A,FALSE,"4062";#N/A,#N/A,FALSE,"4063";#N/A,#N/A,FALSE,"4064";#N/A,#N/A,FALSE,"Rollce";#N/A,#N/A,FALSE,"8005";#N/A,#N/A,FALSE,"8006";#N/A,#N/A,FALSE,"8007";#N/A,#N/A,FALSE,"4040";#N/A,#N/A,FALSE,"Rollct";#N/A,#N/A,FALSE,"4046";#N/A,#N/A,FALSE,"4048";#N/A,#N/A,FALSE,"Rollfa";#N/A,#N/A,FALSE,"7122F";#N/A,#N/A,FALSE,"7127F";#N/A,#N/A,FALSE,"5430"}</definedName>
    <definedName name="wrn.brad." hidden="1">{#N/A,#N/A,FALSE,"Rollop";#N/A,#N/A,FALSE,"4062";#N/A,#N/A,FALSE,"4063";#N/A,#N/A,FALSE,"4064";#N/A,#N/A,FALSE,"Rollce";#N/A,#N/A,FALSE,"8005";#N/A,#N/A,FALSE,"8006";#N/A,#N/A,FALSE,"8007";#N/A,#N/A,FALSE,"4040";#N/A,#N/A,FALSE,"Rollct";#N/A,#N/A,FALSE,"4046";#N/A,#N/A,FALSE,"4048";#N/A,#N/A,FALSE,"Rollfa";#N/A,#N/A,FALSE,"7122F";#N/A,#N/A,FALSE,"7127F";#N/A,#N/A,FALSE,"5430"}</definedName>
    <definedName name="wrn.BrkgPkg." localSheetId="15" hidden="1">{#N/A,#N/A,FALSE,"BrkgCover";#N/A,#N/A,FALSE,"brrevex";#N/A,#N/A,FALSE,"brbkbo";#N/A,#N/A,FALSE,"NOISum";#N/A,#N/A,FALSE,"inst";#N/A,#N/A,FALSE,"164";#N/A,#N/A,FALSE,"167";#N/A,#N/A,FALSE,"168";#N/A,#N/A,FALSE,"169";#N/A,#N/A,FALSE,"180";#N/A,#N/A,FALSE,"181";#N/A,#N/A,FALSE,"182";#N/A,#N/A,FALSE,"194";#N/A,#N/A,FALSE,"199";#N/A,#N/A,FALSE,"178-9";#N/A,#N/A,FALSE,"Heads";#N/A,#N/A,FALSE,"Capital"}</definedName>
    <definedName name="wrn.BrkgPkg." localSheetId="7" hidden="1">{#N/A,#N/A,FALSE,"BrkgCover";#N/A,#N/A,FALSE,"brrevex";#N/A,#N/A,FALSE,"brbkbo";#N/A,#N/A,FALSE,"NOISum";#N/A,#N/A,FALSE,"inst";#N/A,#N/A,FALSE,"164";#N/A,#N/A,FALSE,"167";#N/A,#N/A,FALSE,"168";#N/A,#N/A,FALSE,"169";#N/A,#N/A,FALSE,"180";#N/A,#N/A,FALSE,"181";#N/A,#N/A,FALSE,"182";#N/A,#N/A,FALSE,"194";#N/A,#N/A,FALSE,"199";#N/A,#N/A,FALSE,"178-9";#N/A,#N/A,FALSE,"Heads";#N/A,#N/A,FALSE,"Capital"}</definedName>
    <definedName name="wrn.BrkgPkg." hidden="1">{#N/A,#N/A,FALSE,"BrkgCover";#N/A,#N/A,FALSE,"brrevex";#N/A,#N/A,FALSE,"brbkbo";#N/A,#N/A,FALSE,"NOISum";#N/A,#N/A,FALSE,"inst";#N/A,#N/A,FALSE,"164";#N/A,#N/A,FALSE,"167";#N/A,#N/A,FALSE,"168";#N/A,#N/A,FALSE,"169";#N/A,#N/A,FALSE,"180";#N/A,#N/A,FALSE,"181";#N/A,#N/A,FALSE,"182";#N/A,#N/A,FALSE,"194";#N/A,#N/A,FALSE,"199";#N/A,#N/A,FALSE,"178-9";#N/A,#N/A,FALSE,"Heads";#N/A,#N/A,FALSE,"Capital"}</definedName>
    <definedName name="wrn.bullshit1." localSheetId="15" hidden="1">{#N/A,#N/A,FALSE,"Sheet1";#N/A,#N/A,FALSE,"Summary";#N/A,#N/A,FALSE,"proj1";#N/A,#N/A,FALSE,"proj2"}</definedName>
    <definedName name="wrn.bullshit1." localSheetId="7" hidden="1">{#N/A,#N/A,FALSE,"Sheet1";#N/A,#N/A,FALSE,"Summary";#N/A,#N/A,FALSE,"proj1";#N/A,#N/A,FALSE,"proj2"}</definedName>
    <definedName name="wrn.bullshit1." hidden="1">{#N/A,#N/A,FALSE,"Sheet1";#N/A,#N/A,FALSE,"Summary";#N/A,#N/A,FALSE,"proj1";#N/A,#N/A,FALSE,"proj2"}</definedName>
    <definedName name="wrn.cash._.flow._.FY00._.and._.FY01." localSheetId="15" hidden="1">{"cash flow - FY00",#N/A,FALSE,"P &amp; L";"cash flow - FY01",#N/A,FALSE,"P &amp; L"}</definedName>
    <definedName name="wrn.cash._.flow._.FY00._.and._.FY01." localSheetId="7" hidden="1">{"cash flow - FY00",#N/A,FALSE,"P &amp; L";"cash flow - FY01",#N/A,FALSE,"P &amp; L"}</definedName>
    <definedName name="wrn.cash._.flow._.FY00._.and._.FY01." hidden="1">{"cash flow - FY00",#N/A,FALSE,"P &amp; L";"cash flow - FY01",#N/A,FALSE,"P &amp; L"}</definedName>
    <definedName name="wrn.cash._.flow._.FY02._.and._.FY03." localSheetId="15" hidden="1">{"cash flow - FY02",#N/A,FALSE,"P &amp; L";"cash flow - FY03",#N/A,FALSE,"P &amp; L"}</definedName>
    <definedName name="wrn.cash._.flow._.FY02._.and._.FY03." localSheetId="7" hidden="1">{"cash flow - FY02",#N/A,FALSE,"P &amp; L";"cash flow - FY03",#N/A,FALSE,"P &amp; L"}</definedName>
    <definedName name="wrn.cash._.flow._.FY02._.and._.FY03." hidden="1">{"cash flow - FY02",#N/A,FALSE,"P &amp; L";"cash flow - FY03",#N/A,FALSE,"P &amp; L"}</definedName>
    <definedName name="wrn.com" localSheetId="15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com" localSheetId="7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com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Complete._.Budget." localSheetId="15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Budget." localSheetId="7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Budget.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x" localSheetId="15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complex" localSheetId="7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complex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Consol._.FS." localSheetId="15" hidden="1">{#N/A,#N/A,FALSE,"BalSheet 0899";#N/A,#N/A,FALSE,"ytdpl899";#N/A,#N/A,FALSE,"Aug PL";#N/A,#N/A,FALSE,"Minority Int";#N/A,#N/A,FALSE,"Equity Roll Forward";#N/A,#N/A,FALSE,"Book Equity Test"}</definedName>
    <definedName name="wrn.Consol._.FS." localSheetId="7" hidden="1">{#N/A,#N/A,FALSE,"BalSheet 0899";#N/A,#N/A,FALSE,"ytdpl899";#N/A,#N/A,FALSE,"Aug PL";#N/A,#N/A,FALSE,"Minority Int";#N/A,#N/A,FALSE,"Equity Roll Forward";#N/A,#N/A,FALSE,"Book Equity Test"}</definedName>
    <definedName name="wrn.Consol._.FS." hidden="1">{#N/A,#N/A,FALSE,"BalSheet 0899";#N/A,#N/A,FALSE,"ytdpl899";#N/A,#N/A,FALSE,"Aug PL";#N/A,#N/A,FALSE,"Minority Int";#N/A,#N/A,FALSE,"Equity Roll Forward";#N/A,#N/A,FALSE,"Book Equity Test"}</definedName>
    <definedName name="wrn.Dec._.02._.Key._.Stats." localSheetId="15" hidden="1">{"Dec 02 Recoveries",#N/A,FALSE,"December 02";"Dec 02 Revenue &amp; Expense",#N/A,FALSE,"December 02"}</definedName>
    <definedName name="wrn.Dec._.02._.Key._.Stats." localSheetId="7" hidden="1">{"Dec 02 Recoveries",#N/A,FALSE,"December 02";"Dec 02 Revenue &amp; Expense",#N/A,FALSE,"December 02"}</definedName>
    <definedName name="wrn.Dec._.02._.Key._.Stats." hidden="1">{"Dec 02 Recoveries",#N/A,FALSE,"December 02";"Dec 02 Revenue &amp; Expense",#N/A,FALSE,"December 02"}</definedName>
    <definedName name="wrn.detail." localSheetId="15" hidden="1">{"detail",#N/A,FALSE,"Revenue Strat Plan"}</definedName>
    <definedName name="wrn.detail." localSheetId="7" hidden="1">{"detail",#N/A,FALSE,"Revenue Strat Plan"}</definedName>
    <definedName name="wrn.detail." hidden="1">{"detail",#N/A,FALSE,"Revenue Strat Plan"}</definedName>
    <definedName name="wrn.dir." localSheetId="15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r." localSheetId="7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executive._.summary._.reports." localSheetId="15" hidden="1">{"4 year overview",#N/A,FALSE,"P &amp; L";"key indicators",#N/A,FALSE,"P &amp; L"}</definedName>
    <definedName name="wrn.executive._.summary._.reports." localSheetId="7" hidden="1">{"4 year overview",#N/A,FALSE,"P &amp; L";"key indicators",#N/A,FALSE,"P &amp; L"}</definedName>
    <definedName name="wrn.executive._.summary._.reports." hidden="1">{"4 year overview",#N/A,FALSE,"P &amp; L";"key indicators",#N/A,FALSE,"P &amp; L"}</definedName>
    <definedName name="wrn.f" localSheetId="15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" localSheetId="7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eb._.03._.Key._.Stats." localSheetId="15" hidden="1">{"Feb 03 Revenue &amp; Expense",#N/A,FALSE,"February 03";"Feb 03 Recoveries",#N/A,FALSE,"February 03"}</definedName>
    <definedName name="wrn.Feb._.03._.Key._.Stats." localSheetId="7" hidden="1">{"Feb 03 Revenue &amp; Expense",#N/A,FALSE,"February 03";"Feb 03 Recoveries",#N/A,FALSE,"February 03"}</definedName>
    <definedName name="wrn.Feb._.03._.Key._.Stats." hidden="1">{"Feb 03 Revenue &amp; Expense",#N/A,FALSE,"February 03";"Feb 03 Recoveries",#N/A,FALSE,"February 03"}</definedName>
    <definedName name="wrn.Filter." localSheetId="15" hidden="1">{#N/A,#N/A,FALSE,"Assump2";#N/A,#N/A,FALSE,"Income2";#N/A,#N/A,FALSE,"Balance2";#N/A,#N/A,FALSE,"DCF Filter";#N/A,#N/A,FALSE,"Trans Assump2";#N/A,#N/A,FALSE,"Combined Income2";#N/A,#N/A,FALSE,"Combined Balance2"}</definedName>
    <definedName name="wrn.Filter." localSheetId="7" hidden="1">{#N/A,#N/A,FALSE,"Assump2";#N/A,#N/A,FALSE,"Income2";#N/A,#N/A,FALSE,"Balance2";#N/A,#N/A,FALSE,"DCF Filter";#N/A,#N/A,FALSE,"Trans Assump2";#N/A,#N/A,FALSE,"Combined Income2";#N/A,#N/A,FALSE,"Combined Balance2"}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rst._.2._.Pages." localSheetId="15" hidden="1">{"First 2 Pages",#N/A,FALSE,"A";"First 2 Pages",#N/A,FALSE,"A"}</definedName>
    <definedName name="wrn.First._.2._.Pages." localSheetId="7" hidden="1">{"First 2 Pages",#N/A,FALSE,"A";"First 2 Pages",#N/A,FALSE,"A"}</definedName>
    <definedName name="wrn.First._.2._.Pages." hidden="1">{"First 2 Pages",#N/A,FALSE,"A";"First 2 Pages",#N/A,FALSE,"A"}</definedName>
    <definedName name="wrn.first2." localSheetId="15" hidden="1">{#N/A,#N/A,FALSE,"sum-don";#N/A,#N/A,FALSE,"inc-don"}</definedName>
    <definedName name="wrn.first2." localSheetId="7" hidden="1">{#N/A,#N/A,FALSE,"sum-don";#N/A,#N/A,FALSE,"inc-don"}</definedName>
    <definedName name="wrn.first2." hidden="1">{#N/A,#N/A,FALSE,"sum-don";#N/A,#N/A,FALSE,"inc-don"}</definedName>
    <definedName name="wrn.first3." localSheetId="15" hidden="1">{#N/A,#N/A,FALSE,"Summary";#N/A,#N/A,FALSE,"proj1";#N/A,#N/A,FALSE,"proj2"}</definedName>
    <definedName name="wrn.first3." localSheetId="7" hidden="1">{#N/A,#N/A,FALSE,"Summary";#N/A,#N/A,FALSE,"proj1";#N/A,#N/A,FALSE,"proj2"}</definedName>
    <definedName name="wrn.first3." hidden="1">{#N/A,#N/A,FALSE,"Summary";#N/A,#N/A,FALSE,"proj1";#N/A,#N/A,FALSE,"proj2"}</definedName>
    <definedName name="wrn.first4." localSheetId="15" hidden="1">{#N/A,#N/A,FALSE,"Summary";#N/A,#N/A,FALSE,"proj1";#N/A,#N/A,FALSE,"proj2";#N/A,#N/A,FALSE,"DCF"}</definedName>
    <definedName name="wrn.first4." localSheetId="7" hidden="1">{#N/A,#N/A,FALSE,"Summary";#N/A,#N/A,FALSE,"proj1";#N/A,#N/A,FALSE,"proj2";#N/A,#N/A,FALSE,"DCF"}</definedName>
    <definedName name="wrn.first4." hidden="1">{#N/A,#N/A,FALSE,"Summary";#N/A,#N/A,FALSE,"proj1";#N/A,#N/A,FALSE,"proj2";#N/A,#N/A,FALSE,"DCF"}</definedName>
    <definedName name="wrn.first5000." localSheetId="15" hidden="1">{#N/A,#N/A,FALSE,"sum-don";#N/A,#N/A,FALSE,"inc-don"}</definedName>
    <definedName name="wrn.first5000." localSheetId="7" hidden="1">{#N/A,#N/A,FALSE,"sum-don";#N/A,#N/A,FALSE,"inc-don"}</definedName>
    <definedName name="wrn.first5000." hidden="1">{#N/A,#N/A,FALSE,"sum-don";#N/A,#N/A,FALSE,"inc-don"}</definedName>
    <definedName name="wrn.Five._.Year._.Model." localSheetId="15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Model." localSheetId="7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Model.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ORECAST." localSheetId="15" hidden="1">{"FOSUMMARY",#N/A,FALSE,"SUMMARY";"ACTVAR",#N/A,FALSE,"ACT VAR";"FCSTVAR",#N/A,FALSE,"FCST VAR"}</definedName>
    <definedName name="wrn.FORECAST." localSheetId="7" hidden="1">{"FOSUMMARY",#N/A,FALSE,"SUMMARY";"ACTVAR",#N/A,FALSE,"ACT VAR";"FCSTVAR",#N/A,FALSE,"FCST VAR"}</definedName>
    <definedName name="wrn.FORECAST." hidden="1">{"FOSUMMARY",#N/A,FALSE,"SUMMARY";"ACTVAR",#N/A,FALSE,"ACT VAR";"FCSTVAR",#N/A,FALSE,"FCST VAR"}</definedName>
    <definedName name="wrn.Forecast._.Summary." localSheetId="15" hidden="1">{#N/A,#N/A,FALSE,"Full Year";#N/A,#N/A,FALSE,"Current Month";#N/A,#N/A,FALSE,"YTD";#N/A,#N/A,FALSE,"Remainder";#N/A,#N/A,FALSE,"Full Year Variance";#N/A,#N/A,FALSE,"Quarterly Variance"}</definedName>
    <definedName name="wrn.Forecast._.Summary." localSheetId="7" hidden="1">{#N/A,#N/A,FALSE,"Full Year";#N/A,#N/A,FALSE,"Current Month";#N/A,#N/A,FALSE,"YTD";#N/A,#N/A,FALSE,"Remainder";#N/A,#N/A,FALSE,"Full Year Variance";#N/A,#N/A,FALSE,"Quarterly Variance"}</definedName>
    <definedName name="wrn.Forecast._.Summary." hidden="1">{#N/A,#N/A,FALSE,"Full Year";#N/A,#N/A,FALSE,"Current Month";#N/A,#N/A,FALSE,"YTD";#N/A,#N/A,FALSE,"Remainder";#N/A,#N/A,FALSE,"Full Year Variance";#N/A,#N/A,FALSE,"Quarterly Variance"}</definedName>
    <definedName name="wrn.fu" localSheetId="15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u" localSheetId="7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u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ull." localSheetId="15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ull." localSheetId="7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ull.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ull.2" localSheetId="15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ull.2" localSheetId="7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ull.2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Y00._.all._.reports." localSheetId="15" hidden="1">{"cash flow - FY00",#N/A,FALSE,"P &amp; L";"qtrly summ-FY00",#N/A,FALSE,"P &amp; L";"monthly P&amp;L-FY00",#N/A,FALSE,"P &amp; L";"P&amp;L FY00",#N/A,FALSE,"P &amp; L";"BS FY00",#N/A,FALSE,"P &amp; L";"staffing - FY00",#N/A,FALSE,"P &amp; L"}</definedName>
    <definedName name="wrn.FY00._.all._.reports." localSheetId="7" hidden="1">{"cash flow - FY00",#N/A,FALSE,"P &amp; L";"qtrly summ-FY00",#N/A,FALSE,"P &amp; L";"monthly P&amp;L-FY00",#N/A,FALSE,"P &amp; L";"P&amp;L FY00",#N/A,FALSE,"P &amp; L";"BS FY00",#N/A,FALSE,"P &amp; L";"staffing - FY00",#N/A,FALSE,"P &amp; L"}</definedName>
    <definedName name="wrn.FY00._.all._.reports." hidden="1">{"cash flow - FY00",#N/A,FALSE,"P &amp; L";"qtrly summ-FY00",#N/A,FALSE,"P &amp; L";"monthly P&amp;L-FY00",#N/A,FALSE,"P &amp; L";"P&amp;L FY00",#N/A,FALSE,"P &amp; L";"BS FY00",#N/A,FALSE,"P &amp; L";"staffing - FY00",#N/A,FALSE,"P &amp; L"}</definedName>
    <definedName name="wrn.FY01._.all._.reports." localSheetId="15" hidden="1">{"qtrly summ-FY01",#N/A,FALSE,"P &amp; L";"monthly P&amp;L-FY01",#N/A,FALSE,"P &amp; L";"cash flow - FY01",#N/A,FALSE,"P &amp; L";"P&amp;L FY01",#N/A,FALSE,"P &amp; L";"BS FY01",#N/A,FALSE,"P &amp; L";"staffing - FY01",#N/A,FALSE,"P &amp; L"}</definedName>
    <definedName name="wrn.FY01._.all._.reports." localSheetId="7" hidden="1">{"qtrly summ-FY01",#N/A,FALSE,"P &amp; L";"monthly P&amp;L-FY01",#N/A,FALSE,"P &amp; L";"cash flow - FY01",#N/A,FALSE,"P &amp; L";"P&amp;L FY01",#N/A,FALSE,"P &amp; L";"BS FY01",#N/A,FALSE,"P &amp; L";"staffing - FY01",#N/A,FALSE,"P &amp; L"}</definedName>
    <definedName name="wrn.FY01._.all._.reports." hidden="1">{"qtrly summ-FY01",#N/A,FALSE,"P &amp; L";"monthly P&amp;L-FY01",#N/A,FALSE,"P &amp; L";"cash flow - FY01",#N/A,FALSE,"P &amp; L";"P&amp;L FY01",#N/A,FALSE,"P &amp; L";"BS FY01",#N/A,FALSE,"P &amp; L";"staffing - FY01",#N/A,FALSE,"P &amp; L"}</definedName>
    <definedName name="wrn.FY02._.all._.reports." localSheetId="15" hidden="1">{"cash flow - FY02",#N/A,FALSE,"P &amp; L";"qtrly summ-FY02",#N/A,FALSE,"P &amp; L";"monthly P&amp;L-FY02",#N/A,FALSE,"P &amp; L";"P&amp;L FY02",#N/A,FALSE,"P &amp; L";"BS FY02",#N/A,FALSE,"P &amp; L";"staffing - FY02",#N/A,FALSE,"P &amp; L"}</definedName>
    <definedName name="wrn.FY02._.all._.reports." localSheetId="7" hidden="1">{"cash flow - FY02",#N/A,FALSE,"P &amp; L";"qtrly summ-FY02",#N/A,FALSE,"P &amp; L";"monthly P&amp;L-FY02",#N/A,FALSE,"P &amp; L";"P&amp;L FY02",#N/A,FALSE,"P &amp; L";"BS FY02",#N/A,FALSE,"P &amp; L";"staffing - FY02",#N/A,FALSE,"P &amp; L"}</definedName>
    <definedName name="wrn.FY02._.all._.reports." hidden="1">{"cash flow - FY02",#N/A,FALSE,"P &amp; L";"qtrly summ-FY02",#N/A,FALSE,"P &amp; L";"monthly P&amp;L-FY02",#N/A,FALSE,"P &amp; L";"P&amp;L FY02",#N/A,FALSE,"P &amp; L";"BS FY02",#N/A,FALSE,"P &amp; L";"staffing - FY02",#N/A,FALSE,"P &amp; L"}</definedName>
    <definedName name="wrn.FY03._.all._.reports." localSheetId="15" hidden="1">{"cash flow - FY03",#N/A,FALSE,"P &amp; L";"qtrly summ-FY03",#N/A,FALSE,"P &amp; L";"monthly P&amp;L-FY03",#N/A,FALSE,"P &amp; L";"P&amp;L FY03",#N/A,FALSE,"P &amp; L";"BS FY03",#N/A,FALSE,"P &amp; L";"staffing - FY03",#N/A,FALSE,"P &amp; L"}</definedName>
    <definedName name="wrn.FY03._.all._.reports." localSheetId="7" hidden="1">{"cash flow - FY03",#N/A,FALSE,"P &amp; L";"qtrly summ-FY03",#N/A,FALSE,"P &amp; L";"monthly P&amp;L-FY03",#N/A,FALSE,"P &amp; L";"P&amp;L FY03",#N/A,FALSE,"P &amp; L";"BS FY03",#N/A,FALSE,"P &amp; L";"staffing - FY03",#N/A,FALSE,"P &amp; L"}</definedName>
    <definedName name="wrn.FY03._.all._.reports." hidden="1">{"cash flow - FY03",#N/A,FALSE,"P &amp; L";"qtrly summ-FY03",#N/A,FALSE,"P &amp; L";"monthly P&amp;L-FY03",#N/A,FALSE,"P &amp; L";"P&amp;L FY03",#N/A,FALSE,"P &amp; L";"BS FY03",#N/A,FALSE,"P &amp; L";"staffing - FY03",#N/A,FALSE,"P &amp; L"}</definedName>
    <definedName name="wrn.FY06." localSheetId="15" hidden="1">{#N/A,#N/A,FALSE,"JUL-05";#N/A,#N/A,FALSE,"AUG-05";#N/A,#N/A,FALSE,"SEP-05";#N/A,#N/A,FALSE,"OCT-05";#N/A,#N/A,FALSE,"NOV-05";#N/A,#N/A,FALSE,"DEC-05";#N/A,#N/A,FALSE,"JAN-06";#N/A,#N/A,FALSE,"FEB-06";#N/A,#N/A,FALSE,"MAR-06";#N/A,#N/A,FALSE,"APR-06";#N/A,#N/A,FALSE,"MAY-06";#N/A,#N/A,FALSE,"JUN-06"}</definedName>
    <definedName name="wrn.FY06." localSheetId="7" hidden="1">{#N/A,#N/A,FALSE,"JUL-05";#N/A,#N/A,FALSE,"AUG-05";#N/A,#N/A,FALSE,"SEP-05";#N/A,#N/A,FALSE,"OCT-05";#N/A,#N/A,FALSE,"NOV-05";#N/A,#N/A,FALSE,"DEC-05";#N/A,#N/A,FALSE,"JAN-06";#N/A,#N/A,FALSE,"FEB-06";#N/A,#N/A,FALSE,"MAR-06";#N/A,#N/A,FALSE,"APR-06";#N/A,#N/A,FALSE,"MAY-06";#N/A,#N/A,FALSE,"JUN-06"}</definedName>
    <definedName name="wrn.FY06." hidden="1">{#N/A,#N/A,FALSE,"JUL-05";#N/A,#N/A,FALSE,"AUG-05";#N/A,#N/A,FALSE,"SEP-05";#N/A,#N/A,FALSE,"OCT-05";#N/A,#N/A,FALSE,"NOV-05";#N/A,#N/A,FALSE,"DEC-05";#N/A,#N/A,FALSE,"JAN-06";#N/A,#N/A,FALSE,"FEB-06";#N/A,#N/A,FALSE,"MAR-06";#N/A,#N/A,FALSE,"APR-06";#N/A,#N/A,FALSE,"MAY-06";#N/A,#N/A,FALSE,"JUN-06"}</definedName>
    <definedName name="wrn.FY97SBP." localSheetId="15" hidden="1">{#N/A,#N/A,FALSE,"FY97";#N/A,#N/A,FALSE,"FY98";#N/A,#N/A,FALSE,"FY99";#N/A,#N/A,FALSE,"FY00";#N/A,#N/A,FALSE,"FY01"}</definedName>
    <definedName name="wrn.FY97SBP." localSheetId="7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Group." localSheetId="15" hidden="1">{#N/A,#N/A,FALSE,"Summary";#N/A,#N/A,FALSE,"Projections";#N/A,#N/A,FALSE,"Debt Schedule";#N/A,#N/A,FALSE,"Mayline Sales Group";#N/A,#N/A,FALSE,"Sales Groups";#N/A,#N/A,FALSE,"Operating Expenses";#N/A,#N/A,FALSE,"Depreciation";#N/A,#N/A,FALSE,"Balance Sheet";#N/A,#N/A,FALSE,"Working Capital";#N/A,#N/A,FALSE,"Addbacks"}</definedName>
    <definedName name="wrn.Group." localSheetId="7" hidden="1">{#N/A,#N/A,FALSE,"Summary";#N/A,#N/A,FALSE,"Projections";#N/A,#N/A,FALSE,"Debt Schedule";#N/A,#N/A,FALSE,"Mayline Sales Group";#N/A,#N/A,FALSE,"Sales Groups";#N/A,#N/A,FALSE,"Operating Expenses";#N/A,#N/A,FALSE,"Depreciation";#N/A,#N/A,FALSE,"Balance Sheet";#N/A,#N/A,FALSE,"Working Capital";#N/A,#N/A,FALSE,"Addbacks"}</definedName>
    <definedName name="wrn.Group." hidden="1">{#N/A,#N/A,FALSE,"Summary";#N/A,#N/A,FALSE,"Projections";#N/A,#N/A,FALSE,"Debt Schedule";#N/A,#N/A,FALSE,"Mayline Sales Group";#N/A,#N/A,FALSE,"Sales Groups";#N/A,#N/A,FALSE,"Operating Expenses";#N/A,#N/A,FALSE,"Depreciation";#N/A,#N/A,FALSE,"Balance Sheet";#N/A,#N/A,FALSE,"Working Capital";#N/A,#N/A,FALSE,"Addbacks"}</definedName>
    <definedName name="wrn.GW._.02._.PLAN." localSheetId="15" hidden="1">{"GW02",#N/A,FALSE,"GW";"CA02",#N/A,FALSE,"ca";"OFF02",#N/A,FALSE,"off";"CE02",#N/A,FALSE,"ce";"noncorp 02",#N/A,FALSE,"noncorp"}</definedName>
    <definedName name="wrn.GW._.02._.PLAN." localSheetId="7" hidden="1">{"GW02",#N/A,FALSE,"GW";"CA02",#N/A,FALSE,"ca";"OFF02",#N/A,FALSE,"off";"CE02",#N/A,FALSE,"ce";"noncorp 02",#N/A,FALSE,"noncorp"}</definedName>
    <definedName name="wrn.GW._.02._.PLAN." hidden="1">{"GW02",#N/A,FALSE,"GW";"CA02",#N/A,FALSE,"ca";"OFF02",#N/A,FALSE,"off";"CE02",#N/A,FALSE,"ce";"noncorp 02",#N/A,FALSE,"noncorp"}</definedName>
    <definedName name="wrn.GW._.Actuals." localSheetId="15" hidden="1">{"GW ACTUALS",#N/A,FALSE,"GW";"CA ACTUALS",#N/A,FALSE,"GW";"CORP EXP ACTUALS",#N/A,FALSE,"GW";"GWOFF ACTUALS",#N/A,FALSE,"GW";"SRA ACTUALS",#N/A,FALSE,"GW"}</definedName>
    <definedName name="wrn.GW._.Actuals." localSheetId="7" hidden="1">{"GW ACTUALS",#N/A,FALSE,"GW";"CA ACTUALS",#N/A,FALSE,"GW";"CORP EXP ACTUALS",#N/A,FALSE,"GW";"GWOFF ACTUALS",#N/A,FALSE,"GW";"SRA ACTUALS",#N/A,FALSE,"GW"}</definedName>
    <definedName name="wrn.GW._.Actuals." hidden="1">{"GW ACTUALS",#N/A,FALSE,"GW";"CA ACTUALS",#N/A,FALSE,"GW";"CORP EXP ACTUALS",#N/A,FALSE,"GW";"GWOFF ACTUALS",#N/A,FALSE,"GW";"SRA ACTUALS",#N/A,FALSE,"GW"}</definedName>
    <definedName name="wrn.GW._.PLAN." localSheetId="15" hidden="1">{"GW PLAN",#N/A,FALSE,"GW";"CA PLAN",#N/A,FALSE,"GW";"CORP EXP PLAN",#N/A,FALSE,"GW";"GWOFF PLAN",#N/A,FALSE,"GW"}</definedName>
    <definedName name="wrn.GW._.PLAN." localSheetId="7" hidden="1">{"GW PLAN",#N/A,FALSE,"GW";"CA PLAN",#N/A,FALSE,"GW";"CORP EXP PLAN",#N/A,FALSE,"GW";"GWOFF PLAN",#N/A,FALSE,"GW"}</definedName>
    <definedName name="wrn.GW._.PLAN." hidden="1">{"GW PLAN",#N/A,FALSE,"GW";"CA PLAN",#N/A,FALSE,"GW";"CORP EXP PLAN",#N/A,FALSE,"GW";"GWOFF PLAN",#N/A,FALSE,"GW"}</definedName>
    <definedName name="wrn.GW._.VARIANCE." localSheetId="15" hidden="1">{"GW VARIANCE",#N/A,FALSE,"GW";"CA VARIANCE",#N/A,FALSE,"GW";"CE VARIANCE",#N/A,FALSE,"GW";"OFF VARIANCE",#N/A,FALSE,"GW";"SRA VARIANCE",#N/A,FALSE,"sra"}</definedName>
    <definedName name="wrn.GW._.VARIANCE." localSheetId="7" hidden="1">{"GW VARIANCE",#N/A,FALSE,"GW";"CA VARIANCE",#N/A,FALSE,"GW";"CE VARIANCE",#N/A,FALSE,"GW";"OFF VARIANCE",#N/A,FALSE,"GW";"SRA VARIANCE",#N/A,FALSE,"sra"}</definedName>
    <definedName name="wrn.GW._.VARIANCE." hidden="1">{"GW VARIANCE",#N/A,FALSE,"GW";"CA VARIANCE",#N/A,FALSE,"GW";"CE VARIANCE",#N/A,FALSE,"GW";"OFF VARIANCE",#N/A,FALSE,"GW";"SRA VARIANCE",#N/A,FALSE,"sra"}</definedName>
    <definedName name="wrn.HEAT." localSheetId="15" hidden="1">{#N/A,#N/A,FALSE,"Heat";#N/A,#N/A,FALSE,"DCF";#N/A,#N/A,FALSE,"LBO";#N/A,#N/A,FALSE,"A";#N/A,#N/A,FALSE,"C";#N/A,#N/A,FALSE,"impd";#N/A,#N/A,FALSE,"Accr-Dilu"}</definedName>
    <definedName name="wrn.HEAT." localSheetId="7" hidden="1">{#N/A,#N/A,FALSE,"Heat";#N/A,#N/A,FALSE,"DCF";#N/A,#N/A,FALSE,"LBO";#N/A,#N/A,FALSE,"A";#N/A,#N/A,FALSE,"C";#N/A,#N/A,FALSE,"impd";#N/A,#N/A,FALSE,"Accr-Dilu"}</definedName>
    <definedName name="wrn.HEAT." hidden="1">{#N/A,#N/A,FALSE,"Heat";#N/A,#N/A,FALSE,"DCF";#N/A,#N/A,FALSE,"LBO";#N/A,#N/A,FALSE,"A";#N/A,#N/A,FALSE,"C";#N/A,#N/A,FALSE,"impd";#N/A,#N/A,FALSE,"Accr-Dilu"}</definedName>
    <definedName name="wrn.HL." localSheetId="15" hidden="1">{"HLTotRev",#N/A,FALSE,"HL";"HLProcRev",#N/A,FALSE,"HL";"HLProcPRHRTA",#N/A,FALSE,"HL";"HLProcMSNEWTot",#N/A,FALSE,"HL";"HLSalesStarts",#N/A,FALSE,"HL";"HLLoss",#N/A,FALSE,"HL";"HLSUYrend",#N/A,FALSE,"HL";"Clients",#N/A,FALSE,"HL";"InputSales",#N/A,FALSE,"HL"}</definedName>
    <definedName name="wrn.HL." localSheetId="7" hidden="1">{"HLTotRev",#N/A,FALSE,"HL";"HLProcRev",#N/A,FALSE,"HL";"HLProcPRHRTA",#N/A,FALSE,"HL";"HLProcMSNEWTot",#N/A,FALSE,"HL";"HLSalesStarts",#N/A,FALSE,"HL";"HLLoss",#N/A,FALSE,"HL";"HLSUYrend",#N/A,FALSE,"HL";"Clients",#N/A,FALSE,"HL";"InputSales",#N/A,FALSE,"HL"}</definedName>
    <definedName name="wrn.HL." hidden="1">{"HLTotRev",#N/A,FALSE,"HL";"HLProcRev",#N/A,FALSE,"HL";"HLProcPRHRTA",#N/A,FALSE,"HL";"HLProcMSNEWTot",#N/A,FALSE,"HL";"HLSalesStarts",#N/A,FALSE,"HL";"HLLoss",#N/A,FALSE,"HL";"HLSUYrend",#N/A,FALSE,"HL";"Clients",#N/A,FALSE,"HL";"InputSales",#N/A,FALSE,"HL"}</definedName>
    <definedName name="wrn.Hydraulic." localSheetId="1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" localSheetId="7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localSheetId="1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" localSheetId="7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nfo." localSheetId="15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." localSheetId="7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.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povalue." localSheetId="15" hidden="1">{#N/A,#N/A,FALSE,"puboff";#N/A,#N/A,FALSE,"valuation";#N/A,#N/A,FALSE,"finanalsis";#N/A,#N/A,FALSE,"split";#N/A,#N/A,FALSE,"ownership"}</definedName>
    <definedName name="wrn.ipovalue." localSheetId="7" hidden="1">{#N/A,#N/A,FALSE,"puboff";#N/A,#N/A,FALSE,"valuation";#N/A,#N/A,FALSE,"finanalsis";#N/A,#N/A,FALSE,"split";#N/A,#N/A,FALSE,"ownership"}</definedName>
    <definedName name="wrn.ipovalue." hidden="1">{#N/A,#N/A,FALSE,"puboff";#N/A,#N/A,FALSE,"valuation";#N/A,#N/A,FALSE,"finanalsis";#N/A,#N/A,FALSE,"split";#N/A,#N/A,FALSE,"ownership"}</definedName>
    <definedName name="wrn.ISCG._.model." localSheetId="15" hidden="1">{#N/A,#N/A,FALSE,"Second";#N/A,#N/A,FALSE,"ownership";#N/A,#N/A,FALSE,"Valuation";#N/A,#N/A,FALSE,"Eqiv";#N/A,#N/A,FALSE,"Mults";#N/A,#N/A,FALSE,"ISCG Graphics"}</definedName>
    <definedName name="wrn.ISCG._.model." localSheetId="7" hidden="1">{#N/A,#N/A,FALSE,"Second";#N/A,#N/A,FALSE,"ownership";#N/A,#N/A,FALSE,"Valuation";#N/A,#N/A,FALSE,"Eqiv";#N/A,#N/A,FALSE,"Mults";#N/A,#N/A,FALSE,"ISCG Graphics"}</definedName>
    <definedName name="wrn.ISCG._.model." hidden="1">{#N/A,#N/A,FALSE,"Second";#N/A,#N/A,FALSE,"ownership";#N/A,#N/A,FALSE,"Valuation";#N/A,#N/A,FALSE,"Eqiv";#N/A,#N/A,FALSE,"Mults";#N/A,#N/A,FALSE,"ISCG Graphics"}</definedName>
    <definedName name="wrn.Jan._.03._.Key._.Stats." localSheetId="15" hidden="1">{"Jan 03 Revenue &amp; Expense",#N/A,FALSE,"January 03";"Jan 03 Recoveries",#N/A,FALSE,"January 03"}</definedName>
    <definedName name="wrn.Jan._.03._.Key._.Stats." localSheetId="7" hidden="1">{"Jan 03 Revenue &amp; Expense",#N/A,FALSE,"January 03";"Jan 03 Recoveries",#N/A,FALSE,"January 03"}</definedName>
    <definedName name="wrn.Jan._.03._.Key._.Stats." hidden="1">{"Jan 03 Revenue &amp; Expense",#N/A,FALSE,"January 03";"Jan 03 Recoveries",#N/A,FALSE,"January 03"}</definedName>
    <definedName name="wrn.Jul._.02._.Key._.Stats." localSheetId="15" hidden="1">{"Jul 02 Revenue &amp; Expense",#N/A,FALSE,"July 02";"Jul 02 Recoveries",#N/A,FALSE,"July 02"}</definedName>
    <definedName name="wrn.Jul._.02._.Key._.Stats." localSheetId="7" hidden="1">{"Jul 02 Revenue &amp; Expense",#N/A,FALSE,"July 02";"Jul 02 Recoveries",#N/A,FALSE,"July 02"}</definedName>
    <definedName name="wrn.Jul._.02._.Key._.Stats." hidden="1">{"Jul 02 Revenue &amp; Expense",#N/A,FALSE,"July 02";"Jul 02 Recoveries",#N/A,FALSE,"July 02"}</definedName>
    <definedName name="wrn.June._.03._.Key._.Stats." localSheetId="15" hidden="1">{"June 03 Revenue &amp; Expense",#N/A,FALSE,"June 03";"June 03 Recoveries",#N/A,FALSE,"June 03"}</definedName>
    <definedName name="wrn.June._.03._.Key._.Stats." localSheetId="7" hidden="1">{"June 03 Revenue &amp; Expense",#N/A,FALSE,"June 03";"June 03 Recoveries",#N/A,FALSE,"June 03"}</definedName>
    <definedName name="wrn.June._.03._.Key._.Stats." hidden="1">{"June 03 Revenue &amp; Expense",#N/A,FALSE,"June 03";"June 03 Recoveries",#N/A,FALSE,"June 03"}</definedName>
    <definedName name="wrn.k" localSheetId="15" hidden="1">{#N/A,#N/A,FALSE,"AD_Purchase";#N/A,#N/A,FALSE,"Credit";#N/A,#N/A,FALSE,"PF Acquisition";#N/A,#N/A,FALSE,"PF Offering"}</definedName>
    <definedName name="wrn.k" localSheetId="7" hidden="1">{#N/A,#N/A,FALSE,"AD_Purchase";#N/A,#N/A,FALSE,"Credit";#N/A,#N/A,FALSE,"PF Acquisition";#N/A,#N/A,FALSE,"PF Offering"}</definedName>
    <definedName name="wrn.k" hidden="1">{#N/A,#N/A,FALSE,"AD_Purchase";#N/A,#N/A,FALSE,"Credit";#N/A,#N/A,FALSE,"PF Acquisition";#N/A,#N/A,FALSE,"PF Offering"}</definedName>
    <definedName name="wrn.Last._.Page." localSheetId="15" hidden="1">{"Last Page",#N/A,FALSE,"A"}</definedName>
    <definedName name="wrn.Last._.Page." localSheetId="7" hidden="1">{"Last Page",#N/A,FALSE,"A"}</definedName>
    <definedName name="wrn.Last._.Page." hidden="1">{"Last Page",#N/A,FALSE,"A"}</definedName>
    <definedName name="wrn.Losses98." localSheetId="15" hidden="1">{"losses98",#N/A,FALSE,"Losses98"}</definedName>
    <definedName name="wrn.Losses98." localSheetId="7" hidden="1">{"losses98",#N/A,FALSE,"Losses98"}</definedName>
    <definedName name="wrn.Losses98." hidden="1">{"losses98",#N/A,FALSE,"Losses98"}</definedName>
    <definedName name="wrn.Losses99." localSheetId="15" hidden="1">{"losses1",#N/A,FALSE,"Losses99";"losses2",#N/A,FALSE,"Losses99"}</definedName>
    <definedName name="wrn.Losses99." localSheetId="7" hidden="1">{"losses1",#N/A,FALSE,"Losses99";"losses2",#N/A,FALSE,"Losses99"}</definedName>
    <definedName name="wrn.Losses99." hidden="1">{"losses1",#N/A,FALSE,"Losses99";"losses2",#N/A,FALSE,"Losses99"}</definedName>
    <definedName name="wrn.MA." localSheetId="15" hidden="1">{"MATotrev",#N/A,FALSE,"MA";"MAProcRev",#N/A,FALSE,"MA";"MAProcPRHR",#N/A,FALSE,"MA";"MAProcTAMS",#N/A,FALSE,"MA";"MAProcNewTot",#N/A,FALSE,"MA";"MASalesStarts",#N/A,FALSE,"MA";"MALoss",#N/A,FALSE,"MA";"MASUYRend",#N/A,FALSE,"MA";"MAClientno",#N/A,FALSE,"MA";"MAinput",#N/A,FALSE,"MA";"MAClientno",#N/A,FALSE,"MA"}</definedName>
    <definedName name="wrn.MA." localSheetId="7" hidden="1">{"MATotrev",#N/A,FALSE,"MA";"MAProcRev",#N/A,FALSE,"MA";"MAProcPRHR",#N/A,FALSE,"MA";"MAProcTAMS",#N/A,FALSE,"MA";"MAProcNewTot",#N/A,FALSE,"MA";"MASalesStarts",#N/A,FALSE,"MA";"MALoss",#N/A,FALSE,"MA";"MASUYRend",#N/A,FALSE,"MA";"MAClientno",#N/A,FALSE,"MA";"MAinput",#N/A,FALSE,"MA";"MAClientno",#N/A,FALSE,"MA"}</definedName>
    <definedName name="wrn.MA." hidden="1">{"MATotrev",#N/A,FALSE,"MA";"MAProcRev",#N/A,FALSE,"MA";"MAProcPRHR",#N/A,FALSE,"MA";"MAProcTAMS",#N/A,FALSE,"MA";"MAProcNewTot",#N/A,FALSE,"MA";"MASalesStarts",#N/A,FALSE,"MA";"MALoss",#N/A,FALSE,"MA";"MASUYRend",#N/A,FALSE,"MA";"MAClientno",#N/A,FALSE,"MA";"MAinput",#N/A,FALSE,"MA";"MAClientno",#N/A,FALSE,"MA"}</definedName>
    <definedName name="wrn.Maine." localSheetId="15" hidden="1">{"Assumptions",#N/A,TRUE,"Assumptions";"Income",#N/A,TRUE,"Income";"Balance",#N/A,TRUE,"Balance"}</definedName>
    <definedName name="wrn.Maine." localSheetId="7" hidden="1">{"Assumptions",#N/A,TRUE,"Assumptions";"Income",#N/A,TRUE,"Income";"Balance",#N/A,TRUE,"Balance"}</definedName>
    <definedName name="wrn.Maine." hidden="1">{"Assumptions",#N/A,TRUE,"Assumptions";"Income",#N/A,TRUE,"Income";"Balance",#N/A,TRUE,"Balance"}</definedName>
    <definedName name="wrn.Maine2." localSheetId="1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" localSheetId="7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tW2." localSheetId="15" hidden="1">{"MaintW2",#N/A,FALSE,"MaintW2"}</definedName>
    <definedName name="wrn.MaintW2." localSheetId="7" hidden="1">{"MaintW2",#N/A,FALSE,"MaintW2"}</definedName>
    <definedName name="wrn.MaintW2." hidden="1">{"MaintW2",#N/A,FALSE,"MaintW2"}</definedName>
    <definedName name="wrn.Mar._.03._.Key._.Stats." localSheetId="15" hidden="1">{"Mar 03 Revenue &amp; Expense",#N/A,FALSE,"March 03";"Mar 03 Recoveries",#N/A,FALSE,"March 03"}</definedName>
    <definedName name="wrn.Mar._.03._.Key._.Stats." localSheetId="7" hidden="1">{"Mar 03 Revenue &amp; Expense",#N/A,FALSE,"March 03";"Mar 03 Recoveries",#N/A,FALSE,"March 03"}</definedName>
    <definedName name="wrn.Mar._.03._.Key._.Stats." hidden="1">{"Mar 03 Revenue &amp; Expense",#N/A,FALSE,"March 03";"Mar 03 Recoveries",#N/A,FALSE,"March 03"}</definedName>
    <definedName name="wrn.May._.03._.Key._.Stats." localSheetId="15" hidden="1">{"May 03 Revenue &amp; Expense",#N/A,FALSE,"May 03";"May 03 Recoveries",#N/A,FALSE,"May 03"}</definedName>
    <definedName name="wrn.May._.03._.Key._.Stats." localSheetId="7" hidden="1">{"May 03 Revenue &amp; Expense",#N/A,FALSE,"May 03";"May 03 Recoveries",#N/A,FALSE,"May 03"}</definedName>
    <definedName name="wrn.May._.03._.Key._.Stats." hidden="1">{"May 03 Revenue &amp; Expense",#N/A,FALSE,"May 03";"May 03 Recoveries",#N/A,FALSE,"May 03"}</definedName>
    <definedName name="wrn.merge." localSheetId="15" hidden="1">{#N/A,#N/A,FALSE,"IPO";#N/A,#N/A,FALSE,"DCF";#N/A,#N/A,FALSE,"LBO";#N/A,#N/A,FALSE,"MULT_VAL";#N/A,#N/A,FALSE,"Status Quo";#N/A,#N/A,FALSE,"Recap"}</definedName>
    <definedName name="wrn.merge." localSheetId="7" hidden="1">{#N/A,#N/A,FALSE,"IPO";#N/A,#N/A,FALSE,"DCF";#N/A,#N/A,FALSE,"LBO";#N/A,#N/A,FALSE,"MULT_VAL";#N/A,#N/A,FALSE,"Status Quo";#N/A,#N/A,FALSE,"Recap"}</definedName>
    <definedName name="wrn.merge." hidden="1">{#N/A,#N/A,FALSE,"IPO";#N/A,#N/A,FALSE,"DCF";#N/A,#N/A,FALSE,"LBO";#N/A,#N/A,FALSE,"MULT_VAL";#N/A,#N/A,FALSE,"Status Quo";#N/A,#N/A,FALSE,"Recap"}</definedName>
    <definedName name="wrn.merge.1" localSheetId="15" hidden="1">{#N/A,#N/A,FALSE,"IPO";#N/A,#N/A,FALSE,"DCF";#N/A,#N/A,FALSE,"LBO";#N/A,#N/A,FALSE,"MULT_VAL";#N/A,#N/A,FALSE,"Status Quo";#N/A,#N/A,FALSE,"Recap"}</definedName>
    <definedName name="wrn.merge.1" localSheetId="7" hidden="1">{#N/A,#N/A,FALSE,"IPO";#N/A,#N/A,FALSE,"DCF";#N/A,#N/A,FALSE,"LBO";#N/A,#N/A,FALSE,"MULT_VAL";#N/A,#N/A,FALSE,"Status Quo";#N/A,#N/A,FALSE,"Recap"}</definedName>
    <definedName name="wrn.merge.1" hidden="1">{#N/A,#N/A,FALSE,"IPO";#N/A,#N/A,FALSE,"DCF";#N/A,#N/A,FALSE,"LBO";#N/A,#N/A,FALSE,"MULT_VAL";#N/A,#N/A,FALSE,"Status Quo";#N/A,#N/A,FALSE,"Recap"}</definedName>
    <definedName name="wrn.mike." localSheetId="15" hidden="1">{#N/A,#N/A,FALSE,"Rollcs";#N/A,#N/A,FALSE,"5425";#N/A,#N/A,FALSE,"5334";#N/A,#N/A,FALSE,"5339"}</definedName>
    <definedName name="wrn.mike." localSheetId="7" hidden="1">{#N/A,#N/A,FALSE,"Rollcs";#N/A,#N/A,FALSE,"5425";#N/A,#N/A,FALSE,"5334";#N/A,#N/A,FALSE,"5339"}</definedName>
    <definedName name="wrn.mike." hidden="1">{#N/A,#N/A,FALSE,"Rollcs";#N/A,#N/A,FALSE,"5425";#N/A,#N/A,FALSE,"5334";#N/A,#N/A,FALSE,"5339"}</definedName>
    <definedName name="wrn.models" localSheetId="15" hidden="1">{#N/A,#N/A,FALSE,"Summary";#N/A,#N/A,FALSE,"Projections";#N/A,#N/A,FALSE,"Mkt Mults";#N/A,#N/A,FALSE,"DCF";#N/A,#N/A,FALSE,"Accr Dil";#N/A,#N/A,FALSE,"PIC LBO";#N/A,#N/A,FALSE,"MULT10_4";#N/A,#N/A,FALSE,"CBI LBO"}</definedName>
    <definedName name="wrn.models" localSheetId="7" hidden="1">{#N/A,#N/A,FALSE,"Summary";#N/A,#N/A,FALSE,"Projections";#N/A,#N/A,FALSE,"Mkt Mults";#N/A,#N/A,FALSE,"DCF";#N/A,#N/A,FALSE,"Accr Dil";#N/A,#N/A,FALSE,"PIC LBO";#N/A,#N/A,FALSE,"MULT10_4";#N/A,#N/A,FALSE,"CBI LBO"}</definedName>
    <definedName name="wrn.models" hidden="1">{#N/A,#N/A,FALSE,"Summary";#N/A,#N/A,FALSE,"Projections";#N/A,#N/A,FALSE,"Mkt Mults";#N/A,#N/A,FALSE,"DCF";#N/A,#N/A,FALSE,"Accr Dil";#N/A,#N/A,FALSE,"PIC LBO";#N/A,#N/A,FALSE,"MULT10_4";#N/A,#N/A,FALSE,"CBI LBO"}</definedName>
    <definedName name="wrn.NA." localSheetId="15" hidden="1">{"NATotRev",#N/A,FALSE,"NA";"NAProcRev",#N/A,FALSE,"NA";"NAProcPRHR",#N/A,FALSE,"NA";"NAProcTAMS",#N/A,FALSE,"NA";"NAProcNewTot",#N/A,FALSE,"NA";"NASalesStarts",#N/A,FALSE,"NA";"NALoss",#N/A,FALSE,"NA";"NASUYrend",#N/A,FALSE,"NA";"NAclients",#N/A,FALSE,"NA";"NAinput",#N/A,FALSE,"NA";"NAclients",#N/A,FALSE,"NA"}</definedName>
    <definedName name="wrn.NA." localSheetId="7" hidden="1">{"NATotRev",#N/A,FALSE,"NA";"NAProcRev",#N/A,FALSE,"NA";"NAProcPRHR",#N/A,FALSE,"NA";"NAProcTAMS",#N/A,FALSE,"NA";"NAProcNewTot",#N/A,FALSE,"NA";"NASalesStarts",#N/A,FALSE,"NA";"NALoss",#N/A,FALSE,"NA";"NASUYrend",#N/A,FALSE,"NA";"NAclients",#N/A,FALSE,"NA";"NAinput",#N/A,FALSE,"NA";"NAclients",#N/A,FALSE,"NA"}</definedName>
    <definedName name="wrn.NA." hidden="1">{"NATotRev",#N/A,FALSE,"NA";"NAProcRev",#N/A,FALSE,"NA";"NAProcPRHR",#N/A,FALSE,"NA";"NAProcTAMS",#N/A,FALSE,"NA";"NAProcNewTot",#N/A,FALSE,"NA";"NASalesStarts",#N/A,FALSE,"NA";"NALoss",#N/A,FALSE,"NA";"NASUYrend",#N/A,FALSE,"NA";"NAclients",#N/A,FALSE,"NA";"NAinput",#N/A,FALSE,"NA";"NAclients",#N/A,FALSE,"NA"}</definedName>
    <definedName name="wrn.newest." localSheetId="15" hidden="1">{#N/A,#N/A,TRUE,"TS";#N/A,#N/A,TRUE,"Combo";#N/A,#N/A,TRUE,"FAIR";#N/A,#N/A,TRUE,"RBC";#N/A,#N/A,TRUE,"xxxx"}</definedName>
    <definedName name="wrn.newest." localSheetId="7" hidden="1">{#N/A,#N/A,TRUE,"TS";#N/A,#N/A,TRUE,"Combo";#N/A,#N/A,TRUE,"FAIR";#N/A,#N/A,TRUE,"RBC";#N/A,#N/A,TRUE,"xxxx"}</definedName>
    <definedName name="wrn.newest." hidden="1">{#N/A,#N/A,TRUE,"TS";#N/A,#N/A,TRUE,"Combo";#N/A,#N/A,TRUE,"FAIR";#N/A,#N/A,TRUE,"RBC";#N/A,#N/A,TRUE,"xxxx"}</definedName>
    <definedName name="wrn.Nov._.02._.Key._.Stats." localSheetId="15" hidden="1">{"Nov 02 Revenue &amp; Expense",#N/A,FALSE,"November 02";"Nov 02 Recoveries",#N/A,FALSE,"November 02"}</definedName>
    <definedName name="wrn.Nov._.02._.Key._.Stats." localSheetId="7" hidden="1">{"Nov 02 Revenue &amp; Expense",#N/A,FALSE,"November 02";"Nov 02 Recoveries",#N/A,FALSE,"November 02"}</definedName>
    <definedName name="wrn.Nov._.02._.Key._.Stats." hidden="1">{"Nov 02 Revenue &amp; Expense",#N/A,FALSE,"November 02";"Nov 02 Recoveries",#N/A,FALSE,"November 02"}</definedName>
    <definedName name="wrn.Oct._.02._.Key._.Stats." localSheetId="15" hidden="1">{"Oct 02 Revenue &amp; Expense",#N/A,FALSE,"October 02";"Oct 02 Recoveries",#N/A,FALSE,"October 02"}</definedName>
    <definedName name="wrn.Oct._.02._.Key._.Stats." localSheetId="7" hidden="1">{"Oct 02 Revenue &amp; Expense",#N/A,FALSE,"October 02";"Oct 02 Recoveries",#N/A,FALSE,"October 02"}</definedName>
    <definedName name="wrn.Oct._.02._.Key._.Stats." hidden="1">{"Oct 02 Revenue &amp; Expense",#N/A,FALSE,"October 02";"Oct 02 Recoveries",#N/A,FALSE,"October 02"}</definedName>
    <definedName name="wrn.Other._.revenue." localSheetId="15" hidden="1">{"other",#N/A,FALSE,"Other"}</definedName>
    <definedName name="wrn.Other._.revenue." localSheetId="7" hidden="1">{"other",#N/A,FALSE,"Other"}</definedName>
    <definedName name="wrn.Other._.revenue." hidden="1">{"other",#N/A,FALSE,"Other"}</definedName>
    <definedName name="wrn.Package." localSheetId="15" hidden="1">{#N/A,#N/A,FALSE,"Full Year";#N/A,#N/A,FALSE,"Current Month";#N/A,#N/A,FALSE,"Remainder";#N/A,#N/A,FALSE,"Quarterly Variance";#N/A,#N/A,FALSE,"YTD";#N/A,#N/A,FALSE,"Full Year Variance";#N/A,#N/A,FALSE,"Growth";#N/A,#N/A,FALSE,"Risk Adj Summary";#N/A,#N/A,FALSE,"Selling";#N/A,#N/A,FALSE,"Setup";#N/A,#N/A,FALSE,"CM Comp"}</definedName>
    <definedName name="wrn.Package." localSheetId="7" hidden="1">{#N/A,#N/A,FALSE,"Full Year";#N/A,#N/A,FALSE,"Current Month";#N/A,#N/A,FALSE,"Remainder";#N/A,#N/A,FALSE,"Quarterly Variance";#N/A,#N/A,FALSE,"YTD";#N/A,#N/A,FALSE,"Full Year Variance";#N/A,#N/A,FALSE,"Growth";#N/A,#N/A,FALSE,"Risk Adj Summary";#N/A,#N/A,FALSE,"Selling";#N/A,#N/A,FALSE,"Setup";#N/A,#N/A,FALSE,"CM Comp"}</definedName>
    <definedName name="wrn.Package." hidden="1">{#N/A,#N/A,FALSE,"Full Year";#N/A,#N/A,FALSE,"Current Month";#N/A,#N/A,FALSE,"Remainder";#N/A,#N/A,FALSE,"Quarterly Variance";#N/A,#N/A,FALSE,"YTD";#N/A,#N/A,FALSE,"Full Year Variance";#N/A,#N/A,FALSE,"Growth";#N/A,#N/A,FALSE,"Risk Adj Summary";#N/A,#N/A,FALSE,"Selling";#N/A,#N/A,FALSE,"Setup";#N/A,#N/A,FALSE,"CM Comp"}</definedName>
    <definedName name="wrn.packer._.1." localSheetId="1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" localSheetId="7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L." localSheetId="15" hidden="1">{"PL",#N/A,FALSE,"TEMPLT3"}</definedName>
    <definedName name="wrn.PL." localSheetId="7" hidden="1">{"PL",#N/A,FALSE,"TEMPLT3"}</definedName>
    <definedName name="wrn.PL." hidden="1">{"PL",#N/A,FALSE,"TEMPLT3"}</definedName>
    <definedName name="wrn.PLAN." localSheetId="15" hidden="1">{"INT PLAN",#N/A,FALSE,"intce";"INTCA PLAN",#N/A,FALSE,"intce";"INTCE PLAN",#N/A,FALSE,"intce";"INTOFF PLAN",#N/A,FALSE,"intce";"OFFSET PLAN",#N/A,FALSE,"intce"}</definedName>
    <definedName name="wrn.PLAN." localSheetId="7" hidden="1">{"INT PLAN",#N/A,FALSE,"intce";"INTCA PLAN",#N/A,FALSE,"intce";"INTCE PLAN",#N/A,FALSE,"intce";"INTOFF PLAN",#N/A,FALSE,"intce";"OFFSET PLAN",#N/A,FALSE,"intce"}</definedName>
    <definedName name="wrn.PLAN." hidden="1">{"INT PLAN",#N/A,FALSE,"intce";"INTCA PLAN",#N/A,FALSE,"intce";"INTCE PLAN",#N/A,FALSE,"intce";"INTOFF PLAN",#N/A,FALSE,"intce";"OFFSET PLAN",#N/A,FALSE,"intce"}</definedName>
    <definedName name="wrn.Print._.Range." localSheetId="15" hidden="1">{"Plan",#N/A,FALSE,"Rolldbse";"Forecast",#N/A,FALSE,"Rolldbse"}</definedName>
    <definedName name="wrn.Print._.Range." localSheetId="7" hidden="1">{"Plan",#N/A,FALSE,"Rolldbse";"Forecast",#N/A,FALSE,"Rolldbse"}</definedName>
    <definedName name="wrn.Print._.Range." hidden="1">{"Plan",#N/A,FALSE,"Rolldbse";"Forecast",#N/A,FALSE,"Rolldbse"}</definedName>
    <definedName name="wrn.Print._.Report." localSheetId="15" hidden="1">{#N/A,#N/A,TRUE,"Total PPV Summary";#N/A,#N/A,TRUE,"New Summary";#N/A,#N/A,TRUE,"New Top Item";#N/A,#N/A,TRUE,"Total Impact-exclude";#N/A,#N/A,TRUE,"Total Impact Overview";#N/A,#N/A,TRUE,"Total Impact F&amp;B";#N/A,#N/A,TRUE,"Total Impact FoodService";#N/A,#N/A,TRUE,"Hedged Commodity";#N/A,#N/A,TRUE,"KC Wheat";#N/A,#N/A,TRUE,"MPLS Wheat";#N/A,#N/A,TRUE,"CGO Wheat";#N/A,#N/A,TRUE,"Edible Oil Comm";#N/A,#N/A,TRUE,"Dairy Comm";#N/A,#N/A,TRUE,"Sugar Comm";#N/A,#N/A,TRUE,"Eggs Comm";#N/A,#N/A,TRUE,"Cacao Comm";#N/A,#N/A,TRUE,"Corn Comm";#N/A,#N/A,TRUE,"Combined Rolling";#N/A,#N/A,TRUE,"Combined Rolling F&amp;B";#N/A,#N/A,TRUE,"DSD Rolling";#N/A,#N/A,TRUE,"Combined Rolling FS";#N/A,#N/A,TRUE,"Rebate Schedule";#N/A,#N/A,TRUE,"Contract Log"}</definedName>
    <definedName name="wrn.Print._.Report." localSheetId="7" hidden="1">{#N/A,#N/A,TRUE,"Total PPV Summary";#N/A,#N/A,TRUE,"New Summary";#N/A,#N/A,TRUE,"New Top Item";#N/A,#N/A,TRUE,"Total Impact-exclude";#N/A,#N/A,TRUE,"Total Impact Overview";#N/A,#N/A,TRUE,"Total Impact F&amp;B";#N/A,#N/A,TRUE,"Total Impact FoodService";#N/A,#N/A,TRUE,"Hedged Commodity";#N/A,#N/A,TRUE,"KC Wheat";#N/A,#N/A,TRUE,"MPLS Wheat";#N/A,#N/A,TRUE,"CGO Wheat";#N/A,#N/A,TRUE,"Edible Oil Comm";#N/A,#N/A,TRUE,"Dairy Comm";#N/A,#N/A,TRUE,"Sugar Comm";#N/A,#N/A,TRUE,"Eggs Comm";#N/A,#N/A,TRUE,"Cacao Comm";#N/A,#N/A,TRUE,"Corn Comm";#N/A,#N/A,TRUE,"Combined Rolling";#N/A,#N/A,TRUE,"Combined Rolling F&amp;B";#N/A,#N/A,TRUE,"DSD Rolling";#N/A,#N/A,TRUE,"Combined Rolling FS";#N/A,#N/A,TRUE,"Rebate Schedule";#N/A,#N/A,TRUE,"Contract Log"}</definedName>
    <definedName name="wrn.Print._.Report." hidden="1">{#N/A,#N/A,TRUE,"Total PPV Summary";#N/A,#N/A,TRUE,"New Summary";#N/A,#N/A,TRUE,"New Top Item";#N/A,#N/A,TRUE,"Total Impact-exclude";#N/A,#N/A,TRUE,"Total Impact Overview";#N/A,#N/A,TRUE,"Total Impact F&amp;B";#N/A,#N/A,TRUE,"Total Impact FoodService";#N/A,#N/A,TRUE,"Hedged Commodity";#N/A,#N/A,TRUE,"KC Wheat";#N/A,#N/A,TRUE,"MPLS Wheat";#N/A,#N/A,TRUE,"CGO Wheat";#N/A,#N/A,TRUE,"Edible Oil Comm";#N/A,#N/A,TRUE,"Dairy Comm";#N/A,#N/A,TRUE,"Sugar Comm";#N/A,#N/A,TRUE,"Eggs Comm";#N/A,#N/A,TRUE,"Cacao Comm";#N/A,#N/A,TRUE,"Corn Comm";#N/A,#N/A,TRUE,"Combined Rolling";#N/A,#N/A,TRUE,"Combined Rolling F&amp;B";#N/A,#N/A,TRUE,"DSD Rolling";#N/A,#N/A,TRUE,"Combined Rolling FS";#N/A,#N/A,TRUE,"Rebate Schedule";#N/A,#N/A,TRUE,"Contract Log"}</definedName>
    <definedName name="wrn.print_all." localSheetId="15" hidden="1">{#N/A,#N/A,FALSE,"rollup";#N/A,#N/A,FALSE,"perf_total+gorm";#N/A,#N/A,FALSE,"perf_total";#N/A,#N/A,FALSE,"pi_total";#N/A,#N/A,FALSE,"pi_us";#N/A,#N/A,FALSE,"pi_can";#N/A,#N/A,FALSE,"pcc_total";#N/A,#N/A,FALSE,"pcc_us";#N/A,#N/A,FALSE,"pcc_can";#N/A,#N/A,FALSE,"gorman";#N/A,#N/A,FALSE,"novak_total";#N/A,#N/A,FALSE,"novak";#N/A,#N/A,FALSE,"novak_us"}</definedName>
    <definedName name="wrn.print_all." localSheetId="7" hidden="1">{#N/A,#N/A,FALSE,"rollup";#N/A,#N/A,FALSE,"perf_total+gorm";#N/A,#N/A,FALSE,"perf_total";#N/A,#N/A,FALSE,"pi_total";#N/A,#N/A,FALSE,"pi_us";#N/A,#N/A,FALSE,"pi_can";#N/A,#N/A,FALSE,"pcc_total";#N/A,#N/A,FALSE,"pcc_us";#N/A,#N/A,FALSE,"pcc_can";#N/A,#N/A,FALSE,"gorman";#N/A,#N/A,FALSE,"novak_total";#N/A,#N/A,FALSE,"novak";#N/A,#N/A,FALSE,"novak_us"}</definedName>
    <definedName name="wrn.print_all." hidden="1">{#N/A,#N/A,FALSE,"rollup";#N/A,#N/A,FALSE,"perf_total+gorm";#N/A,#N/A,FALSE,"perf_total";#N/A,#N/A,FALSE,"pi_total";#N/A,#N/A,FALSE,"pi_us";#N/A,#N/A,FALSE,"pi_can";#N/A,#N/A,FALSE,"pcc_total";#N/A,#N/A,FALSE,"pcc_us";#N/A,#N/A,FALSE,"pcc_can";#N/A,#N/A,FALSE,"gorman";#N/A,#N/A,FALSE,"novak_total";#N/A,#N/A,FALSE,"novak";#N/A,#N/A,FALSE,"novak_us"}</definedName>
    <definedName name="wrn.PRINT2." localSheetId="15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2." localSheetId="7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2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3." localSheetId="15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3." localSheetId="7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3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All." localSheetId="15" hidden="1">{#N/A,#N/A,FALSE,"Summary";#N/A,#N/A,FALSE,"Rollup";#N/A,#N/A,FALSE,"Trades";#N/A,#N/A,FALSE,"Base";#N/A,#N/A,FALSE,"New Sales";#N/A,#N/A,FALSE,"VAP";#N/A,#N/A,FALSE,"Software Sales";#N/A,#N/A,FALSE,"Price Increases";#N/A,#N/A,FALSE,"Lost Business";#N/A,#N/A,FALSE,"Concessions";#N/A,#N/A,FALSE,"Disaster Recovery"}</definedName>
    <definedName name="wrn.PrintAll." localSheetId="7" hidden="1">{#N/A,#N/A,FALSE,"Summary";#N/A,#N/A,FALSE,"Rollup";#N/A,#N/A,FALSE,"Trades";#N/A,#N/A,FALSE,"Base";#N/A,#N/A,FALSE,"New Sales";#N/A,#N/A,FALSE,"VAP";#N/A,#N/A,FALSE,"Software Sales";#N/A,#N/A,FALSE,"Price Increases";#N/A,#N/A,FALSE,"Lost Business";#N/A,#N/A,FALSE,"Concessions";#N/A,#N/A,FALSE,"Disaster Recovery"}</definedName>
    <definedName name="wrn.PrintAll." hidden="1">{#N/A,#N/A,FALSE,"Summary";#N/A,#N/A,FALSE,"Rollup";#N/A,#N/A,FALSE,"Trades";#N/A,#N/A,FALSE,"Base";#N/A,#N/A,FALSE,"New Sales";#N/A,#N/A,FALSE,"VAP";#N/A,#N/A,FALSE,"Software Sales";#N/A,#N/A,FALSE,"Price Increases";#N/A,#N/A,FALSE,"Lost Business";#N/A,#N/A,FALSE,"Concessions";#N/A,#N/A,FALSE,"Disaster Recovery"}</definedName>
    <definedName name="wrn.PrintCharts." localSheetId="15" hidden="1">{#N/A,#N/A,FALSE,"Nat Gas Chart";#N/A,#N/A,FALSE,"Diesel Chart";#N/A,#N/A,FALSE,"KC Wheat Chart";#N/A,#N/A,FALSE,"KC Midds Chart";#N/A,#N/A,FALSE,"KC Basis Chart";#N/A,#N/A,FALSE,"Minn Wheat Chart";#N/A,#N/A,FALSE,"Minn Midds Chart";#N/A,#N/A,FALSE,"Minn Basis Chart ";#N/A,#N/A,FALSE,"Chicago Wheat Chart";#N/A,#N/A,FALSE,"Chicago Midds Chart";#N/A,#N/A,FALSE,"Chicago Basis Chart";#N/A,#N/A,FALSE,"Soy Oil Chart";#N/A,#N/A,FALSE,"Soy Basis Chart";#N/A,#N/A,FALSE,"Corn Chart";#N/A,#N/A,FALSE,"Co-Products Chart";#N/A,#N/A,FALSE,"Alum Chart";#N/A,#N/A,FALSE,"MWP Chart"}</definedName>
    <definedName name="wrn.PrintCharts." localSheetId="7" hidden="1">{#N/A,#N/A,FALSE,"Nat Gas Chart";#N/A,#N/A,FALSE,"Diesel Chart";#N/A,#N/A,FALSE,"KC Wheat Chart";#N/A,#N/A,FALSE,"KC Midds Chart";#N/A,#N/A,FALSE,"KC Basis Chart";#N/A,#N/A,FALSE,"Minn Wheat Chart";#N/A,#N/A,FALSE,"Minn Midds Chart";#N/A,#N/A,FALSE,"Minn Basis Chart ";#N/A,#N/A,FALSE,"Chicago Wheat Chart";#N/A,#N/A,FALSE,"Chicago Midds Chart";#N/A,#N/A,FALSE,"Chicago Basis Chart";#N/A,#N/A,FALSE,"Soy Oil Chart";#N/A,#N/A,FALSE,"Soy Basis Chart";#N/A,#N/A,FALSE,"Corn Chart";#N/A,#N/A,FALSE,"Co-Products Chart";#N/A,#N/A,FALSE,"Alum Chart";#N/A,#N/A,FALSE,"MWP Chart"}</definedName>
    <definedName name="wrn.PrintCharts." hidden="1">{#N/A,#N/A,FALSE,"Nat Gas Chart";#N/A,#N/A,FALSE,"Diesel Chart";#N/A,#N/A,FALSE,"KC Wheat Chart";#N/A,#N/A,FALSE,"KC Midds Chart";#N/A,#N/A,FALSE,"KC Basis Chart";#N/A,#N/A,FALSE,"Minn Wheat Chart";#N/A,#N/A,FALSE,"Minn Midds Chart";#N/A,#N/A,FALSE,"Minn Basis Chart ";#N/A,#N/A,FALSE,"Chicago Wheat Chart";#N/A,#N/A,FALSE,"Chicago Midds Chart";#N/A,#N/A,FALSE,"Chicago Basis Chart";#N/A,#N/A,FALSE,"Soy Oil Chart";#N/A,#N/A,FALSE,"Soy Basis Chart";#N/A,#N/A,FALSE,"Corn Chart";#N/A,#N/A,FALSE,"Co-Products Chart";#N/A,#N/A,FALSE,"Alum Chart";#N/A,#N/A,FALSE,"MWP Chart"}</definedName>
    <definedName name="wrn.Processing." localSheetId="15" hidden="1">{"processing",#N/A,FALSE,"Proc9899"}</definedName>
    <definedName name="wrn.Processing." localSheetId="7" hidden="1">{"processing",#N/A,FALSE,"Proc9899"}</definedName>
    <definedName name="wrn.Processing." hidden="1">{"processing",#N/A,FALSE,"Proc9899"}</definedName>
    <definedName name="wrn.Pump." localSheetId="15" hidden="1">{#N/A,#N/A,FALSE,"Assump";#N/A,#N/A,FALSE,"Income";#N/A,#N/A,FALSE,"Balance";#N/A,#N/A,FALSE,"DCF Pump";#N/A,#N/A,FALSE,"Trans Assump";#N/A,#N/A,FALSE,"Combined Income";#N/A,#N/A,FALSE,"Combined Balance"}</definedName>
    <definedName name="wrn.Pump." localSheetId="7" hidden="1">{#N/A,#N/A,FALSE,"Assump";#N/A,#N/A,FALSE,"Income";#N/A,#N/A,FALSE,"Balance";#N/A,#N/A,FALSE,"DCF Pump";#N/A,#N/A,FALSE,"Trans Assump";#N/A,#N/A,FALSE,"Combined Income";#N/A,#N/A,FALSE,"Combined Balance"}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trly._.PL._.summary._.FY01._.to._.FY03." localSheetId="15" hidden="1">{"qtrly summ-FY01",#N/A,FALSE,"P &amp; L";"qtrly summ-FY02",#N/A,FALSE,"P &amp; L";"qtrly summ-FY03",#N/A,FALSE,"P &amp; L"}</definedName>
    <definedName name="wrn.qtrly._.PL._.summary._.FY01._.to._.FY03." localSheetId="7" hidden="1">{"qtrly summ-FY01",#N/A,FALSE,"P &amp; L";"qtrly summ-FY02",#N/A,FALSE,"P &amp; L";"qtrly summ-FY03",#N/A,FALSE,"P &amp; L"}</definedName>
    <definedName name="wrn.qtrly._.PL._.summary._.FY01._.to._.FY03." hidden="1">{"qtrly summ-FY01",#N/A,FALSE,"P &amp; L";"qtrly summ-FY02",#N/A,FALSE,"P &amp; L";"qtrly summ-FY03",#N/A,FALSE,"P &amp; L"}</definedName>
    <definedName name="wrn.RELEVANTSHEETS." localSheetId="15" hidden="1">{#N/A,#N/A,FALSE,"AD_Purch";#N/A,#N/A,FALSE,"Projections";#N/A,#N/A,FALSE,"DCF";#N/A,#N/A,FALSE,"Mkt Val"}</definedName>
    <definedName name="wrn.RELEVANTSHEETS." localSheetId="7" hidden="1">{#N/A,#N/A,FALSE,"AD_Purch";#N/A,#N/A,FALSE,"Projections";#N/A,#N/A,FALSE,"DCF";#N/A,#N/A,FALSE,"Mkt Val"}</definedName>
    <definedName name="wrn.RELEVANTSHEETS." hidden="1">{#N/A,#N/A,FALSE,"AD_Purch";#N/A,#N/A,FALSE,"Projections";#N/A,#N/A,FALSE,"DCF";#N/A,#N/A,FALSE,"Mkt Val"}</definedName>
    <definedName name="wrn.report." localSheetId="15" hidden="1">{#N/A,#N/A,FALSE,"Temp Staf_Summary";#N/A,#N/A,FALSE,"ATC Services";#N/A,#N/A,FALSE,"Brannon &amp; Tully";#N/A,#N/A,FALSE,"Debbie";#N/A,#N/A,FALSE,"Alternative";#N/A,#N/A,FALSE,"Mid-States";#N/A,#N/A,FALSE,"United Temp."}</definedName>
    <definedName name="wrn.report." localSheetId="7" hidden="1">{#N/A,#N/A,FALSE,"Temp Staf_Summary";#N/A,#N/A,FALSE,"ATC Services";#N/A,#N/A,FALSE,"Brannon &amp; Tully";#N/A,#N/A,FALSE,"Debbie";#N/A,#N/A,FALSE,"Alternative";#N/A,#N/A,FALSE,"Mid-States";#N/A,#N/A,FALSE,"United Temp."}</definedName>
    <definedName name="wrn.report." hidden="1">{#N/A,#N/A,FALSE,"Temp Staf_Summary";#N/A,#N/A,FALSE,"ATC Services";#N/A,#N/A,FALSE,"Brannon &amp; Tully";#N/A,#N/A,FALSE,"Debbie";#N/A,#N/A,FALSE,"Alternative";#N/A,#N/A,FALSE,"Mid-States";#N/A,#N/A,FALSE,"United Temp."}</definedName>
    <definedName name="wrn.Revenue98." localSheetId="15" hidden="1">{"revenue98",#N/A,FALSE,"FY98"}</definedName>
    <definedName name="wrn.Revenue98." localSheetId="7" hidden="1">{"revenue98",#N/A,FALSE,"FY98"}</definedName>
    <definedName name="wrn.Revenue98." hidden="1">{"revenue98",#N/A,FALSE,"FY98"}</definedName>
    <definedName name="wrn.Revenue99." localSheetId="15" hidden="1">{"revenue99",#N/A,FALSE,"FY99"}</definedName>
    <definedName name="wrn.Revenue99." localSheetId="7" hidden="1">{"revenue99",#N/A,FALSE,"FY99"}</definedName>
    <definedName name="wrn.Revenue99." hidden="1">{"revenue99",#N/A,FALSE,"FY99"}</definedName>
    <definedName name="wrn.Sales98." localSheetId="15" hidden="1">{"sales98",#N/A,FALSE,"Sales98"}</definedName>
    <definedName name="wrn.Sales98." localSheetId="7" hidden="1">{"sales98",#N/A,FALSE,"Sales98"}</definedName>
    <definedName name="wrn.Sales98." hidden="1">{"sales98",#N/A,FALSE,"Sales98"}</definedName>
    <definedName name="wrn.Sales99." localSheetId="15" hidden="1">{"sales99",#N/A,FALSE,"Sales99"}</definedName>
    <definedName name="wrn.Sales99." localSheetId="7" hidden="1">{"sales99",#N/A,FALSE,"Sales99"}</definedName>
    <definedName name="wrn.Sales99." hidden="1">{"sales99",#N/A,FALSE,"Sales99"}</definedName>
    <definedName name="wrn.Sep._.02._.Key._.Stats." localSheetId="15" hidden="1">{"Sep 02 Revenue &amp; Expense",#N/A,FALSE,"September 02";"Sep 02 Recoveries",#N/A,FALSE,"September 02"}</definedName>
    <definedName name="wrn.Sep._.02._.Key._.Stats." localSheetId="7" hidden="1">{"Sep 02 Revenue &amp; Expense",#N/A,FALSE,"September 02";"Sep 02 Recoveries",#N/A,FALSE,"September 02"}</definedName>
    <definedName name="wrn.Sep._.02._.Key._.Stats." hidden="1">{"Sep 02 Revenue &amp; Expense",#N/A,FALSE,"September 02";"Sep 02 Recoveries",#N/A,FALSE,"September 02"}</definedName>
    <definedName name="wrn.Snaphots." localSheetId="15" hidden="1">{#N/A,#N/A,FALSE,"Total with ASC";#N/A,#N/A,FALSE,"Total";#N/A,#N/A,FALSE,"Seminars";#N/A,#N/A,FALSE,"Ford";#N/A,#N/A,FALSE,"GM Perf &amp; Impr";#N/A,#N/A,FALSE,"Service";#N/A,#N/A,FALSE,"Midwest Euro";#N/A,#N/A,FALSE,"Consulting";#N/A,#N/A,FALSE,"WCO";#N/A,#N/A,FALSE,"CSIS";#N/A,#N/A,FALSE,"ADP";#N/A,#N/A,FALSE,"ASC";#N/A,#N/A,FALSE,"MNI";#N/A,#N/A,FALSE,"PFI"}</definedName>
    <definedName name="wrn.Snaphots." localSheetId="7" hidden="1">{#N/A,#N/A,FALSE,"Total with ASC";#N/A,#N/A,FALSE,"Total";#N/A,#N/A,FALSE,"Seminars";#N/A,#N/A,FALSE,"Ford";#N/A,#N/A,FALSE,"GM Perf &amp; Impr";#N/A,#N/A,FALSE,"Service";#N/A,#N/A,FALSE,"Midwest Euro";#N/A,#N/A,FALSE,"Consulting";#N/A,#N/A,FALSE,"WCO";#N/A,#N/A,FALSE,"CSIS";#N/A,#N/A,FALSE,"ADP";#N/A,#N/A,FALSE,"ASC";#N/A,#N/A,FALSE,"MNI";#N/A,#N/A,FALSE,"PFI"}</definedName>
    <definedName name="wrn.Snaphots." hidden="1">{#N/A,#N/A,FALSE,"Total with ASC";#N/A,#N/A,FALSE,"Total";#N/A,#N/A,FALSE,"Seminars";#N/A,#N/A,FALSE,"Ford";#N/A,#N/A,FALSE,"GM Perf &amp; Impr";#N/A,#N/A,FALSE,"Service";#N/A,#N/A,FALSE,"Midwest Euro";#N/A,#N/A,FALSE,"Consulting";#N/A,#N/A,FALSE,"WCO";#N/A,#N/A,FALSE,"CSIS";#N/A,#N/A,FALSE,"ADP";#N/A,#N/A,FALSE,"ASC";#N/A,#N/A,FALSE,"MNI";#N/A,#N/A,FALSE,"PFI"}</definedName>
    <definedName name="wrn.standard." localSheetId="15" hidden="1">{#N/A,#N/A,FALSE,"Title";#N/A,#N/A,FALSE,"EMA";#N/A,#N/A,FALSE,"Components";#N/A,#N/A,FALSE,"Walgreens";#N/A,#N/A,FALSE,"KMart";#N/A,#N/A,FALSE,"CVR Title";#N/A,#N/A,FALSE,"MVIC";#N/A,#N/A,FALSE,"EM Trend";#N/A,#N/A,FALSE,"Econ Aud Charts";#N/A,#N/A,FALSE,"AppxTitle ";#N/A,#N/A,FALSE,"Shaw";#N/A,#N/A,FALSE,"PEERS";#N/A,#N/A,FALSE,"WALGR";#N/A,#N/A,FALSE,"Decomp Chart"}</definedName>
    <definedName name="wrn.standard." localSheetId="7" hidden="1">{#N/A,#N/A,FALSE,"Title";#N/A,#N/A,FALSE,"EMA";#N/A,#N/A,FALSE,"Components";#N/A,#N/A,FALSE,"Walgreens";#N/A,#N/A,FALSE,"KMart";#N/A,#N/A,FALSE,"CVR Title";#N/A,#N/A,FALSE,"MVIC";#N/A,#N/A,FALSE,"EM Trend";#N/A,#N/A,FALSE,"Econ Aud Charts";#N/A,#N/A,FALSE,"AppxTitle ";#N/A,#N/A,FALSE,"Shaw";#N/A,#N/A,FALSE,"PEERS";#N/A,#N/A,FALSE,"WALGR";#N/A,#N/A,FALSE,"Decomp Chart"}</definedName>
    <definedName name="wrn.standard." hidden="1">{#N/A,#N/A,FALSE,"Title";#N/A,#N/A,FALSE,"EMA";#N/A,#N/A,FALSE,"Components";#N/A,#N/A,FALSE,"Walgreens";#N/A,#N/A,FALSE,"KMart";#N/A,#N/A,FALSE,"CVR Title";#N/A,#N/A,FALSE,"MVIC";#N/A,#N/A,FALSE,"EM Trend";#N/A,#N/A,FALSE,"Econ Aud Charts";#N/A,#N/A,FALSE,"AppxTitle ";#N/A,#N/A,FALSE,"Shaw";#N/A,#N/A,FALSE,"PEERS";#N/A,#N/A,FALSE,"WALGR";#N/A,#N/A,FALSE,"Decomp Chart"}</definedName>
    <definedName name="wrn.Starts98." localSheetId="15" hidden="1">{"Starts99",#N/A,FALSE,"Starts98"}</definedName>
    <definedName name="wrn.Starts98." localSheetId="7" hidden="1">{"Starts99",#N/A,FALSE,"Starts98"}</definedName>
    <definedName name="wrn.Starts98." hidden="1">{"Starts99",#N/A,FALSE,"Starts98"}</definedName>
    <definedName name="wrn.Starts99." localSheetId="15" hidden="1">{"Starts1",#N/A,TRUE,"Starts99";"starts2",#N/A,TRUE,"Starts99";"starts3",#N/A,TRUE,"Starts99"}</definedName>
    <definedName name="wrn.Starts99." localSheetId="7" hidden="1">{"Starts1",#N/A,TRUE,"Starts99";"starts2",#N/A,TRUE,"Starts99";"starts3",#N/A,TRUE,"Starts99"}</definedName>
    <definedName name="wrn.Starts99." hidden="1">{"Starts1",#N/A,TRUE,"Starts99";"starts2",#N/A,TRUE,"Starts99";"starts3",#N/A,TRUE,"Starts99"}</definedName>
    <definedName name="wrn.summary." localSheetId="15" hidden="1">{"summary",#N/A,FALSE,"Revenue Strat Plan"}</definedName>
    <definedName name="wrn.summary." localSheetId="7" hidden="1">{"summary",#N/A,FALSE,"Revenue Strat Plan"}</definedName>
    <definedName name="wrn.summary." hidden="1">{"summary",#N/A,FALSE,"Revenue Strat Plan"}</definedName>
    <definedName name="wrn.summaryANDbackup." localSheetId="15" hidden="1">{#N/A,#N/A,FALSE,"Prem_Sum";#N/A,#N/A,FALSE,"Prem"}</definedName>
    <definedName name="wrn.summaryANDbackup." localSheetId="7" hidden="1">{#N/A,#N/A,FALSE,"Prem_Sum";#N/A,#N/A,FALSE,"Prem"}</definedName>
    <definedName name="wrn.summaryANDbackup." hidden="1">{#N/A,#N/A,FALSE,"Prem_Sum";#N/A,#N/A,FALSE,"Prem"}</definedName>
    <definedName name="wrn.TBB3." localSheetId="15" hidden="1">{"TBB3 Assns",#N/A,FALSE,"Valuation";"TBB3 assumptions",#N/A,FALSE,"Assumptions";"TBB3 model",#N/A,FALSE,"INCOME"}</definedName>
    <definedName name="wrn.TBB3." localSheetId="7" hidden="1">{"TBB3 Assns",#N/A,FALSE,"Valuation";"TBB3 assumptions",#N/A,FALSE,"Assumptions";"TBB3 model",#N/A,FALSE,"INCOME"}</definedName>
    <definedName name="wrn.TBB3." hidden="1">{"TBB3 Assns",#N/A,FALSE,"Valuation";"TBB3 assumptions",#N/A,FALSE,"Assumptions";"TBB3 model",#N/A,FALSE,"INCOME"}</definedName>
    <definedName name="wrn.TBB34" localSheetId="15" hidden="1">{"TBB3 Assns",#N/A,FALSE,"Valuation";"TBB3 assumptions",#N/A,FALSE,"Assumptions";"TBB3 model",#N/A,FALSE,"INCOME"}</definedName>
    <definedName name="wrn.TBB34" localSheetId="7" hidden="1">{"TBB3 Assns",#N/A,FALSE,"Valuation";"TBB3 assumptions",#N/A,FALSE,"Assumptions";"TBB3 model",#N/A,FALSE,"INCOME"}</definedName>
    <definedName name="wrn.TBB34" hidden="1">{"TBB3 Assns",#N/A,FALSE,"Valuation";"TBB3 assumptions",#N/A,FALSE,"Assumptions";"TBB3 model",#N/A,FALSE,"INCOME"}</definedName>
    <definedName name="wrn.tel2." localSheetId="15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2." localSheetId="7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localSheetId="15" hidden="1">{#N/A,#N/A,FALSE,"FS_Summary";#N/A,#N/A,FALSE,"Tomahawk";#N/A,#N/A,FALSE,"Medical Marketing";#N/A,#N/A,FALSE,"Epsilon";#N/A,#N/A,FALSE,"DIMAC";#N/A,#N/A,FALSE,"Direct";#N/A,#N/A,FALSE,"DIMAC(2)"}</definedName>
    <definedName name="wrn.telem." localSheetId="7" hidden="1">{#N/A,#N/A,FALSE,"FS_Summary";#N/A,#N/A,FALSE,"Tomahawk";#N/A,#N/A,FALSE,"Medical Marketing";#N/A,#N/A,FALSE,"Epsilon";#N/A,#N/A,FALSE,"DIMAC";#N/A,#N/A,FALSE,"Direct";#N/A,#N/A,FALSE,"DIMAC(2)"}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OOL." localSheetId="1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" localSheetId="7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localSheetId="1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" localSheetId="7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pgs." localSheetId="15" hidden="1">{"totrevbx",#N/A,FALSE,"Paris Rev";"totrevbxparis",#N/A,FALSE,"Total Rev";"totprocrevben",#N/A,FALSE,"Tot Proc Rev";"totloss",#N/A,FALSE,"HL";"ISSummary",#N/A,FALSE,"Tot Proc Rev";"TotClientnum",#N/A,FALSE,"HL";"otherinc",#N/A,FALSE,"Other Inc";"totprocsched",#N/A,FALSE,"HL";"inputtotsal",#N/A,FALSE,"HL";"salesinputcap",#N/A,FALSE,"HL";"saleswoyrendtotben",#N/A,FALSE,"HL";"totprocsched",#N/A,FALSE,"HL";"TotClientnum",#N/A,FALSE,"HL";"otherinc",#N/A,FALSE,"HL";"totprocsched",#N/A,FALSE,"HL";"startcap",#N/A,FALSE,"HL";"starttotben",#N/A,FALSE,"HL"}</definedName>
    <definedName name="wrn.Totpgs." localSheetId="7" hidden="1">{"totrevbx",#N/A,FALSE,"Paris Rev";"totrevbxparis",#N/A,FALSE,"Total Rev";"totprocrevben",#N/A,FALSE,"Tot Proc Rev";"totloss",#N/A,FALSE,"HL";"ISSummary",#N/A,FALSE,"Tot Proc Rev";"TotClientnum",#N/A,FALSE,"HL";"otherinc",#N/A,FALSE,"Other Inc";"totprocsched",#N/A,FALSE,"HL";"inputtotsal",#N/A,FALSE,"HL";"salesinputcap",#N/A,FALSE,"HL";"saleswoyrendtotben",#N/A,FALSE,"HL";"totprocsched",#N/A,FALSE,"HL";"TotClientnum",#N/A,FALSE,"HL";"otherinc",#N/A,FALSE,"HL";"totprocsched",#N/A,FALSE,"HL";"startcap",#N/A,FALSE,"HL";"starttotben",#N/A,FALSE,"HL"}</definedName>
    <definedName name="wrn.Totpgs." hidden="1">{"totrevbx",#N/A,FALSE,"Paris Rev";"totrevbxparis",#N/A,FALSE,"Total Rev";"totprocrevben",#N/A,FALSE,"Tot Proc Rev";"totloss",#N/A,FALSE,"HL";"ISSummary",#N/A,FALSE,"Tot Proc Rev";"TotClientnum",#N/A,FALSE,"HL";"otherinc",#N/A,FALSE,"Other Inc";"totprocsched",#N/A,FALSE,"HL";"inputtotsal",#N/A,FALSE,"HL";"salesinputcap",#N/A,FALSE,"HL";"saleswoyrendtotben",#N/A,FALSE,"HL";"totprocsched",#N/A,FALSE,"HL";"TotClientnum",#N/A,FALSE,"HL";"otherinc",#N/A,FALSE,"HL";"totprocsched",#N/A,FALSE,"HL";"startcap",#N/A,FALSE,"HL";"starttotben",#N/A,FALSE,"HL"}</definedName>
    <definedName name="wrn.Transfert." localSheetId="15" hidden="1">{"transfert",#N/A,FALSE,"Transfert"}</definedName>
    <definedName name="wrn.Transfert." localSheetId="7" hidden="1">{"transfert",#N/A,FALSE,"Transfert"}</definedName>
    <definedName name="wrn.Transfert." hidden="1">{"transfert",#N/A,FALSE,"Transfert"}</definedName>
    <definedName name="wrn.TransPrcd_123." localSheetId="15" hidden="1">{#N/A,#N/A,TRUE,"TransPrcd 1";#N/A,#N/A,TRUE,"TransPrcd 2";#N/A,#N/A,TRUE,"TransPrcd 3"}</definedName>
    <definedName name="wrn.TransPrcd_123." localSheetId="7" hidden="1">{#N/A,#N/A,TRUE,"TransPrcd 1";#N/A,#N/A,TRUE,"TransPrcd 2";#N/A,#N/A,TRUE,"TransPrcd 3"}</definedName>
    <definedName name="wrn.TransPrcd_123." hidden="1">{#N/A,#N/A,TRUE,"TransPrcd 1";#N/A,#N/A,TRUE,"TransPrcd 2";#N/A,#N/A,TRUE,"TransPrcd 3"}</definedName>
    <definedName name="wrn.Utrecht." localSheetId="15" hidden="1">{"UtrTotRev",#N/A,FALSE,"Utrecht";"UtrTotProc",#N/A,FALSE,"Utrecht";"UtrProcPRHR",#N/A,FALSE,"Utrecht";"UtrProcTAMS",#N/A,FALSE,"Utrecht";"UtrProcNewTot",#N/A,FALSE,"Utrecht";"UtrSalesStarts",#N/A,FALSE,"Utrecht";"UtrLoss",#N/A,FALSE,"Utrecht";"UtrSUYrEnd",#N/A,FALSE,"Utrecht";"Utrclients",#N/A,FALSE,"Utrecht";"Utrinput",#N/A,FALSE,"Utrecht"}</definedName>
    <definedName name="wrn.Utrecht." localSheetId="7" hidden="1">{"UtrTotRev",#N/A,FALSE,"Utrecht";"UtrTotProc",#N/A,FALSE,"Utrecht";"UtrProcPRHR",#N/A,FALSE,"Utrecht";"UtrProcTAMS",#N/A,FALSE,"Utrecht";"UtrProcNewTot",#N/A,FALSE,"Utrecht";"UtrSalesStarts",#N/A,FALSE,"Utrecht";"UtrLoss",#N/A,FALSE,"Utrecht";"UtrSUYrEnd",#N/A,FALSE,"Utrecht";"Utrclients",#N/A,FALSE,"Utrecht";"Utrinput",#N/A,FALSE,"Utrecht"}</definedName>
    <definedName name="wrn.Utrecht." hidden="1">{"UtrTotRev",#N/A,FALSE,"Utrecht";"UtrTotProc",#N/A,FALSE,"Utrecht";"UtrProcPRHR",#N/A,FALSE,"Utrecht";"UtrProcTAMS",#N/A,FALSE,"Utrecht";"UtrProcNewTot",#N/A,FALSE,"Utrecht";"UtrSalesStarts",#N/A,FALSE,"Utrecht";"UtrLoss",#N/A,FALSE,"Utrecht";"UtrSUYrEnd",#N/A,FALSE,"Utrecht";"Utrclients",#N/A,FALSE,"Utrecht";"Utrinput",#N/A,FALSE,"Utrecht"}</definedName>
    <definedName name="wrn.VALUATION." localSheetId="15" hidden="1">{#N/A,#N/A,FALSE,"Pooling";#N/A,#N/A,FALSE,"income";#N/A,#N/A,FALSE,"valuation"}</definedName>
    <definedName name="wrn.VALUATION." localSheetId="7" hidden="1">{#N/A,#N/A,FALSE,"Pooling";#N/A,#N/A,FALSE,"income";#N/A,#N/A,FALSE,"valuation"}</definedName>
    <definedName name="wrn.VALUATION." hidden="1">{#N/A,#N/A,FALSE,"Pooling";#N/A,#N/A,FALSE,"income";#N/A,#N/A,FALSE,"valuation"}</definedName>
    <definedName name="wrn.VARIANCE." localSheetId="15" hidden="1">{"INT VARIANCE",#N/A,FALSE,"intce";"INTCA VARIANCE",#N/A,FALSE,"intce";"INTCE VARIANCE",#N/A,FALSE,"intce";"INTOFF VARIANCE",#N/A,FALSE,"intce";"INTSRA VARIANCE",#N/A,FALSE,"intce"}</definedName>
    <definedName name="wrn.VARIANCE." localSheetId="7" hidden="1">{"INT VARIANCE",#N/A,FALSE,"intce";"INTCA VARIANCE",#N/A,FALSE,"intce";"INTCE VARIANCE",#N/A,FALSE,"intce";"INTOFF VARIANCE",#N/A,FALSE,"intce";"INTSRA VARIANCE",#N/A,FALSE,"intce"}</definedName>
    <definedName name="wrn.VARIANCE." hidden="1">{"INT VARIANCE",#N/A,FALSE,"intce";"INTCA VARIANCE",#N/A,FALSE,"intce";"INTCE VARIANCE",#N/A,FALSE,"intce";"INTOFF VARIANCE",#N/A,FALSE,"intce";"INTSRA VARIANCE",#N/A,FALSE,"intce"}</definedName>
    <definedName name="wrn.WATERTOWN._.BUDGET." localSheetId="15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ATERTOWN._.BUDGET." localSheetId="7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ATERTOWN._.BUDGET.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estern._.Metal." localSheetId="15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estern._.Metal." localSheetId="7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estern._.Metal.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icor." localSheetId="15" hidden="1">{#N/A,#N/A,FALSE,"FACTSHEETS";#N/A,#N/A,FALSE,"pump";#N/A,#N/A,FALSE,"filter"}</definedName>
    <definedName name="wrn.wicor." localSheetId="7" hidden="1">{#N/A,#N/A,FALSE,"FACTSHEETS";#N/A,#N/A,FALSE,"pump";#N/A,#N/A,FALSE,"filter"}</definedName>
    <definedName name="wrn.wicor." hidden="1">{#N/A,#N/A,FALSE,"FACTSHEETS";#N/A,#N/A,FALSE,"pump";#N/A,#N/A,FALSE,"filter"}</definedName>
    <definedName name="wrn.YTD._.Key._.Stats." localSheetId="15" hidden="1">{"YTD Revenue &amp; Expense",#N/A,FALSE,"YTD";"YTD Recoveries",#N/A,FALSE,"YTD"}</definedName>
    <definedName name="wrn.YTD._.Key._.Stats." localSheetId="7" hidden="1">{"YTD Revenue &amp; Expense",#N/A,FALSE,"YTD";"YTD Recoveries",#N/A,FALSE,"YTD"}</definedName>
    <definedName name="wrn.YTD._.Key._.Stats." hidden="1">{"YTD Revenue &amp; Expense",#N/A,FALSE,"YTD";"YTD Recoveries",#N/A,FALSE,"YTD"}</definedName>
    <definedName name="WW" hidden="1">'[22]YTD MIX'!#REF!</definedName>
    <definedName name="x" hidden="1">#REF!</definedName>
    <definedName name="xc" localSheetId="15">{"'Ft Payne all'!$A$1:$BQ$375"}</definedName>
    <definedName name="xc" localSheetId="7">{"'Ft Payne all'!$A$1:$BQ$375"}</definedName>
    <definedName name="xc">{"'Ft Payne all'!$A$1:$BQ$375"}</definedName>
    <definedName name="xcxzc" localSheetId="15" hidden="1">{#N/A,#N/A,FALSE,"AD_Purchase";#N/A,#N/A,FALSE,"Credit";#N/A,#N/A,FALSE,"PF Acquisition";#N/A,#N/A,FALSE,"PF Offering"}</definedName>
    <definedName name="xcxzc" localSheetId="7" hidden="1">{#N/A,#N/A,FALSE,"AD_Purchase";#N/A,#N/A,FALSE,"Credit";#N/A,#N/A,FALSE,"PF Acquisition";#N/A,#N/A,FALSE,"PF Offering"}</definedName>
    <definedName name="xcxzc" hidden="1">{#N/A,#N/A,FALSE,"AD_Purchase";#N/A,#N/A,FALSE,"Credit";#N/A,#N/A,FALSE,"PF Acquisition";#N/A,#N/A,FALSE,"PF Offering"}</definedName>
    <definedName name="XREF_COLUMN_2" hidden="1">[23]Summary!#REF!</definedName>
    <definedName name="XRefActiveRow" hidden="1">#REF!</definedName>
    <definedName name="XRefColumnsCount">2</definedName>
    <definedName name="XRefCopy2" hidden="1">'[24]FAS 123'!#REF!</definedName>
    <definedName name="XRefCopy2Row" hidden="1">#REF!</definedName>
    <definedName name="XRefCopyRangeCount">2</definedName>
    <definedName name="XRefPasteRangeCount">2</definedName>
    <definedName name="xxx" localSheetId="15" hidden="1">{"totrevbx",#N/A,FALSE,"Paris Rev";"totrevbxparis",#N/A,FALSE,"Total Rev";"totprocrevben",#N/A,FALSE,"Tot Proc Rev";"totloss",#N/A,FALSE,"HL";"ISSummary",#N/A,FALSE,"Tot Proc Rev";"TotClientnum",#N/A,FALSE,"HL";"otherinc",#N/A,FALSE,"Other Inc";"totprocsched",#N/A,FALSE,"HL";"inputtotsal",#N/A,FALSE,"HL";"salesinputcap",#N/A,FALSE,"HL";"saleswoyrendtotben",#N/A,FALSE,"HL";"totprocsched",#N/A,FALSE,"HL";"TotClientnum",#N/A,FALSE,"HL";"otherinc",#N/A,FALSE,"HL";"totprocsched",#N/A,FALSE,"HL";"startcap",#N/A,FALSE,"HL";"starttotben",#N/A,FALSE,"HL"}</definedName>
    <definedName name="xxx" localSheetId="7" hidden="1">{"totrevbx",#N/A,FALSE,"Paris Rev";"totrevbxparis",#N/A,FALSE,"Total Rev";"totprocrevben",#N/A,FALSE,"Tot Proc Rev";"totloss",#N/A,FALSE,"HL";"ISSummary",#N/A,FALSE,"Tot Proc Rev";"TotClientnum",#N/A,FALSE,"HL";"otherinc",#N/A,FALSE,"Other Inc";"totprocsched",#N/A,FALSE,"HL";"inputtotsal",#N/A,FALSE,"HL";"salesinputcap",#N/A,FALSE,"HL";"saleswoyrendtotben",#N/A,FALSE,"HL";"totprocsched",#N/A,FALSE,"HL";"TotClientnum",#N/A,FALSE,"HL";"otherinc",#N/A,FALSE,"HL";"totprocsched",#N/A,FALSE,"HL";"startcap",#N/A,FALSE,"HL";"starttotben",#N/A,FALSE,"HL"}</definedName>
    <definedName name="xxx" hidden="1">{"totrevbx",#N/A,FALSE,"Paris Rev";"totrevbxparis",#N/A,FALSE,"Total Rev";"totprocrevben",#N/A,FALSE,"Tot Proc Rev";"totloss",#N/A,FALSE,"HL";"ISSummary",#N/A,FALSE,"Tot Proc Rev";"TotClientnum",#N/A,FALSE,"HL";"otherinc",#N/A,FALSE,"Other Inc";"totprocsched",#N/A,FALSE,"HL";"inputtotsal",#N/A,FALSE,"HL";"salesinputcap",#N/A,FALSE,"HL";"saleswoyrendtotben",#N/A,FALSE,"HL";"totprocsched",#N/A,FALSE,"HL";"TotClientnum",#N/A,FALSE,"HL";"otherinc",#N/A,FALSE,"HL";"totprocsched",#N/A,FALSE,"HL";"startcap",#N/A,FALSE,"HL";"starttotben",#N/A,FALSE,"HL"}</definedName>
    <definedName name="xxxx" hidden="1">#REF!</definedName>
    <definedName name="y" localSheetId="15">{"'Hardware Req.'!$A$1:$C$23"}</definedName>
    <definedName name="y" localSheetId="7">{"'Hardware Req.'!$A$1:$C$23"}</definedName>
    <definedName name="y">{"'Hardware Req.'!$A$1:$C$23"}</definedName>
    <definedName name="yhn" localSheetId="1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hn" localSheetId="7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h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u" localSheetId="1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yu" localSheetId="7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yu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z" localSheetId="15">{"'Hardware Req.'!$A$1:$C$23"}</definedName>
    <definedName name="z" localSheetId="7">{"'Hardware Req.'!$A$1:$C$23"}</definedName>
    <definedName name="z">{"'Hardware Req.'!$A$1:$C$23"}</definedName>
    <definedName name="zcvqa" localSheetId="15" hidden="1">{#N/A,#N/A,FALSE,"AD_Purchase";#N/A,#N/A,FALSE,"Credit";#N/A,#N/A,FALSE,"PF Acquisition";#N/A,#N/A,FALSE,"PF Offering"}</definedName>
    <definedName name="zcvqa" localSheetId="7" hidden="1">{#N/A,#N/A,FALSE,"AD_Purchase";#N/A,#N/A,FALSE,"Credit";#N/A,#N/A,FALSE,"PF Acquisition";#N/A,#N/A,FALSE,"PF Offering"}</definedName>
    <definedName name="zcvqa" hidden="1">{#N/A,#N/A,FALSE,"AD_Purchase";#N/A,#N/A,FALSE,"Credit";#N/A,#N/A,FALSE,"PF Acquisition";#N/A,#N/A,FALSE,"PF Offering"}</definedName>
    <definedName name="zcvzaa" localSheetId="15" hidden="1">{#N/A,#N/A,FALSE,"Debt Accr";#N/A,#N/A,FALSE,"Stock Accr";#N/A,#N/A,FALSE,"Debt Stock Accr"}</definedName>
    <definedName name="zcvzaa" localSheetId="7" hidden="1">{#N/A,#N/A,FALSE,"Debt Accr";#N/A,#N/A,FALSE,"Stock Accr";#N/A,#N/A,FALSE,"Debt Stock Accr"}</definedName>
    <definedName name="zcvzaa" hidden="1">{#N/A,#N/A,FALSE,"Debt Accr";#N/A,#N/A,FALSE,"Stock Accr";#N/A,#N/A,FALSE,"Debt Stock Accr"}</definedName>
    <definedName name="zcxzxva" localSheetId="1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cxzxva" localSheetId="7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cxzxva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scz" localSheetId="15" hidden="1">{#N/A,#N/A,FALSE,"Pooling";#N/A,#N/A,FALSE,"income";#N/A,#N/A,FALSE,"valuation"}</definedName>
    <definedName name="zscz" localSheetId="7" hidden="1">{#N/A,#N/A,FALSE,"Pooling";#N/A,#N/A,FALSE,"income";#N/A,#N/A,FALSE,"valuation"}</definedName>
    <definedName name="zscz" hidden="1">{#N/A,#N/A,FALSE,"Pooling";#N/A,#N/A,FALSE,"income";#N/A,#N/A,FALSE,"valuation"}</definedName>
    <definedName name="zx" localSheetId="15" hidden="1">{#N/A,#N/A,FALSE,"AD_Purchase";#N/A,#N/A,FALSE,"Credit";#N/A,#N/A,FALSE,"PF Acquisition";#N/A,#N/A,FALSE,"PF Offering"}</definedName>
    <definedName name="zx" localSheetId="7" hidden="1">{#N/A,#N/A,FALSE,"AD_Purchase";#N/A,#N/A,FALSE,"Credit";#N/A,#N/A,FALSE,"PF Acquisition";#N/A,#N/A,FALSE,"PF Offering"}</definedName>
    <definedName name="zx" hidden="1">{#N/A,#N/A,FALSE,"AD_Purchase";#N/A,#N/A,FALSE,"Credit";#N/A,#N/A,FALSE,"PF Acquisition";#N/A,#N/A,FALSE,"PF Offering"}</definedName>
    <definedName name="zxcc" localSheetId="15" hidden="1">{#N/A,#N/A,FALSE,"Projections";#N/A,#N/A,FALSE,"Contribution_Stock";#N/A,#N/A,FALSE,"PF_Combo_Stock";#N/A,#N/A,FALSE,"Projections";#N/A,#N/A,FALSE,"Contribution_Cash";#N/A,#N/A,FALSE,"PF_Combo_Cash";#N/A,#N/A,FALSE,"IPO_Cash"}</definedName>
    <definedName name="zxcc" localSheetId="7" hidden="1">{#N/A,#N/A,FALSE,"Projections";#N/A,#N/A,FALSE,"Contribution_Stock";#N/A,#N/A,FALSE,"PF_Combo_Stock";#N/A,#N/A,FALSE,"Projections";#N/A,#N/A,FALSE,"Contribution_Cash";#N/A,#N/A,FALSE,"PF_Combo_Cash";#N/A,#N/A,FALSE,"IPO_Cash"}</definedName>
    <definedName name="zxcc" hidden="1">{#N/A,#N/A,FALSE,"Projections";#N/A,#N/A,FALSE,"Contribution_Stock";#N/A,#N/A,FALSE,"PF_Combo_Stock";#N/A,#N/A,FALSE,"Projections";#N/A,#N/A,FALSE,"Contribution_Cash";#N/A,#N/A,FALSE,"PF_Combo_Cash";#N/A,#N/A,FALSE,"IPO_Cash"}</definedName>
    <definedName name="zz" localSheetId="15" hidden="1">{"TBB3 Assns",#N/A,FALSE,"Valuation";"TBB3 assumptions",#N/A,FALSE,"Assumptions";"TBB3 model",#N/A,FALSE,"INCOME"}</definedName>
    <definedName name="zz" localSheetId="7" hidden="1">{"TBB3 Assns",#N/A,FALSE,"Valuation";"TBB3 assumptions",#N/A,FALSE,"Assumptions";"TBB3 model",#N/A,FALSE,"INCOME"}</definedName>
    <definedName name="zz" hidden="1">{"TBB3 Assns",#N/A,FALSE,"Valuation";"TBB3 assumptions",#N/A,FALSE,"Assumptions";"TBB3 model",#N/A,FALSE,"INCOME"}</definedName>
    <definedName name="zzz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4" i="2" l="1"/>
  <c r="A2" i="3"/>
  <c r="N11" i="10"/>
  <c r="H119" i="14"/>
  <c r="I3" i="14"/>
  <c r="I4" i="14"/>
  <c r="I119" i="14" s="1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101" i="14"/>
  <c r="I102" i="14"/>
  <c r="I103" i="14"/>
  <c r="I104" i="14"/>
  <c r="I105" i="14"/>
  <c r="I106" i="14"/>
  <c r="I107" i="14"/>
  <c r="I108" i="14"/>
  <c r="I109" i="14"/>
  <c r="I110" i="14"/>
  <c r="I111" i="14"/>
  <c r="I112" i="14"/>
  <c r="I113" i="14"/>
  <c r="I114" i="14"/>
  <c r="I115" i="14"/>
  <c r="I116" i="14"/>
  <c r="I117" i="14"/>
  <c r="I118" i="14"/>
  <c r="I2" i="14"/>
  <c r="G119" i="14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" i="17"/>
  <c r="L45" i="21" l="1"/>
  <c r="L49" i="21"/>
  <c r="L51" i="21"/>
  <c r="L68" i="21"/>
  <c r="L80" i="21"/>
  <c r="L87" i="21"/>
  <c r="L88" i="21"/>
  <c r="L22" i="21"/>
  <c r="L23" i="21"/>
  <c r="L25" i="21"/>
  <c r="L26" i="21"/>
  <c r="L35" i="21"/>
  <c r="L34" i="21"/>
  <c r="L32" i="21"/>
  <c r="L31" i="21"/>
  <c r="L30" i="21"/>
  <c r="L29" i="21"/>
  <c r="L21" i="21"/>
  <c r="L19" i="21"/>
  <c r="L17" i="21"/>
  <c r="L15" i="21"/>
  <c r="L13" i="21"/>
  <c r="L12" i="21"/>
  <c r="L10" i="21"/>
  <c r="L9" i="21"/>
  <c r="L8" i="21"/>
  <c r="L7" i="21"/>
  <c r="L6" i="21"/>
  <c r="L5" i="21"/>
  <c r="L4" i="21"/>
  <c r="L3" i="21"/>
  <c r="L2" i="21"/>
  <c r="A3" i="22"/>
  <c r="A4" i="22"/>
  <c r="A5" i="22"/>
  <c r="A6" i="22"/>
  <c r="A7" i="22"/>
  <c r="A8" i="22"/>
  <c r="A9" i="22"/>
  <c r="A10" i="22"/>
  <c r="A11" i="22"/>
  <c r="A2" i="22"/>
  <c r="A63" i="22"/>
  <c r="A70" i="22"/>
  <c r="A71" i="22"/>
  <c r="A23" i="22"/>
  <c r="A92" i="22"/>
  <c r="A21" i="22"/>
  <c r="A26" i="22"/>
  <c r="A29" i="22"/>
  <c r="A60" i="22"/>
  <c r="A68" i="22"/>
  <c r="A82" i="22"/>
  <c r="A81" i="22"/>
  <c r="A77" i="22"/>
  <c r="A24" i="22"/>
  <c r="A73" i="22"/>
  <c r="A90" i="22"/>
  <c r="A51" i="22"/>
  <c r="A37" i="22"/>
  <c r="A87" i="22"/>
  <c r="A48" i="22"/>
  <c r="A45" i="22"/>
  <c r="A62" i="22"/>
  <c r="A64" i="22"/>
  <c r="A39" i="22"/>
  <c r="A84" i="22"/>
  <c r="A86" i="22"/>
  <c r="A83" i="22"/>
  <c r="A69" i="22"/>
  <c r="A88" i="22"/>
  <c r="A52" i="22"/>
  <c r="A79" i="22"/>
  <c r="A16" i="22"/>
  <c r="A15" i="22"/>
  <c r="A98" i="22"/>
  <c r="A43" i="22"/>
  <c r="A55" i="22"/>
  <c r="A57" i="22"/>
  <c r="A14" i="22"/>
  <c r="A38" i="22"/>
  <c r="A72" i="22"/>
  <c r="A94" i="22"/>
  <c r="A66" i="22"/>
  <c r="A44" i="22"/>
  <c r="A30" i="22"/>
  <c r="A50" i="22"/>
  <c r="A78" i="22"/>
  <c r="A75" i="22"/>
  <c r="A95" i="22"/>
  <c r="A96" i="22"/>
  <c r="A76" i="22"/>
  <c r="A59" i="22"/>
  <c r="A33" i="22"/>
  <c r="A74" i="22"/>
  <c r="A46" i="22"/>
  <c r="A89" i="22"/>
  <c r="A32" i="22"/>
  <c r="A56" i="22"/>
  <c r="A80" i="22"/>
  <c r="A40" i="22"/>
  <c r="A28" i="22"/>
  <c r="A12" i="22"/>
  <c r="A13" i="22"/>
  <c r="A41" i="22"/>
  <c r="A36" i="22"/>
  <c r="A67" i="22"/>
  <c r="A19" i="22"/>
  <c r="A58" i="22"/>
  <c r="A93" i="22"/>
  <c r="A20" i="22"/>
  <c r="A34" i="22"/>
  <c r="A35" i="22"/>
  <c r="A18" i="22"/>
  <c r="A85" i="22"/>
  <c r="A27" i="22"/>
  <c r="A49" i="22"/>
  <c r="A22" i="22"/>
  <c r="A42" i="22"/>
  <c r="A25" i="22"/>
  <c r="A61" i="22"/>
  <c r="A53" i="22"/>
  <c r="A97" i="22"/>
  <c r="A47" i="22"/>
  <c r="A54" i="22"/>
  <c r="A17" i="22"/>
  <c r="A31" i="22"/>
  <c r="A91" i="22"/>
  <c r="A65" i="22"/>
  <c r="E9" i="10"/>
  <c r="G9" i="10" s="1"/>
  <c r="O12" i="10"/>
  <c r="P12" i="10"/>
  <c r="E8" i="10"/>
  <c r="J34" i="20"/>
  <c r="J32" i="20"/>
  <c r="J4" i="20"/>
  <c r="J5" i="20"/>
  <c r="J7" i="20"/>
  <c r="J8" i="20"/>
  <c r="J11" i="20"/>
  <c r="J12" i="20"/>
  <c r="J13" i="20"/>
  <c r="J18" i="20"/>
  <c r="J22" i="20"/>
  <c r="J26" i="20"/>
  <c r="J27" i="20"/>
  <c r="J28" i="20"/>
  <c r="A3" i="20" l="1"/>
  <c r="A4" i="20"/>
  <c r="A5" i="20"/>
  <c r="A6" i="20"/>
  <c r="A7" i="20"/>
  <c r="A8" i="20"/>
  <c r="A9" i="20"/>
  <c r="A10" i="20"/>
  <c r="A11" i="20"/>
  <c r="A12" i="20"/>
  <c r="A13" i="20"/>
  <c r="A14" i="20"/>
  <c r="A15" i="20"/>
  <c r="A16" i="20"/>
  <c r="A17" i="20"/>
  <c r="A18" i="20"/>
  <c r="A19" i="20"/>
  <c r="A20" i="20"/>
  <c r="A21" i="20"/>
  <c r="A22" i="20"/>
  <c r="A23" i="20"/>
  <c r="A24" i="20"/>
  <c r="A25" i="20"/>
  <c r="A26" i="20"/>
  <c r="A27" i="20"/>
  <c r="A28" i="20"/>
  <c r="A29" i="20"/>
  <c r="A30" i="20"/>
  <c r="A31" i="20"/>
  <c r="A32" i="20"/>
  <c r="A33" i="20"/>
  <c r="A34" i="20"/>
  <c r="A2" i="20"/>
  <c r="I89" i="21"/>
  <c r="H89" i="21"/>
  <c r="G89" i="21"/>
  <c r="I86" i="21"/>
  <c r="I85" i="21"/>
  <c r="I84" i="21"/>
  <c r="I83" i="21"/>
  <c r="I82" i="21"/>
  <c r="I81" i="21"/>
  <c r="I79" i="21"/>
  <c r="I78" i="21"/>
  <c r="I77" i="21"/>
  <c r="I76" i="21"/>
  <c r="I75" i="21"/>
  <c r="I74" i="21"/>
  <c r="I73" i="21"/>
  <c r="I72" i="21"/>
  <c r="I71" i="21"/>
  <c r="I70" i="21"/>
  <c r="I69" i="21"/>
  <c r="I67" i="21"/>
  <c r="I66" i="21"/>
  <c r="I65" i="21"/>
  <c r="I64" i="21"/>
  <c r="I63" i="21"/>
  <c r="I62" i="21"/>
  <c r="I61" i="21"/>
  <c r="I60" i="21"/>
  <c r="I59" i="21"/>
  <c r="I58" i="21"/>
  <c r="I57" i="21"/>
  <c r="I56" i="21"/>
  <c r="I55" i="21"/>
  <c r="I54" i="21"/>
  <c r="I53" i="21"/>
  <c r="I52" i="21"/>
  <c r="I50" i="21"/>
  <c r="I48" i="21"/>
  <c r="I47" i="21"/>
  <c r="I46" i="21"/>
  <c r="I44" i="21"/>
  <c r="I43" i="21"/>
  <c r="I42" i="21"/>
  <c r="I41" i="21"/>
  <c r="I40" i="21"/>
  <c r="I39" i="21"/>
  <c r="I38" i="21"/>
  <c r="I37" i="21"/>
  <c r="I36" i="21"/>
  <c r="I33" i="21"/>
  <c r="I28" i="21"/>
  <c r="I27" i="21"/>
  <c r="I24" i="21"/>
  <c r="I20" i="21"/>
  <c r="I18" i="21"/>
  <c r="I16" i="21"/>
  <c r="I14" i="21"/>
  <c r="I11" i="21"/>
  <c r="H19" i="20"/>
  <c r="H2" i="20"/>
  <c r="H10" i="20"/>
  <c r="H25" i="20"/>
  <c r="H21" i="20"/>
  <c r="H23" i="20"/>
  <c r="H14" i="20"/>
  <c r="H17" i="20"/>
  <c r="H30" i="20"/>
  <c r="H29" i="20"/>
  <c r="H5" i="20"/>
  <c r="H22" i="20"/>
  <c r="H9" i="20"/>
  <c r="H33" i="20"/>
  <c r="H3" i="20"/>
  <c r="H24" i="20"/>
  <c r="H20" i="20"/>
  <c r="H6" i="20"/>
  <c r="N86" i="13"/>
  <c r="N85" i="13"/>
  <c r="N84" i="13"/>
  <c r="N83" i="13"/>
  <c r="N82" i="13"/>
  <c r="N81" i="13"/>
  <c r="N79" i="13"/>
  <c r="N78" i="13"/>
  <c r="N77" i="13"/>
  <c r="N76" i="13"/>
  <c r="N75" i="13"/>
  <c r="N74" i="13"/>
  <c r="N73" i="13"/>
  <c r="N72" i="13"/>
  <c r="N71" i="13"/>
  <c r="N70" i="13"/>
  <c r="N69" i="13"/>
  <c r="N67" i="13"/>
  <c r="N66" i="13"/>
  <c r="N65" i="13"/>
  <c r="N64" i="13"/>
  <c r="N63" i="13"/>
  <c r="N62" i="13"/>
  <c r="N61" i="13"/>
  <c r="N60" i="13"/>
  <c r="N59" i="13"/>
  <c r="N58" i="13"/>
  <c r="N57" i="13"/>
  <c r="N56" i="13"/>
  <c r="N55" i="13"/>
  <c r="N54" i="13"/>
  <c r="N53" i="13"/>
  <c r="N52" i="13"/>
  <c r="N50" i="13"/>
  <c r="N48" i="13"/>
  <c r="N47" i="13"/>
  <c r="N46" i="13"/>
  <c r="N44" i="13"/>
  <c r="N43" i="13"/>
  <c r="N42" i="13"/>
  <c r="N41" i="13"/>
  <c r="N40" i="13"/>
  <c r="N39" i="13"/>
  <c r="N38" i="13"/>
  <c r="N37" i="13"/>
  <c r="N36" i="13"/>
  <c r="N33" i="13"/>
  <c r="N28" i="13"/>
  <c r="N27" i="13"/>
  <c r="N24" i="13"/>
  <c r="N20" i="13"/>
  <c r="N18" i="13"/>
  <c r="N16" i="13"/>
  <c r="N14" i="13"/>
  <c r="N11" i="13"/>
  <c r="M11" i="13"/>
  <c r="L11" i="13"/>
  <c r="K11" i="13"/>
  <c r="M86" i="13"/>
  <c r="L86" i="13"/>
  <c r="K86" i="13"/>
  <c r="M85" i="13"/>
  <c r="L85" i="13"/>
  <c r="K85" i="13"/>
  <c r="M84" i="13"/>
  <c r="L84" i="13"/>
  <c r="K84" i="13"/>
  <c r="M83" i="13"/>
  <c r="L83" i="13"/>
  <c r="K83" i="13"/>
  <c r="M82" i="13"/>
  <c r="L82" i="13"/>
  <c r="K82" i="13"/>
  <c r="M81" i="13"/>
  <c r="L81" i="13"/>
  <c r="K81" i="13"/>
  <c r="M79" i="13"/>
  <c r="L79" i="13"/>
  <c r="K79" i="13"/>
  <c r="M78" i="13"/>
  <c r="L78" i="13"/>
  <c r="K78" i="13"/>
  <c r="M77" i="13"/>
  <c r="L77" i="13"/>
  <c r="K77" i="13"/>
  <c r="M76" i="13"/>
  <c r="L76" i="13"/>
  <c r="K76" i="13"/>
  <c r="M75" i="13"/>
  <c r="L75" i="13"/>
  <c r="K75" i="13"/>
  <c r="M74" i="13"/>
  <c r="L74" i="13"/>
  <c r="K74" i="13"/>
  <c r="M73" i="13"/>
  <c r="L73" i="13"/>
  <c r="K73" i="13"/>
  <c r="M72" i="13"/>
  <c r="L72" i="13"/>
  <c r="K72" i="13"/>
  <c r="M71" i="13"/>
  <c r="L71" i="13"/>
  <c r="K71" i="13"/>
  <c r="M70" i="13"/>
  <c r="L70" i="13"/>
  <c r="K70" i="13"/>
  <c r="M69" i="13"/>
  <c r="L69" i="13"/>
  <c r="K69" i="13"/>
  <c r="M67" i="13"/>
  <c r="L67" i="13"/>
  <c r="K67" i="13"/>
  <c r="M66" i="13"/>
  <c r="L66" i="13"/>
  <c r="K66" i="13"/>
  <c r="M65" i="13"/>
  <c r="L65" i="13"/>
  <c r="K65" i="13"/>
  <c r="M64" i="13"/>
  <c r="L64" i="13"/>
  <c r="K64" i="13"/>
  <c r="M63" i="13"/>
  <c r="L63" i="13"/>
  <c r="K63" i="13"/>
  <c r="M62" i="13"/>
  <c r="L62" i="13"/>
  <c r="K62" i="13"/>
  <c r="M61" i="13"/>
  <c r="L61" i="13"/>
  <c r="K61" i="13"/>
  <c r="M60" i="13"/>
  <c r="L60" i="13"/>
  <c r="K60" i="13"/>
  <c r="M59" i="13"/>
  <c r="L59" i="13"/>
  <c r="K59" i="13"/>
  <c r="M58" i="13"/>
  <c r="L58" i="13"/>
  <c r="K58" i="13"/>
  <c r="M57" i="13"/>
  <c r="L57" i="13"/>
  <c r="K57" i="13"/>
  <c r="M56" i="13"/>
  <c r="L56" i="13"/>
  <c r="K56" i="13"/>
  <c r="M55" i="13"/>
  <c r="L55" i="13"/>
  <c r="K55" i="13"/>
  <c r="M54" i="13"/>
  <c r="L54" i="13"/>
  <c r="K54" i="13"/>
  <c r="M53" i="13"/>
  <c r="L53" i="13"/>
  <c r="K53" i="13"/>
  <c r="M52" i="13"/>
  <c r="L52" i="13"/>
  <c r="K52" i="13"/>
  <c r="M50" i="13"/>
  <c r="L50" i="13"/>
  <c r="K50" i="13"/>
  <c r="M48" i="13"/>
  <c r="L48" i="13"/>
  <c r="K48" i="13"/>
  <c r="M47" i="13"/>
  <c r="L47" i="13"/>
  <c r="K47" i="13"/>
  <c r="M46" i="13"/>
  <c r="L46" i="13"/>
  <c r="K46" i="13"/>
  <c r="M44" i="13"/>
  <c r="L44" i="13"/>
  <c r="K44" i="13"/>
  <c r="M43" i="13"/>
  <c r="L43" i="13"/>
  <c r="K43" i="13"/>
  <c r="M42" i="13"/>
  <c r="L42" i="13"/>
  <c r="K42" i="13"/>
  <c r="M41" i="13"/>
  <c r="L41" i="13"/>
  <c r="K41" i="13"/>
  <c r="M40" i="13"/>
  <c r="L40" i="13"/>
  <c r="K40" i="13"/>
  <c r="M39" i="13"/>
  <c r="L39" i="13"/>
  <c r="K39" i="13"/>
  <c r="M38" i="13"/>
  <c r="L38" i="13"/>
  <c r="K38" i="13"/>
  <c r="M37" i="13"/>
  <c r="L37" i="13"/>
  <c r="K37" i="13"/>
  <c r="M36" i="13"/>
  <c r="L36" i="13"/>
  <c r="K36" i="13"/>
  <c r="M33" i="13"/>
  <c r="L33" i="13"/>
  <c r="K33" i="13"/>
  <c r="M28" i="13"/>
  <c r="L28" i="13"/>
  <c r="K28" i="13"/>
  <c r="M27" i="13"/>
  <c r="L27" i="13"/>
  <c r="K27" i="13"/>
  <c r="M24" i="13"/>
  <c r="L24" i="13"/>
  <c r="K24" i="13"/>
  <c r="M20" i="13"/>
  <c r="L20" i="13"/>
  <c r="K20" i="13"/>
  <c r="M18" i="13"/>
  <c r="L18" i="13"/>
  <c r="K18" i="13"/>
  <c r="M16" i="13"/>
  <c r="L16" i="13"/>
  <c r="K16" i="13"/>
  <c r="M14" i="13"/>
  <c r="L14" i="13"/>
  <c r="K14" i="13"/>
  <c r="W322" i="19"/>
  <c r="W321" i="19"/>
  <c r="W320" i="19"/>
  <c r="W319" i="19"/>
  <c r="X317" i="19"/>
  <c r="T317" i="19"/>
  <c r="S317" i="19"/>
  <c r="V317" i="19" s="1"/>
  <c r="X316" i="19"/>
  <c r="T316" i="19"/>
  <c r="S316" i="19"/>
  <c r="X315" i="19"/>
  <c r="T315" i="19"/>
  <c r="S315" i="19"/>
  <c r="X314" i="19"/>
  <c r="T314" i="19"/>
  <c r="S314" i="19"/>
  <c r="X313" i="19"/>
  <c r="V313" i="19"/>
  <c r="T313" i="19"/>
  <c r="S313" i="19"/>
  <c r="X312" i="19"/>
  <c r="V312" i="19"/>
  <c r="U312" i="19"/>
  <c r="W312" i="19" s="1"/>
  <c r="T312" i="19"/>
  <c r="S312" i="19"/>
  <c r="X311" i="19"/>
  <c r="T311" i="19"/>
  <c r="S311" i="19"/>
  <c r="X310" i="19"/>
  <c r="U310" i="19"/>
  <c r="W310" i="19" s="1"/>
  <c r="T310" i="19"/>
  <c r="V310" i="19" s="1"/>
  <c r="S310" i="19"/>
  <c r="X309" i="19"/>
  <c r="T309" i="19"/>
  <c r="S309" i="19"/>
  <c r="X308" i="19"/>
  <c r="T308" i="19"/>
  <c r="V308" i="19" s="1"/>
  <c r="S308" i="19"/>
  <c r="X307" i="19"/>
  <c r="V307" i="19"/>
  <c r="T307" i="19"/>
  <c r="S307" i="19"/>
  <c r="X306" i="19"/>
  <c r="T306" i="19"/>
  <c r="S306" i="19"/>
  <c r="X305" i="19"/>
  <c r="T305" i="19"/>
  <c r="S305" i="19"/>
  <c r="X304" i="19"/>
  <c r="T304" i="19"/>
  <c r="S304" i="19"/>
  <c r="X303" i="19"/>
  <c r="T303" i="19"/>
  <c r="S303" i="19"/>
  <c r="V303" i="19" s="1"/>
  <c r="X302" i="19"/>
  <c r="T302" i="19"/>
  <c r="S302" i="19"/>
  <c r="X301" i="19"/>
  <c r="W301" i="19"/>
  <c r="V301" i="19"/>
  <c r="T301" i="19"/>
  <c r="U301" i="19" s="1"/>
  <c r="S301" i="19"/>
  <c r="X300" i="19"/>
  <c r="T300" i="19"/>
  <c r="S300" i="19"/>
  <c r="X299" i="19"/>
  <c r="T299" i="19"/>
  <c r="S299" i="19"/>
  <c r="X298" i="19"/>
  <c r="W298" i="19"/>
  <c r="U298" i="19"/>
  <c r="T298" i="19"/>
  <c r="V298" i="19" s="1"/>
  <c r="S298" i="19"/>
  <c r="X297" i="19"/>
  <c r="V297" i="19"/>
  <c r="W297" i="19" s="1"/>
  <c r="T297" i="19"/>
  <c r="U297" i="19" s="1"/>
  <c r="S297" i="19"/>
  <c r="X296" i="19"/>
  <c r="T296" i="19"/>
  <c r="S296" i="19"/>
  <c r="X295" i="19"/>
  <c r="T295" i="19"/>
  <c r="S295" i="19"/>
  <c r="X294" i="19"/>
  <c r="U294" i="19"/>
  <c r="T294" i="19"/>
  <c r="S294" i="19"/>
  <c r="X293" i="19"/>
  <c r="T293" i="19"/>
  <c r="V293" i="19" s="1"/>
  <c r="S293" i="19"/>
  <c r="X292" i="19"/>
  <c r="T292" i="19"/>
  <c r="S292" i="19"/>
  <c r="X291" i="19"/>
  <c r="T291" i="19"/>
  <c r="S291" i="19"/>
  <c r="X290" i="19"/>
  <c r="V290" i="19"/>
  <c r="T290" i="19"/>
  <c r="S290" i="19"/>
  <c r="U290" i="19" s="1"/>
  <c r="X289" i="19"/>
  <c r="T289" i="19"/>
  <c r="S289" i="19"/>
  <c r="V289" i="19" s="1"/>
  <c r="X288" i="19"/>
  <c r="V288" i="19"/>
  <c r="W288" i="19" s="1"/>
  <c r="U288" i="19"/>
  <c r="T288" i="19"/>
  <c r="S288" i="19"/>
  <c r="X287" i="19"/>
  <c r="T287" i="19"/>
  <c r="U287" i="19" s="1"/>
  <c r="S287" i="19"/>
  <c r="X286" i="19"/>
  <c r="T286" i="19"/>
  <c r="V286" i="19" s="1"/>
  <c r="S286" i="19"/>
  <c r="X285" i="19"/>
  <c r="T285" i="19"/>
  <c r="S285" i="19"/>
  <c r="X284" i="19"/>
  <c r="V284" i="19"/>
  <c r="T284" i="19"/>
  <c r="S284" i="19"/>
  <c r="U284" i="19" s="1"/>
  <c r="W284" i="19" s="1"/>
  <c r="X283" i="19"/>
  <c r="V283" i="19"/>
  <c r="T283" i="19"/>
  <c r="S283" i="19"/>
  <c r="X282" i="19"/>
  <c r="T282" i="19"/>
  <c r="S282" i="19"/>
  <c r="X281" i="19"/>
  <c r="T281" i="19"/>
  <c r="S281" i="19"/>
  <c r="X280" i="19"/>
  <c r="T280" i="19"/>
  <c r="S280" i="19"/>
  <c r="X279" i="19"/>
  <c r="T279" i="19"/>
  <c r="S279" i="19"/>
  <c r="V279" i="19" s="1"/>
  <c r="X278" i="19"/>
  <c r="T278" i="19"/>
  <c r="U278" i="19" s="1"/>
  <c r="S278" i="19"/>
  <c r="X277" i="19"/>
  <c r="V277" i="19"/>
  <c r="W277" i="19" s="1"/>
  <c r="T277" i="19"/>
  <c r="U277" i="19" s="1"/>
  <c r="S277" i="19"/>
  <c r="X276" i="19"/>
  <c r="T276" i="19"/>
  <c r="S276" i="19"/>
  <c r="V276" i="19" s="1"/>
  <c r="X275" i="19"/>
  <c r="T275" i="19"/>
  <c r="U275" i="19" s="1"/>
  <c r="S275" i="19"/>
  <c r="X274" i="19"/>
  <c r="U274" i="19"/>
  <c r="W274" i="19" s="1"/>
  <c r="T274" i="19"/>
  <c r="V274" i="19" s="1"/>
  <c r="S274" i="19"/>
  <c r="X273" i="19"/>
  <c r="T273" i="19"/>
  <c r="U273" i="19" s="1"/>
  <c r="S273" i="19"/>
  <c r="X272" i="19"/>
  <c r="V272" i="19"/>
  <c r="T272" i="19"/>
  <c r="U272" i="19" s="1"/>
  <c r="S272" i="19"/>
  <c r="X271" i="19"/>
  <c r="T271" i="19"/>
  <c r="S271" i="19"/>
  <c r="V271" i="19" s="1"/>
  <c r="X270" i="19"/>
  <c r="U270" i="19"/>
  <c r="T270" i="19"/>
  <c r="S270" i="19"/>
  <c r="X269" i="19"/>
  <c r="T269" i="19"/>
  <c r="S269" i="19"/>
  <c r="V269" i="19" s="1"/>
  <c r="X268" i="19"/>
  <c r="T268" i="19"/>
  <c r="S268" i="19"/>
  <c r="X267" i="19"/>
  <c r="T267" i="19"/>
  <c r="S267" i="19"/>
  <c r="X266" i="19"/>
  <c r="T266" i="19"/>
  <c r="S266" i="19"/>
  <c r="X265" i="19"/>
  <c r="T265" i="19"/>
  <c r="S265" i="19"/>
  <c r="V265" i="19" s="1"/>
  <c r="X264" i="19"/>
  <c r="T264" i="19"/>
  <c r="S264" i="19"/>
  <c r="X263" i="19"/>
  <c r="T263" i="19"/>
  <c r="S263" i="19"/>
  <c r="X262" i="19"/>
  <c r="V262" i="19"/>
  <c r="U262" i="19"/>
  <c r="W262" i="19" s="1"/>
  <c r="T262" i="19"/>
  <c r="S262" i="19"/>
  <c r="X261" i="19"/>
  <c r="T261" i="19"/>
  <c r="S261" i="19"/>
  <c r="X260" i="19"/>
  <c r="V260" i="19"/>
  <c r="T260" i="19"/>
  <c r="S260" i="19"/>
  <c r="X259" i="19"/>
  <c r="V259" i="19"/>
  <c r="T259" i="19"/>
  <c r="S259" i="19"/>
  <c r="X258" i="19"/>
  <c r="T258" i="19"/>
  <c r="V258" i="19" s="1"/>
  <c r="S258" i="19"/>
  <c r="X257" i="19"/>
  <c r="V257" i="19"/>
  <c r="T257" i="19"/>
  <c r="U257" i="19" s="1"/>
  <c r="S257" i="19"/>
  <c r="X256" i="19"/>
  <c r="T256" i="19"/>
  <c r="S256" i="19"/>
  <c r="U256" i="19" s="1"/>
  <c r="X255" i="19"/>
  <c r="T255" i="19"/>
  <c r="S255" i="19"/>
  <c r="X254" i="19"/>
  <c r="T254" i="19"/>
  <c r="S254" i="19"/>
  <c r="X253" i="19"/>
  <c r="V253" i="19"/>
  <c r="T253" i="19"/>
  <c r="S253" i="19"/>
  <c r="X252" i="19"/>
  <c r="V252" i="19"/>
  <c r="U252" i="19"/>
  <c r="W252" i="19" s="1"/>
  <c r="T252" i="19"/>
  <c r="S252" i="19"/>
  <c r="X251" i="19"/>
  <c r="V251" i="19"/>
  <c r="W251" i="19" s="1"/>
  <c r="T251" i="19"/>
  <c r="U251" i="19" s="1"/>
  <c r="S251" i="19"/>
  <c r="X250" i="19"/>
  <c r="T250" i="19"/>
  <c r="V250" i="19" s="1"/>
  <c r="S250" i="19"/>
  <c r="X249" i="19"/>
  <c r="T249" i="19"/>
  <c r="S249" i="19"/>
  <c r="X248" i="19"/>
  <c r="V248" i="19"/>
  <c r="T248" i="19"/>
  <c r="S248" i="19"/>
  <c r="X247" i="19"/>
  <c r="T247" i="19"/>
  <c r="S247" i="19"/>
  <c r="V247" i="19" s="1"/>
  <c r="X246" i="19"/>
  <c r="T246" i="19"/>
  <c r="S246" i="19"/>
  <c r="X245" i="19"/>
  <c r="V245" i="19"/>
  <c r="T245" i="19"/>
  <c r="S245" i="19"/>
  <c r="X244" i="19"/>
  <c r="T244" i="19"/>
  <c r="V244" i="19" s="1"/>
  <c r="S244" i="19"/>
  <c r="X243" i="19"/>
  <c r="T243" i="19"/>
  <c r="S243" i="19"/>
  <c r="X242" i="19"/>
  <c r="W242" i="19"/>
  <c r="V242" i="19"/>
  <c r="T242" i="19"/>
  <c r="U242" i="19" s="1"/>
  <c r="S242" i="19"/>
  <c r="X241" i="19"/>
  <c r="V241" i="19"/>
  <c r="T241" i="19"/>
  <c r="S241" i="19"/>
  <c r="X240" i="19"/>
  <c r="V240" i="19"/>
  <c r="U240" i="19"/>
  <c r="W240" i="19" s="1"/>
  <c r="T240" i="19"/>
  <c r="S240" i="19"/>
  <c r="X239" i="19"/>
  <c r="T239" i="19"/>
  <c r="U239" i="19" s="1"/>
  <c r="S239" i="19"/>
  <c r="X238" i="19"/>
  <c r="T238" i="19"/>
  <c r="V238" i="19" s="1"/>
  <c r="S238" i="19"/>
  <c r="X237" i="19"/>
  <c r="T237" i="19"/>
  <c r="S237" i="19"/>
  <c r="X236" i="19"/>
  <c r="U236" i="19"/>
  <c r="T236" i="19"/>
  <c r="S236" i="19"/>
  <c r="X235" i="19"/>
  <c r="V235" i="19"/>
  <c r="T235" i="19"/>
  <c r="S235" i="19"/>
  <c r="X234" i="19"/>
  <c r="T234" i="19"/>
  <c r="S234" i="19"/>
  <c r="X233" i="19"/>
  <c r="T233" i="19"/>
  <c r="S233" i="19"/>
  <c r="X232" i="19"/>
  <c r="T232" i="19"/>
  <c r="S232" i="19"/>
  <c r="X231" i="19"/>
  <c r="T231" i="19"/>
  <c r="S231" i="19"/>
  <c r="X230" i="19"/>
  <c r="T230" i="19"/>
  <c r="U230" i="19" s="1"/>
  <c r="S230" i="19"/>
  <c r="X229" i="19"/>
  <c r="V229" i="19"/>
  <c r="T229" i="19"/>
  <c r="S229" i="19"/>
  <c r="X228" i="19"/>
  <c r="U228" i="19"/>
  <c r="T228" i="19"/>
  <c r="S228" i="19"/>
  <c r="V228" i="19" s="1"/>
  <c r="X227" i="19"/>
  <c r="T227" i="19"/>
  <c r="S227" i="19"/>
  <c r="X226" i="19"/>
  <c r="U226" i="19"/>
  <c r="W226" i="19" s="1"/>
  <c r="T226" i="19"/>
  <c r="V226" i="19" s="1"/>
  <c r="S226" i="19"/>
  <c r="X225" i="19"/>
  <c r="V225" i="19"/>
  <c r="W225" i="19" s="1"/>
  <c r="T225" i="19"/>
  <c r="U225" i="19" s="1"/>
  <c r="S225" i="19"/>
  <c r="X224" i="19"/>
  <c r="T224" i="19"/>
  <c r="S224" i="19"/>
  <c r="V224" i="19" s="1"/>
  <c r="X223" i="19"/>
  <c r="T223" i="19"/>
  <c r="S223" i="19"/>
  <c r="X222" i="19"/>
  <c r="T222" i="19"/>
  <c r="S222" i="19"/>
  <c r="X221" i="19"/>
  <c r="T221" i="19"/>
  <c r="U221" i="19" s="1"/>
  <c r="S221" i="19"/>
  <c r="X220" i="19"/>
  <c r="U220" i="19"/>
  <c r="W220" i="19" s="1"/>
  <c r="T220" i="19"/>
  <c r="V220" i="19" s="1"/>
  <c r="S220" i="19"/>
  <c r="X219" i="19"/>
  <c r="T219" i="19"/>
  <c r="S219" i="19"/>
  <c r="X218" i="19"/>
  <c r="T218" i="19"/>
  <c r="S218" i="19"/>
  <c r="X217" i="19"/>
  <c r="T217" i="19"/>
  <c r="S217" i="19"/>
  <c r="V217" i="19" s="1"/>
  <c r="X216" i="19"/>
  <c r="T216" i="19"/>
  <c r="S216" i="19"/>
  <c r="V216" i="19" s="1"/>
  <c r="X215" i="19"/>
  <c r="V215" i="19"/>
  <c r="T215" i="19"/>
  <c r="U215" i="19" s="1"/>
  <c r="S215" i="19"/>
  <c r="X214" i="19"/>
  <c r="V214" i="19"/>
  <c r="W214" i="19" s="1"/>
  <c r="T214" i="19"/>
  <c r="U214" i="19" s="1"/>
  <c r="S214" i="19"/>
  <c r="X213" i="19"/>
  <c r="T213" i="19"/>
  <c r="S213" i="19"/>
  <c r="X212" i="19"/>
  <c r="T212" i="19"/>
  <c r="V212" i="19" s="1"/>
  <c r="S212" i="19"/>
  <c r="X211" i="19"/>
  <c r="T211" i="19"/>
  <c r="S211" i="19"/>
  <c r="V211" i="19" s="1"/>
  <c r="X210" i="19"/>
  <c r="T210" i="19"/>
  <c r="S210" i="19"/>
  <c r="X209" i="19"/>
  <c r="T209" i="19"/>
  <c r="S209" i="19"/>
  <c r="X208" i="19"/>
  <c r="T208" i="19"/>
  <c r="V208" i="19" s="1"/>
  <c r="S208" i="19"/>
  <c r="X207" i="19"/>
  <c r="T207" i="19"/>
  <c r="S207" i="19"/>
  <c r="X206" i="19"/>
  <c r="T206" i="19"/>
  <c r="S206" i="19"/>
  <c r="X205" i="19"/>
  <c r="T205" i="19"/>
  <c r="S205" i="19"/>
  <c r="V205" i="19" s="1"/>
  <c r="X204" i="19"/>
  <c r="V204" i="19"/>
  <c r="T204" i="19"/>
  <c r="S204" i="19"/>
  <c r="U204" i="19" s="1"/>
  <c r="X203" i="19"/>
  <c r="T203" i="19"/>
  <c r="S203" i="19"/>
  <c r="X202" i="19"/>
  <c r="U202" i="19"/>
  <c r="W202" i="19" s="1"/>
  <c r="T202" i="19"/>
  <c r="V202" i="19" s="1"/>
  <c r="S202" i="19"/>
  <c r="X201" i="19"/>
  <c r="T201" i="19"/>
  <c r="V201" i="19" s="1"/>
  <c r="S201" i="19"/>
  <c r="X200" i="19"/>
  <c r="T200" i="19"/>
  <c r="S200" i="19"/>
  <c r="X199" i="19"/>
  <c r="T199" i="19"/>
  <c r="S199" i="19"/>
  <c r="X198" i="19"/>
  <c r="V198" i="19"/>
  <c r="U198" i="19"/>
  <c r="W198" i="19" s="1"/>
  <c r="T198" i="19"/>
  <c r="S198" i="19"/>
  <c r="X197" i="19"/>
  <c r="T197" i="19"/>
  <c r="U197" i="19" s="1"/>
  <c r="S197" i="19"/>
  <c r="X196" i="19"/>
  <c r="U196" i="19"/>
  <c r="W196" i="19" s="1"/>
  <c r="T196" i="19"/>
  <c r="V196" i="19" s="1"/>
  <c r="S196" i="19"/>
  <c r="X195" i="19"/>
  <c r="T195" i="19"/>
  <c r="S195" i="19"/>
  <c r="X194" i="19"/>
  <c r="T194" i="19"/>
  <c r="S194" i="19"/>
  <c r="X193" i="19"/>
  <c r="V193" i="19"/>
  <c r="T193" i="19"/>
  <c r="S193" i="19"/>
  <c r="X192" i="19"/>
  <c r="V192" i="19"/>
  <c r="U192" i="19"/>
  <c r="W192" i="19" s="1"/>
  <c r="T192" i="19"/>
  <c r="S192" i="19"/>
  <c r="X191" i="19"/>
  <c r="T191" i="19"/>
  <c r="U191" i="19" s="1"/>
  <c r="S191" i="19"/>
  <c r="X190" i="19"/>
  <c r="T190" i="19"/>
  <c r="V190" i="19" s="1"/>
  <c r="S190" i="19"/>
  <c r="X189" i="19"/>
  <c r="T189" i="19"/>
  <c r="S189" i="19"/>
  <c r="X188" i="19"/>
  <c r="V188" i="19"/>
  <c r="W188" i="19" s="1"/>
  <c r="T188" i="19"/>
  <c r="S188" i="19"/>
  <c r="U188" i="19" s="1"/>
  <c r="X187" i="19"/>
  <c r="T187" i="19"/>
  <c r="S187" i="19"/>
  <c r="V187" i="19" s="1"/>
  <c r="X186" i="19"/>
  <c r="T186" i="19"/>
  <c r="S186" i="19"/>
  <c r="X185" i="19"/>
  <c r="V185" i="19"/>
  <c r="T185" i="19"/>
  <c r="U185" i="19" s="1"/>
  <c r="S185" i="19"/>
  <c r="X184" i="19"/>
  <c r="T184" i="19"/>
  <c r="S184" i="19"/>
  <c r="X183" i="19"/>
  <c r="T183" i="19"/>
  <c r="S183" i="19"/>
  <c r="X182" i="19"/>
  <c r="T182" i="19"/>
  <c r="S182" i="19"/>
  <c r="V182" i="19" s="1"/>
  <c r="X181" i="19"/>
  <c r="T181" i="19"/>
  <c r="S181" i="19"/>
  <c r="V181" i="19" s="1"/>
  <c r="X180" i="19"/>
  <c r="U180" i="19"/>
  <c r="W180" i="19" s="1"/>
  <c r="T180" i="19"/>
  <c r="S180" i="19"/>
  <c r="V180" i="19" s="1"/>
  <c r="X179" i="19"/>
  <c r="T179" i="19"/>
  <c r="U179" i="19" s="1"/>
  <c r="S179" i="19"/>
  <c r="X178" i="19"/>
  <c r="W178" i="19"/>
  <c r="U178" i="19"/>
  <c r="T178" i="19"/>
  <c r="V178" i="19" s="1"/>
  <c r="S178" i="19"/>
  <c r="X177" i="19"/>
  <c r="T177" i="19"/>
  <c r="S177" i="19"/>
  <c r="X176" i="19"/>
  <c r="V176" i="19"/>
  <c r="W176" i="19" s="1"/>
  <c r="T176" i="19"/>
  <c r="U176" i="19" s="1"/>
  <c r="S176" i="19"/>
  <c r="X175" i="19"/>
  <c r="T175" i="19"/>
  <c r="U175" i="19" s="1"/>
  <c r="S175" i="19"/>
  <c r="X174" i="19"/>
  <c r="T174" i="19"/>
  <c r="S174" i="19"/>
  <c r="X173" i="19"/>
  <c r="T173" i="19"/>
  <c r="S173" i="19"/>
  <c r="V173" i="19" s="1"/>
  <c r="X172" i="19"/>
  <c r="T172" i="19"/>
  <c r="S172" i="19"/>
  <c r="X171" i="19"/>
  <c r="T171" i="19"/>
  <c r="S171" i="19"/>
  <c r="X170" i="19"/>
  <c r="T170" i="19"/>
  <c r="S170" i="19"/>
  <c r="X169" i="19"/>
  <c r="V169" i="19"/>
  <c r="T169" i="19"/>
  <c r="S169" i="19"/>
  <c r="X168" i="19"/>
  <c r="T168" i="19"/>
  <c r="S168" i="19"/>
  <c r="X167" i="19"/>
  <c r="T167" i="19"/>
  <c r="S167" i="19"/>
  <c r="X166" i="19"/>
  <c r="W166" i="19"/>
  <c r="V166" i="19"/>
  <c r="U166" i="19"/>
  <c r="T166" i="19"/>
  <c r="S166" i="19"/>
  <c r="X165" i="19"/>
  <c r="T165" i="19"/>
  <c r="S165" i="19"/>
  <c r="X164" i="19"/>
  <c r="V164" i="19"/>
  <c r="U164" i="19"/>
  <c r="W164" i="19" s="1"/>
  <c r="T164" i="19"/>
  <c r="S164" i="19"/>
  <c r="X163" i="19"/>
  <c r="V163" i="19"/>
  <c r="T163" i="19"/>
  <c r="S163" i="19"/>
  <c r="X162" i="19"/>
  <c r="T162" i="19"/>
  <c r="V162" i="19" s="1"/>
  <c r="S162" i="19"/>
  <c r="X161" i="19"/>
  <c r="T161" i="19"/>
  <c r="S161" i="19"/>
  <c r="X160" i="19"/>
  <c r="T160" i="19"/>
  <c r="S160" i="19"/>
  <c r="X159" i="19"/>
  <c r="T159" i="19"/>
  <c r="S159" i="19"/>
  <c r="X158" i="19"/>
  <c r="T158" i="19"/>
  <c r="U158" i="19" s="1"/>
  <c r="S158" i="19"/>
  <c r="X157" i="19"/>
  <c r="T157" i="19"/>
  <c r="S157" i="19"/>
  <c r="V157" i="19" s="1"/>
  <c r="X156" i="19"/>
  <c r="U156" i="19"/>
  <c r="W156" i="19" s="1"/>
  <c r="T156" i="19"/>
  <c r="S156" i="19"/>
  <c r="V156" i="19" s="1"/>
  <c r="X155" i="19"/>
  <c r="T155" i="19"/>
  <c r="U155" i="19" s="1"/>
  <c r="S155" i="19"/>
  <c r="X154" i="19"/>
  <c r="T154" i="19"/>
  <c r="S154" i="19"/>
  <c r="X153" i="19"/>
  <c r="V153" i="19"/>
  <c r="T153" i="19"/>
  <c r="S153" i="19"/>
  <c r="X152" i="19"/>
  <c r="V152" i="19"/>
  <c r="T152" i="19"/>
  <c r="S152" i="19"/>
  <c r="U152" i="19" s="1"/>
  <c r="W152" i="19" s="1"/>
  <c r="X151" i="19"/>
  <c r="T151" i="19"/>
  <c r="S151" i="19"/>
  <c r="X150" i="19"/>
  <c r="T150" i="19"/>
  <c r="V150" i="19" s="1"/>
  <c r="S150" i="19"/>
  <c r="X149" i="19"/>
  <c r="T149" i="19"/>
  <c r="U149" i="19" s="1"/>
  <c r="S149" i="19"/>
  <c r="X148" i="19"/>
  <c r="U148" i="19"/>
  <c r="T148" i="19"/>
  <c r="S148" i="19"/>
  <c r="X147" i="19"/>
  <c r="T147" i="19"/>
  <c r="S147" i="19"/>
  <c r="X146" i="19"/>
  <c r="T146" i="19"/>
  <c r="U146" i="19" s="1"/>
  <c r="S146" i="19"/>
  <c r="X145" i="19"/>
  <c r="T145" i="19"/>
  <c r="S145" i="19"/>
  <c r="X144" i="19"/>
  <c r="T144" i="19"/>
  <c r="S144" i="19"/>
  <c r="X143" i="19"/>
  <c r="T143" i="19"/>
  <c r="S143" i="19"/>
  <c r="U143" i="19" s="1"/>
  <c r="X142" i="19"/>
  <c r="T142" i="19"/>
  <c r="S142" i="19"/>
  <c r="X141" i="19"/>
  <c r="W141" i="19"/>
  <c r="V141" i="19"/>
  <c r="U141" i="19"/>
  <c r="T141" i="19"/>
  <c r="S141" i="19"/>
  <c r="X140" i="19"/>
  <c r="T140" i="19"/>
  <c r="S140" i="19"/>
  <c r="U140" i="19" s="1"/>
  <c r="X139" i="19"/>
  <c r="V139" i="19"/>
  <c r="T139" i="19"/>
  <c r="U139" i="19" s="1"/>
  <c r="W139" i="19" s="1"/>
  <c r="S139" i="19"/>
  <c r="X138" i="19"/>
  <c r="W138" i="19"/>
  <c r="U138" i="19"/>
  <c r="T138" i="19"/>
  <c r="V138" i="19" s="1"/>
  <c r="S138" i="19"/>
  <c r="X137" i="19"/>
  <c r="U137" i="19"/>
  <c r="T137" i="19"/>
  <c r="S137" i="19"/>
  <c r="V137" i="19" s="1"/>
  <c r="X136" i="19"/>
  <c r="T136" i="19"/>
  <c r="U136" i="19" s="1"/>
  <c r="S136" i="19"/>
  <c r="X135" i="19"/>
  <c r="T135" i="19"/>
  <c r="S135" i="19"/>
  <c r="X134" i="19"/>
  <c r="T134" i="19"/>
  <c r="S134" i="19"/>
  <c r="X133" i="19"/>
  <c r="V133" i="19"/>
  <c r="U133" i="19"/>
  <c r="T133" i="19"/>
  <c r="S133" i="19"/>
  <c r="X132" i="19"/>
  <c r="T132" i="19"/>
  <c r="S132" i="19"/>
  <c r="U132" i="19" s="1"/>
  <c r="X131" i="19"/>
  <c r="T131" i="19"/>
  <c r="S131" i="19"/>
  <c r="U131" i="19" s="1"/>
  <c r="X130" i="19"/>
  <c r="U130" i="19"/>
  <c r="W130" i="19" s="1"/>
  <c r="T130" i="19"/>
  <c r="V130" i="19" s="1"/>
  <c r="S130" i="19"/>
  <c r="X129" i="19"/>
  <c r="T129" i="19"/>
  <c r="S129" i="19"/>
  <c r="X128" i="19"/>
  <c r="W128" i="19"/>
  <c r="U128" i="19"/>
  <c r="T128" i="19"/>
  <c r="V128" i="19" s="1"/>
  <c r="S128" i="19"/>
  <c r="X127" i="19"/>
  <c r="U127" i="19"/>
  <c r="T127" i="19"/>
  <c r="S127" i="19"/>
  <c r="V127" i="19" s="1"/>
  <c r="X126" i="19"/>
  <c r="T126" i="19"/>
  <c r="V126" i="19" s="1"/>
  <c r="S126" i="19"/>
  <c r="X125" i="19"/>
  <c r="T125" i="19"/>
  <c r="V125" i="19" s="1"/>
  <c r="S125" i="19"/>
  <c r="X124" i="19"/>
  <c r="T124" i="19"/>
  <c r="U124" i="19" s="1"/>
  <c r="S124" i="19"/>
  <c r="X123" i="19"/>
  <c r="T123" i="19"/>
  <c r="S123" i="19"/>
  <c r="X122" i="19"/>
  <c r="U122" i="19"/>
  <c r="T122" i="19"/>
  <c r="S122" i="19"/>
  <c r="X121" i="19"/>
  <c r="T121" i="19"/>
  <c r="S121" i="19"/>
  <c r="X120" i="19"/>
  <c r="T120" i="19"/>
  <c r="S120" i="19"/>
  <c r="X119" i="19"/>
  <c r="T119" i="19"/>
  <c r="S119" i="19"/>
  <c r="X118" i="19"/>
  <c r="T118" i="19"/>
  <c r="S118" i="19"/>
  <c r="X117" i="19"/>
  <c r="V117" i="19"/>
  <c r="U117" i="19"/>
  <c r="W117" i="19" s="1"/>
  <c r="T117" i="19"/>
  <c r="S117" i="19"/>
  <c r="X116" i="19"/>
  <c r="T116" i="19"/>
  <c r="S116" i="19"/>
  <c r="U116" i="19" s="1"/>
  <c r="X115" i="19"/>
  <c r="T115" i="19"/>
  <c r="V115" i="19" s="1"/>
  <c r="S115" i="19"/>
  <c r="X114" i="19"/>
  <c r="U114" i="19"/>
  <c r="W114" i="19" s="1"/>
  <c r="T114" i="19"/>
  <c r="V114" i="19" s="1"/>
  <c r="S114" i="19"/>
  <c r="X113" i="19"/>
  <c r="T113" i="19"/>
  <c r="V113" i="19" s="1"/>
  <c r="S113" i="19"/>
  <c r="X112" i="19"/>
  <c r="T112" i="19"/>
  <c r="S112" i="19"/>
  <c r="X111" i="19"/>
  <c r="V111" i="19"/>
  <c r="T111" i="19"/>
  <c r="U111" i="19" s="1"/>
  <c r="W111" i="19" s="1"/>
  <c r="S111" i="19"/>
  <c r="X110" i="19"/>
  <c r="T110" i="19"/>
  <c r="S110" i="19"/>
  <c r="X109" i="19"/>
  <c r="T109" i="19"/>
  <c r="S109" i="19"/>
  <c r="V109" i="19" s="1"/>
  <c r="X108" i="19"/>
  <c r="T108" i="19"/>
  <c r="S108" i="19"/>
  <c r="U108" i="19" s="1"/>
  <c r="X107" i="19"/>
  <c r="U107" i="19"/>
  <c r="T107" i="19"/>
  <c r="S107" i="19"/>
  <c r="X106" i="19"/>
  <c r="U106" i="19"/>
  <c r="W106" i="19" s="1"/>
  <c r="T106" i="19"/>
  <c r="V106" i="19" s="1"/>
  <c r="S106" i="19"/>
  <c r="X105" i="19"/>
  <c r="T105" i="19"/>
  <c r="S105" i="19"/>
  <c r="X104" i="19"/>
  <c r="U104" i="19"/>
  <c r="W104" i="19" s="1"/>
  <c r="T104" i="19"/>
  <c r="V104" i="19" s="1"/>
  <c r="S104" i="19"/>
  <c r="X103" i="19"/>
  <c r="T103" i="19"/>
  <c r="S103" i="19"/>
  <c r="V103" i="19" s="1"/>
  <c r="X102" i="19"/>
  <c r="T102" i="19"/>
  <c r="S102" i="19"/>
  <c r="X101" i="19"/>
  <c r="V101" i="19"/>
  <c r="T101" i="19"/>
  <c r="U101" i="19" s="1"/>
  <c r="W101" i="19" s="1"/>
  <c r="S101" i="19"/>
  <c r="X100" i="19"/>
  <c r="U100" i="19"/>
  <c r="T100" i="19"/>
  <c r="S100" i="19"/>
  <c r="X99" i="19"/>
  <c r="T99" i="19"/>
  <c r="U99" i="19" s="1"/>
  <c r="S99" i="19"/>
  <c r="X98" i="19"/>
  <c r="T98" i="19"/>
  <c r="S98" i="19"/>
  <c r="X97" i="19"/>
  <c r="T97" i="19"/>
  <c r="S97" i="19"/>
  <c r="X96" i="19"/>
  <c r="T96" i="19"/>
  <c r="V96" i="19" s="1"/>
  <c r="S96" i="19"/>
  <c r="X95" i="19"/>
  <c r="T95" i="19"/>
  <c r="S95" i="19"/>
  <c r="X94" i="19"/>
  <c r="T94" i="19"/>
  <c r="S94" i="19"/>
  <c r="X93" i="19"/>
  <c r="W93" i="19"/>
  <c r="V93" i="19"/>
  <c r="U93" i="19"/>
  <c r="T93" i="19"/>
  <c r="S93" i="19"/>
  <c r="X92" i="19"/>
  <c r="T92" i="19"/>
  <c r="S92" i="19"/>
  <c r="U92" i="19" s="1"/>
  <c r="X91" i="19"/>
  <c r="V91" i="19"/>
  <c r="T91" i="19"/>
  <c r="U91" i="19" s="1"/>
  <c r="W91" i="19" s="1"/>
  <c r="S91" i="19"/>
  <c r="X90" i="19"/>
  <c r="U90" i="19"/>
  <c r="W90" i="19" s="1"/>
  <c r="T90" i="19"/>
  <c r="V90" i="19" s="1"/>
  <c r="S90" i="19"/>
  <c r="X89" i="19"/>
  <c r="V89" i="19"/>
  <c r="U89" i="19"/>
  <c r="W89" i="19" s="1"/>
  <c r="T89" i="19"/>
  <c r="S89" i="19"/>
  <c r="X88" i="19"/>
  <c r="T88" i="19"/>
  <c r="S88" i="19"/>
  <c r="X87" i="19"/>
  <c r="V87" i="19"/>
  <c r="T87" i="19"/>
  <c r="U87" i="19" s="1"/>
  <c r="W87" i="19" s="1"/>
  <c r="S87" i="19"/>
  <c r="X86" i="19"/>
  <c r="T86" i="19"/>
  <c r="S86" i="19"/>
  <c r="X85" i="19"/>
  <c r="T85" i="19"/>
  <c r="S85" i="19"/>
  <c r="V85" i="19" s="1"/>
  <c r="X84" i="19"/>
  <c r="T84" i="19"/>
  <c r="S84" i="19"/>
  <c r="U84" i="19" s="1"/>
  <c r="X83" i="19"/>
  <c r="T83" i="19"/>
  <c r="S83" i="19"/>
  <c r="X82" i="19"/>
  <c r="U82" i="19"/>
  <c r="W82" i="19" s="1"/>
  <c r="T82" i="19"/>
  <c r="V82" i="19" s="1"/>
  <c r="S82" i="19"/>
  <c r="X81" i="19"/>
  <c r="T81" i="19"/>
  <c r="S81" i="19"/>
  <c r="X80" i="19"/>
  <c r="U80" i="19"/>
  <c r="W80" i="19" s="1"/>
  <c r="T80" i="19"/>
  <c r="V80" i="19" s="1"/>
  <c r="S80" i="19"/>
  <c r="X79" i="19"/>
  <c r="V79" i="19"/>
  <c r="U79" i="19"/>
  <c r="W79" i="19" s="1"/>
  <c r="T79" i="19"/>
  <c r="S79" i="19"/>
  <c r="X78" i="19"/>
  <c r="T78" i="19"/>
  <c r="S78" i="19"/>
  <c r="X77" i="19"/>
  <c r="T77" i="19"/>
  <c r="U77" i="19" s="1"/>
  <c r="S77" i="19"/>
  <c r="X76" i="19"/>
  <c r="T76" i="19"/>
  <c r="S76" i="19"/>
  <c r="X75" i="19"/>
  <c r="T75" i="19"/>
  <c r="S75" i="19"/>
  <c r="X74" i="19"/>
  <c r="U74" i="19"/>
  <c r="T74" i="19"/>
  <c r="S74" i="19"/>
  <c r="X73" i="19"/>
  <c r="T73" i="19"/>
  <c r="S73" i="19"/>
  <c r="X72" i="19"/>
  <c r="U72" i="19"/>
  <c r="T72" i="19"/>
  <c r="S72" i="19"/>
  <c r="X71" i="19"/>
  <c r="T71" i="19"/>
  <c r="S71" i="19"/>
  <c r="V71" i="19" s="1"/>
  <c r="X70" i="19"/>
  <c r="T70" i="19"/>
  <c r="S70" i="19"/>
  <c r="X69" i="19"/>
  <c r="V69" i="19"/>
  <c r="W69" i="19" s="1"/>
  <c r="U69" i="19"/>
  <c r="T69" i="19"/>
  <c r="S69" i="19"/>
  <c r="X68" i="19"/>
  <c r="T68" i="19"/>
  <c r="S68" i="19"/>
  <c r="U68" i="19" s="1"/>
  <c r="X67" i="19"/>
  <c r="V67" i="19"/>
  <c r="U67" i="19"/>
  <c r="W67" i="19" s="1"/>
  <c r="T67" i="19"/>
  <c r="S67" i="19"/>
  <c r="X66" i="19"/>
  <c r="T66" i="19"/>
  <c r="S66" i="19"/>
  <c r="X65" i="19"/>
  <c r="T65" i="19"/>
  <c r="V65" i="19" s="1"/>
  <c r="S65" i="19"/>
  <c r="X64" i="19"/>
  <c r="T64" i="19"/>
  <c r="S64" i="19"/>
  <c r="X63" i="19"/>
  <c r="T63" i="19"/>
  <c r="V63" i="19" s="1"/>
  <c r="S63" i="19"/>
  <c r="X62" i="19"/>
  <c r="T62" i="19"/>
  <c r="S62" i="19"/>
  <c r="X61" i="19"/>
  <c r="V61" i="19"/>
  <c r="U61" i="19"/>
  <c r="W61" i="19" s="1"/>
  <c r="T61" i="19"/>
  <c r="S61" i="19"/>
  <c r="X60" i="19"/>
  <c r="T60" i="19"/>
  <c r="S60" i="19"/>
  <c r="X59" i="19"/>
  <c r="T59" i="19"/>
  <c r="S59" i="19"/>
  <c r="X58" i="19"/>
  <c r="V58" i="19"/>
  <c r="T58" i="19"/>
  <c r="S58" i="19"/>
  <c r="X57" i="19"/>
  <c r="T57" i="19"/>
  <c r="S57" i="19"/>
  <c r="X56" i="19"/>
  <c r="T56" i="19"/>
  <c r="S56" i="19"/>
  <c r="V56" i="19" s="1"/>
  <c r="X55" i="19"/>
  <c r="T55" i="19"/>
  <c r="V55" i="19" s="1"/>
  <c r="S55" i="19"/>
  <c r="X54" i="19"/>
  <c r="T54" i="19"/>
  <c r="S54" i="19"/>
  <c r="X53" i="19"/>
  <c r="V53" i="19"/>
  <c r="T53" i="19"/>
  <c r="U53" i="19" s="1"/>
  <c r="W53" i="19" s="1"/>
  <c r="S53" i="19"/>
  <c r="X52" i="19"/>
  <c r="T52" i="19"/>
  <c r="S52" i="19"/>
  <c r="X51" i="19"/>
  <c r="V51" i="19"/>
  <c r="U51" i="19"/>
  <c r="W51" i="19" s="1"/>
  <c r="T51" i="19"/>
  <c r="S51" i="19"/>
  <c r="X50" i="19"/>
  <c r="T50" i="19"/>
  <c r="U50" i="19" s="1"/>
  <c r="S50" i="19"/>
  <c r="X49" i="19"/>
  <c r="T49" i="19"/>
  <c r="U49" i="19" s="1"/>
  <c r="S49" i="19"/>
  <c r="X48" i="19"/>
  <c r="T48" i="19"/>
  <c r="S48" i="19"/>
  <c r="X47" i="19"/>
  <c r="T47" i="19"/>
  <c r="V47" i="19" s="1"/>
  <c r="S47" i="19"/>
  <c r="X46" i="19"/>
  <c r="T46" i="19"/>
  <c r="S46" i="19"/>
  <c r="X45" i="19"/>
  <c r="T45" i="19"/>
  <c r="V45" i="19" s="1"/>
  <c r="S45" i="19"/>
  <c r="X44" i="19"/>
  <c r="T44" i="19"/>
  <c r="S44" i="19"/>
  <c r="X43" i="19"/>
  <c r="T43" i="19"/>
  <c r="V43" i="19" s="1"/>
  <c r="S43" i="19"/>
  <c r="X42" i="19"/>
  <c r="T42" i="19"/>
  <c r="S42" i="19"/>
  <c r="X41" i="19"/>
  <c r="T41" i="19"/>
  <c r="U41" i="19" s="1"/>
  <c r="S41" i="19"/>
  <c r="X40" i="19"/>
  <c r="V40" i="19"/>
  <c r="T40" i="19"/>
  <c r="S40" i="19"/>
  <c r="X39" i="19"/>
  <c r="T39" i="19"/>
  <c r="V39" i="19" s="1"/>
  <c r="S39" i="19"/>
  <c r="X38" i="19"/>
  <c r="T38" i="19"/>
  <c r="U38" i="19" s="1"/>
  <c r="S38" i="19"/>
  <c r="X37" i="19"/>
  <c r="T37" i="19"/>
  <c r="S37" i="19"/>
  <c r="X36" i="19"/>
  <c r="T36" i="19"/>
  <c r="U36" i="19" s="1"/>
  <c r="S36" i="19"/>
  <c r="X35" i="19"/>
  <c r="T35" i="19"/>
  <c r="S35" i="19"/>
  <c r="X34" i="19"/>
  <c r="T34" i="19"/>
  <c r="U34" i="19" s="1"/>
  <c r="S34" i="19"/>
  <c r="X33" i="19"/>
  <c r="T33" i="19"/>
  <c r="S33" i="19"/>
  <c r="X32" i="19"/>
  <c r="T32" i="19"/>
  <c r="S32" i="19"/>
  <c r="X31" i="19"/>
  <c r="T31" i="19"/>
  <c r="V31" i="19" s="1"/>
  <c r="S31" i="19"/>
  <c r="X30" i="19"/>
  <c r="T30" i="19"/>
  <c r="S30" i="19"/>
  <c r="V30" i="19" s="1"/>
  <c r="X29" i="19"/>
  <c r="V29" i="19"/>
  <c r="W29" i="19" s="1"/>
  <c r="T29" i="19"/>
  <c r="U29" i="19" s="1"/>
  <c r="S29" i="19"/>
  <c r="X28" i="19"/>
  <c r="T28" i="19"/>
  <c r="S28" i="19"/>
  <c r="X27" i="19"/>
  <c r="V27" i="19"/>
  <c r="U27" i="19"/>
  <c r="W27" i="19" s="1"/>
  <c r="T27" i="19"/>
  <c r="S27" i="19"/>
  <c r="X26" i="19"/>
  <c r="T26" i="19"/>
  <c r="S26" i="19"/>
  <c r="V26" i="19" s="1"/>
  <c r="X25" i="19"/>
  <c r="T25" i="19"/>
  <c r="U25" i="19" s="1"/>
  <c r="S25" i="19"/>
  <c r="X24" i="19"/>
  <c r="T24" i="19"/>
  <c r="S24" i="19"/>
  <c r="X23" i="19"/>
  <c r="T23" i="19"/>
  <c r="V23" i="19" s="1"/>
  <c r="S23" i="19"/>
  <c r="X22" i="19"/>
  <c r="T22" i="19"/>
  <c r="S22" i="19"/>
  <c r="X21" i="19"/>
  <c r="T21" i="19"/>
  <c r="V21" i="19" s="1"/>
  <c r="S21" i="19"/>
  <c r="U21" i="19" s="1"/>
  <c r="W21" i="19" s="1"/>
  <c r="X20" i="19"/>
  <c r="T20" i="19"/>
  <c r="V20" i="19" s="1"/>
  <c r="S20" i="19"/>
  <c r="X19" i="19"/>
  <c r="V19" i="19"/>
  <c r="U19" i="19"/>
  <c r="W19" i="19" s="1"/>
  <c r="T19" i="19"/>
  <c r="S19" i="19"/>
  <c r="X18" i="19"/>
  <c r="T18" i="19"/>
  <c r="S18" i="19"/>
  <c r="X17" i="19"/>
  <c r="T17" i="19"/>
  <c r="U17" i="19" s="1"/>
  <c r="S17" i="19"/>
  <c r="X16" i="19"/>
  <c r="V16" i="19"/>
  <c r="T16" i="19"/>
  <c r="S16" i="19"/>
  <c r="X15" i="19"/>
  <c r="T15" i="19"/>
  <c r="V15" i="19" s="1"/>
  <c r="S15" i="19"/>
  <c r="X14" i="19"/>
  <c r="T14" i="19"/>
  <c r="U14" i="19" s="1"/>
  <c r="S14" i="19"/>
  <c r="X13" i="19"/>
  <c r="T13" i="19"/>
  <c r="S13" i="19"/>
  <c r="X12" i="19"/>
  <c r="T12" i="19"/>
  <c r="S12" i="19"/>
  <c r="X11" i="19"/>
  <c r="T11" i="19"/>
  <c r="S11" i="19"/>
  <c r="X10" i="19"/>
  <c r="T10" i="19"/>
  <c r="U10" i="19" s="1"/>
  <c r="S10" i="19"/>
  <c r="X9" i="19"/>
  <c r="T9" i="19"/>
  <c r="S9" i="19"/>
  <c r="X8" i="19"/>
  <c r="T8" i="19"/>
  <c r="U8" i="19" s="1"/>
  <c r="S8" i="19"/>
  <c r="X7" i="19"/>
  <c r="T7" i="19"/>
  <c r="V7" i="19" s="1"/>
  <c r="S7" i="19"/>
  <c r="X6" i="19"/>
  <c r="T6" i="19"/>
  <c r="U6" i="19" s="1"/>
  <c r="S6" i="19"/>
  <c r="X5" i="19"/>
  <c r="V5" i="19"/>
  <c r="T5" i="19"/>
  <c r="U5" i="19" s="1"/>
  <c r="W5" i="19" s="1"/>
  <c r="S5" i="19"/>
  <c r="X4" i="19"/>
  <c r="T4" i="19"/>
  <c r="V4" i="19" s="1"/>
  <c r="S4" i="19"/>
  <c r="X3" i="19"/>
  <c r="V3" i="19"/>
  <c r="U3" i="19"/>
  <c r="W3" i="19" s="1"/>
  <c r="T3" i="19"/>
  <c r="S3" i="19"/>
  <c r="X2" i="19"/>
  <c r="T2" i="19"/>
  <c r="S2" i="19"/>
  <c r="V2" i="19" s="1"/>
  <c r="H90" i="21" l="1"/>
  <c r="W175" i="19"/>
  <c r="W17" i="19"/>
  <c r="W99" i="19"/>
  <c r="W124" i="19"/>
  <c r="W131" i="19"/>
  <c r="W25" i="19"/>
  <c r="W72" i="19"/>
  <c r="W148" i="19"/>
  <c r="W77" i="19"/>
  <c r="W136" i="19"/>
  <c r="W8" i="19"/>
  <c r="W34" i="19"/>
  <c r="V221" i="19"/>
  <c r="W221" i="19" s="1"/>
  <c r="V154" i="19"/>
  <c r="U154" i="19"/>
  <c r="W154" i="19" s="1"/>
  <c r="V186" i="19"/>
  <c r="U186" i="19"/>
  <c r="W186" i="19" s="1"/>
  <c r="V222" i="19"/>
  <c r="U222" i="19"/>
  <c r="W222" i="19" s="1"/>
  <c r="V273" i="19"/>
  <c r="W273" i="19" s="1"/>
  <c r="U276" i="19"/>
  <c r="W276" i="19" s="1"/>
  <c r="W290" i="19"/>
  <c r="U2" i="19"/>
  <c r="W2" i="19" s="1"/>
  <c r="U15" i="19"/>
  <c r="W15" i="19" s="1"/>
  <c r="V25" i="19"/>
  <c r="U30" i="19"/>
  <c r="W30" i="19" s="1"/>
  <c r="U43" i="19"/>
  <c r="W43" i="19" s="1"/>
  <c r="U56" i="19"/>
  <c r="W56" i="19" s="1"/>
  <c r="U59" i="19"/>
  <c r="V59" i="19"/>
  <c r="U65" i="19"/>
  <c r="W65" i="19" s="1"/>
  <c r="V70" i="19"/>
  <c r="U70" i="19"/>
  <c r="W70" i="19" s="1"/>
  <c r="U85" i="19"/>
  <c r="W85" i="19" s="1"/>
  <c r="U96" i="19"/>
  <c r="W96" i="19" s="1"/>
  <c r="V121" i="19"/>
  <c r="U121" i="19"/>
  <c r="W127" i="19"/>
  <c r="W133" i="19"/>
  <c r="U238" i="19"/>
  <c r="W238" i="19" s="1"/>
  <c r="U260" i="19"/>
  <c r="W260" i="19" s="1"/>
  <c r="W270" i="19"/>
  <c r="V300" i="19"/>
  <c r="U300" i="19"/>
  <c r="W300" i="19" s="1"/>
  <c r="V102" i="19"/>
  <c r="U302" i="19"/>
  <c r="W302" i="19" s="1"/>
  <c r="V302" i="19"/>
  <c r="V17" i="19"/>
  <c r="U199" i="19"/>
  <c r="V41" i="19"/>
  <c r="W41" i="19" s="1"/>
  <c r="U26" i="19"/>
  <c r="W26" i="19" s="1"/>
  <c r="U39" i="19"/>
  <c r="W39" i="19" s="1"/>
  <c r="V49" i="19"/>
  <c r="W49" i="19" s="1"/>
  <c r="U54" i="19"/>
  <c r="V54" i="19"/>
  <c r="V57" i="19"/>
  <c r="U63" i="19"/>
  <c r="W63" i="19" s="1"/>
  <c r="V77" i="19"/>
  <c r="V94" i="19"/>
  <c r="U94" i="19"/>
  <c r="W94" i="19" s="1"/>
  <c r="U119" i="19"/>
  <c r="W119" i="19" s="1"/>
  <c r="V119" i="19"/>
  <c r="V131" i="19"/>
  <c r="V168" i="19"/>
  <c r="U168" i="19"/>
  <c r="W168" i="19" s="1"/>
  <c r="V184" i="19"/>
  <c r="U184" i="19"/>
  <c r="W184" i="19" s="1"/>
  <c r="U45" i="19"/>
  <c r="W45" i="19" s="1"/>
  <c r="U151" i="19"/>
  <c r="W151" i="19" s="1"/>
  <c r="V151" i="19"/>
  <c r="V316" i="19"/>
  <c r="U316" i="19"/>
  <c r="W316" i="19" s="1"/>
  <c r="U109" i="19"/>
  <c r="W109" i="19" s="1"/>
  <c r="U28" i="19"/>
  <c r="U213" i="19"/>
  <c r="V213" i="19"/>
  <c r="U311" i="19"/>
  <c r="V311" i="19"/>
  <c r="U12" i="19"/>
  <c r="V9" i="19"/>
  <c r="V35" i="19"/>
  <c r="U35" i="19"/>
  <c r="U306" i="19"/>
  <c r="V306" i="19"/>
  <c r="V118" i="19"/>
  <c r="U118" i="19"/>
  <c r="W118" i="19" s="1"/>
  <c r="V10" i="19"/>
  <c r="W10" i="19" s="1"/>
  <c r="U23" i="19"/>
  <c r="W23" i="19" s="1"/>
  <c r="W122" i="19"/>
  <c r="U233" i="19"/>
  <c r="W233" i="19" s="1"/>
  <c r="V233" i="19"/>
  <c r="V75" i="19"/>
  <c r="U75" i="19"/>
  <c r="V6" i="19"/>
  <c r="W6" i="19" s="1"/>
  <c r="U32" i="19"/>
  <c r="W32" i="19" s="1"/>
  <c r="V50" i="19"/>
  <c r="W50" i="19" s="1"/>
  <c r="V99" i="19"/>
  <c r="V144" i="19"/>
  <c r="U144" i="19"/>
  <c r="W144" i="19" s="1"/>
  <c r="U296" i="19"/>
  <c r="W296" i="19" s="1"/>
  <c r="U4" i="19"/>
  <c r="W4" i="19" s="1"/>
  <c r="V12" i="19"/>
  <c r="V22" i="19"/>
  <c r="V32" i="19"/>
  <c r="U102" i="19"/>
  <c r="W102" i="19" s="1"/>
  <c r="V136" i="19"/>
  <c r="U243" i="19"/>
  <c r="W243" i="19" s="1"/>
  <c r="V243" i="19"/>
  <c r="U293" i="19"/>
  <c r="W293" i="19" s="1"/>
  <c r="V296" i="19"/>
  <c r="U299" i="19"/>
  <c r="V299" i="19"/>
  <c r="V38" i="19"/>
  <c r="W38" i="19" s="1"/>
  <c r="U48" i="19"/>
  <c r="V48" i="19"/>
  <c r="V124" i="19"/>
  <c r="V112" i="19"/>
  <c r="U112" i="19"/>
  <c r="W112" i="19" s="1"/>
  <c r="W155" i="19"/>
  <c r="U174" i="19"/>
  <c r="V174" i="19"/>
  <c r="U219" i="19"/>
  <c r="V219" i="19"/>
  <c r="U267" i="19"/>
  <c r="V267" i="19"/>
  <c r="V13" i="19"/>
  <c r="V33" i="19"/>
  <c r="V36" i="19"/>
  <c r="W36" i="19" s="1"/>
  <c r="U162" i="19"/>
  <c r="W162" i="19" s="1"/>
  <c r="U167" i="19"/>
  <c r="W167" i="19" s="1"/>
  <c r="V167" i="19"/>
  <c r="V232" i="19"/>
  <c r="U232" i="19"/>
  <c r="W232" i="19" s="1"/>
  <c r="U13" i="19"/>
  <c r="W13" i="19" s="1"/>
  <c r="V28" i="19"/>
  <c r="V97" i="19"/>
  <c r="U97" i="19"/>
  <c r="W137" i="19"/>
  <c r="V146" i="19"/>
  <c r="W146" i="19" s="1"/>
  <c r="U159" i="19"/>
  <c r="V159" i="19"/>
  <c r="V199" i="19"/>
  <c r="U216" i="19"/>
  <c r="W216" i="19" s="1"/>
  <c r="U254" i="19"/>
  <c r="V254" i="19"/>
  <c r="V66" i="19"/>
  <c r="U66" i="19"/>
  <c r="W66" i="19" s="1"/>
  <c r="V143" i="19"/>
  <c r="W143" i="19" s="1"/>
  <c r="U203" i="19"/>
  <c r="V203" i="19"/>
  <c r="V210" i="19"/>
  <c r="U210" i="19"/>
  <c r="W210" i="19" s="1"/>
  <c r="W236" i="19"/>
  <c r="V8" i="19"/>
  <c r="U11" i="19"/>
  <c r="V11" i="19"/>
  <c r="V34" i="19"/>
  <c r="V37" i="19"/>
  <c r="U47" i="19"/>
  <c r="W47" i="19" s="1"/>
  <c r="U52" i="19"/>
  <c r="V175" i="19"/>
  <c r="V191" i="19"/>
  <c r="W191" i="19" s="1"/>
  <c r="U207" i="19"/>
  <c r="V207" i="19"/>
  <c r="U255" i="19"/>
  <c r="V255" i="19"/>
  <c r="V14" i="19"/>
  <c r="W14" i="19" s="1"/>
  <c r="U24" i="19"/>
  <c r="V24" i="19"/>
  <c r="U37" i="19"/>
  <c r="V52" i="19"/>
  <c r="U58" i="19"/>
  <c r="W58" i="19" s="1"/>
  <c r="V72" i="19"/>
  <c r="V78" i="19"/>
  <c r="U78" i="19"/>
  <c r="W78" i="19" s="1"/>
  <c r="U95" i="19"/>
  <c r="V95" i="19"/>
  <c r="U126" i="19"/>
  <c r="W126" i="19" s="1"/>
  <c r="W132" i="19"/>
  <c r="U135" i="19"/>
  <c r="U147" i="19"/>
  <c r="W147" i="19" s="1"/>
  <c r="V160" i="19"/>
  <c r="U160" i="19"/>
  <c r="W160" i="19" s="1"/>
  <c r="V172" i="19"/>
  <c r="U172" i="19"/>
  <c r="U227" i="19"/>
  <c r="V227" i="19"/>
  <c r="U234" i="19"/>
  <c r="V234" i="19"/>
  <c r="U246" i="19"/>
  <c r="V246" i="19"/>
  <c r="W275" i="19"/>
  <c r="V278" i="19"/>
  <c r="W278" i="19" s="1"/>
  <c r="V282" i="19"/>
  <c r="U282" i="19"/>
  <c r="W282" i="19" s="1"/>
  <c r="U129" i="19"/>
  <c r="W129" i="19" s="1"/>
  <c r="V134" i="19"/>
  <c r="U134" i="19"/>
  <c r="W134" i="19" s="1"/>
  <c r="U170" i="19"/>
  <c r="U194" i="19"/>
  <c r="V194" i="19"/>
  <c r="W197" i="19"/>
  <c r="U249" i="19"/>
  <c r="W249" i="19" s="1"/>
  <c r="V268" i="19"/>
  <c r="U268" i="19"/>
  <c r="W268" i="19" s="1"/>
  <c r="U285" i="19"/>
  <c r="V285" i="19"/>
  <c r="V68" i="19"/>
  <c r="W68" i="19" s="1"/>
  <c r="V100" i="19"/>
  <c r="W100" i="19" s="1"/>
  <c r="V107" i="19"/>
  <c r="W107" i="19" s="1"/>
  <c r="V122" i="19"/>
  <c r="V129" i="19"/>
  <c r="V149" i="19"/>
  <c r="W149" i="19" s="1"/>
  <c r="U165" i="19"/>
  <c r="V165" i="19"/>
  <c r="V170" i="19"/>
  <c r="U189" i="19"/>
  <c r="W189" i="19" s="1"/>
  <c r="V189" i="19"/>
  <c r="V197" i="19"/>
  <c r="U200" i="19"/>
  <c r="W200" i="19" s="1"/>
  <c r="V200" i="19"/>
  <c r="U208" i="19"/>
  <c r="W208" i="19" s="1"/>
  <c r="V230" i="19"/>
  <c r="W230" i="19" s="1"/>
  <c r="V236" i="19"/>
  <c r="V249" i="19"/>
  <c r="U314" i="19"/>
  <c r="V314" i="19"/>
  <c r="V64" i="19"/>
  <c r="V76" i="19"/>
  <c r="V83" i="19"/>
  <c r="V98" i="19"/>
  <c r="U115" i="19"/>
  <c r="W115" i="19" s="1"/>
  <c r="U125" i="19"/>
  <c r="W125" i="19" s="1"/>
  <c r="V155" i="19"/>
  <c r="V179" i="19"/>
  <c r="W179" i="19" s="1"/>
  <c r="U258" i="19"/>
  <c r="W258" i="19" s="1"/>
  <c r="U9" i="19"/>
  <c r="W9" i="19" s="1"/>
  <c r="U33" i="19"/>
  <c r="W33" i="19" s="1"/>
  <c r="U57" i="19"/>
  <c r="W57" i="19" s="1"/>
  <c r="U76" i="19"/>
  <c r="V135" i="19"/>
  <c r="V142" i="19"/>
  <c r="U142" i="19"/>
  <c r="W142" i="19" s="1"/>
  <c r="U250" i="19"/>
  <c r="W250" i="19" s="1"/>
  <c r="U18" i="19"/>
  <c r="U42" i="19"/>
  <c r="U55" i="19"/>
  <c r="W55" i="19" s="1"/>
  <c r="V86" i="19"/>
  <c r="U86" i="19"/>
  <c r="W86" i="19" s="1"/>
  <c r="V73" i="19"/>
  <c r="U73" i="19"/>
  <c r="W73" i="19" s="1"/>
  <c r="V88" i="19"/>
  <c r="U105" i="19"/>
  <c r="W105" i="19" s="1"/>
  <c r="V110" i="19"/>
  <c r="U110" i="19"/>
  <c r="W110" i="19" s="1"/>
  <c r="V147" i="19"/>
  <c r="U206" i="19"/>
  <c r="W228" i="19"/>
  <c r="V280" i="19"/>
  <c r="U309" i="19"/>
  <c r="V309" i="19"/>
  <c r="U22" i="19"/>
  <c r="W22" i="19" s="1"/>
  <c r="U46" i="19"/>
  <c r="W46" i="19" s="1"/>
  <c r="U88" i="19"/>
  <c r="V105" i="19"/>
  <c r="U171" i="19"/>
  <c r="W171" i="19" s="1"/>
  <c r="V171" i="19"/>
  <c r="U201" i="19"/>
  <c r="W201" i="19" s="1"/>
  <c r="V206" i="19"/>
  <c r="U223" i="19"/>
  <c r="V239" i="19"/>
  <c r="W239" i="19" s="1"/>
  <c r="U244" i="19"/>
  <c r="W244" i="19" s="1"/>
  <c r="U263" i="19"/>
  <c r="V263" i="19"/>
  <c r="U266" i="19"/>
  <c r="W266" i="19" s="1"/>
  <c r="U280" i="19"/>
  <c r="U20" i="19"/>
  <c r="W20" i="19" s="1"/>
  <c r="U44" i="19"/>
  <c r="V46" i="19"/>
  <c r="U64" i="19"/>
  <c r="U71" i="19"/>
  <c r="W71" i="19" s="1"/>
  <c r="U83" i="19"/>
  <c r="W83" i="19" s="1"/>
  <c r="U98" i="19"/>
  <c r="W98" i="19" s="1"/>
  <c r="U103" i="19"/>
  <c r="W103" i="19" s="1"/>
  <c r="U113" i="19"/>
  <c r="W113" i="19" s="1"/>
  <c r="V120" i="19"/>
  <c r="U209" i="19"/>
  <c r="W209" i="19" s="1"/>
  <c r="V209" i="19"/>
  <c r="U212" i="19"/>
  <c r="W212" i="19" s="1"/>
  <c r="V223" i="19"/>
  <c r="U231" i="19"/>
  <c r="V231" i="19"/>
  <c r="V266" i="19"/>
  <c r="U286" i="19"/>
  <c r="W286" i="19" s="1"/>
  <c r="U7" i="19"/>
  <c r="W7" i="19" s="1"/>
  <c r="U31" i="19"/>
  <c r="W31" i="19" s="1"/>
  <c r="V44" i="19"/>
  <c r="U81" i="19"/>
  <c r="W81" i="19" s="1"/>
  <c r="U120" i="19"/>
  <c r="W120" i="19" s="1"/>
  <c r="V123" i="19"/>
  <c r="V145" i="19"/>
  <c r="U145" i="19"/>
  <c r="W145" i="19" s="1"/>
  <c r="U150" i="19"/>
  <c r="W150" i="19" s="1"/>
  <c r="V158" i="19"/>
  <c r="W158" i="19" s="1"/>
  <c r="U161" i="19"/>
  <c r="W161" i="19" s="1"/>
  <c r="V161" i="19"/>
  <c r="U177" i="19"/>
  <c r="V177" i="19"/>
  <c r="U190" i="19"/>
  <c r="W190" i="19" s="1"/>
  <c r="W204" i="19"/>
  <c r="U218" i="19"/>
  <c r="W218" i="19" s="1"/>
  <c r="U261" i="19"/>
  <c r="V261" i="19"/>
  <c r="V264" i="19"/>
  <c r="U264" i="19"/>
  <c r="V275" i="19"/>
  <c r="U16" i="19"/>
  <c r="W16" i="19" s="1"/>
  <c r="V18" i="19"/>
  <c r="U40" i="19"/>
  <c r="W40" i="19" s="1"/>
  <c r="V42" i="19"/>
  <c r="V62" i="19"/>
  <c r="U62" i="19"/>
  <c r="W62" i="19" s="1"/>
  <c r="V74" i="19"/>
  <c r="W74" i="19" s="1"/>
  <c r="V81" i="19"/>
  <c r="U123" i="19"/>
  <c r="W123" i="19" s="1"/>
  <c r="V148" i="19"/>
  <c r="U153" i="19"/>
  <c r="W153" i="19" s="1"/>
  <c r="W185" i="19"/>
  <c r="V218" i="19"/>
  <c r="U245" i="19"/>
  <c r="W245" i="19" s="1"/>
  <c r="U248" i="19"/>
  <c r="W248" i="19" s="1"/>
  <c r="V270" i="19"/>
  <c r="V304" i="19"/>
  <c r="U304" i="19"/>
  <c r="W304" i="19" s="1"/>
  <c r="V92" i="19"/>
  <c r="W92" i="19" s="1"/>
  <c r="V116" i="19"/>
  <c r="W116" i="19" s="1"/>
  <c r="V140" i="19"/>
  <c r="W140" i="19" s="1"/>
  <c r="U163" i="19"/>
  <c r="W163" i="19" s="1"/>
  <c r="U182" i="19"/>
  <c r="W182" i="19" s="1"/>
  <c r="U224" i="19"/>
  <c r="W224" i="19" s="1"/>
  <c r="V256" i="19"/>
  <c r="W256" i="19" s="1"/>
  <c r="U271" i="19"/>
  <c r="W271" i="19" s="1"/>
  <c r="U281" i="19"/>
  <c r="V281" i="19"/>
  <c r="U291" i="19"/>
  <c r="V291" i="19"/>
  <c r="V294" i="19"/>
  <c r="W294" i="19" s="1"/>
  <c r="U317" i="19"/>
  <c r="W317" i="19" s="1"/>
  <c r="V84" i="19"/>
  <c r="W84" i="19" s="1"/>
  <c r="V108" i="19"/>
  <c r="W108" i="19" s="1"/>
  <c r="V132" i="19"/>
  <c r="U173" i="19"/>
  <c r="W173" i="19" s="1"/>
  <c r="U195" i="19"/>
  <c r="W195" i="19" s="1"/>
  <c r="V195" i="19"/>
  <c r="U237" i="19"/>
  <c r="V237" i="19"/>
  <c r="U247" i="19"/>
  <c r="W247" i="19" s="1"/>
  <c r="U269" i="19"/>
  <c r="W269" i="19" s="1"/>
  <c r="W287" i="19"/>
  <c r="V292" i="19"/>
  <c r="U292" i="19"/>
  <c r="W292" i="19" s="1"/>
  <c r="U295" i="19"/>
  <c r="W295" i="19" s="1"/>
  <c r="U305" i="19"/>
  <c r="V305" i="19"/>
  <c r="V60" i="19"/>
  <c r="U60" i="19"/>
  <c r="U183" i="19"/>
  <c r="V183" i="19"/>
  <c r="W215" i="19"/>
  <c r="W257" i="19"/>
  <c r="W272" i="19"/>
  <c r="V287" i="19"/>
  <c r="V295" i="19"/>
  <c r="U308" i="19"/>
  <c r="W308" i="19" s="1"/>
  <c r="U315" i="19"/>
  <c r="U169" i="19"/>
  <c r="W169" i="19" s="1"/>
  <c r="U193" i="19"/>
  <c r="W193" i="19" s="1"/>
  <c r="U217" i="19"/>
  <c r="W217" i="19" s="1"/>
  <c r="U241" i="19"/>
  <c r="W241" i="19" s="1"/>
  <c r="U265" i="19"/>
  <c r="W265" i="19" s="1"/>
  <c r="U289" i="19"/>
  <c r="W289" i="19" s="1"/>
  <c r="U313" i="19"/>
  <c r="W313" i="19" s="1"/>
  <c r="V315" i="19"/>
  <c r="U187" i="19"/>
  <c r="W187" i="19" s="1"/>
  <c r="U211" i="19"/>
  <c r="W211" i="19" s="1"/>
  <c r="U235" i="19"/>
  <c r="W235" i="19" s="1"/>
  <c r="U259" i="19"/>
  <c r="W259" i="19" s="1"/>
  <c r="U283" i="19"/>
  <c r="W283" i="19" s="1"/>
  <c r="U307" i="19"/>
  <c r="W307" i="19" s="1"/>
  <c r="U279" i="19"/>
  <c r="W279" i="19" s="1"/>
  <c r="U303" i="19"/>
  <c r="W303" i="19" s="1"/>
  <c r="U157" i="19"/>
  <c r="W157" i="19" s="1"/>
  <c r="U181" i="19"/>
  <c r="W181" i="19" s="1"/>
  <c r="U205" i="19"/>
  <c r="W205" i="19" s="1"/>
  <c r="U229" i="19"/>
  <c r="W229" i="19" s="1"/>
  <c r="U253" i="19"/>
  <c r="W253" i="19" s="1"/>
  <c r="W135" i="19" l="1"/>
  <c r="W219" i="19"/>
  <c r="W237" i="19"/>
  <c r="W177" i="19"/>
  <c r="W11" i="19"/>
  <c r="W318" i="19" s="1"/>
  <c r="W254" i="19"/>
  <c r="W28" i="19"/>
  <c r="W59" i="19"/>
  <c r="W60" i="19"/>
  <c r="W223" i="19"/>
  <c r="W194" i="19"/>
  <c r="W234" i="19"/>
  <c r="W95" i="19"/>
  <c r="W255" i="19"/>
  <c r="W174" i="19"/>
  <c r="W299" i="19"/>
  <c r="W170" i="19"/>
  <c r="W42" i="19"/>
  <c r="W207" i="19"/>
  <c r="W315" i="19"/>
  <c r="W305" i="19"/>
  <c r="W264" i="19"/>
  <c r="W231" i="19"/>
  <c r="W206" i="19"/>
  <c r="W18" i="19"/>
  <c r="W172" i="19"/>
  <c r="W159" i="19"/>
  <c r="W75" i="19"/>
  <c r="W35" i="19"/>
  <c r="W121" i="19"/>
  <c r="W76" i="19"/>
  <c r="W291" i="19"/>
  <c r="W246" i="19"/>
  <c r="W165" i="19"/>
  <c r="W24" i="19"/>
  <c r="W267" i="19"/>
  <c r="W311" i="19"/>
  <c r="W54" i="19"/>
  <c r="W263" i="19"/>
  <c r="W309" i="19"/>
  <c r="W314" i="19"/>
  <c r="W213" i="19"/>
  <c r="W183" i="19"/>
  <c r="W281" i="19"/>
  <c r="W199" i="19"/>
  <c r="W64" i="19"/>
  <c r="W227" i="19"/>
  <c r="W306" i="19"/>
  <c r="W44" i="19"/>
  <c r="W203" i="19"/>
  <c r="W261" i="19"/>
  <c r="W280" i="19"/>
  <c r="W88" i="19"/>
  <c r="W285" i="19"/>
  <c r="W37" i="19"/>
  <c r="W52" i="19"/>
  <c r="W97" i="19"/>
  <c r="W48" i="19"/>
  <c r="W12" i="19"/>
  <c r="I3" i="13" l="1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2" i="13"/>
  <c r="J150" i="15" l="1"/>
  <c r="D14" i="10" s="1"/>
  <c r="L1744" i="1"/>
  <c r="L1743" i="1"/>
  <c r="L1742" i="1"/>
  <c r="L1735" i="1"/>
  <c r="L1732" i="1"/>
  <c r="L1729" i="1"/>
  <c r="L1725" i="1"/>
  <c r="L1719" i="1"/>
  <c r="L1718" i="1"/>
  <c r="L1714" i="1"/>
  <c r="L1701" i="1"/>
  <c r="L1700" i="1"/>
  <c r="L1699" i="1"/>
  <c r="L1695" i="1"/>
  <c r="L1694" i="1"/>
  <c r="L1690" i="1"/>
  <c r="L1687" i="1"/>
  <c r="L1675" i="1"/>
  <c r="L1674" i="1"/>
  <c r="L1670" i="1"/>
  <c r="L1668" i="1"/>
  <c r="L1652" i="1"/>
  <c r="L1650" i="1"/>
  <c r="L1634" i="1"/>
  <c r="L1620" i="1"/>
  <c r="L1619" i="1"/>
  <c r="L1607" i="1"/>
  <c r="L1606" i="1"/>
  <c r="L1596" i="1"/>
  <c r="L1595" i="1"/>
  <c r="L1594" i="1"/>
  <c r="L1591" i="1"/>
  <c r="L1588" i="1"/>
  <c r="L1587" i="1"/>
  <c r="L1581" i="1"/>
  <c r="L1580" i="1"/>
  <c r="L1577" i="1"/>
  <c r="L1569" i="1"/>
  <c r="L1566" i="1"/>
  <c r="L1557" i="1"/>
  <c r="L1553" i="1"/>
  <c r="L1550" i="1"/>
  <c r="L1524" i="1"/>
  <c r="L1522" i="1"/>
  <c r="L1521" i="1"/>
  <c r="L1511" i="1"/>
  <c r="L1510" i="1"/>
  <c r="L1504" i="1"/>
  <c r="L1493" i="1"/>
  <c r="L1492" i="1"/>
  <c r="L1491" i="1"/>
  <c r="L1490" i="1"/>
  <c r="L1489" i="1"/>
  <c r="L1457" i="1"/>
  <c r="L1333" i="1"/>
  <c r="L1327" i="1"/>
  <c r="L1318" i="1"/>
  <c r="L1317" i="1"/>
  <c r="L1316" i="1"/>
  <c r="L1315" i="1"/>
  <c r="L1314" i="1"/>
  <c r="L1296" i="1"/>
  <c r="L1295" i="1"/>
  <c r="L1287" i="1"/>
  <c r="L1286" i="1"/>
  <c r="L1243" i="1"/>
  <c r="L1241" i="1"/>
  <c r="L1221" i="1"/>
  <c r="L1191" i="1"/>
  <c r="L1183" i="1"/>
  <c r="L1182" i="1"/>
  <c r="L1179" i="1"/>
  <c r="L1174" i="1"/>
  <c r="L1148" i="1"/>
  <c r="L1146" i="1"/>
  <c r="L1139" i="1"/>
  <c r="L1131" i="1"/>
  <c r="L1129" i="1"/>
  <c r="L1116" i="1"/>
  <c r="L1084" i="1"/>
  <c r="L1069" i="1"/>
  <c r="L1062" i="1"/>
  <c r="L1061" i="1"/>
  <c r="L1059" i="1"/>
  <c r="L1057" i="1"/>
  <c r="L1039" i="1"/>
  <c r="L1033" i="1"/>
  <c r="L997" i="1"/>
  <c r="L989" i="1"/>
  <c r="L974" i="1"/>
  <c r="L973" i="1"/>
  <c r="L966" i="1"/>
  <c r="L934" i="1"/>
  <c r="L928" i="1"/>
  <c r="L927" i="1"/>
  <c r="L925" i="1"/>
  <c r="L914" i="1"/>
  <c r="L898" i="1"/>
  <c r="L897" i="1"/>
  <c r="L883" i="1"/>
  <c r="L875" i="1"/>
  <c r="L864" i="1"/>
  <c r="L849" i="1"/>
  <c r="L841" i="1"/>
  <c r="L836" i="1"/>
  <c r="L834" i="1"/>
  <c r="L833" i="1"/>
  <c r="L826" i="1"/>
  <c r="L825" i="1"/>
  <c r="L824" i="1"/>
  <c r="L823" i="1"/>
  <c r="L822" i="1"/>
  <c r="L821" i="1"/>
  <c r="L820" i="1"/>
  <c r="L796" i="1"/>
  <c r="L774" i="1"/>
  <c r="L740" i="1"/>
  <c r="L727" i="1"/>
  <c r="L726" i="1"/>
  <c r="L725" i="1"/>
  <c r="L724" i="1"/>
  <c r="L723" i="1"/>
  <c r="L722" i="1"/>
  <c r="L721" i="1"/>
  <c r="L720" i="1"/>
  <c r="L708" i="1"/>
  <c r="L686" i="1"/>
  <c r="L680" i="1"/>
  <c r="L677" i="1"/>
  <c r="L675" i="1"/>
  <c r="L666" i="1"/>
  <c r="L663" i="1"/>
  <c r="L661" i="1"/>
  <c r="L650" i="1"/>
  <c r="L634" i="1"/>
  <c r="L613" i="1"/>
  <c r="L529" i="1"/>
  <c r="L496" i="1"/>
  <c r="L494" i="1"/>
  <c r="L491" i="1"/>
  <c r="L474" i="1"/>
  <c r="L442" i="1"/>
  <c r="L418" i="1"/>
  <c r="L406" i="1"/>
  <c r="L405" i="1"/>
  <c r="L395" i="1"/>
  <c r="L380" i="1"/>
  <c r="L379" i="1"/>
  <c r="L378" i="1"/>
  <c r="L373" i="1"/>
  <c r="L367" i="1"/>
  <c r="L364" i="1"/>
  <c r="L331" i="1"/>
  <c r="L321" i="1"/>
  <c r="L309" i="1"/>
  <c r="L269" i="1"/>
  <c r="L252" i="1"/>
  <c r="L251" i="1"/>
  <c r="L241" i="1"/>
  <c r="L226" i="1"/>
  <c r="L216" i="1"/>
  <c r="L215" i="1"/>
  <c r="L209" i="1"/>
  <c r="L199" i="1"/>
  <c r="L195" i="1"/>
  <c r="L186" i="1"/>
  <c r="L145" i="1"/>
  <c r="L140" i="1"/>
  <c r="L134" i="1"/>
  <c r="L130" i="1"/>
  <c r="L101" i="1"/>
  <c r="L100" i="1"/>
  <c r="L60" i="1"/>
  <c r="L59" i="1"/>
  <c r="H89" i="13"/>
  <c r="G89" i="13"/>
  <c r="N9" i="10"/>
  <c r="F89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46" i="11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144" i="4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2" i="11"/>
  <c r="N10" i="10"/>
  <c r="N8" i="10"/>
  <c r="N12" i="10" l="1"/>
  <c r="H90" i="13"/>
  <c r="H8" i="10" l="1"/>
  <c r="H70" i="3"/>
  <c r="H69" i="3"/>
  <c r="H67" i="3"/>
  <c r="H66" i="3"/>
  <c r="H65" i="3"/>
  <c r="H64" i="3"/>
  <c r="H63" i="3"/>
  <c r="H62" i="3"/>
  <c r="H59" i="3"/>
  <c r="H55" i="3"/>
  <c r="H54" i="3"/>
  <c r="H53" i="3"/>
  <c r="H52" i="3"/>
  <c r="H48" i="3"/>
  <c r="H47" i="3"/>
  <c r="H46" i="3"/>
  <c r="H45" i="3"/>
  <c r="H44" i="3"/>
  <c r="H41" i="3"/>
  <c r="H39" i="3"/>
  <c r="H38" i="3"/>
  <c r="H37" i="3"/>
  <c r="H36" i="3"/>
  <c r="H35" i="3"/>
  <c r="H31" i="3"/>
  <c r="H30" i="3"/>
  <c r="H28" i="3"/>
  <c r="H23" i="3"/>
  <c r="H22" i="3"/>
  <c r="H21" i="3"/>
  <c r="H20" i="3"/>
  <c r="H19" i="3"/>
  <c r="H17" i="3"/>
  <c r="H14" i="3"/>
  <c r="H10" i="3"/>
  <c r="H9" i="3"/>
  <c r="H8" i="3"/>
  <c r="H7" i="3"/>
  <c r="H6" i="3"/>
  <c r="H5" i="3"/>
  <c r="H4" i="3"/>
  <c r="H3" i="3"/>
  <c r="H2" i="3"/>
  <c r="A3" i="3"/>
  <c r="K3" i="3" s="1"/>
  <c r="A4" i="3"/>
  <c r="K4" i="3" s="1"/>
  <c r="A5" i="3"/>
  <c r="K5" i="3" s="1"/>
  <c r="K2" i="3"/>
  <c r="K1774" i="6"/>
  <c r="K1761" i="6"/>
  <c r="K1749" i="6"/>
  <c r="K1723" i="6"/>
  <c r="K1722" i="6"/>
  <c r="K1697" i="6"/>
  <c r="K1671" i="6"/>
  <c r="K1661" i="6"/>
  <c r="K1645" i="6"/>
  <c r="K1644" i="6"/>
  <c r="K1643" i="6"/>
  <c r="K1640" i="6"/>
  <c r="K1634" i="6"/>
  <c r="K1624" i="6"/>
  <c r="K1611" i="6"/>
  <c r="K1610" i="6"/>
  <c r="K1601" i="6"/>
  <c r="K1600" i="6"/>
  <c r="K1597" i="6"/>
  <c r="K1589" i="6"/>
  <c r="K1584" i="6"/>
  <c r="K1576" i="6"/>
  <c r="K1573" i="6"/>
  <c r="K1561" i="6"/>
  <c r="K1560" i="6"/>
  <c r="K1559" i="6"/>
  <c r="K1554" i="6"/>
  <c r="K1542" i="6"/>
  <c r="K1513" i="6"/>
  <c r="K1509" i="6"/>
  <c r="K1493" i="6"/>
  <c r="K1488" i="6"/>
  <c r="K1483" i="6"/>
  <c r="K1480" i="6"/>
  <c r="K1478" i="6"/>
  <c r="K1475" i="6"/>
  <c r="K1469" i="6"/>
  <c r="K1461" i="6"/>
  <c r="K1439" i="6"/>
  <c r="K1433" i="6"/>
  <c r="K1423" i="6"/>
  <c r="K1415" i="6"/>
  <c r="K1397" i="6"/>
  <c r="K1386" i="6"/>
  <c r="K1382" i="6"/>
  <c r="K1371" i="6"/>
  <c r="K1369" i="6"/>
  <c r="K1368" i="6"/>
  <c r="K1361" i="6"/>
  <c r="K1358" i="6"/>
  <c r="K1354" i="6"/>
  <c r="K1352" i="6"/>
  <c r="K1321" i="6"/>
  <c r="K1250" i="6"/>
  <c r="K1249" i="6"/>
  <c r="K1206" i="6"/>
  <c r="K1200" i="6"/>
  <c r="K1184" i="6"/>
  <c r="K1182" i="6"/>
  <c r="K1066" i="6"/>
  <c r="K1044" i="6"/>
  <c r="K1028" i="6"/>
  <c r="K1024" i="6"/>
  <c r="K1007" i="6"/>
  <c r="K994" i="6"/>
  <c r="K949" i="6"/>
  <c r="K940" i="6"/>
  <c r="K910" i="6"/>
  <c r="K819" i="6"/>
  <c r="K743" i="6"/>
  <c r="K728" i="6"/>
  <c r="K609" i="6"/>
  <c r="K587" i="6"/>
  <c r="K563" i="6"/>
  <c r="K489" i="6"/>
  <c r="K473" i="6"/>
  <c r="K441" i="6"/>
  <c r="K418" i="6"/>
  <c r="K396" i="6"/>
  <c r="K258" i="6"/>
  <c r="K244" i="6"/>
  <c r="K217" i="6"/>
  <c r="K189" i="6"/>
  <c r="K107" i="6"/>
  <c r="K82" i="6"/>
  <c r="K60" i="6"/>
  <c r="K48" i="6"/>
  <c r="I1788" i="6"/>
  <c r="I1774" i="6"/>
  <c r="I1773" i="6"/>
  <c r="I1765" i="6"/>
  <c r="I1761" i="6"/>
  <c r="I1760" i="6"/>
  <c r="I1749" i="6"/>
  <c r="I1733" i="6"/>
  <c r="I1723" i="6"/>
  <c r="I1722" i="6"/>
  <c r="I1708" i="6"/>
  <c r="I1707" i="6"/>
  <c r="I1700" i="6"/>
  <c r="I1697" i="6"/>
  <c r="I1691" i="6"/>
  <c r="I1684" i="6"/>
  <c r="I1683" i="6"/>
  <c r="I1672" i="6"/>
  <c r="I1671" i="6"/>
  <c r="I1661" i="6"/>
  <c r="I1660" i="6"/>
  <c r="I1645" i="6"/>
  <c r="I1644" i="6"/>
  <c r="I1643" i="6"/>
  <c r="I1642" i="6"/>
  <c r="I1640" i="6"/>
  <c r="I1634" i="6"/>
  <c r="I1624" i="6"/>
  <c r="I1613" i="6"/>
  <c r="I1612" i="6"/>
  <c r="I1611" i="6"/>
  <c r="I1610" i="6"/>
  <c r="I1602" i="6"/>
  <c r="I1601" i="6"/>
  <c r="I1600" i="6"/>
  <c r="I1599" i="6"/>
  <c r="I1597" i="6"/>
  <c r="I1589" i="6"/>
  <c r="I1586" i="6"/>
  <c r="I1584" i="6"/>
  <c r="I1576" i="6"/>
  <c r="I1573" i="6"/>
  <c r="I1561" i="6"/>
  <c r="I1560" i="6"/>
  <c r="I1559" i="6"/>
  <c r="I1554" i="6"/>
  <c r="I1551" i="6"/>
  <c r="I1542" i="6"/>
  <c r="I1514" i="6"/>
  <c r="I1513" i="6"/>
  <c r="I1509" i="6"/>
  <c r="I1504" i="6"/>
  <c r="I1493" i="6"/>
  <c r="I1489" i="6"/>
  <c r="I1488" i="6"/>
  <c r="I1483" i="6"/>
  <c r="I1480" i="6"/>
  <c r="I1478" i="6"/>
  <c r="I1477" i="6"/>
  <c r="I1475" i="6"/>
  <c r="I1469" i="6"/>
  <c r="I1461" i="6"/>
  <c r="I1458" i="6"/>
  <c r="I1451" i="6"/>
  <c r="I1441" i="6"/>
  <c r="I1439" i="6"/>
  <c r="I1433" i="6"/>
  <c r="I1423" i="6"/>
  <c r="I1415" i="6"/>
  <c r="I1399" i="6"/>
  <c r="I1397" i="6"/>
  <c r="I1395" i="6"/>
  <c r="I1386" i="6"/>
  <c r="I1383" i="6"/>
  <c r="I1382" i="6"/>
  <c r="I1372" i="6"/>
  <c r="I1371" i="6"/>
  <c r="I1370" i="6"/>
  <c r="I1369" i="6"/>
  <c r="I1368" i="6"/>
  <c r="I1361" i="6"/>
  <c r="I1359" i="6"/>
  <c r="I1358" i="6"/>
  <c r="I1354" i="6"/>
  <c r="I1352" i="6"/>
  <c r="I1351" i="6"/>
  <c r="I1331" i="6"/>
  <c r="I1322" i="6"/>
  <c r="I1321" i="6"/>
  <c r="I1310" i="6"/>
  <c r="I1297" i="6"/>
  <c r="I1291" i="6"/>
  <c r="I1284" i="6"/>
  <c r="I1267" i="6"/>
  <c r="I1264" i="6"/>
  <c r="I1263" i="6"/>
  <c r="I1262" i="6"/>
  <c r="I1250" i="6"/>
  <c r="I1249" i="6"/>
  <c r="I1243" i="6"/>
  <c r="I1214" i="6"/>
  <c r="I1206" i="6"/>
  <c r="I1204" i="6"/>
  <c r="I1200" i="6"/>
  <c r="I1199" i="6"/>
  <c r="I1198" i="6"/>
  <c r="I1195" i="6"/>
  <c r="I1184" i="6"/>
  <c r="I1182" i="6"/>
  <c r="I1180" i="6"/>
  <c r="I1153" i="6"/>
  <c r="I1147" i="6"/>
  <c r="I1143" i="6"/>
  <c r="I1127" i="6"/>
  <c r="I1114" i="6"/>
  <c r="I1112" i="6"/>
  <c r="I1081" i="6"/>
  <c r="I1080" i="6"/>
  <c r="I1076" i="6"/>
  <c r="I1066" i="6"/>
  <c r="I1049" i="6"/>
  <c r="I1048" i="6"/>
  <c r="I1044" i="6"/>
  <c r="I1028" i="6"/>
  <c r="I1024" i="6"/>
  <c r="I1010" i="6"/>
  <c r="I1007" i="6"/>
  <c r="I994" i="6"/>
  <c r="I987" i="6"/>
  <c r="I964" i="6"/>
  <c r="I961" i="6"/>
  <c r="I954" i="6"/>
  <c r="I949" i="6"/>
  <c r="I944" i="6"/>
  <c r="I943" i="6"/>
  <c r="I940" i="6"/>
  <c r="I936" i="6"/>
  <c r="I913" i="6"/>
  <c r="I910" i="6"/>
  <c r="I901" i="6"/>
  <c r="I895" i="6"/>
  <c r="I892" i="6"/>
  <c r="I883" i="6"/>
  <c r="I865" i="6"/>
  <c r="I854" i="6"/>
  <c r="I847" i="6"/>
  <c r="I840" i="6"/>
  <c r="I835" i="6"/>
  <c r="I823" i="6"/>
  <c r="I819" i="6"/>
  <c r="I815" i="6"/>
  <c r="I779" i="6"/>
  <c r="I770" i="6"/>
  <c r="I766" i="6"/>
  <c r="I765" i="6"/>
  <c r="I746" i="6"/>
  <c r="I743" i="6"/>
  <c r="I739" i="6"/>
  <c r="I728" i="6"/>
  <c r="I703" i="6"/>
  <c r="I697" i="6"/>
  <c r="I690" i="6"/>
  <c r="I682" i="6"/>
  <c r="I609" i="6"/>
  <c r="I587" i="6"/>
  <c r="I574" i="6"/>
  <c r="I568" i="6"/>
  <c r="I567" i="6"/>
  <c r="I566" i="6"/>
  <c r="I565" i="6"/>
  <c r="I564" i="6"/>
  <c r="I563" i="6"/>
  <c r="I547" i="6"/>
  <c r="I534" i="6"/>
  <c r="I531" i="6"/>
  <c r="I526" i="6"/>
  <c r="I515" i="6"/>
  <c r="I514" i="6"/>
  <c r="I504" i="6"/>
  <c r="I495" i="6"/>
  <c r="I492" i="6"/>
  <c r="I489" i="6"/>
  <c r="I473" i="6"/>
  <c r="I469" i="6"/>
  <c r="I441" i="6"/>
  <c r="I437" i="6"/>
  <c r="I427" i="6"/>
  <c r="I418" i="6"/>
  <c r="I407" i="6"/>
  <c r="I406" i="6"/>
  <c r="I396" i="6"/>
  <c r="I392" i="6"/>
  <c r="I384" i="6"/>
  <c r="I355" i="6"/>
  <c r="I333" i="6"/>
  <c r="I324" i="6"/>
  <c r="I281" i="6"/>
  <c r="I263" i="6"/>
  <c r="I259" i="6"/>
  <c r="I258" i="6"/>
  <c r="I256" i="6"/>
  <c r="I244" i="6"/>
  <c r="I217" i="6"/>
  <c r="I210" i="6"/>
  <c r="I202" i="6"/>
  <c r="I189" i="6"/>
  <c r="I186" i="6"/>
  <c r="I180" i="6"/>
  <c r="I178" i="6"/>
  <c r="I177" i="6"/>
  <c r="I170" i="6"/>
  <c r="I153" i="6"/>
  <c r="I139" i="6"/>
  <c r="I132" i="6"/>
  <c r="I107" i="6"/>
  <c r="I98" i="6"/>
  <c r="I95" i="6"/>
  <c r="I82" i="6"/>
  <c r="I60" i="6"/>
  <c r="I48" i="6"/>
  <c r="I46" i="6"/>
  <c r="I39" i="6"/>
  <c r="I34" i="6"/>
  <c r="I33" i="6"/>
  <c r="I15" i="6"/>
  <c r="I7" i="6"/>
  <c r="I6" i="6"/>
  <c r="I3" i="6"/>
  <c r="I2" i="6"/>
  <c r="A480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37" i="1"/>
  <c r="A75" i="1"/>
  <c r="A20" i="2"/>
  <c r="A21" i="2"/>
  <c r="A22" i="2"/>
  <c r="A23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464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465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466" i="2"/>
  <c r="A182" i="2"/>
  <c r="A467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468" i="2"/>
  <c r="A196" i="2"/>
  <c r="A197" i="2"/>
  <c r="A198" i="2"/>
  <c r="A199" i="2"/>
  <c r="A200" i="2"/>
  <c r="A201" i="2"/>
  <c r="A202" i="2"/>
  <c r="A203" i="2"/>
  <c r="A204" i="2"/>
  <c r="A205" i="2"/>
  <c r="A469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470" i="2"/>
  <c r="A273" i="2"/>
  <c r="A274" i="2"/>
  <c r="A275" i="2"/>
  <c r="A276" i="2"/>
  <c r="A277" i="2"/>
  <c r="A278" i="2"/>
  <c r="A279" i="2"/>
  <c r="A280" i="2"/>
  <c r="A281" i="2"/>
  <c r="A282" i="2"/>
  <c r="A283" i="2"/>
  <c r="A471" i="2"/>
  <c r="A284" i="2"/>
  <c r="A285" i="2"/>
  <c r="A286" i="2"/>
  <c r="A287" i="2"/>
  <c r="A288" i="2"/>
  <c r="A289" i="2"/>
  <c r="A290" i="2"/>
  <c r="A291" i="2"/>
  <c r="A292" i="2"/>
  <c r="A293" i="2"/>
  <c r="A472" i="2"/>
  <c r="A294" i="2"/>
  <c r="A473" i="2"/>
  <c r="A295" i="2"/>
  <c r="A296" i="2"/>
  <c r="A474" i="2"/>
  <c r="A297" i="2"/>
  <c r="A298" i="2"/>
  <c r="A299" i="2"/>
  <c r="A300" i="2"/>
  <c r="A301" i="2"/>
  <c r="A302" i="2"/>
  <c r="A303" i="2"/>
  <c r="A304" i="2"/>
  <c r="A305" i="2"/>
  <c r="A475" i="2"/>
  <c r="A306" i="2"/>
  <c r="A307" i="2"/>
  <c r="A308" i="2"/>
  <c r="A309" i="2"/>
  <c r="A310" i="2"/>
  <c r="A311" i="2"/>
  <c r="A312" i="2"/>
  <c r="A313" i="2"/>
  <c r="A314" i="2"/>
  <c r="A315" i="2"/>
  <c r="A476" i="2"/>
  <c r="A316" i="2"/>
  <c r="A477" i="2"/>
  <c r="A317" i="2"/>
  <c r="A318" i="2"/>
  <c r="A319" i="2"/>
  <c r="A320" i="2"/>
  <c r="A321" i="2"/>
  <c r="A322" i="2"/>
  <c r="A323" i="2"/>
  <c r="A324" i="2"/>
  <c r="A325" i="2"/>
  <c r="A326" i="2"/>
  <c r="A327" i="2"/>
  <c r="A478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479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84" i="2"/>
  <c r="A481" i="2"/>
  <c r="A483" i="2"/>
  <c r="A482" i="2"/>
  <c r="G8" i="10" l="1"/>
  <c r="I4" i="3"/>
  <c r="I2" i="3"/>
  <c r="I3" i="3"/>
  <c r="I5" i="3"/>
  <c r="A187" i="1" l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61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62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63" i="1"/>
  <c r="A64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65" i="1"/>
  <c r="A466" i="1"/>
  <c r="A467" i="1"/>
  <c r="A66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67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68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69" i="1"/>
  <c r="A70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71" i="1"/>
  <c r="A801" i="1"/>
  <c r="A802" i="1"/>
  <c r="A72" i="1"/>
  <c r="A803" i="1"/>
  <c r="A804" i="1"/>
  <c r="A73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74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76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77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78" i="1"/>
  <c r="A1080" i="1"/>
  <c r="A79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80" i="1"/>
  <c r="A1139" i="1"/>
  <c r="A1140" i="1"/>
  <c r="A1141" i="1"/>
  <c r="A1142" i="1"/>
  <c r="A1143" i="1"/>
  <c r="A81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82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83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84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85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86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87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88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89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90" i="1"/>
  <c r="A38" i="1"/>
  <c r="A91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92" i="1"/>
  <c r="A118" i="1"/>
  <c r="A93" i="1"/>
  <c r="A119" i="1"/>
  <c r="A120" i="1"/>
  <c r="A121" i="1"/>
  <c r="A122" i="1"/>
  <c r="A123" i="1"/>
  <c r="A124" i="1"/>
  <c r="A125" i="1"/>
  <c r="A126" i="1"/>
  <c r="A127" i="1"/>
  <c r="A128" i="1"/>
  <c r="A94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9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2" i="6"/>
  <c r="M2" i="6" s="1"/>
  <c r="A3" i="6"/>
  <c r="M3" i="6" s="1"/>
  <c r="A4" i="6"/>
  <c r="A5" i="6"/>
  <c r="A6" i="6"/>
  <c r="M6" i="6" s="1"/>
  <c r="A7" i="6"/>
  <c r="M7" i="6" s="1"/>
  <c r="A8" i="6"/>
  <c r="A9" i="6"/>
  <c r="A10" i="6"/>
  <c r="A11" i="6"/>
  <c r="A12" i="6"/>
  <c r="A13" i="6"/>
  <c r="A14" i="6"/>
  <c r="A15" i="6"/>
  <c r="M15" i="6" s="1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M33" i="6" s="1"/>
  <c r="A34" i="6"/>
  <c r="M34" i="6" s="1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M95" i="6" s="1"/>
  <c r="A96" i="6"/>
  <c r="A97" i="6"/>
  <c r="A98" i="6"/>
  <c r="M98" i="6" s="1"/>
  <c r="A99" i="6"/>
  <c r="A100" i="6"/>
  <c r="A101" i="6"/>
  <c r="A102" i="6"/>
  <c r="A103" i="6"/>
  <c r="A104" i="6"/>
  <c r="A68" i="3"/>
  <c r="K68" i="3" s="1"/>
  <c r="A16" i="3"/>
  <c r="K16" i="3" s="1"/>
  <c r="A49" i="3"/>
  <c r="K49" i="3" s="1"/>
  <c r="A50" i="3"/>
  <c r="K50" i="3" s="1"/>
  <c r="A9" i="3"/>
  <c r="K9" i="3" s="1"/>
  <c r="A28" i="3"/>
  <c r="K28" i="3" s="1"/>
  <c r="A60" i="3"/>
  <c r="K60" i="3" s="1"/>
  <c r="A59" i="3"/>
  <c r="K59" i="3" s="1"/>
  <c r="A14" i="3"/>
  <c r="K14" i="3" s="1"/>
  <c r="A54" i="3"/>
  <c r="K54" i="3" s="1"/>
  <c r="A10" i="3"/>
  <c r="K10" i="3" s="1"/>
  <c r="A51" i="3"/>
  <c r="K51" i="3" s="1"/>
  <c r="A34" i="3"/>
  <c r="K34" i="3" s="1"/>
  <c r="A18" i="3"/>
  <c r="K18" i="3" s="1"/>
  <c r="A32" i="3"/>
  <c r="K32" i="3" s="1"/>
  <c r="A55" i="3"/>
  <c r="K55" i="3" s="1"/>
  <c r="A58" i="3"/>
  <c r="K58" i="3" s="1"/>
  <c r="A35" i="3"/>
  <c r="K35" i="3" s="1"/>
  <c r="A37" i="3"/>
  <c r="K37" i="3" s="1"/>
  <c r="A26" i="3"/>
  <c r="K26" i="3" s="1"/>
  <c r="A20" i="3"/>
  <c r="K20" i="3" s="1"/>
  <c r="A39" i="3"/>
  <c r="K39" i="3" s="1"/>
  <c r="A44" i="3"/>
  <c r="K44" i="3" s="1"/>
  <c r="A61" i="3"/>
  <c r="K61" i="3" s="1"/>
  <c r="A52" i="3"/>
  <c r="K52" i="3" s="1"/>
  <c r="A12" i="3"/>
  <c r="K12" i="3" s="1"/>
  <c r="A13" i="3"/>
  <c r="K13" i="3" s="1"/>
  <c r="A57" i="3"/>
  <c r="K57" i="3" s="1"/>
  <c r="A40" i="3"/>
  <c r="K40" i="3" s="1"/>
  <c r="A69" i="3"/>
  <c r="K69" i="3" s="1"/>
  <c r="A70" i="3"/>
  <c r="K70" i="3" s="1"/>
  <c r="A17" i="3"/>
  <c r="K17" i="3" s="1"/>
  <c r="A25" i="3"/>
  <c r="K25" i="3" s="1"/>
  <c r="A21" i="3"/>
  <c r="K21" i="3" s="1"/>
  <c r="A63" i="3"/>
  <c r="K63" i="3" s="1"/>
  <c r="A56" i="3"/>
  <c r="K56" i="3" s="1"/>
  <c r="A23" i="3"/>
  <c r="K23" i="3" s="1"/>
  <c r="A36" i="3"/>
  <c r="K36" i="3" s="1"/>
  <c r="A46" i="3"/>
  <c r="K46" i="3" s="1"/>
  <c r="A11" i="3"/>
  <c r="K11" i="3" s="1"/>
  <c r="A65" i="3"/>
  <c r="K65" i="3" s="1"/>
  <c r="A66" i="3"/>
  <c r="K66" i="3" s="1"/>
  <c r="A67" i="3"/>
  <c r="K67" i="3" s="1"/>
  <c r="A6" i="3"/>
  <c r="K6" i="3" s="1"/>
  <c r="A15" i="3"/>
  <c r="K15" i="3" s="1"/>
  <c r="A64" i="3"/>
  <c r="K64" i="3" s="1"/>
  <c r="A53" i="3"/>
  <c r="K53" i="3" s="1"/>
  <c r="A22" i="3"/>
  <c r="K22" i="3" s="1"/>
  <c r="A42" i="3"/>
  <c r="K42" i="3" s="1"/>
  <c r="A19" i="3"/>
  <c r="K19" i="3" s="1"/>
  <c r="A8" i="3"/>
  <c r="K8" i="3" s="1"/>
  <c r="A30" i="3"/>
  <c r="K30" i="3" s="1"/>
  <c r="A48" i="3"/>
  <c r="K48" i="3" s="1"/>
  <c r="A27" i="3"/>
  <c r="K27" i="3" s="1"/>
  <c r="A41" i="3"/>
  <c r="K41" i="3" s="1"/>
  <c r="A33" i="3"/>
  <c r="K33" i="3" s="1"/>
  <c r="A47" i="3"/>
  <c r="K47" i="3" s="1"/>
  <c r="A45" i="3"/>
  <c r="K45" i="3" s="1"/>
  <c r="A29" i="3"/>
  <c r="K29" i="3" s="1"/>
  <c r="A38" i="3"/>
  <c r="K38" i="3" s="1"/>
  <c r="A43" i="3"/>
  <c r="K43" i="3" s="1"/>
  <c r="A7" i="3"/>
  <c r="K7" i="3" s="1"/>
  <c r="A24" i="3"/>
  <c r="K24" i="3" s="1"/>
  <c r="A62" i="3"/>
  <c r="K62" i="3" s="1"/>
  <c r="A31" i="3"/>
  <c r="K31" i="3" s="1"/>
  <c r="A435" i="6"/>
  <c r="A127" i="6"/>
  <c r="A703" i="6"/>
  <c r="M703" i="6" s="1"/>
  <c r="A704" i="6"/>
  <c r="A113" i="6"/>
  <c r="A166" i="6"/>
  <c r="A1607" i="6"/>
  <c r="A791" i="6"/>
  <c r="A1041" i="6"/>
  <c r="A1758" i="6"/>
  <c r="A179" i="6"/>
  <c r="A981" i="6"/>
  <c r="A1381" i="6"/>
  <c r="A382" i="6"/>
  <c r="A818" i="6"/>
  <c r="A978" i="6"/>
  <c r="A999" i="6"/>
  <c r="A822" i="6"/>
  <c r="A837" i="6"/>
  <c r="A1101" i="6"/>
  <c r="A281" i="6"/>
  <c r="M281" i="6" s="1"/>
  <c r="A108" i="6"/>
  <c r="A508" i="6"/>
  <c r="A277" i="6"/>
  <c r="A1697" i="6"/>
  <c r="A920" i="6"/>
  <c r="A480" i="6"/>
  <c r="A610" i="6"/>
  <c r="A1651" i="6"/>
  <c r="A1404" i="6"/>
  <c r="A933" i="6"/>
  <c r="A1744" i="6"/>
  <c r="A1073" i="6"/>
  <c r="A1074" i="6"/>
  <c r="A732" i="6"/>
  <c r="A1753" i="6"/>
  <c r="A754" i="6"/>
  <c r="A474" i="6"/>
  <c r="A1767" i="6"/>
  <c r="A644" i="6"/>
  <c r="A1421" i="6"/>
  <c r="A473" i="6"/>
  <c r="A1417" i="6"/>
  <c r="A1727" i="6"/>
  <c r="A918" i="6"/>
  <c r="A1234" i="6"/>
  <c r="A850" i="6"/>
  <c r="A1335" i="6"/>
  <c r="A954" i="6"/>
  <c r="A661" i="6"/>
  <c r="A1488" i="6"/>
  <c r="A1585" i="6"/>
  <c r="A1247" i="6"/>
  <c r="A1076" i="6"/>
  <c r="M1076" i="6" s="1"/>
  <c r="A879" i="6"/>
  <c r="A1682" i="6"/>
  <c r="A1340" i="6"/>
  <c r="A1005" i="6"/>
  <c r="A1013" i="6"/>
  <c r="A1349" i="6"/>
  <c r="A716" i="6"/>
  <c r="A1006" i="6"/>
  <c r="A1341" i="6"/>
  <c r="A1332" i="6"/>
  <c r="A529" i="6"/>
  <c r="A823" i="6"/>
  <c r="M823" i="6" s="1"/>
  <c r="A1436" i="6"/>
  <c r="A1221" i="6"/>
  <c r="A1720" i="6"/>
  <c r="A1557" i="6"/>
  <c r="A1236" i="6"/>
  <c r="A989" i="6"/>
  <c r="A939" i="6"/>
  <c r="A173" i="6"/>
  <c r="A287" i="6"/>
  <c r="A621" i="6"/>
  <c r="A152" i="6"/>
  <c r="A360" i="6"/>
  <c r="A1093" i="6"/>
  <c r="A1190" i="6"/>
  <c r="A1189" i="6"/>
  <c r="A1188" i="6"/>
  <c r="A146" i="6"/>
  <c r="A727" i="6"/>
  <c r="A349" i="6"/>
  <c r="A175" i="6"/>
  <c r="A315" i="6"/>
  <c r="A627" i="6"/>
  <c r="A373" i="6"/>
  <c r="A832" i="6"/>
  <c r="A151" i="6"/>
  <c r="A700" i="6"/>
  <c r="A1306" i="6"/>
  <c r="A1563" i="6"/>
  <c r="A259" i="6"/>
  <c r="M259" i="6" s="1"/>
  <c r="A1070" i="6"/>
  <c r="A1067" i="6"/>
  <c r="A1462" i="6"/>
  <c r="A167" i="6"/>
  <c r="A136" i="6"/>
  <c r="A833" i="6"/>
  <c r="A843" i="6"/>
  <c r="A930" i="6"/>
  <c r="A931" i="6"/>
  <c r="A216" i="6"/>
  <c r="A301" i="6"/>
  <c r="A852" i="6"/>
  <c r="A502" i="6"/>
  <c r="A935" i="6"/>
  <c r="A1701" i="6"/>
  <c r="A1164" i="6"/>
  <c r="A1364" i="6"/>
  <c r="A109" i="6"/>
  <c r="A787" i="6"/>
  <c r="A1427" i="6"/>
  <c r="A391" i="6"/>
  <c r="A971" i="6"/>
  <c r="A611" i="6"/>
  <c r="A1426" i="6"/>
  <c r="A685" i="6"/>
  <c r="A782" i="6"/>
  <c r="A523" i="6"/>
  <c r="A684" i="6"/>
  <c r="A902" i="6"/>
  <c r="A546" i="6"/>
  <c r="A447" i="6"/>
  <c r="A125" i="6"/>
  <c r="A1424" i="6"/>
  <c r="A457" i="6"/>
  <c r="A1686" i="6"/>
  <c r="A415" i="6"/>
  <c r="A1717" i="6"/>
  <c r="A1545" i="6"/>
  <c r="A1265" i="6"/>
  <c r="A1432" i="6"/>
  <c r="A868" i="6"/>
  <c r="A1159" i="6"/>
  <c r="A1233" i="6"/>
  <c r="A1109" i="6"/>
  <c r="A1670" i="6"/>
  <c r="A1762" i="6"/>
  <c r="A900" i="6"/>
  <c r="A1017" i="6"/>
  <c r="A651" i="6"/>
  <c r="A682" i="6"/>
  <c r="M682" i="6" s="1"/>
  <c r="A1275" i="6"/>
  <c r="A372" i="6"/>
  <c r="A416" i="6"/>
  <c r="A184" i="6"/>
  <c r="A458" i="6"/>
  <c r="A914" i="6"/>
  <c r="A477" i="6"/>
  <c r="A671" i="6"/>
  <c r="A687" i="6"/>
  <c r="A467" i="6"/>
  <c r="A1298" i="6"/>
  <c r="A845" i="6"/>
  <c r="A713" i="6"/>
  <c r="A917" i="6"/>
  <c r="A678" i="6"/>
  <c r="A494" i="6"/>
  <c r="A339" i="6"/>
  <c r="A1104" i="6"/>
  <c r="A1092" i="6"/>
  <c r="A1107" i="6"/>
  <c r="A1596" i="6"/>
  <c r="A228" i="6"/>
  <c r="A956" i="6"/>
  <c r="A483" i="6"/>
  <c r="A569" i="6"/>
  <c r="A738" i="6"/>
  <c r="A1565" i="6"/>
  <c r="A1566" i="6"/>
  <c r="A1375" i="6"/>
  <c r="A1398" i="6"/>
  <c r="A1397" i="6"/>
  <c r="A369" i="6"/>
  <c r="A1438" i="6"/>
  <c r="A428" i="6"/>
  <c r="A543" i="6"/>
  <c r="A1192" i="6"/>
  <c r="A1193" i="6"/>
  <c r="A1303" i="6"/>
  <c r="A1380" i="6"/>
  <c r="A160" i="6"/>
  <c r="A580" i="6"/>
  <c r="A668" i="6"/>
  <c r="A1756" i="6"/>
  <c r="A479" i="6"/>
  <c r="A123" i="6"/>
  <c r="A172" i="6"/>
  <c r="A383" i="6"/>
  <c r="A549" i="6"/>
  <c r="A1549" i="6"/>
  <c r="A554" i="6"/>
  <c r="A1490" i="6"/>
  <c r="A1489" i="6"/>
  <c r="M1489" i="6" s="1"/>
  <c r="A392" i="6"/>
  <c r="M392" i="6" s="1"/>
  <c r="A206" i="6"/>
  <c r="A226" i="6"/>
  <c r="A498" i="6"/>
  <c r="A1185" i="6"/>
  <c r="A1035" i="6"/>
  <c r="A992" i="6"/>
  <c r="A478" i="6"/>
  <c r="A1009" i="6"/>
  <c r="A1210" i="6"/>
  <c r="A1012" i="6"/>
  <c r="A1295" i="6"/>
  <c r="A197" i="6"/>
  <c r="A778" i="6"/>
  <c r="A1435" i="6"/>
  <c r="A919" i="6"/>
  <c r="A1304" i="6"/>
  <c r="A996" i="6"/>
  <c r="A836" i="6"/>
  <c r="A1243" i="6"/>
  <c r="M1243" i="6" s="1"/>
  <c r="A1719" i="6"/>
  <c r="A928" i="6"/>
  <c r="A507" i="6"/>
  <c r="A948" i="6"/>
  <c r="A533" i="6"/>
  <c r="A1163" i="6"/>
  <c r="A1181" i="6"/>
  <c r="A329" i="6"/>
  <c r="A1237" i="6"/>
  <c r="A701" i="6"/>
  <c r="A1034" i="6"/>
  <c r="A1725" i="6"/>
  <c r="A441" i="6"/>
  <c r="A1200" i="6"/>
  <c r="A234" i="6"/>
  <c r="A235" i="6"/>
  <c r="A1499" i="6"/>
  <c r="A407" i="6"/>
  <c r="M407" i="6" s="1"/>
  <c r="A1706" i="6"/>
  <c r="A1498" i="6"/>
  <c r="A1747" i="6"/>
  <c r="A1214" i="6"/>
  <c r="M1214" i="6" s="1"/>
  <c r="A1399" i="6"/>
  <c r="M1399" i="6" s="1"/>
  <c r="A417" i="6"/>
  <c r="A583" i="6"/>
  <c r="A975" i="6"/>
  <c r="A584" i="6"/>
  <c r="A578" i="6"/>
  <c r="A335" i="6"/>
  <c r="A336" i="6"/>
  <c r="A334" i="6"/>
  <c r="A405" i="6"/>
  <c r="A455" i="6"/>
  <c r="A1178" i="6"/>
  <c r="A1165" i="6"/>
  <c r="A1320" i="6"/>
  <c r="A1775" i="6"/>
  <c r="A1544" i="6"/>
  <c r="A248" i="6"/>
  <c r="A593" i="6"/>
  <c r="A623" i="6"/>
  <c r="A506" i="6"/>
  <c r="A733" i="6"/>
  <c r="A1766" i="6"/>
  <c r="A168" i="6"/>
  <c r="A293" i="6"/>
  <c r="A1574" i="6"/>
  <c r="A1068" i="6"/>
  <c r="A1645" i="6"/>
  <c r="A1019" i="6"/>
  <c r="A1195" i="6"/>
  <c r="M1195" i="6" s="1"/>
  <c r="A534" i="6"/>
  <c r="A465" i="6"/>
  <c r="A1570" i="6"/>
  <c r="A364" i="6"/>
  <c r="A946" i="6"/>
  <c r="A729" i="6"/>
  <c r="A1657" i="6"/>
  <c r="A572" i="6"/>
  <c r="A995" i="6"/>
  <c r="A1656" i="6"/>
  <c r="A1328" i="6"/>
  <c r="A764" i="6"/>
  <c r="A1323" i="6"/>
  <c r="A1572" i="6"/>
  <c r="A1431" i="6"/>
  <c r="A540" i="6"/>
  <c r="A1242" i="6"/>
  <c r="A1150" i="6"/>
  <c r="A1071" i="6"/>
  <c r="A423" i="6"/>
  <c r="A968" i="6"/>
  <c r="A967" i="6"/>
  <c r="A719" i="6"/>
  <c r="A881" i="6"/>
  <c r="A882" i="6"/>
  <c r="A720" i="6"/>
  <c r="A422" i="6"/>
  <c r="A1133" i="6"/>
  <c r="A263" i="6"/>
  <c r="M263" i="6" s="1"/>
  <c r="A1360" i="6"/>
  <c r="A1581" i="6"/>
  <c r="A1128" i="6"/>
  <c r="A888" i="6"/>
  <c r="A1110" i="6"/>
  <c r="A1223" i="6"/>
  <c r="A189" i="6"/>
  <c r="A775" i="6"/>
  <c r="A785" i="6"/>
  <c r="A1737" i="6"/>
  <c r="A1319" i="6"/>
  <c r="A813" i="6"/>
  <c r="A1149" i="6"/>
  <c r="A1172" i="6"/>
  <c r="A1173" i="6"/>
  <c r="A1171" i="6"/>
  <c r="A808" i="6"/>
  <c r="A723" i="6"/>
  <c r="A724" i="6"/>
  <c r="A1665" i="6"/>
  <c r="A111" i="6"/>
  <c r="A129" i="6"/>
  <c r="A1042" i="6"/>
  <c r="A1672" i="6"/>
  <c r="M1672" i="6" s="1"/>
  <c r="A1029" i="6"/>
  <c r="A575" i="6"/>
  <c r="A204" i="6"/>
  <c r="A1390" i="6"/>
  <c r="A450" i="6"/>
  <c r="A1278" i="6"/>
  <c r="A718" i="6"/>
  <c r="A188" i="6"/>
  <c r="A282" i="6"/>
  <c r="A620" i="6"/>
  <c r="A227" i="6"/>
  <c r="A1676" i="6"/>
  <c r="A1514" i="6"/>
  <c r="M1514" i="6" s="1"/>
  <c r="A470" i="6"/>
  <c r="A1040" i="6"/>
  <c r="A1457" i="6"/>
  <c r="A243" i="6"/>
  <c r="A510" i="6"/>
  <c r="A1527" i="6"/>
  <c r="A1526" i="6"/>
  <c r="A1528" i="6"/>
  <c r="A133" i="6"/>
  <c r="A229" i="6"/>
  <c r="A280" i="6"/>
  <c r="A257" i="6"/>
  <c r="A1675" i="6"/>
  <c r="A154" i="6"/>
  <c r="A253" i="6"/>
  <c r="A499" i="6"/>
  <c r="A1624" i="6"/>
  <c r="A1781" i="6"/>
  <c r="A1786" i="6"/>
  <c r="A1780" i="6"/>
  <c r="A298" i="6"/>
  <c r="A1205" i="6"/>
  <c r="A308" i="6"/>
  <c r="A805" i="6"/>
  <c r="A699" i="6"/>
  <c r="A1669" i="6"/>
  <c r="A577" i="6"/>
  <c r="A952" i="6"/>
  <c r="A232" i="6"/>
  <c r="A745" i="6"/>
  <c r="A831" i="6"/>
  <c r="A834" i="6"/>
  <c r="A1396" i="6"/>
  <c r="A1425" i="6"/>
  <c r="A286" i="6"/>
  <c r="A714" i="6"/>
  <c r="A1330" i="6"/>
  <c r="A1733" i="6"/>
  <c r="M1733" i="6" s="1"/>
  <c r="A1491" i="6"/>
  <c r="A1492" i="6"/>
  <c r="A511" i="6"/>
  <c r="A378" i="6"/>
  <c r="A156" i="6"/>
  <c r="A270" i="6"/>
  <c r="A1277" i="6"/>
  <c r="A271" i="6"/>
  <c r="A213" i="6"/>
  <c r="A1182" i="6"/>
  <c r="A217" i="6"/>
  <c r="A605" i="6"/>
  <c r="A345" i="6"/>
  <c r="A174" i="6"/>
  <c r="A1483" i="6"/>
  <c r="A1530" i="6"/>
  <c r="A901" i="6"/>
  <c r="M901" i="6" s="1"/>
  <c r="A381" i="6"/>
  <c r="A325" i="6"/>
  <c r="A1285" i="6"/>
  <c r="A895" i="6"/>
  <c r="M895" i="6" s="1"/>
  <c r="A741" i="6"/>
  <c r="A652" i="6"/>
  <c r="A653" i="6"/>
  <c r="A654" i="6"/>
  <c r="A655" i="6"/>
  <c r="A656" i="6"/>
  <c r="A657" i="6"/>
  <c r="A750" i="6"/>
  <c r="A1509" i="6"/>
  <c r="A1367" i="6"/>
  <c r="A1516" i="6"/>
  <c r="A1519" i="6"/>
  <c r="A1517" i="6"/>
  <c r="A1518" i="6"/>
  <c r="A1090" i="6"/>
  <c r="A138" i="6"/>
  <c r="A945" i="6"/>
  <c r="A365" i="6"/>
  <c r="A1774" i="6"/>
  <c r="A1379" i="6"/>
  <c r="A1454" i="6"/>
  <c r="A1358" i="6"/>
  <c r="A1506" i="6"/>
  <c r="A1646" i="6"/>
  <c r="A304" i="6"/>
  <c r="A250" i="6"/>
  <c r="A1693" i="6"/>
  <c r="A1025" i="6"/>
  <c r="A393" i="6"/>
  <c r="A171" i="6"/>
  <c r="A691" i="6"/>
  <c r="A842" i="6"/>
  <c r="A165" i="6"/>
  <c r="A164" i="6"/>
  <c r="A1456" i="6"/>
  <c r="A182" i="6"/>
  <c r="A462" i="6"/>
  <c r="A209" i="6"/>
  <c r="A872" i="6"/>
  <c r="A697" i="6"/>
  <c r="M697" i="6" s="1"/>
  <c r="A565" i="6"/>
  <c r="M565" i="6" s="1"/>
  <c r="A408" i="6"/>
  <c r="A809" i="6"/>
  <c r="A564" i="6"/>
  <c r="M564" i="6" s="1"/>
  <c r="A567" i="6"/>
  <c r="M567" i="6" s="1"/>
  <c r="A1284" i="6"/>
  <c r="M1284" i="6" s="1"/>
  <c r="A1127" i="6"/>
  <c r="M1127" i="6" s="1"/>
  <c r="A1660" i="6"/>
  <c r="M1660" i="6" s="1"/>
  <c r="A566" i="6"/>
  <c r="M566" i="6" s="1"/>
  <c r="A1180" i="6"/>
  <c r="M1180" i="6" s="1"/>
  <c r="A1602" i="6"/>
  <c r="M1602" i="6" s="1"/>
  <c r="A1085" i="6"/>
  <c r="A1167" i="6"/>
  <c r="A1168" i="6"/>
  <c r="A1434" i="6"/>
  <c r="A1290" i="6"/>
  <c r="A1683" i="6"/>
  <c r="A1583" i="6"/>
  <c r="A806" i="6"/>
  <c r="A824" i="6"/>
  <c r="A472" i="6"/>
  <c r="A662" i="6"/>
  <c r="A740" i="6"/>
  <c r="A1668" i="6"/>
  <c r="A1741" i="6"/>
  <c r="A513" i="6"/>
  <c r="A1446" i="6"/>
  <c r="A1445" i="6"/>
  <c r="A1018" i="6"/>
  <c r="A571" i="6"/>
  <c r="A448" i="6"/>
  <c r="A1433" i="6"/>
  <c r="A1422" i="6"/>
  <c r="A1230" i="6"/>
  <c r="A1593" i="6"/>
  <c r="A1229" i="6"/>
  <c r="A705" i="6"/>
  <c r="A333" i="6"/>
  <c r="M333" i="6" s="1"/>
  <c r="A865" i="6"/>
  <c r="M865" i="6" s="1"/>
  <c r="A883" i="6"/>
  <c r="M883" i="6" s="1"/>
  <c r="A1114" i="6"/>
  <c r="M1114" i="6" s="1"/>
  <c r="A384" i="6"/>
  <c r="M384" i="6" s="1"/>
  <c r="A1141" i="6"/>
  <c r="A1700" i="6"/>
  <c r="M1700" i="6" s="1"/>
  <c r="A1204" i="6"/>
  <c r="M1204" i="6" s="1"/>
  <c r="A1123" i="6"/>
  <c r="A1122" i="6"/>
  <c r="A1644" i="6"/>
  <c r="A608" i="6"/>
  <c r="A1534" i="6"/>
  <c r="A1450" i="6"/>
  <c r="A449" i="6"/>
  <c r="A1474" i="6"/>
  <c r="A348" i="6"/>
  <c r="A283" i="6"/>
  <c r="A1186" i="6"/>
  <c r="A1416" i="6"/>
  <c r="A1419" i="6"/>
  <c r="A1418" i="6"/>
  <c r="A1640" i="6"/>
  <c r="A121" i="6"/>
  <c r="A461" i="6"/>
  <c r="A122" i="6"/>
  <c r="A1520" i="6"/>
  <c r="A1589" i="6"/>
  <c r="A1521" i="6"/>
  <c r="A1578" i="6"/>
  <c r="A1522" i="6"/>
  <c r="A1580" i="6"/>
  <c r="A1575" i="6"/>
  <c r="A1577" i="6"/>
  <c r="A1576" i="6"/>
  <c r="A1770" i="6"/>
  <c r="A988" i="6"/>
  <c r="A915" i="6"/>
  <c r="A1579" i="6"/>
  <c r="A1680" i="6"/>
  <c r="A1628" i="6"/>
  <c r="A1350" i="6"/>
  <c r="A1096" i="6"/>
  <c r="A162" i="6"/>
  <c r="A322" i="6"/>
  <c r="A181" i="6"/>
  <c r="A300" i="6"/>
  <c r="A159" i="6"/>
  <c r="A595" i="6"/>
  <c r="A807" i="6"/>
  <c r="A1134" i="6"/>
  <c r="A427" i="6"/>
  <c r="M427" i="6" s="1"/>
  <c r="A1066" i="6"/>
  <c r="A524" i="6"/>
  <c r="A1543" i="6"/>
  <c r="A399" i="6"/>
  <c r="A493" i="6"/>
  <c r="A1662" i="6"/>
  <c r="A1449" i="6"/>
  <c r="A1552" i="6"/>
  <c r="A877" i="6"/>
  <c r="A1553" i="6"/>
  <c r="A613" i="6"/>
  <c r="A626" i="6"/>
  <c r="A1440" i="6"/>
  <c r="A938" i="6"/>
  <c r="A437" i="6"/>
  <c r="A1351" i="6"/>
  <c r="A558" i="6"/>
  <c r="A1671" i="6"/>
  <c r="A1703" i="6"/>
  <c r="A640" i="6"/>
  <c r="A886" i="6"/>
  <c r="A1562" i="6"/>
  <c r="A1129" i="6"/>
  <c r="A1130" i="6"/>
  <c r="A1497" i="6"/>
  <c r="A1692" i="6"/>
  <c r="A1266" i="6"/>
  <c r="A1649" i="6"/>
  <c r="A1772" i="6"/>
  <c r="A746" i="6"/>
  <c r="M746" i="6" s="1"/>
  <c r="A770" i="6"/>
  <c r="M770" i="6" s="1"/>
  <c r="A444" i="6"/>
  <c r="A1273" i="6"/>
  <c r="A1108" i="6"/>
  <c r="A1500" i="6"/>
  <c r="A1604" i="6"/>
  <c r="A1111" i="6"/>
  <c r="A1718" i="6"/>
  <c r="A1542" i="6"/>
  <c r="A1648" i="6"/>
  <c r="A1704" i="6"/>
  <c r="A1614" i="6"/>
  <c r="A1343" i="6"/>
  <c r="A1371" i="6"/>
  <c r="A649" i="6"/>
  <c r="A1587" i="6"/>
  <c r="A1084" i="6"/>
  <c r="A1292" i="6"/>
  <c r="A544" i="6"/>
  <c r="A686" i="6"/>
  <c r="A604" i="6"/>
  <c r="A429" i="6"/>
  <c r="A721" i="6"/>
  <c r="A866" i="6"/>
  <c r="A795" i="6"/>
  <c r="A636" i="6"/>
  <c r="A1031" i="6"/>
  <c r="A1088" i="6"/>
  <c r="A796" i="6"/>
  <c r="A1126" i="6"/>
  <c r="A1594" i="6"/>
  <c r="A1608" i="6"/>
  <c r="A1202" i="6"/>
  <c r="A1634" i="6"/>
  <c r="A1751" i="6"/>
  <c r="A1344" i="6"/>
  <c r="A1771" i="6"/>
  <c r="A1211" i="6"/>
  <c r="A120" i="6"/>
  <c r="A130" i="6"/>
  <c r="A338" i="6"/>
  <c r="A440" i="6"/>
  <c r="A438" i="6"/>
  <c r="A119" i="6"/>
  <c r="A124" i="6"/>
  <c r="A966" i="6"/>
  <c r="A1262" i="6"/>
  <c r="M1262" i="6" s="1"/>
  <c r="A290" i="6"/>
  <c r="A453" i="6"/>
  <c r="A452" i="6"/>
  <c r="A454" i="6"/>
  <c r="A460" i="6"/>
  <c r="A890" i="6"/>
  <c r="A664" i="6"/>
  <c r="A665" i="6"/>
  <c r="A804" i="6"/>
  <c r="A1626" i="6"/>
  <c r="A786" i="6"/>
  <c r="A1377" i="6"/>
  <c r="A1378" i="6"/>
  <c r="A1631" i="6"/>
  <c r="A1115" i="6"/>
  <c r="A1630" i="6"/>
  <c r="A1632" i="6"/>
  <c r="A1629" i="6"/>
  <c r="A1283" i="6"/>
  <c r="A515" i="6"/>
  <c r="M515" i="6" s="1"/>
  <c r="A1288" i="6"/>
  <c r="A982" i="6"/>
  <c r="A983" i="6"/>
  <c r="A1363" i="6"/>
  <c r="A1639" i="6"/>
  <c r="A1016" i="6"/>
  <c r="A1654" i="6"/>
  <c r="A984" i="6"/>
  <c r="A203" i="6"/>
  <c r="A1558" i="6"/>
  <c r="A922" i="6"/>
  <c r="A516" i="6"/>
  <c r="A943" i="6"/>
  <c r="M943" i="6" s="1"/>
  <c r="A1643" i="6"/>
  <c r="A1083" i="6"/>
  <c r="A273" i="6"/>
  <c r="A394" i="6"/>
  <c r="A1305" i="6"/>
  <c r="A1430" i="6"/>
  <c r="A1429" i="6"/>
  <c r="A1386" i="6"/>
  <c r="A223" i="6"/>
  <c r="A490" i="6"/>
  <c r="A1586" i="6"/>
  <c r="M1586" i="6" s="1"/>
  <c r="A1730" i="6"/>
  <c r="A350" i="6"/>
  <c r="A1376" i="6"/>
  <c r="A1687" i="6"/>
  <c r="A672" i="6"/>
  <c r="A817" i="6"/>
  <c r="A1148" i="6"/>
  <c r="A1742" i="6"/>
  <c r="A1075" i="6"/>
  <c r="A730" i="6"/>
  <c r="A432" i="6"/>
  <c r="A433" i="6"/>
  <c r="A1403" i="6"/>
  <c r="A484" i="6"/>
  <c r="A1395" i="6"/>
  <c r="M1395" i="6" s="1"/>
  <c r="A403" i="6"/>
  <c r="A539" i="6"/>
  <c r="A1582" i="6"/>
  <c r="A192" i="6"/>
  <c r="A193" i="6"/>
  <c r="A1321" i="6"/>
  <c r="A190" i="6"/>
  <c r="A225" i="6"/>
  <c r="A635" i="6"/>
  <c r="A789" i="6"/>
  <c r="A245" i="6"/>
  <c r="A840" i="6"/>
  <c r="M840" i="6" s="1"/>
  <c r="A1448" i="6"/>
  <c r="A1383" i="6"/>
  <c r="A246" i="6"/>
  <c r="A591" i="6"/>
  <c r="A936" i="6"/>
  <c r="M936" i="6" s="1"/>
  <c r="A1705" i="6"/>
  <c r="A1152" i="6"/>
  <c r="A442" i="6"/>
  <c r="A561" i="6"/>
  <c r="A1595" i="6"/>
  <c r="A178" i="6"/>
  <c r="M178" i="6" s="1"/>
  <c r="A559" i="6"/>
  <c r="A1333" i="6"/>
  <c r="A525" i="6"/>
  <c r="A202" i="6"/>
  <c r="M202" i="6" s="1"/>
  <c r="A1136" i="6"/>
  <c r="A1097" i="6"/>
  <c r="A1098" i="6"/>
  <c r="A1100" i="6"/>
  <c r="A598" i="6"/>
  <c r="A1099" i="6"/>
  <c r="A1536" i="6"/>
  <c r="A1316" i="6"/>
  <c r="A532" i="6"/>
  <c r="A1021" i="6"/>
  <c r="A1113" i="6"/>
  <c r="A1020" i="6"/>
  <c r="A1082" i="6"/>
  <c r="A195" i="6"/>
  <c r="A144" i="6"/>
  <c r="A1252" i="6"/>
  <c r="A1420" i="6"/>
  <c r="A1728" i="6"/>
  <c r="A972" i="6"/>
  <c r="A630" i="6"/>
  <c r="A1532" i="6"/>
  <c r="A1547" i="6"/>
  <c r="A1476" i="6"/>
  <c r="A1591" i="6"/>
  <c r="A1102" i="6"/>
  <c r="A1368" i="6"/>
  <c r="A921" i="6"/>
  <c r="A1354" i="6"/>
  <c r="A343" i="6"/>
  <c r="A1177" i="6"/>
  <c r="A347" i="6"/>
  <c r="A794" i="6"/>
  <c r="A1690" i="6"/>
  <c r="A830" i="6"/>
  <c r="A471" i="6"/>
  <c r="A619" i="6"/>
  <c r="A426" i="6"/>
  <c r="A256" i="6"/>
  <c r="A1212" i="6"/>
  <c r="A1260" i="6"/>
  <c r="A1259" i="6"/>
  <c r="A1787" i="6"/>
  <c r="A1264" i="6"/>
  <c r="M1264" i="6" s="1"/>
  <c r="A1263" i="6"/>
  <c r="M1263" i="6" s="1"/>
  <c r="A1315" i="6"/>
  <c r="A637" i="6"/>
  <c r="A1479" i="6"/>
  <c r="A1248" i="6"/>
  <c r="A906" i="6"/>
  <c r="A905" i="6"/>
  <c r="A1077" i="6"/>
  <c r="A893" i="6"/>
  <c r="A468" i="6"/>
  <c r="A828" i="6"/>
  <c r="A907" i="6"/>
  <c r="A1460" i="6"/>
  <c r="A1010" i="6"/>
  <c r="A355" i="6"/>
  <c r="M355" i="6" s="1"/>
  <c r="A1143" i="6"/>
  <c r="M1143" i="6" s="1"/>
  <c r="A342" i="6"/>
  <c r="A356" i="6"/>
  <c r="A641" i="6"/>
  <c r="A1151" i="6"/>
  <c r="A1334" i="6"/>
  <c r="A642" i="6"/>
  <c r="A896" i="6"/>
  <c r="A1145" i="6"/>
  <c r="A547" i="6"/>
  <c r="M547" i="6" s="1"/>
  <c r="A1458" i="6"/>
  <c r="M1458" i="6" s="1"/>
  <c r="A885" i="6"/>
  <c r="A884" i="6"/>
  <c r="A1486" i="6"/>
  <c r="A744" i="6"/>
  <c r="A1267" i="6"/>
  <c r="M1267" i="6" s="1"/>
  <c r="A779" i="6"/>
  <c r="M779" i="6" s="1"/>
  <c r="A267" i="6"/>
  <c r="A330" i="6"/>
  <c r="A969" i="6"/>
  <c r="A737" i="6"/>
  <c r="A736" i="6"/>
  <c r="A903" i="6"/>
  <c r="A1472" i="6"/>
  <c r="A1471" i="6"/>
  <c r="A1473" i="6"/>
  <c r="A735" i="6"/>
  <c r="A752" i="6"/>
  <c r="A1065" i="6"/>
  <c r="A1659" i="6"/>
  <c r="A1174" i="6"/>
  <c r="A1279" i="6"/>
  <c r="A1280" i="6"/>
  <c r="A1752" i="6"/>
  <c r="A1052" i="6"/>
  <c r="A1759" i="6"/>
  <c r="A1695" i="6"/>
  <c r="A187" i="6"/>
  <c r="A264" i="6"/>
  <c r="A272" i="6"/>
  <c r="A112" i="6"/>
  <c r="A398" i="6"/>
  <c r="A747" i="6"/>
  <c r="A802" i="6"/>
  <c r="A1732" i="6"/>
  <c r="A1773" i="6"/>
  <c r="M1773" i="6" s="1"/>
  <c r="A1220" i="6"/>
  <c r="A1032" i="6"/>
  <c r="A1309" i="6"/>
  <c r="A848" i="6"/>
  <c r="A698" i="6"/>
  <c r="A489" i="6"/>
  <c r="A1245" i="6"/>
  <c r="A1503" i="6"/>
  <c r="A439" i="6"/>
  <c r="A397" i="6"/>
  <c r="A1512" i="6"/>
  <c r="A266" i="6"/>
  <c r="A582" i="6"/>
  <c r="A1105" i="6"/>
  <c r="A247" i="6"/>
  <c r="A756" i="6"/>
  <c r="A1721" i="6"/>
  <c r="A1135" i="6"/>
  <c r="A535" i="6"/>
  <c r="A1322" i="6"/>
  <c r="M1322" i="6" s="1"/>
  <c r="A1153" i="6"/>
  <c r="M1153" i="6" s="1"/>
  <c r="A1641" i="6"/>
  <c r="A1612" i="6"/>
  <c r="A985" i="6"/>
  <c r="A1731" i="6"/>
  <c r="A986" i="6"/>
  <c r="A1638" i="6"/>
  <c r="A616" i="6"/>
  <c r="A617" i="6"/>
  <c r="A618" i="6"/>
  <c r="A1299" i="6"/>
  <c r="A1300" i="6"/>
  <c r="A328" i="6"/>
  <c r="A1028" i="6"/>
  <c r="A361" i="6"/>
  <c r="A485" i="6"/>
  <c r="A340" i="6"/>
  <c r="A1345" i="6"/>
  <c r="A126" i="6"/>
  <c r="A1764" i="6"/>
  <c r="A1760" i="6"/>
  <c r="M1760" i="6" s="1"/>
  <c r="A1788" i="6"/>
  <c r="M1788" i="6" s="1"/>
  <c r="A504" i="6"/>
  <c r="M504" i="6" s="1"/>
  <c r="A1485" i="6"/>
  <c r="A1761" i="6"/>
  <c r="A1743" i="6"/>
  <c r="A979" i="6"/>
  <c r="A481" i="6"/>
  <c r="A1564" i="6"/>
  <c r="A1046" i="6"/>
  <c r="A783" i="6"/>
  <c r="A1318" i="6"/>
  <c r="A977" i="6"/>
  <c r="A1663" i="6"/>
  <c r="A1391" i="6"/>
  <c r="A1392" i="6"/>
  <c r="A1393" i="6"/>
  <c r="A131" i="6"/>
  <c r="A537" i="6"/>
  <c r="A1598" i="6"/>
  <c r="A538" i="6"/>
  <c r="A1470" i="6"/>
  <c r="A1423" i="6"/>
  <c r="A1337" i="6"/>
  <c r="A418" i="6"/>
  <c r="A1348" i="6"/>
  <c r="A220" i="6"/>
  <c r="A379" i="6"/>
  <c r="A374" i="6"/>
  <c r="A573" i="6"/>
  <c r="A1555" i="6"/>
  <c r="A1156" i="6"/>
  <c r="A692" i="6"/>
  <c r="A155" i="6"/>
  <c r="A1365" i="6"/>
  <c r="A929" i="6"/>
  <c r="A1637" i="6"/>
  <c r="A913" i="6"/>
  <c r="M913" i="6" s="1"/>
  <c r="A1244" i="6"/>
  <c r="A1119" i="6"/>
  <c r="A1554" i="6"/>
  <c r="A1079" i="6"/>
  <c r="A1487" i="6"/>
  <c r="A536" i="6"/>
  <c r="A1783" i="6"/>
  <c r="A849" i="6"/>
  <c r="A1610" i="6"/>
  <c r="A1609" i="6"/>
  <c r="A1726" i="6"/>
  <c r="A633" i="6"/>
  <c r="A937" i="6"/>
  <c r="A224" i="6"/>
  <c r="A1276" i="6"/>
  <c r="A1441" i="6"/>
  <c r="M1441" i="6" s="1"/>
  <c r="A530" i="6"/>
  <c r="A1763" i="6"/>
  <c r="A526" i="6"/>
  <c r="M526" i="6" s="1"/>
  <c r="A284" i="6"/>
  <c r="A953" i="6"/>
  <c r="A825" i="6"/>
  <c r="A371" i="6"/>
  <c r="A1599" i="6"/>
  <c r="M1599" i="6" s="1"/>
  <c r="A1289" i="6"/>
  <c r="A255" i="6"/>
  <c r="A751" i="6"/>
  <c r="A1524" i="6"/>
  <c r="A1086" i="6"/>
  <c r="A1087" i="6"/>
  <c r="A1268" i="6"/>
  <c r="A942" i="6"/>
  <c r="A1027" i="6"/>
  <c r="A1213" i="6"/>
  <c r="A1007" i="6"/>
  <c r="A941" i="6"/>
  <c r="A912" i="6"/>
  <c r="A366" i="6"/>
  <c r="A317" i="6"/>
  <c r="A475" i="6"/>
  <c r="A1353" i="6"/>
  <c r="A505" i="6"/>
  <c r="A659" i="6"/>
  <c r="A658" i="6"/>
  <c r="A1442" i="6"/>
  <c r="A758" i="6"/>
  <c r="A1215" i="6"/>
  <c r="A980" i="6"/>
  <c r="A876" i="6"/>
  <c r="A196" i="6"/>
  <c r="A1782" i="6"/>
  <c r="A1784" i="6"/>
  <c r="A1505" i="6"/>
  <c r="A341" i="6"/>
  <c r="A1461" i="6"/>
  <c r="A1014" i="6"/>
  <c r="A974" i="6"/>
  <c r="A1272" i="6"/>
  <c r="A1116" i="6"/>
  <c r="A614" i="6"/>
  <c r="A586" i="6"/>
  <c r="A585" i="6"/>
  <c r="A443" i="6"/>
  <c r="A1678" i="6"/>
  <c r="A1155" i="6"/>
  <c r="A1170" i="6"/>
  <c r="A305" i="6"/>
  <c r="A552" i="6"/>
  <c r="A1702" i="6"/>
  <c r="A1453" i="6"/>
  <c r="A1452" i="6"/>
  <c r="A650" i="6"/>
  <c r="A1571" i="6"/>
  <c r="A459" i="6"/>
  <c r="A541" i="6"/>
  <c r="A1199" i="6"/>
  <c r="M1199" i="6" s="1"/>
  <c r="A1198" i="6"/>
  <c r="M1198" i="6" s="1"/>
  <c r="A1049" i="6"/>
  <c r="M1049" i="6" s="1"/>
  <c r="A1331" i="6"/>
  <c r="M1331" i="6" s="1"/>
  <c r="A292" i="6"/>
  <c r="A269" i="6"/>
  <c r="A495" i="6"/>
  <c r="M495" i="6" s="1"/>
  <c r="A1352" i="6"/>
  <c r="A1696" i="6"/>
  <c r="A993" i="6"/>
  <c r="A1714" i="6"/>
  <c r="A1317" i="6"/>
  <c r="A545" i="6"/>
  <c r="A622" i="6"/>
  <c r="A135" i="6"/>
  <c r="A237" i="6"/>
  <c r="A1411" i="6"/>
  <c r="A1091" i="6"/>
  <c r="A1232" i="6"/>
  <c r="A1451" i="6"/>
  <c r="M1451" i="6" s="1"/>
  <c r="A1715" i="6"/>
  <c r="A899" i="6"/>
  <c r="A401" i="6"/>
  <c r="A609" i="6"/>
  <c r="A482" i="6"/>
  <c r="A940" i="6"/>
  <c r="A233" i="6"/>
  <c r="A634" i="6"/>
  <c r="A1633" i="6"/>
  <c r="A947" i="6"/>
  <c r="A1387" i="6"/>
  <c r="A1296" i="6"/>
  <c r="A1749" i="6"/>
  <c r="A143" i="6"/>
  <c r="A748" i="6"/>
  <c r="A695" i="6"/>
  <c r="A1201" i="6"/>
  <c r="A542" i="6"/>
  <c r="A1480" i="6"/>
  <c r="A1414" i="6"/>
  <c r="A1455" i="6"/>
  <c r="A1413" i="6"/>
  <c r="A1412" i="6"/>
  <c r="A1515" i="6"/>
  <c r="A1529" i="6"/>
  <c r="A811" i="6"/>
  <c r="A702" i="6"/>
  <c r="A898" i="6"/>
  <c r="A990" i="6"/>
  <c r="A1158" i="6"/>
  <c r="A1601" i="6"/>
  <c r="A765" i="6"/>
  <c r="M765" i="6" s="1"/>
  <c r="A925" i="6"/>
  <c r="A1600" i="6"/>
  <c r="A386" i="6"/>
  <c r="A1157" i="6"/>
  <c r="A406" i="6"/>
  <c r="M406" i="6" s="1"/>
  <c r="A1410" i="6"/>
  <c r="A638" i="6"/>
  <c r="A1161" i="6"/>
  <c r="A904" i="6"/>
  <c r="A1089" i="6"/>
  <c r="A1407" i="6"/>
  <c r="A1622" i="6"/>
  <c r="A512" i="6"/>
  <c r="A1072" i="6"/>
  <c r="A570" i="6"/>
  <c r="A1078" i="6"/>
  <c r="A434" i="6"/>
  <c r="A801" i="6"/>
  <c r="A1625" i="6"/>
  <c r="A1691" i="6"/>
  <c r="M1691" i="6" s="1"/>
  <c r="A560" i="6"/>
  <c r="A487" i="6"/>
  <c r="A689" i="6"/>
  <c r="A1329" i="6"/>
  <c r="A875" i="6"/>
  <c r="A319" i="6"/>
  <c r="A1382" i="6"/>
  <c r="A420" i="6"/>
  <c r="A517" i="6"/>
  <c r="A726" i="6"/>
  <c r="A962" i="6"/>
  <c r="A628" i="6"/>
  <c r="A950" i="6"/>
  <c r="A951" i="6"/>
  <c r="A107" i="6"/>
  <c r="A240" i="6"/>
  <c r="A1257" i="6"/>
  <c r="A568" i="6"/>
  <c r="M568" i="6" s="1"/>
  <c r="A766" i="6"/>
  <c r="M766" i="6" s="1"/>
  <c r="A1694" i="6"/>
  <c r="A110" i="6"/>
  <c r="A1621" i="6"/>
  <c r="A1617" i="6"/>
  <c r="A1618" i="6"/>
  <c r="A1619" i="6"/>
  <c r="A1620" i="6"/>
  <c r="A760" i="6"/>
  <c r="A1679" i="6"/>
  <c r="A1556" i="6"/>
  <c r="A1750" i="6"/>
  <c r="A332" i="6"/>
  <c r="A1037" i="6"/>
  <c r="A976" i="6"/>
  <c r="A562" i="6"/>
  <c r="A311" i="6"/>
  <c r="A1080" i="6"/>
  <c r="A1036" i="6"/>
  <c r="A1081" i="6"/>
  <c r="A934" i="6"/>
  <c r="A846" i="6"/>
  <c r="A310" i="6"/>
  <c r="A847" i="6"/>
  <c r="A309" i="6"/>
  <c r="A1356" i="6"/>
  <c r="A412" i="6"/>
  <c r="A161" i="6"/>
  <c r="A1484" i="6"/>
  <c r="A400" i="6"/>
  <c r="A236" i="6"/>
  <c r="A871" i="6"/>
  <c r="A1605" i="6"/>
  <c r="A1606" i="6"/>
  <c r="A1388" i="6"/>
  <c r="A1546" i="6"/>
  <c r="A1389" i="6"/>
  <c r="A1710" i="6"/>
  <c r="A961" i="6"/>
  <c r="M961" i="6" s="1"/>
  <c r="A294" i="6"/>
  <c r="A1106" i="6"/>
  <c r="A1533" i="6"/>
  <c r="A1738" i="6"/>
  <c r="A1154" i="6"/>
  <c r="A1748" i="6"/>
  <c r="A1723" i="6"/>
  <c r="A1722" i="6"/>
  <c r="A295" i="6"/>
  <c r="A291" i="6"/>
  <c r="A815" i="6"/>
  <c r="A814" i="6"/>
  <c r="A987" i="6"/>
  <c r="A275" i="6"/>
  <c r="A1219" i="6"/>
  <c r="A1374" i="6"/>
  <c r="A1673" i="6"/>
  <c r="A870" i="6"/>
  <c r="A1373" i="6"/>
  <c r="A643" i="6"/>
  <c r="A1162" i="6"/>
  <c r="A1736" i="6"/>
  <c r="A1698" i="6"/>
  <c r="A606" i="6"/>
  <c r="A607" i="6"/>
  <c r="A464" i="6"/>
  <c r="A1478" i="6"/>
  <c r="A1121" i="6"/>
  <c r="A1592" i="6"/>
  <c r="A323" i="6"/>
  <c r="A1754" i="6"/>
  <c r="A1684" i="6"/>
  <c r="M1684" i="6" s="1"/>
  <c r="A1707" i="6"/>
  <c r="M1707" i="6" s="1"/>
  <c r="A1708" i="6"/>
  <c r="M1708" i="6" s="1"/>
  <c r="A388" i="6"/>
  <c r="A1477" i="6"/>
  <c r="M1477" i="6" s="1"/>
  <c r="A1196" i="6"/>
  <c r="A874" i="6"/>
  <c r="A1022" i="6"/>
  <c r="A722" i="6"/>
  <c r="A205" i="6"/>
  <c r="A588" i="6"/>
  <c r="A288" i="6"/>
  <c r="A424" i="6"/>
  <c r="A1050" i="6"/>
  <c r="A774" i="6"/>
  <c r="A402" i="6"/>
  <c r="A1584" i="6"/>
  <c r="A316" i="6"/>
  <c r="A1372" i="6"/>
  <c r="A419" i="6"/>
  <c r="A1338" i="6"/>
  <c r="A660" i="6"/>
  <c r="A1482" i="6"/>
  <c r="A252" i="6"/>
  <c r="A132" i="6"/>
  <c r="A261" i="6"/>
  <c r="A262" i="6"/>
  <c r="A892" i="6"/>
  <c r="M892" i="6" s="1"/>
  <c r="A169" i="6"/>
  <c r="A1144" i="6"/>
  <c r="A1724" i="6"/>
  <c r="A1226" i="6"/>
  <c r="A1746" i="6"/>
  <c r="A648" i="6"/>
  <c r="A231" i="6"/>
  <c r="A296" i="6"/>
  <c r="A425" i="6"/>
  <c r="A289" i="6"/>
  <c r="A589" i="6"/>
  <c r="A1769" i="6"/>
  <c r="A1094" i="6"/>
  <c r="A185" i="6"/>
  <c r="A105" i="6"/>
  <c r="A139" i="6"/>
  <c r="M139" i="6" s="1"/>
  <c r="A183" i="6"/>
  <c r="A258" i="6"/>
  <c r="A563" i="6"/>
  <c r="A749" i="6"/>
  <c r="A926" i="6"/>
  <c r="A771" i="6"/>
  <c r="A158" i="6"/>
  <c r="A739" i="6"/>
  <c r="M739" i="6" s="1"/>
  <c r="A1428" i="6"/>
  <c r="A375" i="6"/>
  <c r="A1740" i="6"/>
  <c r="A867" i="6"/>
  <c r="A1739" i="6"/>
  <c r="A519" i="6"/>
  <c r="A960" i="6"/>
  <c r="A927" i="6"/>
  <c r="A861" i="6"/>
  <c r="A970" i="6"/>
  <c r="A858" i="6"/>
  <c r="A856" i="6"/>
  <c r="A862" i="6"/>
  <c r="A958" i="6"/>
  <c r="A859" i="6"/>
  <c r="A1357" i="6"/>
  <c r="A324" i="6"/>
  <c r="M324" i="6" s="1"/>
  <c r="A1254" i="6"/>
  <c r="A1253" i="6"/>
  <c r="A1256" i="6"/>
  <c r="A631" i="6"/>
  <c r="A991" i="6"/>
  <c r="A1541" i="6"/>
  <c r="A1588" i="6"/>
  <c r="A1258" i="6"/>
  <c r="A1661" i="6"/>
  <c r="A249" i="6"/>
  <c r="A1369" i="6"/>
  <c r="A199" i="6"/>
  <c r="A198" i="6"/>
  <c r="A680" i="6"/>
  <c r="A1175" i="6"/>
  <c r="A1513" i="6"/>
  <c r="A276" i="6"/>
  <c r="A1496" i="6"/>
  <c r="A1494" i="6"/>
  <c r="A219" i="6"/>
  <c r="A306" i="6"/>
  <c r="A218" i="6"/>
  <c r="A522" i="6"/>
  <c r="A1495" i="6"/>
  <c r="A201" i="6"/>
  <c r="A520" i="6"/>
  <c r="A521" i="6"/>
  <c r="A838" i="6"/>
  <c r="A839" i="6"/>
  <c r="A497" i="6"/>
  <c r="A1642" i="6"/>
  <c r="M1642" i="6" s="1"/>
  <c r="A1203" i="6"/>
  <c r="A1355" i="6"/>
  <c r="A1255" i="6"/>
  <c r="A1197" i="6"/>
  <c r="A1658" i="6"/>
  <c r="A463" i="6"/>
  <c r="A1339" i="6"/>
  <c r="A1785" i="6"/>
  <c r="A1194" i="6"/>
  <c r="A553" i="6"/>
  <c r="A352" i="6"/>
  <c r="A370" i="6"/>
  <c r="A421" i="6"/>
  <c r="A357" i="6"/>
  <c r="A1297" i="6"/>
  <c r="M1297" i="6" s="1"/>
  <c r="A1540" i="6"/>
  <c r="A955" i="6"/>
  <c r="A278" i="6"/>
  <c r="A496" i="6"/>
  <c r="A1310" i="6"/>
  <c r="A688" i="6"/>
  <c r="A1160" i="6"/>
  <c r="A1627" i="6"/>
  <c r="A469" i="6"/>
  <c r="A957" i="6"/>
  <c r="A1026" i="6"/>
  <c r="A829" i="6"/>
  <c r="A141" i="6"/>
  <c r="A320" i="6"/>
  <c r="A675" i="6"/>
  <c r="A676" i="6"/>
  <c r="A1561" i="6"/>
  <c r="A1286" i="6"/>
  <c r="A1287" i="6"/>
  <c r="A1688" i="6"/>
  <c r="A1559" i="6"/>
  <c r="A1560" i="6"/>
  <c r="A707" i="6"/>
  <c r="A1312" i="6"/>
  <c r="A1439" i="6"/>
  <c r="A1184" i="6"/>
  <c r="A994" i="6"/>
  <c r="A1613" i="6"/>
  <c r="M1613" i="6" s="1"/>
  <c r="A1166" i="6"/>
  <c r="A385" i="6"/>
  <c r="A527" i="6"/>
  <c r="A353" i="6"/>
  <c r="A207" i="6"/>
  <c r="A1069" i="6"/>
  <c r="A677" i="6"/>
  <c r="A590" i="6"/>
  <c r="A932" i="6"/>
  <c r="A1033" i="6"/>
  <c r="A1653" i="6"/>
  <c r="A587" i="6"/>
  <c r="A1765" i="6"/>
  <c r="M1765" i="6" s="1"/>
  <c r="A241" i="6"/>
  <c r="A1147" i="6"/>
  <c r="M1147" i="6" s="1"/>
  <c r="A1535" i="6"/>
  <c r="A1447" i="6"/>
  <c r="A194" i="6"/>
  <c r="A1055" i="6"/>
  <c r="A646" i="6"/>
  <c r="A645" i="6"/>
  <c r="A757" i="6"/>
  <c r="A1001" i="6"/>
  <c r="A743" i="6"/>
  <c r="A712" i="6"/>
  <c r="A1405" i="6"/>
  <c r="A1406" i="6"/>
  <c r="A221" i="6"/>
  <c r="A1324" i="6"/>
  <c r="A1124" i="6"/>
  <c r="A1125" i="6"/>
  <c r="A222" i="6"/>
  <c r="A351" i="6"/>
  <c r="A816" i="6"/>
  <c r="A299" i="6"/>
  <c r="A647" i="6"/>
  <c r="A346" i="6"/>
  <c r="A380" i="6"/>
  <c r="A307" i="6"/>
  <c r="A451" i="6"/>
  <c r="A908" i="6"/>
  <c r="A731" i="6"/>
  <c r="A367" i="6"/>
  <c r="A844" i="6"/>
  <c r="A230" i="6"/>
  <c r="A827" i="6"/>
  <c r="A763" i="6"/>
  <c r="A1139" i="6"/>
  <c r="A998" i="6"/>
  <c r="A1002" i="6"/>
  <c r="A500" i="6"/>
  <c r="A997" i="6"/>
  <c r="A725" i="6"/>
  <c r="A1677" i="6"/>
  <c r="A118" i="6"/>
  <c r="A1502" i="6"/>
  <c r="A1501" i="6"/>
  <c r="A1015" i="6"/>
  <c r="A841" i="6"/>
  <c r="A1652" i="6"/>
  <c r="A1206" i="6"/>
  <c r="A625" i="6"/>
  <c r="A157" i="6"/>
  <c r="A624" i="6"/>
  <c r="A1623" i="6"/>
  <c r="A1240" i="6"/>
  <c r="A1241" i="6"/>
  <c r="A596" i="6"/>
  <c r="A1053" i="6"/>
  <c r="A891" i="6"/>
  <c r="A274" i="6"/>
  <c r="A531" i="6"/>
  <c r="M531" i="6" s="1"/>
  <c r="A1137" i="6"/>
  <c r="A148" i="6"/>
  <c r="A773" i="6"/>
  <c r="A963" i="6"/>
  <c r="A1336" i="6"/>
  <c r="A777" i="6"/>
  <c r="A1667" i="6"/>
  <c r="A769" i="6"/>
  <c r="A768" i="6"/>
  <c r="A1140" i="6"/>
  <c r="A639" i="6"/>
  <c r="A404" i="6"/>
  <c r="A115" i="6"/>
  <c r="A436" i="6"/>
  <c r="A116" i="6"/>
  <c r="A354" i="6"/>
  <c r="A812" i="6"/>
  <c r="A1176" i="6"/>
  <c r="A887" i="6"/>
  <c r="A759" i="6"/>
  <c r="A784" i="6"/>
  <c r="A1008" i="6"/>
  <c r="A117" i="6"/>
  <c r="A170" i="6"/>
  <c r="M170" i="6" s="1"/>
  <c r="A894" i="6"/>
  <c r="A414" i="6"/>
  <c r="A629" i="6"/>
  <c r="A821" i="6"/>
  <c r="A681" i="6"/>
  <c r="A1043" i="6"/>
  <c r="A1044" i="6"/>
  <c r="A1045" i="6"/>
  <c r="A1112" i="6"/>
  <c r="M1112" i="6" s="1"/>
  <c r="A409" i="6"/>
  <c r="A389" i="6"/>
  <c r="A528" i="6"/>
  <c r="A302" i="6"/>
  <c r="A390" i="6"/>
  <c r="A1293" i="6"/>
  <c r="A1745" i="6"/>
  <c r="A799" i="6"/>
  <c r="A1023" i="6"/>
  <c r="A1437" i="6"/>
  <c r="A798" i="6"/>
  <c r="A800" i="6"/>
  <c r="A1400" i="6"/>
  <c r="A781" i="6"/>
  <c r="A147" i="6"/>
  <c r="A1169" i="6"/>
  <c r="A615" i="6"/>
  <c r="A514" i="6"/>
  <c r="M514" i="6" s="1"/>
  <c r="A1385" i="6"/>
  <c r="A1384" i="6"/>
  <c r="A368" i="6"/>
  <c r="A318" i="6"/>
  <c r="A1051" i="6"/>
  <c r="A212" i="6"/>
  <c r="A210" i="6"/>
  <c r="M210" i="6" s="1"/>
  <c r="A690" i="6"/>
  <c r="M690" i="6" s="1"/>
  <c r="A1048" i="6"/>
  <c r="M1048" i="6" s="1"/>
  <c r="A666" i="6"/>
  <c r="A551" i="6"/>
  <c r="A550" i="6"/>
  <c r="A1611" i="6"/>
  <c r="A548" i="6"/>
  <c r="A579" i="6"/>
  <c r="A1709" i="6"/>
  <c r="A214" i="6"/>
  <c r="A916" i="6"/>
  <c r="A1394" i="6"/>
  <c r="A1054" i="6"/>
  <c r="A1757" i="6"/>
  <c r="A1224" i="6"/>
  <c r="A1225" i="6"/>
  <c r="A1550" i="6"/>
  <c r="A413" i="6"/>
  <c r="A1401" i="6"/>
  <c r="A1402" i="6"/>
  <c r="A663" i="6"/>
  <c r="A1056" i="6"/>
  <c r="A1208" i="6"/>
  <c r="A1467" i="6"/>
  <c r="A1569" i="6"/>
  <c r="A1538" i="6"/>
  <c r="A1057" i="6"/>
  <c r="A1062" i="6"/>
  <c r="A1059" i="6"/>
  <c r="A1060" i="6"/>
  <c r="A923" i="6"/>
  <c r="A1061" i="6"/>
  <c r="A1030" i="6"/>
  <c r="A1361" i="6"/>
  <c r="A1469" i="6"/>
  <c r="A1282" i="6"/>
  <c r="A1281" i="6"/>
  <c r="A1064" i="6"/>
  <c r="A1058" i="6"/>
  <c r="A1362" i="6"/>
  <c r="A1537" i="6"/>
  <c r="A1209" i="6"/>
  <c r="A1063" i="6"/>
  <c r="A924" i="6"/>
  <c r="A1146" i="6"/>
  <c r="A1142" i="6"/>
  <c r="A1131" i="6"/>
  <c r="A251" i="6"/>
  <c r="A1132" i="6"/>
  <c r="A134" i="6"/>
  <c r="A1251" i="6"/>
  <c r="A1468" i="6"/>
  <c r="A602" i="6"/>
  <c r="A670" i="6"/>
  <c r="A728" i="6"/>
  <c r="A1095" i="6"/>
  <c r="A708" i="6"/>
  <c r="A1325" i="6"/>
  <c r="A851" i="6"/>
  <c r="A1311" i="6"/>
  <c r="A1314" i="6"/>
  <c r="A1313" i="6"/>
  <c r="A431" i="6"/>
  <c r="A679" i="6"/>
  <c r="A1261" i="6"/>
  <c r="A1011" i="6"/>
  <c r="A1481" i="6"/>
  <c r="A694" i="6"/>
  <c r="A1250" i="6"/>
  <c r="A1191" i="6"/>
  <c r="A1597" i="6"/>
  <c r="A1615" i="6"/>
  <c r="A1548" i="6"/>
  <c r="A767" i="6"/>
  <c r="A673" i="6"/>
  <c r="A1249" i="6"/>
  <c r="A1326" i="6"/>
  <c r="A734" i="6"/>
  <c r="A518" i="6"/>
  <c r="A776" i="6"/>
  <c r="A755" i="6"/>
  <c r="A314" i="6"/>
  <c r="A1699" i="6"/>
  <c r="A706" i="6"/>
  <c r="A597" i="6"/>
  <c r="A1729" i="6"/>
  <c r="A1716" i="6"/>
  <c r="A509" i="6"/>
  <c r="A667" i="6"/>
  <c r="A1539" i="6"/>
  <c r="A445" i="6"/>
  <c r="A949" i="6"/>
  <c r="A244" i="6"/>
  <c r="A163" i="6"/>
  <c r="A145" i="6"/>
  <c r="A446" i="6"/>
  <c r="A1778" i="6"/>
  <c r="A911" i="6"/>
  <c r="A476" i="6"/>
  <c r="A803" i="6"/>
  <c r="A592" i="6"/>
  <c r="A1777" i="6"/>
  <c r="A326" i="6"/>
  <c r="A503" i="6"/>
  <c r="A1636" i="6"/>
  <c r="A327" i="6"/>
  <c r="A1342" i="6"/>
  <c r="A854" i="6"/>
  <c r="M854" i="6" s="1"/>
  <c r="A555" i="6"/>
  <c r="A362" i="6"/>
  <c r="A1366" i="6"/>
  <c r="A149" i="6"/>
  <c r="A1183" i="6"/>
  <c r="A1274" i="6"/>
  <c r="A857" i="6"/>
  <c r="A855" i="6"/>
  <c r="A863" i="6"/>
  <c r="A1511" i="6"/>
  <c r="A860" i="6"/>
  <c r="A878" i="6"/>
  <c r="A1531" i="6"/>
  <c r="A959" i="6"/>
  <c r="A1734" i="6"/>
  <c r="A810" i="6"/>
  <c r="A1207" i="6"/>
  <c r="A1307" i="6"/>
  <c r="A772" i="6"/>
  <c r="A265" i="6"/>
  <c r="A1689" i="6"/>
  <c r="A1493" i="6"/>
  <c r="A1444" i="6"/>
  <c r="A1302" i="6"/>
  <c r="A1246" i="6"/>
  <c r="A359" i="6"/>
  <c r="A208" i="6"/>
  <c r="A456" i="6"/>
  <c r="A200" i="6"/>
  <c r="A1713" i="6"/>
  <c r="A853" i="6"/>
  <c r="A492" i="6"/>
  <c r="A1103" i="6"/>
  <c r="A1712" i="6"/>
  <c r="A363" i="6"/>
  <c r="A709" i="6"/>
  <c r="A491" i="6"/>
  <c r="A1735" i="6"/>
  <c r="A1003" i="6"/>
  <c r="A897" i="6"/>
  <c r="A1443" i="6"/>
  <c r="A1635" i="6"/>
  <c r="A889" i="6"/>
  <c r="A788" i="6"/>
  <c r="A303" i="6"/>
  <c r="A180" i="6"/>
  <c r="M180" i="6" s="1"/>
  <c r="A377" i="6"/>
  <c r="A297" i="6"/>
  <c r="A574" i="6"/>
  <c r="M574" i="6" s="1"/>
  <c r="A820" i="6"/>
  <c r="A557" i="6"/>
  <c r="A1047" i="6"/>
  <c r="A344" i="6"/>
  <c r="A1179" i="6"/>
  <c r="A964" i="6"/>
  <c r="M964" i="6" s="1"/>
  <c r="A944" i="6"/>
  <c r="M944" i="6" s="1"/>
  <c r="A683" i="6"/>
  <c r="A835" i="6"/>
  <c r="M835" i="6" s="1"/>
  <c r="A488" i="6"/>
  <c r="A1294" i="6"/>
  <c r="A864" i="6"/>
  <c r="A873" i="6"/>
  <c r="A1475" i="6"/>
  <c r="A576" i="6"/>
  <c r="A761" i="6"/>
  <c r="A1616" i="6"/>
  <c r="A762" i="6"/>
  <c r="A1508" i="6"/>
  <c r="A1291" i="6"/>
  <c r="M1291" i="6" s="1"/>
  <c r="A1271" i="6"/>
  <c r="A1269" i="6"/>
  <c r="A1270" i="6"/>
  <c r="A1415" i="6"/>
  <c r="A717" i="6"/>
  <c r="A260" i="6"/>
  <c r="A715" i="6"/>
  <c r="A1004" i="6"/>
  <c r="A337" i="6"/>
  <c r="A128" i="6"/>
  <c r="A1359" i="6"/>
  <c r="M1359" i="6" s="1"/>
  <c r="A1650" i="6"/>
  <c r="A114" i="6"/>
  <c r="A142" i="6"/>
  <c r="A1525" i="6"/>
  <c r="A1038" i="6"/>
  <c r="A106" i="6"/>
  <c r="A1216" i="6"/>
  <c r="A1647" i="6"/>
  <c r="A1217" i="6"/>
  <c r="A1218" i="6"/>
  <c r="A556" i="6"/>
  <c r="A1768" i="6"/>
  <c r="A710" i="6"/>
  <c r="A1779" i="6"/>
  <c r="A1666" i="6"/>
  <c r="A1464" i="6"/>
  <c r="A1465" i="6"/>
  <c r="A1463" i="6"/>
  <c r="A1466" i="6"/>
  <c r="A790" i="6"/>
  <c r="A1681" i="6"/>
  <c r="A1118" i="6"/>
  <c r="A797" i="6"/>
  <c r="A1117" i="6"/>
  <c r="A632" i="6"/>
  <c r="A869" i="6"/>
  <c r="A1000" i="6"/>
  <c r="A376" i="6"/>
  <c r="A1138" i="6"/>
  <c r="A1231" i="6"/>
  <c r="A612" i="6"/>
  <c r="A1408" i="6"/>
  <c r="A880" i="6"/>
  <c r="A1235" i="6"/>
  <c r="A973" i="6"/>
  <c r="A1459" i="6"/>
  <c r="A1024" i="6"/>
  <c r="A1409" i="6"/>
  <c r="A1222" i="6"/>
  <c r="A780" i="6"/>
  <c r="A1603" i="6"/>
  <c r="A486" i="6"/>
  <c r="A1567" i="6"/>
  <c r="A1664" i="6"/>
  <c r="A150" i="6"/>
  <c r="A1573" i="6"/>
  <c r="A387" i="6"/>
  <c r="A909" i="6"/>
  <c r="A1510" i="6"/>
  <c r="A1655" i="6"/>
  <c r="A140" i="6"/>
  <c r="A466" i="6"/>
  <c r="A1120" i="6"/>
  <c r="A742" i="6"/>
  <c r="A186" i="6"/>
  <c r="M186" i="6" s="1"/>
  <c r="A1755" i="6"/>
  <c r="A313" i="6"/>
  <c r="A1523" i="6"/>
  <c r="A965" i="6"/>
  <c r="A793" i="6"/>
  <c r="A669" i="6"/>
  <c r="A1227" i="6"/>
  <c r="A792" i="6"/>
  <c r="A1228" i="6"/>
  <c r="A1776" i="6"/>
  <c r="A1308" i="6"/>
  <c r="A1507" i="6"/>
  <c r="A321" i="6"/>
  <c r="A1590" i="6"/>
  <c r="A211" i="6"/>
  <c r="A1370" i="6"/>
  <c r="A910" i="6"/>
  <c r="A753" i="6"/>
  <c r="A215" i="6"/>
  <c r="A177" i="6"/>
  <c r="M177" i="6" s="1"/>
  <c r="A238" i="6"/>
  <c r="A239" i="6"/>
  <c r="A254" i="6"/>
  <c r="A411" i="6"/>
  <c r="A153" i="6"/>
  <c r="M153" i="6" s="1"/>
  <c r="A358" i="6"/>
  <c r="A594" i="6"/>
  <c r="A599" i="6"/>
  <c r="A600" i="6"/>
  <c r="A1039" i="6"/>
  <c r="A191" i="6"/>
  <c r="A693" i="6"/>
  <c r="A601" i="6"/>
  <c r="A603" i="6"/>
  <c r="A581" i="6"/>
  <c r="A285" i="6"/>
  <c r="A279" i="6"/>
  <c r="A674" i="6"/>
  <c r="A331" i="6"/>
  <c r="A137" i="6"/>
  <c r="A1301" i="6"/>
  <c r="A410" i="6"/>
  <c r="A711" i="6"/>
  <c r="A1327" i="6"/>
  <c r="A312" i="6"/>
  <c r="A1504" i="6"/>
  <c r="M1504" i="6" s="1"/>
  <c r="A1674" i="6"/>
  <c r="A696" i="6"/>
  <c r="A1551" i="6"/>
  <c r="M1551" i="6" s="1"/>
  <c r="A396" i="6"/>
  <c r="A176" i="6"/>
  <c r="A268" i="6"/>
  <c r="A1711" i="6"/>
  <c r="A826" i="6"/>
  <c r="A430" i="6"/>
  <c r="A1187" i="6"/>
  <c r="A501" i="6"/>
  <c r="A1238" i="6"/>
  <c r="A1239" i="6"/>
  <c r="A242" i="6"/>
  <c r="A395" i="6"/>
  <c r="A1347" i="6"/>
  <c r="A1346" i="6"/>
  <c r="A1685" i="6"/>
  <c r="A819" i="6"/>
  <c r="A1568" i="6"/>
  <c r="F3577" i="5"/>
  <c r="E213" i="4"/>
  <c r="E142" i="4"/>
  <c r="E71" i="4"/>
  <c r="E215" i="4" s="1"/>
  <c r="K40" i="1" l="1"/>
  <c r="K192" i="1"/>
  <c r="K191" i="1"/>
  <c r="K52" i="1"/>
  <c r="K1700" i="1"/>
  <c r="K1606" i="1"/>
  <c r="K1511" i="1"/>
  <c r="K1369" i="1"/>
  <c r="K1250" i="1"/>
  <c r="K1134" i="1"/>
  <c r="K922" i="1"/>
  <c r="K252" i="1"/>
  <c r="K131" i="1"/>
  <c r="K1735" i="1"/>
  <c r="K1652" i="1"/>
  <c r="K1534" i="1"/>
  <c r="K1415" i="1"/>
  <c r="K1190" i="1"/>
  <c r="K275" i="1"/>
  <c r="K185" i="1"/>
  <c r="K173" i="1"/>
  <c r="K162" i="1"/>
  <c r="K150" i="1"/>
  <c r="K138" i="1"/>
  <c r="K127" i="1"/>
  <c r="K117" i="1"/>
  <c r="K105" i="1"/>
  <c r="K58" i="1"/>
  <c r="K46" i="1"/>
  <c r="K35" i="1"/>
  <c r="K23" i="1"/>
  <c r="K11" i="1"/>
  <c r="K1742" i="1"/>
  <c r="K1730" i="1"/>
  <c r="K1718" i="1"/>
  <c r="K1706" i="1"/>
  <c r="K1694" i="1"/>
  <c r="K1682" i="1"/>
  <c r="K1670" i="1"/>
  <c r="K1659" i="1"/>
  <c r="K1647" i="1"/>
  <c r="K1636" i="1"/>
  <c r="K1624" i="1"/>
  <c r="K1612" i="1"/>
  <c r="K1600" i="1"/>
  <c r="K1589" i="1"/>
  <c r="K1577" i="1"/>
  <c r="K1565" i="1"/>
  <c r="K1553" i="1"/>
  <c r="K1541" i="1"/>
  <c r="K1529" i="1"/>
  <c r="K1517" i="1"/>
  <c r="K1505" i="1"/>
  <c r="K1494" i="1"/>
  <c r="K1482" i="1"/>
  <c r="K1470" i="1"/>
  <c r="K1458" i="1"/>
  <c r="K1446" i="1"/>
  <c r="K1434" i="1"/>
  <c r="K1422" i="1"/>
  <c r="K1410" i="1"/>
  <c r="K1399" i="1"/>
  <c r="K1387" i="1"/>
  <c r="K1375" i="1"/>
  <c r="K1363" i="1"/>
  <c r="K1351" i="1"/>
  <c r="K1339" i="1"/>
  <c r="K1327" i="1"/>
  <c r="K1316" i="1"/>
  <c r="K1304" i="1"/>
  <c r="K1292" i="1"/>
  <c r="K1280" i="1"/>
  <c r="K1268" i="1"/>
  <c r="K1256" i="1"/>
  <c r="K1244" i="1"/>
  <c r="K1232" i="1"/>
  <c r="K1220" i="1"/>
  <c r="K1209" i="1"/>
  <c r="K1197" i="1"/>
  <c r="K1185" i="1"/>
  <c r="K1173" i="1"/>
  <c r="K1161" i="1"/>
  <c r="K1150" i="1"/>
  <c r="K898" i="1"/>
  <c r="K228" i="1"/>
  <c r="K98" i="1"/>
  <c r="K1699" i="1"/>
  <c r="K1594" i="1"/>
  <c r="K1475" i="1"/>
  <c r="K1356" i="1"/>
  <c r="K81" i="1"/>
  <c r="K298" i="1"/>
  <c r="K184" i="1"/>
  <c r="K172" i="1"/>
  <c r="K161" i="1"/>
  <c r="K149" i="1"/>
  <c r="K137" i="1"/>
  <c r="K126" i="1"/>
  <c r="K116" i="1"/>
  <c r="K104" i="1"/>
  <c r="K57" i="1"/>
  <c r="K45" i="1"/>
  <c r="K34" i="1"/>
  <c r="K22" i="1"/>
  <c r="K10" i="1"/>
  <c r="K1741" i="1"/>
  <c r="K1729" i="1"/>
  <c r="K1717" i="1"/>
  <c r="K1705" i="1"/>
  <c r="K1693" i="1"/>
  <c r="K1681" i="1"/>
  <c r="K1669" i="1"/>
  <c r="K1658" i="1"/>
  <c r="K1646" i="1"/>
  <c r="K1635" i="1"/>
  <c r="K1623" i="1"/>
  <c r="K1611" i="1"/>
  <c r="K1599" i="1"/>
  <c r="K1588" i="1"/>
  <c r="K1576" i="1"/>
  <c r="K1564" i="1"/>
  <c r="K1552" i="1"/>
  <c r="K1540" i="1"/>
  <c r="K1528" i="1"/>
  <c r="K1516" i="1"/>
  <c r="K86" i="1"/>
  <c r="K156" i="1"/>
  <c r="K874" i="1"/>
  <c r="K264" i="1"/>
  <c r="K143" i="1"/>
  <c r="K1723" i="1"/>
  <c r="K1570" i="1"/>
  <c r="K1261" i="1"/>
  <c r="K263" i="1"/>
  <c r="K183" i="1"/>
  <c r="K171" i="1"/>
  <c r="K160" i="1"/>
  <c r="K148" i="1"/>
  <c r="K136" i="1"/>
  <c r="K125" i="1"/>
  <c r="K115" i="1"/>
  <c r="K103" i="1"/>
  <c r="K56" i="1"/>
  <c r="K44" i="1"/>
  <c r="K33" i="1"/>
  <c r="K21" i="1"/>
  <c r="K9" i="1"/>
  <c r="K1740" i="1"/>
  <c r="K1728" i="1"/>
  <c r="K1716" i="1"/>
  <c r="K1704" i="1"/>
  <c r="K1692" i="1"/>
  <c r="K1680" i="1"/>
  <c r="K1668" i="1"/>
  <c r="K1657" i="1"/>
  <c r="K1645" i="1"/>
  <c r="K1634" i="1"/>
  <c r="K1622" i="1"/>
  <c r="K1610" i="1"/>
  <c r="K1598" i="1"/>
  <c r="K1587" i="1"/>
  <c r="K1575" i="1"/>
  <c r="K1563" i="1"/>
  <c r="K1551" i="1"/>
  <c r="K1539" i="1"/>
  <c r="K1527" i="1"/>
  <c r="K1515" i="1"/>
  <c r="K1504" i="1"/>
  <c r="K1492" i="1"/>
  <c r="K1480" i="1"/>
  <c r="K1468" i="1"/>
  <c r="K1456" i="1"/>
  <c r="K1444" i="1"/>
  <c r="K1432" i="1"/>
  <c r="K1420" i="1"/>
  <c r="K1408" i="1"/>
  <c r="K1397" i="1"/>
  <c r="K1385" i="1"/>
  <c r="K1373" i="1"/>
  <c r="K1361" i="1"/>
  <c r="K1349" i="1"/>
  <c r="K1337" i="1"/>
  <c r="K1325" i="1"/>
  <c r="K1314" i="1"/>
  <c r="K1302" i="1"/>
  <c r="K1290" i="1"/>
  <c r="K1278" i="1"/>
  <c r="K1266" i="1"/>
  <c r="K1254" i="1"/>
  <c r="K1242" i="1"/>
  <c r="K1230" i="1"/>
  <c r="K1219" i="1"/>
  <c r="K1207" i="1"/>
  <c r="K1195" i="1"/>
  <c r="K1183" i="1"/>
  <c r="K111" i="1"/>
  <c r="K1712" i="1"/>
  <c r="K1583" i="1"/>
  <c r="K1452" i="1"/>
  <c r="K1298" i="1"/>
  <c r="K1029" i="1"/>
  <c r="K276" i="1"/>
  <c r="K1605" i="1"/>
  <c r="K239" i="1"/>
  <c r="K182" i="1"/>
  <c r="K170" i="1"/>
  <c r="K159" i="1"/>
  <c r="K147" i="1"/>
  <c r="K135" i="1"/>
  <c r="K124" i="1"/>
  <c r="K114" i="1"/>
  <c r="K102" i="1"/>
  <c r="K55" i="1"/>
  <c r="K43" i="1"/>
  <c r="K32" i="1"/>
  <c r="K20" i="1"/>
  <c r="K8" i="1"/>
  <c r="K1739" i="1"/>
  <c r="K1727" i="1"/>
  <c r="K1715" i="1"/>
  <c r="K1703" i="1"/>
  <c r="K132" i="1"/>
  <c r="K1736" i="1"/>
  <c r="K1618" i="1"/>
  <c r="K1523" i="1"/>
  <c r="K1428" i="1"/>
  <c r="K1321" i="1"/>
  <c r="K82" i="1"/>
  <c r="K946" i="1"/>
  <c r="K240" i="1"/>
  <c r="K166" i="1"/>
  <c r="K39" i="1"/>
  <c r="K89" i="1"/>
  <c r="K1582" i="1"/>
  <c r="K1487" i="1"/>
  <c r="K1392" i="1"/>
  <c r="K1202" i="1"/>
  <c r="K286" i="1"/>
  <c r="K181" i="1"/>
  <c r="K169" i="1"/>
  <c r="K158" i="1"/>
  <c r="K146" i="1"/>
  <c r="K134" i="1"/>
  <c r="K123" i="1"/>
  <c r="K113" i="1"/>
  <c r="K101" i="1"/>
  <c r="K54" i="1"/>
  <c r="K42" i="1"/>
  <c r="K31" i="1"/>
  <c r="K19" i="1"/>
  <c r="K7" i="1"/>
  <c r="K1738" i="1"/>
  <c r="K1726" i="1"/>
  <c r="K1714" i="1"/>
  <c r="K1702" i="1"/>
  <c r="K1690" i="1"/>
  <c r="K1678" i="1"/>
  <c r="K1666" i="1"/>
  <c r="K1655" i="1"/>
  <c r="K1643" i="1"/>
  <c r="K1632" i="1"/>
  <c r="K1620" i="1"/>
  <c r="K1608" i="1"/>
  <c r="K1596" i="1"/>
  <c r="K1585" i="1"/>
  <c r="K1573" i="1"/>
  <c r="K1561" i="1"/>
  <c r="K1549" i="1"/>
  <c r="K1537" i="1"/>
  <c r="K1525" i="1"/>
  <c r="K1513" i="1"/>
  <c r="K1502" i="1"/>
  <c r="K1490" i="1"/>
  <c r="K1478" i="1"/>
  <c r="K1466" i="1"/>
  <c r="K1454" i="1"/>
  <c r="K1442" i="1"/>
  <c r="K1430" i="1"/>
  <c r="K1418" i="1"/>
  <c r="K1407" i="1"/>
  <c r="K1395" i="1"/>
  <c r="K1383" i="1"/>
  <c r="K1371" i="1"/>
  <c r="K1359" i="1"/>
  <c r="K1347" i="1"/>
  <c r="K1335" i="1"/>
  <c r="K1323" i="1"/>
  <c r="K1312" i="1"/>
  <c r="K1300" i="1"/>
  <c r="K1288" i="1"/>
  <c r="K1276" i="1"/>
  <c r="K1264" i="1"/>
  <c r="K1252" i="1"/>
  <c r="K1240" i="1"/>
  <c r="K1228" i="1"/>
  <c r="K1217" i="1"/>
  <c r="K1205" i="1"/>
  <c r="K1664" i="1"/>
  <c r="K1571" i="1"/>
  <c r="K1500" i="1"/>
  <c r="K1381" i="1"/>
  <c r="K1262" i="1"/>
  <c r="K1167" i="1"/>
  <c r="K1041" i="1"/>
  <c r="K815" i="1"/>
  <c r="K287" i="1"/>
  <c r="K110" i="1"/>
  <c r="K1711" i="1"/>
  <c r="K1629" i="1"/>
  <c r="K1522" i="1"/>
  <c r="K1404" i="1"/>
  <c r="K1178" i="1"/>
  <c r="K251" i="1"/>
  <c r="K180" i="1"/>
  <c r="K168" i="1"/>
  <c r="K157" i="1"/>
  <c r="K145" i="1"/>
  <c r="K133" i="1"/>
  <c r="K122" i="1"/>
  <c r="K112" i="1"/>
  <c r="K100" i="1"/>
  <c r="K53" i="1"/>
  <c r="K41" i="1"/>
  <c r="K30" i="1"/>
  <c r="K18" i="1"/>
  <c r="K6" i="1"/>
  <c r="K1737" i="1"/>
  <c r="K1725" i="1"/>
  <c r="K144" i="1"/>
  <c r="K29" i="1"/>
  <c r="K1724" i="1"/>
  <c r="K1653" i="1"/>
  <c r="K1595" i="1"/>
  <c r="K1547" i="1"/>
  <c r="K1488" i="1"/>
  <c r="K1440" i="1"/>
  <c r="K1393" i="1"/>
  <c r="K1333" i="1"/>
  <c r="K1286" i="1"/>
  <c r="K1238" i="1"/>
  <c r="K1203" i="1"/>
  <c r="K1144" i="1"/>
  <c r="K1098" i="1"/>
  <c r="K1086" i="1"/>
  <c r="K1052" i="1"/>
  <c r="K994" i="1"/>
  <c r="K958" i="1"/>
  <c r="K934" i="1"/>
  <c r="K862" i="1"/>
  <c r="K827" i="1"/>
  <c r="K782" i="1"/>
  <c r="K770" i="1"/>
  <c r="K734" i="1"/>
  <c r="K698" i="1"/>
  <c r="K662" i="1"/>
  <c r="K626" i="1"/>
  <c r="K614" i="1"/>
  <c r="K580" i="1"/>
  <c r="K545" i="1"/>
  <c r="K521" i="1"/>
  <c r="K498" i="1"/>
  <c r="K464" i="1"/>
  <c r="K416" i="1"/>
  <c r="K380" i="1"/>
  <c r="K344" i="1"/>
  <c r="K334" i="1"/>
  <c r="K311" i="1"/>
  <c r="K299" i="1"/>
  <c r="K28" i="1"/>
  <c r="K1297" i="1"/>
  <c r="K1063" i="1"/>
  <c r="K957" i="1"/>
  <c r="K921" i="1"/>
  <c r="K885" i="1"/>
  <c r="K850" i="1"/>
  <c r="K814" i="1"/>
  <c r="K781" i="1"/>
  <c r="K745" i="1"/>
  <c r="K709" i="1"/>
  <c r="K697" i="1"/>
  <c r="K661" i="1"/>
  <c r="K625" i="1"/>
  <c r="K601" i="1"/>
  <c r="K567" i="1"/>
  <c r="K532" i="1"/>
  <c r="K497" i="1"/>
  <c r="K463" i="1"/>
  <c r="K451" i="1"/>
  <c r="K415" i="1"/>
  <c r="K379" i="1"/>
  <c r="K227" i="1"/>
  <c r="K167" i="1"/>
  <c r="K99" i="1"/>
  <c r="K5" i="1"/>
  <c r="K1676" i="1"/>
  <c r="K1630" i="1"/>
  <c r="K1535" i="1"/>
  <c r="K1464" i="1"/>
  <c r="K1416" i="1"/>
  <c r="K1357" i="1"/>
  <c r="K1310" i="1"/>
  <c r="K1226" i="1"/>
  <c r="K1191" i="1"/>
  <c r="K1122" i="1"/>
  <c r="K1064" i="1"/>
  <c r="K1006" i="1"/>
  <c r="K970" i="1"/>
  <c r="K910" i="1"/>
  <c r="K851" i="1"/>
  <c r="K804" i="1"/>
  <c r="K758" i="1"/>
  <c r="K710" i="1"/>
  <c r="K674" i="1"/>
  <c r="K638" i="1"/>
  <c r="K602" i="1"/>
  <c r="K568" i="1"/>
  <c r="K533" i="1"/>
  <c r="K486" i="1"/>
  <c r="K452" i="1"/>
  <c r="K428" i="1"/>
  <c r="K392" i="1"/>
  <c r="K368" i="1"/>
  <c r="K204" i="1"/>
  <c r="K178" i="1"/>
  <c r="K120" i="1"/>
  <c r="K16" i="1"/>
  <c r="K1675" i="1"/>
  <c r="K1617" i="1"/>
  <c r="K1546" i="1"/>
  <c r="K1510" i="1"/>
  <c r="K1463" i="1"/>
  <c r="K1439" i="1"/>
  <c r="K1380" i="1"/>
  <c r="K1332" i="1"/>
  <c r="K1309" i="1"/>
  <c r="K1273" i="1"/>
  <c r="K1237" i="1"/>
  <c r="K1214" i="1"/>
  <c r="K1166" i="1"/>
  <c r="K1133" i="1"/>
  <c r="K1109" i="1"/>
  <c r="K1085" i="1"/>
  <c r="K1051" i="1"/>
  <c r="K1028" i="1"/>
  <c r="K1005" i="1"/>
  <c r="K969" i="1"/>
  <c r="K945" i="1"/>
  <c r="K909" i="1"/>
  <c r="K861" i="1"/>
  <c r="K826" i="1"/>
  <c r="K793" i="1"/>
  <c r="K757" i="1"/>
  <c r="K721" i="1"/>
  <c r="K673" i="1"/>
  <c r="K637" i="1"/>
  <c r="K591" i="1"/>
  <c r="K68" i="1"/>
  <c r="K520" i="1"/>
  <c r="K485" i="1"/>
  <c r="K427" i="1"/>
  <c r="K391" i="1"/>
  <c r="K355" i="1"/>
  <c r="K333" i="1"/>
  <c r="K310" i="1"/>
  <c r="K203" i="1"/>
  <c r="K179" i="1"/>
  <c r="K121" i="1"/>
  <c r="K17" i="1"/>
  <c r="K1688" i="1"/>
  <c r="K88" i="1"/>
  <c r="K1559" i="1"/>
  <c r="K1476" i="1"/>
  <c r="K1405" i="1"/>
  <c r="K1345" i="1"/>
  <c r="K1274" i="1"/>
  <c r="K1215" i="1"/>
  <c r="K1179" i="1"/>
  <c r="K1110" i="1"/>
  <c r="K1076" i="1"/>
  <c r="K1017" i="1"/>
  <c r="K982" i="1"/>
  <c r="K886" i="1"/>
  <c r="K839" i="1"/>
  <c r="K794" i="1"/>
  <c r="K746" i="1"/>
  <c r="K722" i="1"/>
  <c r="K686" i="1"/>
  <c r="K650" i="1"/>
  <c r="K592" i="1"/>
  <c r="K556" i="1"/>
  <c r="K509" i="1"/>
  <c r="K474" i="1"/>
  <c r="K440" i="1"/>
  <c r="K404" i="1"/>
  <c r="K356" i="1"/>
  <c r="K322" i="1"/>
  <c r="K216" i="1"/>
  <c r="K155" i="1"/>
  <c r="K51" i="1"/>
  <c r="K4" i="1"/>
  <c r="K1687" i="1"/>
  <c r="K1641" i="1"/>
  <c r="K1558" i="1"/>
  <c r="K1499" i="1"/>
  <c r="K1451" i="1"/>
  <c r="K1427" i="1"/>
  <c r="K1368" i="1"/>
  <c r="K1344" i="1"/>
  <c r="K1320" i="1"/>
  <c r="K1285" i="1"/>
  <c r="K1249" i="1"/>
  <c r="K1225" i="1"/>
  <c r="K1155" i="1"/>
  <c r="K1121" i="1"/>
  <c r="K1097" i="1"/>
  <c r="K1075" i="1"/>
  <c r="K1040" i="1"/>
  <c r="K1016" i="1"/>
  <c r="K993" i="1"/>
  <c r="K981" i="1"/>
  <c r="K933" i="1"/>
  <c r="K897" i="1"/>
  <c r="K873" i="1"/>
  <c r="K838" i="1"/>
  <c r="K803" i="1"/>
  <c r="K769" i="1"/>
  <c r="K733" i="1"/>
  <c r="K685" i="1"/>
  <c r="K649" i="1"/>
  <c r="K613" i="1"/>
  <c r="K579" i="1"/>
  <c r="K544" i="1"/>
  <c r="K508" i="1"/>
  <c r="K473" i="1"/>
  <c r="K439" i="1"/>
  <c r="K403" i="1"/>
  <c r="K367" i="1"/>
  <c r="K343" i="1"/>
  <c r="K321" i="1"/>
  <c r="K215" i="1"/>
  <c r="K1139" i="1"/>
  <c r="K1128" i="1"/>
  <c r="K1116" i="1"/>
  <c r="K1104" i="1"/>
  <c r="K1092" i="1"/>
  <c r="K79" i="1"/>
  <c r="K1070" i="1"/>
  <c r="K1058" i="1"/>
  <c r="K1046" i="1"/>
  <c r="K1035" i="1"/>
  <c r="K1023" i="1"/>
  <c r="K1012" i="1"/>
  <c r="K1000" i="1"/>
  <c r="K988" i="1"/>
  <c r="K976" i="1"/>
  <c r="K964" i="1"/>
  <c r="K952" i="1"/>
  <c r="K940" i="1"/>
  <c r="K928" i="1"/>
  <c r="K916" i="1"/>
  <c r="K904" i="1"/>
  <c r="K892" i="1"/>
  <c r="K880" i="1"/>
  <c r="K868" i="1"/>
  <c r="K856" i="1"/>
  <c r="K845" i="1"/>
  <c r="K833" i="1"/>
  <c r="K821" i="1"/>
  <c r="K809" i="1"/>
  <c r="K800" i="1"/>
  <c r="K788" i="1"/>
  <c r="K776" i="1"/>
  <c r="K764" i="1"/>
  <c r="K752" i="1"/>
  <c r="K740" i="1"/>
  <c r="K728" i="1"/>
  <c r="K716" i="1"/>
  <c r="K704" i="1"/>
  <c r="K692" i="1"/>
  <c r="K680" i="1"/>
  <c r="K668" i="1"/>
  <c r="K656" i="1"/>
  <c r="K644" i="1"/>
  <c r="K632" i="1"/>
  <c r="K620" i="1"/>
  <c r="K608" i="1"/>
  <c r="K69" i="1"/>
  <c r="K586" i="1"/>
  <c r="K574" i="1"/>
  <c r="K562" i="1"/>
  <c r="K551" i="1"/>
  <c r="K539" i="1"/>
  <c r="K527" i="1"/>
  <c r="K515" i="1"/>
  <c r="K504" i="1"/>
  <c r="K492" i="1"/>
  <c r="K480" i="1"/>
  <c r="K468" i="1"/>
  <c r="K458" i="1"/>
  <c r="K446" i="1"/>
  <c r="K434" i="1"/>
  <c r="K422" i="1"/>
  <c r="K410" i="1"/>
  <c r="K398" i="1"/>
  <c r="K386" i="1"/>
  <c r="K374" i="1"/>
  <c r="K362" i="1"/>
  <c r="K350" i="1"/>
  <c r="K338" i="1"/>
  <c r="K328" i="1"/>
  <c r="K316" i="1"/>
  <c r="K305" i="1"/>
  <c r="K293" i="1"/>
  <c r="K281" i="1"/>
  <c r="K270" i="1"/>
  <c r="K258" i="1"/>
  <c r="K246" i="1"/>
  <c r="K234" i="1"/>
  <c r="K222" i="1"/>
  <c r="K210" i="1"/>
  <c r="K1493" i="1"/>
  <c r="K1481" i="1"/>
  <c r="K1469" i="1"/>
  <c r="K1457" i="1"/>
  <c r="K1445" i="1"/>
  <c r="K1433" i="1"/>
  <c r="K1421" i="1"/>
  <c r="K1409" i="1"/>
  <c r="K1398" i="1"/>
  <c r="K1386" i="1"/>
  <c r="K1374" i="1"/>
  <c r="K1362" i="1"/>
  <c r="K1350" i="1"/>
  <c r="K1338" i="1"/>
  <c r="K1326" i="1"/>
  <c r="K1315" i="1"/>
  <c r="K1303" i="1"/>
  <c r="K1291" i="1"/>
  <c r="K1279" i="1"/>
  <c r="K1267" i="1"/>
  <c r="K1255" i="1"/>
  <c r="K1243" i="1"/>
  <c r="K1231" i="1"/>
  <c r="K83" i="1"/>
  <c r="K1208" i="1"/>
  <c r="K1196" i="1"/>
  <c r="K1184" i="1"/>
  <c r="K1172" i="1"/>
  <c r="K1160" i="1"/>
  <c r="K1149" i="1"/>
  <c r="K80" i="1"/>
  <c r="K1127" i="1"/>
  <c r="K1115" i="1"/>
  <c r="K1103" i="1"/>
  <c r="K1091" i="1"/>
  <c r="K1080" i="1"/>
  <c r="K1069" i="1"/>
  <c r="K1057" i="1"/>
  <c r="K1045" i="1"/>
  <c r="K1034" i="1"/>
  <c r="K1022" i="1"/>
  <c r="K1011" i="1"/>
  <c r="K999" i="1"/>
  <c r="K987" i="1"/>
  <c r="K975" i="1"/>
  <c r="K963" i="1"/>
  <c r="K951" i="1"/>
  <c r="K939" i="1"/>
  <c r="K927" i="1"/>
  <c r="K915" i="1"/>
  <c r="K903" i="1"/>
  <c r="K891" i="1"/>
  <c r="K879" i="1"/>
  <c r="K867" i="1"/>
  <c r="K74" i="1"/>
  <c r="K844" i="1"/>
  <c r="K832" i="1"/>
  <c r="K820" i="1"/>
  <c r="K808" i="1"/>
  <c r="K799" i="1"/>
  <c r="K787" i="1"/>
  <c r="K775" i="1"/>
  <c r="K763" i="1"/>
  <c r="K751" i="1"/>
  <c r="K739" i="1"/>
  <c r="K727" i="1"/>
  <c r="K715" i="1"/>
  <c r="K703" i="1"/>
  <c r="K691" i="1"/>
  <c r="K679" i="1"/>
  <c r="K1171" i="1"/>
  <c r="K1159" i="1"/>
  <c r="K1148" i="1"/>
  <c r="K1138" i="1"/>
  <c r="K1126" i="1"/>
  <c r="K1114" i="1"/>
  <c r="K1102" i="1"/>
  <c r="K1090" i="1"/>
  <c r="K78" i="1"/>
  <c r="K1068" i="1"/>
  <c r="K1056" i="1"/>
  <c r="K1044" i="1"/>
  <c r="K1033" i="1"/>
  <c r="K1021" i="1"/>
  <c r="K1010" i="1"/>
  <c r="K998" i="1"/>
  <c r="K986" i="1"/>
  <c r="K974" i="1"/>
  <c r="K962" i="1"/>
  <c r="K950" i="1"/>
  <c r="K938" i="1"/>
  <c r="K926" i="1"/>
  <c r="K914" i="1"/>
  <c r="K902" i="1"/>
  <c r="K890" i="1"/>
  <c r="K878" i="1"/>
  <c r="K866" i="1"/>
  <c r="K855" i="1"/>
  <c r="K843" i="1"/>
  <c r="K831" i="1"/>
  <c r="K819" i="1"/>
  <c r="K807" i="1"/>
  <c r="K798" i="1"/>
  <c r="K786" i="1"/>
  <c r="K774" i="1"/>
  <c r="K762" i="1"/>
  <c r="K750" i="1"/>
  <c r="K738" i="1"/>
  <c r="K726" i="1"/>
  <c r="K714" i="1"/>
  <c r="K702" i="1"/>
  <c r="K690" i="1"/>
  <c r="K678" i="1"/>
  <c r="K666" i="1"/>
  <c r="K654" i="1"/>
  <c r="K642" i="1"/>
  <c r="K630" i="1"/>
  <c r="K618" i="1"/>
  <c r="K606" i="1"/>
  <c r="K596" i="1"/>
  <c r="K584" i="1"/>
  <c r="K572" i="1"/>
  <c r="K560" i="1"/>
  <c r="K549" i="1"/>
  <c r="K537" i="1"/>
  <c r="K525" i="1"/>
  <c r="K513" i="1"/>
  <c r="K502" i="1"/>
  <c r="K490" i="1"/>
  <c r="K478" i="1"/>
  <c r="K467" i="1"/>
  <c r="K456" i="1"/>
  <c r="K444" i="1"/>
  <c r="K432" i="1"/>
  <c r="K420" i="1"/>
  <c r="K408" i="1"/>
  <c r="K396" i="1"/>
  <c r="K384" i="1"/>
  <c r="K372" i="1"/>
  <c r="K360" i="1"/>
  <c r="K348" i="1"/>
  <c r="K64" i="1"/>
  <c r="K326" i="1"/>
  <c r="K314" i="1"/>
  <c r="K303" i="1"/>
  <c r="K291" i="1"/>
  <c r="K280" i="1"/>
  <c r="K268" i="1"/>
  <c r="K256" i="1"/>
  <c r="K244" i="1"/>
  <c r="K232" i="1"/>
  <c r="K220" i="1"/>
  <c r="K208" i="1"/>
  <c r="K1691" i="1"/>
  <c r="K1679" i="1"/>
  <c r="K1667" i="1"/>
  <c r="K1656" i="1"/>
  <c r="K1644" i="1"/>
  <c r="K1633" i="1"/>
  <c r="K1621" i="1"/>
  <c r="K1609" i="1"/>
  <c r="K1597" i="1"/>
  <c r="K1586" i="1"/>
  <c r="K1574" i="1"/>
  <c r="K1562" i="1"/>
  <c r="K1550" i="1"/>
  <c r="K1538" i="1"/>
  <c r="K1526" i="1"/>
  <c r="K1514" i="1"/>
  <c r="K1503" i="1"/>
  <c r="K1491" i="1"/>
  <c r="K1479" i="1"/>
  <c r="K1467" i="1"/>
  <c r="K1455" i="1"/>
  <c r="K1443" i="1"/>
  <c r="K1431" i="1"/>
  <c r="K1419" i="1"/>
  <c r="K85" i="1"/>
  <c r="K1396" i="1"/>
  <c r="K1384" i="1"/>
  <c r="K1372" i="1"/>
  <c r="K1360" i="1"/>
  <c r="K1348" i="1"/>
  <c r="K1336" i="1"/>
  <c r="K1324" i="1"/>
  <c r="K1313" i="1"/>
  <c r="K1301" i="1"/>
  <c r="K1289" i="1"/>
  <c r="K1277" i="1"/>
  <c r="K1265" i="1"/>
  <c r="K1253" i="1"/>
  <c r="K1241" i="1"/>
  <c r="K1229" i="1"/>
  <c r="K1218" i="1"/>
  <c r="K1206" i="1"/>
  <c r="K1194" i="1"/>
  <c r="K1182" i="1"/>
  <c r="K1170" i="1"/>
  <c r="K1158" i="1"/>
  <c r="K1147" i="1"/>
  <c r="K1137" i="1"/>
  <c r="K1125" i="1"/>
  <c r="K1113" i="1"/>
  <c r="K1101" i="1"/>
  <c r="K1089" i="1"/>
  <c r="K1079" i="1"/>
  <c r="K1067" i="1"/>
  <c r="K1055" i="1"/>
  <c r="K1043" i="1"/>
  <c r="K1032" i="1"/>
  <c r="K1020" i="1"/>
  <c r="K1009" i="1"/>
  <c r="K997" i="1"/>
  <c r="K985" i="1"/>
  <c r="K973" i="1"/>
  <c r="K961" i="1"/>
  <c r="K949" i="1"/>
  <c r="K937" i="1"/>
  <c r="K925" i="1"/>
  <c r="K913" i="1"/>
  <c r="K901" i="1"/>
  <c r="K889" i="1"/>
  <c r="K877" i="1"/>
  <c r="K865" i="1"/>
  <c r="K854" i="1"/>
  <c r="K842" i="1"/>
  <c r="K830" i="1"/>
  <c r="K818" i="1"/>
  <c r="K806" i="1"/>
  <c r="K797" i="1"/>
  <c r="K785" i="1"/>
  <c r="K773" i="1"/>
  <c r="K761" i="1"/>
  <c r="K749" i="1"/>
  <c r="K1193" i="1"/>
  <c r="K1181" i="1"/>
  <c r="K1169" i="1"/>
  <c r="K1157" i="1"/>
  <c r="K1146" i="1"/>
  <c r="K1136" i="1"/>
  <c r="K1124" i="1"/>
  <c r="K1112" i="1"/>
  <c r="K1100" i="1"/>
  <c r="K1088" i="1"/>
  <c r="K1078" i="1"/>
  <c r="K1066" i="1"/>
  <c r="K1054" i="1"/>
  <c r="K1042" i="1"/>
  <c r="K1031" i="1"/>
  <c r="K1019" i="1"/>
  <c r="K1008" i="1"/>
  <c r="K996" i="1"/>
  <c r="K984" i="1"/>
  <c r="K972" i="1"/>
  <c r="K960" i="1"/>
  <c r="K948" i="1"/>
  <c r="K936" i="1"/>
  <c r="K924" i="1"/>
  <c r="K912" i="1"/>
  <c r="K900" i="1"/>
  <c r="K888" i="1"/>
  <c r="K876" i="1"/>
  <c r="K864" i="1"/>
  <c r="K853" i="1"/>
  <c r="K841" i="1"/>
  <c r="K829" i="1"/>
  <c r="K817" i="1"/>
  <c r="K805" i="1"/>
  <c r="K796" i="1"/>
  <c r="K784" i="1"/>
  <c r="K772" i="1"/>
  <c r="K760" i="1"/>
  <c r="K748" i="1"/>
  <c r="K736" i="1"/>
  <c r="K724" i="1"/>
  <c r="K712" i="1"/>
  <c r="K700" i="1"/>
  <c r="K688" i="1"/>
  <c r="K676" i="1"/>
  <c r="K664" i="1"/>
  <c r="K652" i="1"/>
  <c r="K640" i="1"/>
  <c r="K628" i="1"/>
  <c r="K616" i="1"/>
  <c r="K604" i="1"/>
  <c r="K594" i="1"/>
  <c r="K582" i="1"/>
  <c r="K570" i="1"/>
  <c r="K558" i="1"/>
  <c r="K547" i="1"/>
  <c r="K535" i="1"/>
  <c r="K523" i="1"/>
  <c r="K511" i="1"/>
  <c r="K500" i="1"/>
  <c r="K488" i="1"/>
  <c r="K476" i="1"/>
  <c r="K65" i="1"/>
  <c r="K454" i="1"/>
  <c r="K442" i="1"/>
  <c r="K430" i="1"/>
  <c r="K418" i="1"/>
  <c r="K406" i="1"/>
  <c r="K394" i="1"/>
  <c r="K382" i="1"/>
  <c r="K370" i="1"/>
  <c r="K358" i="1"/>
  <c r="K346" i="1"/>
  <c r="K336" i="1"/>
  <c r="K324" i="1"/>
  <c r="K313" i="1"/>
  <c r="K301" i="1"/>
  <c r="K289" i="1"/>
  <c r="K278" i="1"/>
  <c r="K266" i="1"/>
  <c r="K254" i="1"/>
  <c r="K242" i="1"/>
  <c r="K230" i="1"/>
  <c r="K218" i="1"/>
  <c r="K206" i="1"/>
  <c r="K1713" i="1"/>
  <c r="K1701" i="1"/>
  <c r="K1689" i="1"/>
  <c r="K1677" i="1"/>
  <c r="K1665" i="1"/>
  <c r="K1654" i="1"/>
  <c r="K1642" i="1"/>
  <c r="K1631" i="1"/>
  <c r="K1619" i="1"/>
  <c r="K1607" i="1"/>
  <c r="K87" i="1"/>
  <c r="K1584" i="1"/>
  <c r="K1572" i="1"/>
  <c r="K1560" i="1"/>
  <c r="K1548" i="1"/>
  <c r="K1536" i="1"/>
  <c r="K1524" i="1"/>
  <c r="K1512" i="1"/>
  <c r="K1501" i="1"/>
  <c r="K1489" i="1"/>
  <c r="K1477" i="1"/>
  <c r="K1465" i="1"/>
  <c r="K1453" i="1"/>
  <c r="K1441" i="1"/>
  <c r="K1429" i="1"/>
  <c r="K1417" i="1"/>
  <c r="K1406" i="1"/>
  <c r="K1394" i="1"/>
  <c r="K1382" i="1"/>
  <c r="K1370" i="1"/>
  <c r="K1358" i="1"/>
  <c r="K1346" i="1"/>
  <c r="K1334" i="1"/>
  <c r="K1322" i="1"/>
  <c r="K1311" i="1"/>
  <c r="K1299" i="1"/>
  <c r="K1287" i="1"/>
  <c r="K1275" i="1"/>
  <c r="K1263" i="1"/>
  <c r="K1251" i="1"/>
  <c r="K1239" i="1"/>
  <c r="K1227" i="1"/>
  <c r="K1216" i="1"/>
  <c r="K1204" i="1"/>
  <c r="K1192" i="1"/>
  <c r="K1180" i="1"/>
  <c r="K1168" i="1"/>
  <c r="K1156" i="1"/>
  <c r="K1145" i="1"/>
  <c r="K1135" i="1"/>
  <c r="K1123" i="1"/>
  <c r="K1111" i="1"/>
  <c r="K1099" i="1"/>
  <c r="K1087" i="1"/>
  <c r="K1077" i="1"/>
  <c r="K1065" i="1"/>
  <c r="K1053" i="1"/>
  <c r="K77" i="1"/>
  <c r="K1030" i="1"/>
  <c r="K1018" i="1"/>
  <c r="K1007" i="1"/>
  <c r="K995" i="1"/>
  <c r="K983" i="1"/>
  <c r="K971" i="1"/>
  <c r="K959" i="1"/>
  <c r="K947" i="1"/>
  <c r="K935" i="1"/>
  <c r="K923" i="1"/>
  <c r="K911" i="1"/>
  <c r="K899" i="1"/>
  <c r="K887" i="1"/>
  <c r="K875" i="1"/>
  <c r="K863" i="1"/>
  <c r="K852" i="1"/>
  <c r="K840" i="1"/>
  <c r="K828" i="1"/>
  <c r="K816" i="1"/>
  <c r="K73" i="1"/>
  <c r="K795" i="1"/>
  <c r="K783" i="1"/>
  <c r="K771" i="1"/>
  <c r="K759" i="1"/>
  <c r="K747" i="1"/>
  <c r="K177" i="1"/>
  <c r="K95" i="1"/>
  <c r="K154" i="1"/>
  <c r="K142" i="1"/>
  <c r="K130" i="1"/>
  <c r="K119" i="1"/>
  <c r="K109" i="1"/>
  <c r="K97" i="1"/>
  <c r="K50" i="1"/>
  <c r="K91" i="1"/>
  <c r="K27" i="1"/>
  <c r="K15" i="1"/>
  <c r="K3" i="1"/>
  <c r="K1734" i="1"/>
  <c r="K1722" i="1"/>
  <c r="K1710" i="1"/>
  <c r="K1698" i="1"/>
  <c r="K1686" i="1"/>
  <c r="K1674" i="1"/>
  <c r="K1663" i="1"/>
  <c r="K1651" i="1"/>
  <c r="K1640" i="1"/>
  <c r="K1628" i="1"/>
  <c r="K1616" i="1"/>
  <c r="K1604" i="1"/>
  <c r="K1593" i="1"/>
  <c r="K1581" i="1"/>
  <c r="K1569" i="1"/>
  <c r="K1557" i="1"/>
  <c r="K1545" i="1"/>
  <c r="K1533" i="1"/>
  <c r="K1521" i="1"/>
  <c r="K1509" i="1"/>
  <c r="K1498" i="1"/>
  <c r="K1486" i="1"/>
  <c r="K1474" i="1"/>
  <c r="K1462" i="1"/>
  <c r="K1450" i="1"/>
  <c r="K1438" i="1"/>
  <c r="K1426" i="1"/>
  <c r="K1414" i="1"/>
  <c r="K1403" i="1"/>
  <c r="K1391" i="1"/>
  <c r="K1379" i="1"/>
  <c r="K1367" i="1"/>
  <c r="K1355" i="1"/>
  <c r="K1343" i="1"/>
  <c r="K1331" i="1"/>
  <c r="K1319" i="1"/>
  <c r="K1308" i="1"/>
  <c r="K1296" i="1"/>
  <c r="K1284" i="1"/>
  <c r="K1272" i="1"/>
  <c r="K1260" i="1"/>
  <c r="K1248" i="1"/>
  <c r="K1236" i="1"/>
  <c r="K1224" i="1"/>
  <c r="K1213" i="1"/>
  <c r="K1201" i="1"/>
  <c r="K1189" i="1"/>
  <c r="K1177" i="1"/>
  <c r="K1165" i="1"/>
  <c r="K1154" i="1"/>
  <c r="K1143" i="1"/>
  <c r="K1132" i="1"/>
  <c r="K1120" i="1"/>
  <c r="K1108" i="1"/>
  <c r="K1096" i="1"/>
  <c r="K1084" i="1"/>
  <c r="K1074" i="1"/>
  <c r="K1062" i="1"/>
  <c r="K1050" i="1"/>
  <c r="K1039" i="1"/>
  <c r="K1027" i="1"/>
  <c r="K1015" i="1"/>
  <c r="K1004" i="1"/>
  <c r="K992" i="1"/>
  <c r="K980" i="1"/>
  <c r="K968" i="1"/>
  <c r="K956" i="1"/>
  <c r="K176" i="1"/>
  <c r="K165" i="1"/>
  <c r="K153" i="1"/>
  <c r="K141" i="1"/>
  <c r="K129" i="1"/>
  <c r="K93" i="1"/>
  <c r="K108" i="1"/>
  <c r="K96" i="1"/>
  <c r="K49" i="1"/>
  <c r="K38" i="1"/>
  <c r="K26" i="1"/>
  <c r="K14" i="1"/>
  <c r="K2" i="1"/>
  <c r="K1733" i="1"/>
  <c r="K1721" i="1"/>
  <c r="K1709" i="1"/>
  <c r="K1697" i="1"/>
  <c r="K1685" i="1"/>
  <c r="K1673" i="1"/>
  <c r="K1662" i="1"/>
  <c r="K1650" i="1"/>
  <c r="K1639" i="1"/>
  <c r="K1627" i="1"/>
  <c r="K1615" i="1"/>
  <c r="K1603" i="1"/>
  <c r="K1592" i="1"/>
  <c r="K1580" i="1"/>
  <c r="K1568" i="1"/>
  <c r="K1556" i="1"/>
  <c r="K1544" i="1"/>
  <c r="K1532" i="1"/>
  <c r="K1520" i="1"/>
  <c r="K1508" i="1"/>
  <c r="K1497" i="1"/>
  <c r="K1485" i="1"/>
  <c r="K1473" i="1"/>
  <c r="K1461" i="1"/>
  <c r="K1449" i="1"/>
  <c r="K1437" i="1"/>
  <c r="K1425" i="1"/>
  <c r="K1413" i="1"/>
  <c r="K1402" i="1"/>
  <c r="K1390" i="1"/>
  <c r="K1378" i="1"/>
  <c r="K1366" i="1"/>
  <c r="K1354" i="1"/>
  <c r="K1342" i="1"/>
  <c r="K1330" i="1"/>
  <c r="K84" i="1"/>
  <c r="K1307" i="1"/>
  <c r="K1295" i="1"/>
  <c r="K1283" i="1"/>
  <c r="K1271" i="1"/>
  <c r="K1259" i="1"/>
  <c r="K1247" i="1"/>
  <c r="K1235" i="1"/>
  <c r="K1223" i="1"/>
  <c r="K1212" i="1"/>
  <c r="K1200" i="1"/>
  <c r="K1188" i="1"/>
  <c r="K75" i="1"/>
  <c r="K37" i="1"/>
  <c r="K175" i="1"/>
  <c r="K164" i="1"/>
  <c r="K152" i="1"/>
  <c r="K140" i="1"/>
  <c r="K94" i="1"/>
  <c r="K118" i="1"/>
  <c r="K107" i="1"/>
  <c r="K60" i="1"/>
  <c r="K48" i="1"/>
  <c r="K90" i="1"/>
  <c r="K25" i="1"/>
  <c r="K13" i="1"/>
  <c r="K1744" i="1"/>
  <c r="K1732" i="1"/>
  <c r="K1720" i="1"/>
  <c r="K1708" i="1"/>
  <c r="K1696" i="1"/>
  <c r="K1684" i="1"/>
  <c r="K1672" i="1"/>
  <c r="K1661" i="1"/>
  <c r="K1649" i="1"/>
  <c r="K1638" i="1"/>
  <c r="K1626" i="1"/>
  <c r="K1614" i="1"/>
  <c r="K1602" i="1"/>
  <c r="K1591" i="1"/>
  <c r="K1579" i="1"/>
  <c r="K1567" i="1"/>
  <c r="K1555" i="1"/>
  <c r="K1543" i="1"/>
  <c r="K1531" i="1"/>
  <c r="K1519" i="1"/>
  <c r="K1507" i="1"/>
  <c r="K1496" i="1"/>
  <c r="K1484" i="1"/>
  <c r="K1472" i="1"/>
  <c r="K1460" i="1"/>
  <c r="K1448" i="1"/>
  <c r="K1436" i="1"/>
  <c r="K1424" i="1"/>
  <c r="K1412" i="1"/>
  <c r="K1401" i="1"/>
  <c r="K1389" i="1"/>
  <c r="K1377" i="1"/>
  <c r="K1365" i="1"/>
  <c r="K1353" i="1"/>
  <c r="K1341" i="1"/>
  <c r="K1329" i="1"/>
  <c r="K1318" i="1"/>
  <c r="K1306" i="1"/>
  <c r="K1294" i="1"/>
  <c r="K1282" i="1"/>
  <c r="K1270" i="1"/>
  <c r="K1258" i="1"/>
  <c r="K1246" i="1"/>
  <c r="K1234" i="1"/>
  <c r="K1222" i="1"/>
  <c r="K1211" i="1"/>
  <c r="K1199" i="1"/>
  <c r="K1187" i="1"/>
  <c r="K186" i="1"/>
  <c r="K174" i="1"/>
  <c r="K163" i="1"/>
  <c r="K151" i="1"/>
  <c r="K139" i="1"/>
  <c r="K128" i="1"/>
  <c r="K92" i="1"/>
  <c r="K106" i="1"/>
  <c r="K59" i="1"/>
  <c r="K47" i="1"/>
  <c r="K36" i="1"/>
  <c r="K24" i="1"/>
  <c r="K12" i="1"/>
  <c r="K1743" i="1"/>
  <c r="K1731" i="1"/>
  <c r="K1719" i="1"/>
  <c r="K1707" i="1"/>
  <c r="K1695" i="1"/>
  <c r="K1683" i="1"/>
  <c r="K1671" i="1"/>
  <c r="K1660" i="1"/>
  <c r="K1648" i="1"/>
  <c r="K1637" i="1"/>
  <c r="K1625" i="1"/>
  <c r="K1613" i="1"/>
  <c r="K1601" i="1"/>
  <c r="K1590" i="1"/>
  <c r="K1578" i="1"/>
  <c r="K1566" i="1"/>
  <c r="K1554" i="1"/>
  <c r="K1542" i="1"/>
  <c r="K1530" i="1"/>
  <c r="K1518" i="1"/>
  <c r="K1506" i="1"/>
  <c r="K1495" i="1"/>
  <c r="K1483" i="1"/>
  <c r="K1471" i="1"/>
  <c r="K1459" i="1"/>
  <c r="K1447" i="1"/>
  <c r="K1435" i="1"/>
  <c r="K1423" i="1"/>
  <c r="K1411" i="1"/>
  <c r="K1400" i="1"/>
  <c r="K1388" i="1"/>
  <c r="K1376" i="1"/>
  <c r="K1364" i="1"/>
  <c r="K1352" i="1"/>
  <c r="K1340" i="1"/>
  <c r="K1328" i="1"/>
  <c r="K1317" i="1"/>
  <c r="K1305" i="1"/>
  <c r="K1293" i="1"/>
  <c r="K1281" i="1"/>
  <c r="K1269" i="1"/>
  <c r="K1257" i="1"/>
  <c r="K1245" i="1"/>
  <c r="K1233" i="1"/>
  <c r="K1221" i="1"/>
  <c r="K1210" i="1"/>
  <c r="K1198" i="1"/>
  <c r="K1186" i="1"/>
  <c r="K1174" i="1"/>
  <c r="K198" i="1"/>
  <c r="K667" i="1"/>
  <c r="K655" i="1"/>
  <c r="K643" i="1"/>
  <c r="K631" i="1"/>
  <c r="K619" i="1"/>
  <c r="K607" i="1"/>
  <c r="K597" i="1"/>
  <c r="K585" i="1"/>
  <c r="K573" i="1"/>
  <c r="K561" i="1"/>
  <c r="K550" i="1"/>
  <c r="K538" i="1"/>
  <c r="K526" i="1"/>
  <c r="K514" i="1"/>
  <c r="K503" i="1"/>
  <c r="K491" i="1"/>
  <c r="K479" i="1"/>
  <c r="K66" i="1"/>
  <c r="K457" i="1"/>
  <c r="K445" i="1"/>
  <c r="K433" i="1"/>
  <c r="K421" i="1"/>
  <c r="K409" i="1"/>
  <c r="K397" i="1"/>
  <c r="K385" i="1"/>
  <c r="K373" i="1"/>
  <c r="K361" i="1"/>
  <c r="K349" i="1"/>
  <c r="K337" i="1"/>
  <c r="K327" i="1"/>
  <c r="K315" i="1"/>
  <c r="K304" i="1"/>
  <c r="K292" i="1"/>
  <c r="K61" i="1"/>
  <c r="K269" i="1"/>
  <c r="K257" i="1"/>
  <c r="K245" i="1"/>
  <c r="K233" i="1"/>
  <c r="K221" i="1"/>
  <c r="K209" i="1"/>
  <c r="K197" i="1"/>
  <c r="K196" i="1"/>
  <c r="K737" i="1"/>
  <c r="K725" i="1"/>
  <c r="K713" i="1"/>
  <c r="K701" i="1"/>
  <c r="K689" i="1"/>
  <c r="K677" i="1"/>
  <c r="K665" i="1"/>
  <c r="K653" i="1"/>
  <c r="K641" i="1"/>
  <c r="K629" i="1"/>
  <c r="K617" i="1"/>
  <c r="K605" i="1"/>
  <c r="K595" i="1"/>
  <c r="K583" i="1"/>
  <c r="K571" i="1"/>
  <c r="K559" i="1"/>
  <c r="K548" i="1"/>
  <c r="K536" i="1"/>
  <c r="K524" i="1"/>
  <c r="K512" i="1"/>
  <c r="K501" i="1"/>
  <c r="K489" i="1"/>
  <c r="K477" i="1"/>
  <c r="K466" i="1"/>
  <c r="K455" i="1"/>
  <c r="K443" i="1"/>
  <c r="K431" i="1"/>
  <c r="K419" i="1"/>
  <c r="K407" i="1"/>
  <c r="K395" i="1"/>
  <c r="K383" i="1"/>
  <c r="K371" i="1"/>
  <c r="K359" i="1"/>
  <c r="K347" i="1"/>
  <c r="K63" i="1"/>
  <c r="K325" i="1"/>
  <c r="K62" i="1"/>
  <c r="K302" i="1"/>
  <c r="K290" i="1"/>
  <c r="K279" i="1"/>
  <c r="K267" i="1"/>
  <c r="K255" i="1"/>
  <c r="K243" i="1"/>
  <c r="K231" i="1"/>
  <c r="K219" i="1"/>
  <c r="K207" i="1"/>
  <c r="K195" i="1"/>
  <c r="K194" i="1"/>
  <c r="K735" i="1"/>
  <c r="K723" i="1"/>
  <c r="K711" i="1"/>
  <c r="K699" i="1"/>
  <c r="K687" i="1"/>
  <c r="K675" i="1"/>
  <c r="K663" i="1"/>
  <c r="K651" i="1"/>
  <c r="K639" i="1"/>
  <c r="K627" i="1"/>
  <c r="K615" i="1"/>
  <c r="K603" i="1"/>
  <c r="K593" i="1"/>
  <c r="K581" i="1"/>
  <c r="K569" i="1"/>
  <c r="K557" i="1"/>
  <c r="K546" i="1"/>
  <c r="K534" i="1"/>
  <c r="K522" i="1"/>
  <c r="K510" i="1"/>
  <c r="K499" i="1"/>
  <c r="K487" i="1"/>
  <c r="K475" i="1"/>
  <c r="K465" i="1"/>
  <c r="K453" i="1"/>
  <c r="K441" i="1"/>
  <c r="K429" i="1"/>
  <c r="K417" i="1"/>
  <c r="K405" i="1"/>
  <c r="K393" i="1"/>
  <c r="K381" i="1"/>
  <c r="K369" i="1"/>
  <c r="K357" i="1"/>
  <c r="K345" i="1"/>
  <c r="K335" i="1"/>
  <c r="K323" i="1"/>
  <c r="K312" i="1"/>
  <c r="K300" i="1"/>
  <c r="K288" i="1"/>
  <c r="K277" i="1"/>
  <c r="K265" i="1"/>
  <c r="K253" i="1"/>
  <c r="K241" i="1"/>
  <c r="K229" i="1"/>
  <c r="K217" i="1"/>
  <c r="K205" i="1"/>
  <c r="K193" i="1"/>
  <c r="K944" i="1"/>
  <c r="K932" i="1"/>
  <c r="K920" i="1"/>
  <c r="K908" i="1"/>
  <c r="K896" i="1"/>
  <c r="K884" i="1"/>
  <c r="K872" i="1"/>
  <c r="K860" i="1"/>
  <c r="K849" i="1"/>
  <c r="K837" i="1"/>
  <c r="K825" i="1"/>
  <c r="K813" i="1"/>
  <c r="K72" i="1"/>
  <c r="K792" i="1"/>
  <c r="K780" i="1"/>
  <c r="K768" i="1"/>
  <c r="K756" i="1"/>
  <c r="K744" i="1"/>
  <c r="K732" i="1"/>
  <c r="K720" i="1"/>
  <c r="K708" i="1"/>
  <c r="K696" i="1"/>
  <c r="K684" i="1"/>
  <c r="K672" i="1"/>
  <c r="K660" i="1"/>
  <c r="K648" i="1"/>
  <c r="K636" i="1"/>
  <c r="K624" i="1"/>
  <c r="K612" i="1"/>
  <c r="K600" i="1"/>
  <c r="K590" i="1"/>
  <c r="K578" i="1"/>
  <c r="K566" i="1"/>
  <c r="K555" i="1"/>
  <c r="K543" i="1"/>
  <c r="K531" i="1"/>
  <c r="K519" i="1"/>
  <c r="K507" i="1"/>
  <c r="K496" i="1"/>
  <c r="K484" i="1"/>
  <c r="K472" i="1"/>
  <c r="K462" i="1"/>
  <c r="K450" i="1"/>
  <c r="K438" i="1"/>
  <c r="K426" i="1"/>
  <c r="K414" i="1"/>
  <c r="K402" i="1"/>
  <c r="K390" i="1"/>
  <c r="K378" i="1"/>
  <c r="K366" i="1"/>
  <c r="K354" i="1"/>
  <c r="K342" i="1"/>
  <c r="K332" i="1"/>
  <c r="K320" i="1"/>
  <c r="K309" i="1"/>
  <c r="K297" i="1"/>
  <c r="K285" i="1"/>
  <c r="K274" i="1"/>
  <c r="K262" i="1"/>
  <c r="K250" i="1"/>
  <c r="K238" i="1"/>
  <c r="K226" i="1"/>
  <c r="K214" i="1"/>
  <c r="K202" i="1"/>
  <c r="K190" i="1"/>
  <c r="K1176" i="1"/>
  <c r="K1164" i="1"/>
  <c r="K1153" i="1"/>
  <c r="K1142" i="1"/>
  <c r="K1131" i="1"/>
  <c r="K1119" i="1"/>
  <c r="K1107" i="1"/>
  <c r="K1095" i="1"/>
  <c r="K1083" i="1"/>
  <c r="K1073" i="1"/>
  <c r="K1061" i="1"/>
  <c r="K1049" i="1"/>
  <c r="K1038" i="1"/>
  <c r="K1026" i="1"/>
  <c r="K1014" i="1"/>
  <c r="K1003" i="1"/>
  <c r="K991" i="1"/>
  <c r="K979" i="1"/>
  <c r="K967" i="1"/>
  <c r="K955" i="1"/>
  <c r="K943" i="1"/>
  <c r="K931" i="1"/>
  <c r="K919" i="1"/>
  <c r="K907" i="1"/>
  <c r="K895" i="1"/>
  <c r="K883" i="1"/>
  <c r="K871" i="1"/>
  <c r="K859" i="1"/>
  <c r="K848" i="1"/>
  <c r="K836" i="1"/>
  <c r="K824" i="1"/>
  <c r="K812" i="1"/>
  <c r="K802" i="1"/>
  <c r="K791" i="1"/>
  <c r="K779" i="1"/>
  <c r="K767" i="1"/>
  <c r="K755" i="1"/>
  <c r="K743" i="1"/>
  <c r="K731" i="1"/>
  <c r="K719" i="1"/>
  <c r="K707" i="1"/>
  <c r="K695" i="1"/>
  <c r="K683" i="1"/>
  <c r="K671" i="1"/>
  <c r="K659" i="1"/>
  <c r="K647" i="1"/>
  <c r="K635" i="1"/>
  <c r="K623" i="1"/>
  <c r="K611" i="1"/>
  <c r="K599" i="1"/>
  <c r="K589" i="1"/>
  <c r="K577" i="1"/>
  <c r="K565" i="1"/>
  <c r="K554" i="1"/>
  <c r="K542" i="1"/>
  <c r="K530" i="1"/>
  <c r="K518" i="1"/>
  <c r="K67" i="1"/>
  <c r="K495" i="1"/>
  <c r="K483" i="1"/>
  <c r="K471" i="1"/>
  <c r="K461" i="1"/>
  <c r="K449" i="1"/>
  <c r="K437" i="1"/>
  <c r="K425" i="1"/>
  <c r="K413" i="1"/>
  <c r="K401" i="1"/>
  <c r="K389" i="1"/>
  <c r="K377" i="1"/>
  <c r="K365" i="1"/>
  <c r="K353" i="1"/>
  <c r="K341" i="1"/>
  <c r="K331" i="1"/>
  <c r="K319" i="1"/>
  <c r="K308" i="1"/>
  <c r="K296" i="1"/>
  <c r="K284" i="1"/>
  <c r="K273" i="1"/>
  <c r="K261" i="1"/>
  <c r="K249" i="1"/>
  <c r="K237" i="1"/>
  <c r="K225" i="1"/>
  <c r="K213" i="1"/>
  <c r="K201" i="1"/>
  <c r="K189" i="1"/>
  <c r="K1175" i="1"/>
  <c r="K1163" i="1"/>
  <c r="K1152" i="1"/>
  <c r="K1141" i="1"/>
  <c r="K1130" i="1"/>
  <c r="K1118" i="1"/>
  <c r="K1106" i="1"/>
  <c r="K1094" i="1"/>
  <c r="K1082" i="1"/>
  <c r="K1072" i="1"/>
  <c r="K1060" i="1"/>
  <c r="K1048" i="1"/>
  <c r="K1037" i="1"/>
  <c r="K1025" i="1"/>
  <c r="K1013" i="1"/>
  <c r="K1002" i="1"/>
  <c r="K990" i="1"/>
  <c r="K978" i="1"/>
  <c r="K966" i="1"/>
  <c r="K954" i="1"/>
  <c r="K942" i="1"/>
  <c r="K930" i="1"/>
  <c r="K918" i="1"/>
  <c r="K906" i="1"/>
  <c r="K894" i="1"/>
  <c r="K882" i="1"/>
  <c r="K870" i="1"/>
  <c r="K858" i="1"/>
  <c r="K847" i="1"/>
  <c r="K835" i="1"/>
  <c r="K823" i="1"/>
  <c r="K811" i="1"/>
  <c r="K801" i="1"/>
  <c r="K790" i="1"/>
  <c r="K778" i="1"/>
  <c r="K766" i="1"/>
  <c r="K754" i="1"/>
  <c r="K742" i="1"/>
  <c r="K730" i="1"/>
  <c r="K718" i="1"/>
  <c r="K706" i="1"/>
  <c r="K694" i="1"/>
  <c r="K682" i="1"/>
  <c r="K670" i="1"/>
  <c r="K658" i="1"/>
  <c r="K646" i="1"/>
  <c r="K634" i="1"/>
  <c r="K622" i="1"/>
  <c r="K610" i="1"/>
  <c r="K598" i="1"/>
  <c r="K588" i="1"/>
  <c r="K576" i="1"/>
  <c r="K564" i="1"/>
  <c r="K553" i="1"/>
  <c r="K541" i="1"/>
  <c r="K529" i="1"/>
  <c r="K517" i="1"/>
  <c r="K506" i="1"/>
  <c r="K494" i="1"/>
  <c r="K482" i="1"/>
  <c r="K470" i="1"/>
  <c r="K460" i="1"/>
  <c r="K448" i="1"/>
  <c r="K436" i="1"/>
  <c r="K424" i="1"/>
  <c r="K412" i="1"/>
  <c r="K400" i="1"/>
  <c r="K388" i="1"/>
  <c r="K376" i="1"/>
  <c r="K364" i="1"/>
  <c r="K352" i="1"/>
  <c r="K340" i="1"/>
  <c r="K330" i="1"/>
  <c r="K318" i="1"/>
  <c r="K307" i="1"/>
  <c r="K295" i="1"/>
  <c r="K283" i="1"/>
  <c r="K272" i="1"/>
  <c r="K260" i="1"/>
  <c r="K248" i="1"/>
  <c r="K236" i="1"/>
  <c r="K224" i="1"/>
  <c r="K212" i="1"/>
  <c r="K200" i="1"/>
  <c r="K188" i="1"/>
  <c r="K1162" i="1"/>
  <c r="K1151" i="1"/>
  <c r="K1140" i="1"/>
  <c r="K1129" i="1"/>
  <c r="K1117" i="1"/>
  <c r="K1105" i="1"/>
  <c r="K1093" i="1"/>
  <c r="K1081" i="1"/>
  <c r="K1071" i="1"/>
  <c r="K1059" i="1"/>
  <c r="K1047" i="1"/>
  <c r="K1036" i="1"/>
  <c r="K1024" i="1"/>
  <c r="K76" i="1"/>
  <c r="K1001" i="1"/>
  <c r="K989" i="1"/>
  <c r="K977" i="1"/>
  <c r="K965" i="1"/>
  <c r="K953" i="1"/>
  <c r="K941" i="1"/>
  <c r="K929" i="1"/>
  <c r="K917" i="1"/>
  <c r="K905" i="1"/>
  <c r="K893" i="1"/>
  <c r="K881" i="1"/>
  <c r="K869" i="1"/>
  <c r="K857" i="1"/>
  <c r="K846" i="1"/>
  <c r="K834" i="1"/>
  <c r="K822" i="1"/>
  <c r="K810" i="1"/>
  <c r="K71" i="1"/>
  <c r="K789" i="1"/>
  <c r="K777" i="1"/>
  <c r="K765" i="1"/>
  <c r="K753" i="1"/>
  <c r="K741" i="1"/>
  <c r="K729" i="1"/>
  <c r="K717" i="1"/>
  <c r="K705" i="1"/>
  <c r="K693" i="1"/>
  <c r="K681" i="1"/>
  <c r="K669" i="1"/>
  <c r="K657" i="1"/>
  <c r="K645" i="1"/>
  <c r="K633" i="1"/>
  <c r="K621" i="1"/>
  <c r="K609" i="1"/>
  <c r="K70" i="1"/>
  <c r="K587" i="1"/>
  <c r="K575" i="1"/>
  <c r="K563" i="1"/>
  <c r="K552" i="1"/>
  <c r="K540" i="1"/>
  <c r="K528" i="1"/>
  <c r="K516" i="1"/>
  <c r="K505" i="1"/>
  <c r="K493" i="1"/>
  <c r="K481" i="1"/>
  <c r="K469" i="1"/>
  <c r="K459" i="1"/>
  <c r="K447" i="1"/>
  <c r="K435" i="1"/>
  <c r="K423" i="1"/>
  <c r="K411" i="1"/>
  <c r="K399" i="1"/>
  <c r="K387" i="1"/>
  <c r="K375" i="1"/>
  <c r="K363" i="1"/>
  <c r="K351" i="1"/>
  <c r="K339" i="1"/>
  <c r="K329" i="1"/>
  <c r="K317" i="1"/>
  <c r="K306" i="1"/>
  <c r="K294" i="1"/>
  <c r="K282" i="1"/>
  <c r="K271" i="1"/>
  <c r="K259" i="1"/>
  <c r="K247" i="1"/>
  <c r="K235" i="1"/>
  <c r="K223" i="1"/>
  <c r="K211" i="1"/>
  <c r="K199" i="1"/>
  <c r="K187" i="1"/>
  <c r="L848" i="6"/>
  <c r="L342" i="6"/>
  <c r="G27" i="3"/>
  <c r="G58" i="3"/>
  <c r="G11" i="3"/>
  <c r="G57" i="3"/>
  <c r="G50" i="3"/>
  <c r="G24" i="3"/>
  <c r="G13" i="3"/>
  <c r="G32" i="3"/>
  <c r="G49" i="3"/>
  <c r="G40" i="3"/>
  <c r="G12" i="3"/>
  <c r="G16" i="3"/>
  <c r="G18" i="3"/>
  <c r="G43" i="3"/>
  <c r="G42" i="3"/>
  <c r="G34" i="3"/>
  <c r="G68" i="3"/>
  <c r="G56" i="3"/>
  <c r="G61" i="3"/>
  <c r="G29" i="3"/>
  <c r="G15" i="3"/>
  <c r="G25" i="3"/>
  <c r="G51" i="3"/>
  <c r="G33" i="3"/>
  <c r="G26" i="3"/>
  <c r="G60" i="3"/>
  <c r="G4" i="3"/>
  <c r="G2" i="3"/>
  <c r="G5" i="3"/>
  <c r="G3" i="3"/>
  <c r="L176" i="6"/>
  <c r="L1218" i="6"/>
  <c r="L1777" i="6"/>
  <c r="L1209" i="6"/>
  <c r="L963" i="6"/>
  <c r="L353" i="6"/>
  <c r="L858" i="6"/>
  <c r="L1389" i="6"/>
  <c r="L1232" i="6"/>
  <c r="L825" i="6"/>
  <c r="L756" i="6"/>
  <c r="L619" i="6"/>
  <c r="L817" i="6"/>
  <c r="L1771" i="6"/>
  <c r="L1229" i="6"/>
  <c r="L138" i="6"/>
  <c r="L1390" i="6"/>
  <c r="L995" i="6"/>
  <c r="L478" i="6"/>
  <c r="L1545" i="6"/>
  <c r="L754" i="6"/>
  <c r="L1118" i="6"/>
  <c r="L1307" i="6"/>
  <c r="L413" i="6"/>
  <c r="L451" i="6"/>
  <c r="L497" i="6"/>
  <c r="L774" i="6"/>
  <c r="L386" i="6"/>
  <c r="L1213" i="6"/>
  <c r="L616" i="6"/>
  <c r="L1473" i="6"/>
  <c r="L1020" i="6"/>
  <c r="L1631" i="6"/>
  <c r="L1449" i="6"/>
  <c r="L1025" i="6"/>
  <c r="L1457" i="6"/>
  <c r="L1068" i="6"/>
  <c r="L939" i="6"/>
  <c r="L331" i="6"/>
  <c r="L337" i="6"/>
  <c r="L1274" i="6"/>
  <c r="L1060" i="6"/>
  <c r="L354" i="6"/>
  <c r="L1688" i="6"/>
  <c r="L589" i="6"/>
  <c r="L332" i="6"/>
  <c r="L1272" i="6"/>
  <c r="L1764" i="6"/>
  <c r="L1305" i="6"/>
  <c r="L1343" i="6"/>
  <c r="L1668" i="6"/>
  <c r="L1491" i="6"/>
  <c r="L888" i="6"/>
  <c r="L417" i="6"/>
  <c r="L549" i="6"/>
  <c r="L845" i="6"/>
  <c r="L1067" i="6"/>
  <c r="L954" i="6"/>
  <c r="L1666" i="6"/>
  <c r="L1346" i="6"/>
  <c r="L211" i="6"/>
  <c r="L1523" i="6"/>
  <c r="L1616" i="6"/>
  <c r="L1635" i="6"/>
  <c r="L1539" i="6"/>
  <c r="L1011" i="6"/>
  <c r="L1385" i="6"/>
  <c r="L821" i="6"/>
  <c r="L997" i="6"/>
  <c r="L1535" i="6"/>
  <c r="L1627" i="6"/>
  <c r="L1496" i="6"/>
  <c r="L158" i="6"/>
  <c r="L1736" i="6"/>
  <c r="L309" i="6"/>
  <c r="L1387" i="6"/>
  <c r="L1453" i="6"/>
  <c r="L1609" i="6"/>
  <c r="L1337" i="6"/>
  <c r="L1486" i="6"/>
  <c r="L1591" i="6"/>
  <c r="L1582" i="6"/>
  <c r="L1016" i="6"/>
  <c r="L453" i="6"/>
  <c r="L1703" i="6"/>
  <c r="L300" i="6"/>
  <c r="L1085" i="6"/>
  <c r="L654" i="6"/>
  <c r="L253" i="6"/>
  <c r="L1171" i="6"/>
  <c r="L968" i="6"/>
  <c r="L1320" i="6"/>
  <c r="L1725" i="6"/>
  <c r="L1192" i="6"/>
  <c r="L483" i="6"/>
  <c r="L782" i="6"/>
  <c r="L935" i="6"/>
  <c r="L349" i="6"/>
  <c r="L716" i="6"/>
  <c r="L846" i="6"/>
  <c r="L1329" i="6"/>
  <c r="L1000" i="6"/>
  <c r="L1235" i="6"/>
  <c r="L1713" i="6"/>
  <c r="L670" i="6"/>
  <c r="L624" i="6"/>
  <c r="L352" i="6"/>
  <c r="L262" i="6"/>
  <c r="L570" i="6"/>
  <c r="L758" i="6"/>
  <c r="L1318" i="6"/>
  <c r="L187" i="6"/>
  <c r="L246" i="6"/>
  <c r="L795" i="6"/>
  <c r="L345" i="6"/>
  <c r="L1679" i="6"/>
  <c r="L594" i="6"/>
  <c r="L1179" i="6"/>
  <c r="L734" i="6"/>
  <c r="L1745" i="6"/>
  <c r="L221" i="6"/>
  <c r="L1541" i="6"/>
  <c r="L291" i="6"/>
  <c r="L1412" i="6"/>
  <c r="L929" i="6"/>
  <c r="L1248" i="6"/>
  <c r="L577" i="6"/>
  <c r="L26" i="6"/>
  <c r="L674" i="6"/>
  <c r="L150" i="6"/>
  <c r="L1217" i="6"/>
  <c r="L344" i="6"/>
  <c r="L1183" i="6"/>
  <c r="L667" i="6"/>
  <c r="L1537" i="6"/>
  <c r="L1293" i="6"/>
  <c r="L157" i="6"/>
  <c r="L307" i="6"/>
  <c r="L839" i="6"/>
  <c r="L771" i="6"/>
  <c r="L261" i="6"/>
  <c r="L847" i="6"/>
  <c r="L1413" i="6"/>
  <c r="L974" i="6"/>
  <c r="L1365" i="6"/>
  <c r="L1638" i="6"/>
  <c r="L1471" i="6"/>
  <c r="L1476" i="6"/>
  <c r="L1383" i="6"/>
  <c r="L1639" i="6"/>
  <c r="L866" i="6"/>
  <c r="L1577" i="6"/>
  <c r="L872" i="6"/>
  <c r="L653" i="6"/>
  <c r="L204" i="6"/>
  <c r="L572" i="6"/>
  <c r="L836" i="6"/>
  <c r="L543" i="6"/>
  <c r="L651" i="6"/>
  <c r="L502" i="6"/>
  <c r="L727" i="6"/>
  <c r="L1349" i="6"/>
  <c r="L1753" i="6"/>
  <c r="L981" i="6"/>
  <c r="G65" i="3"/>
  <c r="I65" i="3"/>
  <c r="L61" i="6"/>
  <c r="L395" i="6"/>
  <c r="L790" i="6"/>
  <c r="L576" i="6"/>
  <c r="L810" i="6"/>
  <c r="L1468" i="6"/>
  <c r="L615" i="6"/>
  <c r="L148" i="6"/>
  <c r="L385" i="6"/>
  <c r="L688" i="6"/>
  <c r="L926" i="6"/>
  <c r="L1388" i="6"/>
  <c r="L925" i="6"/>
  <c r="L1633" i="6"/>
  <c r="L552" i="6"/>
  <c r="L284" i="6"/>
  <c r="L1046" i="6"/>
  <c r="L1759" i="6"/>
  <c r="L830" i="6"/>
  <c r="L1448" i="6"/>
  <c r="L1363" i="6"/>
  <c r="L1704" i="6"/>
  <c r="L322" i="6"/>
  <c r="L1123" i="6"/>
  <c r="L250" i="6"/>
  <c r="L1330" i="6"/>
  <c r="L470" i="6"/>
  <c r="L1071" i="6"/>
  <c r="L701" i="6"/>
  <c r="L172" i="6"/>
  <c r="L467" i="6"/>
  <c r="L415" i="6"/>
  <c r="L852" i="6"/>
  <c r="L146" i="6"/>
  <c r="L1013" i="6"/>
  <c r="L850" i="6"/>
  <c r="L732" i="6"/>
  <c r="L508" i="6"/>
  <c r="L179" i="6"/>
  <c r="G62" i="3"/>
  <c r="I62" i="3"/>
  <c r="G30" i="3"/>
  <c r="I30" i="3"/>
  <c r="G55" i="3"/>
  <c r="I55" i="3"/>
  <c r="L208" i="6"/>
  <c r="L435" i="6"/>
  <c r="L50" i="6"/>
  <c r="L313" i="6"/>
  <c r="L1004" i="6"/>
  <c r="L1443" i="6"/>
  <c r="L1326" i="6"/>
  <c r="L1550" i="6"/>
  <c r="L116" i="6"/>
  <c r="L1406" i="6"/>
  <c r="L1160" i="6"/>
  <c r="L991" i="6"/>
  <c r="L1050" i="6"/>
  <c r="L1546" i="6"/>
  <c r="L1072" i="6"/>
  <c r="L1702" i="6"/>
  <c r="L783" i="6"/>
  <c r="L1309" i="6"/>
  <c r="L1479" i="6"/>
  <c r="L525" i="6"/>
  <c r="L672" i="6"/>
  <c r="L290" i="6"/>
  <c r="L1662" i="6"/>
  <c r="L1418" i="6"/>
  <c r="L740" i="6"/>
  <c r="L605" i="6"/>
  <c r="L1040" i="6"/>
  <c r="L423" i="6"/>
  <c r="L992" i="6"/>
  <c r="L956" i="6"/>
  <c r="L1717" i="6"/>
  <c r="L1070" i="6"/>
  <c r="L989" i="6"/>
  <c r="L1335" i="6"/>
  <c r="L277" i="6"/>
  <c r="G31" i="3"/>
  <c r="I31" i="3"/>
  <c r="G48" i="3"/>
  <c r="I48" i="3"/>
  <c r="L73" i="6"/>
  <c r="L279" i="6"/>
  <c r="L1664" i="6"/>
  <c r="L1647" i="6"/>
  <c r="L897" i="6"/>
  <c r="L803" i="6"/>
  <c r="L1362" i="6"/>
  <c r="L414" i="6"/>
  <c r="L625" i="6"/>
  <c r="L1405" i="6"/>
  <c r="L1194" i="6"/>
  <c r="L861" i="6"/>
  <c r="L132" i="6"/>
  <c r="L310" i="6"/>
  <c r="L875" i="6"/>
  <c r="L1411" i="6"/>
  <c r="L658" i="6"/>
  <c r="L849" i="6"/>
  <c r="L1345" i="6"/>
  <c r="L1032" i="6"/>
  <c r="L885" i="6"/>
  <c r="L1021" i="6"/>
  <c r="L1687" i="6"/>
  <c r="L1751" i="6"/>
  <c r="L558" i="6"/>
  <c r="L1575" i="6"/>
  <c r="L1230" i="6"/>
  <c r="L1518" i="6"/>
  <c r="L1675" i="6"/>
  <c r="L1172" i="6"/>
  <c r="L293" i="6"/>
  <c r="L1035" i="6"/>
  <c r="L428" i="6"/>
  <c r="L1017" i="6"/>
  <c r="L1426" i="6"/>
  <c r="L1236" i="6"/>
  <c r="L96" i="6"/>
  <c r="L242" i="6"/>
  <c r="L1507" i="6"/>
  <c r="L260" i="6"/>
  <c r="L1366" i="6"/>
  <c r="L431" i="6"/>
  <c r="L1224" i="6"/>
  <c r="L894" i="6"/>
  <c r="L998" i="6"/>
  <c r="L1256" i="6"/>
  <c r="L488" i="6"/>
  <c r="G66" i="3"/>
  <c r="I66" i="3"/>
  <c r="L38" i="6"/>
  <c r="L358" i="6"/>
  <c r="L200" i="6"/>
  <c r="L1062" i="6"/>
  <c r="L84" i="6"/>
  <c r="L411" i="6"/>
  <c r="L1466" i="6"/>
  <c r="L1003" i="6"/>
  <c r="L673" i="6"/>
  <c r="L1058" i="6"/>
  <c r="L1169" i="6"/>
  <c r="L712" i="6"/>
  <c r="L240" i="6"/>
  <c r="L1381" i="6"/>
  <c r="G69" i="3"/>
  <c r="I69" i="3"/>
  <c r="G35" i="3"/>
  <c r="I35" i="3"/>
  <c r="G28" i="3"/>
  <c r="I28" i="3"/>
  <c r="L86" i="6"/>
  <c r="L74" i="6"/>
  <c r="L62" i="6"/>
  <c r="L14" i="6"/>
  <c r="L1347" i="6"/>
  <c r="L1590" i="6"/>
  <c r="L880" i="6"/>
  <c r="L1681" i="6"/>
  <c r="L761" i="6"/>
  <c r="L1207" i="6"/>
  <c r="L592" i="6"/>
  <c r="L1261" i="6"/>
  <c r="L602" i="6"/>
  <c r="L1059" i="6"/>
  <c r="L550" i="6"/>
  <c r="L629" i="6"/>
  <c r="L773" i="6"/>
  <c r="L500" i="6"/>
  <c r="L527" i="6"/>
  <c r="L1287" i="6"/>
  <c r="L553" i="6"/>
  <c r="L276" i="6"/>
  <c r="L970" i="6"/>
  <c r="L289" i="6"/>
  <c r="L1162" i="6"/>
  <c r="L295" i="6"/>
  <c r="L1750" i="6"/>
  <c r="L319" i="6"/>
  <c r="L947" i="6"/>
  <c r="L1091" i="6"/>
  <c r="L269" i="6"/>
  <c r="L1442" i="6"/>
  <c r="L1027" i="6"/>
  <c r="L953" i="6"/>
  <c r="L126" i="6"/>
  <c r="L247" i="6"/>
  <c r="L1695" i="6"/>
  <c r="L884" i="6"/>
  <c r="L471" i="6"/>
  <c r="L1113" i="6"/>
  <c r="L539" i="6"/>
  <c r="L394" i="6"/>
  <c r="L1378" i="6"/>
  <c r="L1344" i="6"/>
  <c r="L1614" i="6"/>
  <c r="L181" i="6"/>
  <c r="L1122" i="6"/>
  <c r="L1593" i="6"/>
  <c r="L1693" i="6"/>
  <c r="L1090" i="6"/>
  <c r="L1669" i="6"/>
  <c r="L154" i="6"/>
  <c r="L1173" i="6"/>
  <c r="L1128" i="6"/>
  <c r="L1574" i="6"/>
  <c r="L1165" i="6"/>
  <c r="L1034" i="6"/>
  <c r="L383" i="6"/>
  <c r="L1298" i="6"/>
  <c r="L685" i="6"/>
  <c r="G9" i="3"/>
  <c r="I9" i="3"/>
  <c r="L97" i="6"/>
  <c r="L85" i="6"/>
  <c r="L49" i="6"/>
  <c r="L37" i="6"/>
  <c r="L25" i="6"/>
  <c r="L13" i="6"/>
  <c r="L321" i="6"/>
  <c r="L1755" i="6"/>
  <c r="L1408" i="6"/>
  <c r="L715" i="6"/>
  <c r="L1047" i="6"/>
  <c r="L456" i="6"/>
  <c r="L149" i="6"/>
  <c r="L509" i="6"/>
  <c r="L679" i="6"/>
  <c r="L1225" i="6"/>
  <c r="L551" i="6"/>
  <c r="L390" i="6"/>
  <c r="L436" i="6"/>
  <c r="L1002" i="6"/>
  <c r="L380" i="6"/>
  <c r="L241" i="6"/>
  <c r="L1286" i="6"/>
  <c r="L838" i="6"/>
  <c r="L631" i="6"/>
  <c r="L425" i="6"/>
  <c r="L424" i="6"/>
  <c r="L643" i="6"/>
  <c r="L1556" i="6"/>
  <c r="L1257" i="6"/>
  <c r="L512" i="6"/>
  <c r="L1455" i="6"/>
  <c r="L292" i="6"/>
  <c r="L1014" i="6"/>
  <c r="L942" i="6"/>
  <c r="L155" i="6"/>
  <c r="L1470" i="6"/>
  <c r="L986" i="6"/>
  <c r="L1105" i="6"/>
  <c r="L1472" i="6"/>
  <c r="L637" i="6"/>
  <c r="L1547" i="6"/>
  <c r="L1333" i="6"/>
  <c r="L403" i="6"/>
  <c r="L273" i="6"/>
  <c r="L1377" i="6"/>
  <c r="L721" i="6"/>
  <c r="L1772" i="6"/>
  <c r="L493" i="6"/>
  <c r="L1419" i="6"/>
  <c r="L662" i="6"/>
  <c r="L209" i="6"/>
  <c r="L652" i="6"/>
  <c r="L699" i="6"/>
  <c r="L575" i="6"/>
  <c r="L1581" i="6"/>
  <c r="L1657" i="6"/>
  <c r="L1178" i="6"/>
  <c r="L996" i="6"/>
  <c r="L228" i="6"/>
  <c r="L72" i="6"/>
  <c r="L36" i="6"/>
  <c r="L24" i="6"/>
  <c r="L12" i="6"/>
  <c r="L696" i="6"/>
  <c r="L285" i="6"/>
  <c r="L1567" i="6"/>
  <c r="L612" i="6"/>
  <c r="L1216" i="6"/>
  <c r="L557" i="6"/>
  <c r="L1734" i="6"/>
  <c r="L476" i="6"/>
  <c r="L1716" i="6"/>
  <c r="L1251" i="6"/>
  <c r="L1057" i="6"/>
  <c r="L666" i="6"/>
  <c r="L302" i="6"/>
  <c r="L115" i="6"/>
  <c r="L1137" i="6"/>
  <c r="L346" i="6"/>
  <c r="L1166" i="6"/>
  <c r="L1310" i="6"/>
  <c r="L1785" i="6"/>
  <c r="L521" i="6"/>
  <c r="L1175" i="6"/>
  <c r="L927" i="6"/>
  <c r="L749" i="6"/>
  <c r="L296" i="6"/>
  <c r="L252" i="6"/>
  <c r="L288" i="6"/>
  <c r="L1754" i="6"/>
  <c r="L1373" i="6"/>
  <c r="L1606" i="6"/>
  <c r="L1622" i="6"/>
  <c r="L1010" i="6"/>
  <c r="L47" i="6"/>
  <c r="L23" i="6"/>
  <c r="L1674" i="6"/>
  <c r="L581" i="6"/>
  <c r="L1308" i="6"/>
  <c r="L486" i="6"/>
  <c r="L1463" i="6"/>
  <c r="L717" i="6"/>
  <c r="L820" i="6"/>
  <c r="L359" i="6"/>
  <c r="L362" i="6"/>
  <c r="L1729" i="6"/>
  <c r="L1313" i="6"/>
  <c r="L1064" i="6"/>
  <c r="L1538" i="6"/>
  <c r="L147" i="6"/>
  <c r="L404" i="6"/>
  <c r="L1139" i="6"/>
  <c r="L676" i="6"/>
  <c r="L1339" i="6"/>
  <c r="L680" i="6"/>
  <c r="L960" i="6"/>
  <c r="L1482" i="6"/>
  <c r="L323" i="6"/>
  <c r="L1748" i="6"/>
  <c r="L760" i="6"/>
  <c r="L1407" i="6"/>
  <c r="L135" i="6"/>
  <c r="L341" i="6"/>
  <c r="L1087" i="6"/>
  <c r="L536" i="6"/>
  <c r="L1598" i="6"/>
  <c r="L985" i="6"/>
  <c r="L266" i="6"/>
  <c r="L736" i="6"/>
  <c r="L630" i="6"/>
  <c r="L245" i="6"/>
  <c r="L350" i="6"/>
  <c r="L1626" i="6"/>
  <c r="L1202" i="6"/>
  <c r="L604" i="6"/>
  <c r="L437" i="6"/>
  <c r="L1522" i="6"/>
  <c r="L824" i="6"/>
  <c r="L1646" i="6"/>
  <c r="L1519" i="6"/>
  <c r="L286" i="6"/>
  <c r="L308" i="6"/>
  <c r="L1676" i="6"/>
  <c r="L1242" i="6"/>
  <c r="L1766" i="6"/>
  <c r="L1498" i="6"/>
  <c r="L919" i="6"/>
  <c r="L479" i="6"/>
  <c r="L1107" i="6"/>
  <c r="L216" i="6"/>
  <c r="G7" i="3"/>
  <c r="I7" i="3"/>
  <c r="L305" i="6"/>
  <c r="L692" i="6"/>
  <c r="L1731" i="6"/>
  <c r="L1052" i="6"/>
  <c r="L1690" i="6"/>
  <c r="L559" i="6"/>
  <c r="L983" i="6"/>
  <c r="L429" i="6"/>
  <c r="L399" i="6"/>
  <c r="L1580" i="6"/>
  <c r="L472" i="6"/>
  <c r="L304" i="6"/>
  <c r="L714" i="6"/>
  <c r="L1029" i="6"/>
  <c r="L1150" i="6"/>
  <c r="L455" i="6"/>
  <c r="L1304" i="6"/>
  <c r="L1438" i="6"/>
  <c r="L900" i="6"/>
  <c r="L1557" i="6"/>
  <c r="L83" i="6"/>
  <c r="L59" i="6"/>
  <c r="L11" i="6"/>
  <c r="L1239" i="6"/>
  <c r="L254" i="6"/>
  <c r="L742" i="6"/>
  <c r="L1231" i="6"/>
  <c r="L106" i="6"/>
  <c r="L873" i="6"/>
  <c r="L1735" i="6"/>
  <c r="L959" i="6"/>
  <c r="L911" i="6"/>
  <c r="L767" i="6"/>
  <c r="L134" i="6"/>
  <c r="L1757" i="6"/>
  <c r="L528" i="6"/>
  <c r="L1652" i="6"/>
  <c r="L647" i="6"/>
  <c r="L496" i="6"/>
  <c r="L520" i="6"/>
  <c r="L1253" i="6"/>
  <c r="L231" i="6"/>
  <c r="L588" i="6"/>
  <c r="L870" i="6"/>
  <c r="L1605" i="6"/>
  <c r="L934" i="6"/>
  <c r="L689" i="6"/>
  <c r="L233" i="6"/>
  <c r="L1170" i="6"/>
  <c r="L505" i="6"/>
  <c r="L1763" i="6"/>
  <c r="L1156" i="6"/>
  <c r="L481" i="6"/>
  <c r="L485" i="6"/>
  <c r="L1752" i="6"/>
  <c r="L1460" i="6"/>
  <c r="L794" i="6"/>
  <c r="L1316" i="6"/>
  <c r="L484" i="6"/>
  <c r="L982" i="6"/>
  <c r="L124" i="6"/>
  <c r="L1266" i="6"/>
  <c r="L1543" i="6"/>
  <c r="L1096" i="6"/>
  <c r="L1186" i="6"/>
  <c r="L182" i="6"/>
  <c r="L213" i="6"/>
  <c r="L280" i="6"/>
  <c r="L813" i="6"/>
  <c r="L946" i="6"/>
  <c r="L405" i="6"/>
  <c r="L329" i="6"/>
  <c r="L498" i="6"/>
  <c r="L369" i="6"/>
  <c r="L671" i="6"/>
  <c r="L1762" i="6"/>
  <c r="L457" i="6"/>
  <c r="L971" i="6"/>
  <c r="L1306" i="6"/>
  <c r="L1189" i="6"/>
  <c r="L1720" i="6"/>
  <c r="L1340" i="6"/>
  <c r="L918" i="6"/>
  <c r="L1073" i="6"/>
  <c r="L1041" i="6"/>
  <c r="G19" i="3"/>
  <c r="I19" i="3"/>
  <c r="L1414" i="6"/>
  <c r="L659" i="6"/>
  <c r="L1564" i="6"/>
  <c r="L1220" i="6"/>
  <c r="L1649" i="6"/>
  <c r="G46" i="3"/>
  <c r="I46" i="3"/>
  <c r="L601" i="6"/>
  <c r="L466" i="6"/>
  <c r="L1464" i="6"/>
  <c r="L1270" i="6"/>
  <c r="L709" i="6"/>
  <c r="L446" i="6"/>
  <c r="L251" i="6"/>
  <c r="L1400" i="6"/>
  <c r="L1008" i="6"/>
  <c r="L1015" i="6"/>
  <c r="L757" i="6"/>
  <c r="L1658" i="6"/>
  <c r="L560" i="6"/>
  <c r="L1269" i="6"/>
  <c r="L634" i="6"/>
  <c r="L237" i="6"/>
  <c r="L1268" i="6"/>
  <c r="L1783" i="6"/>
  <c r="L538" i="6"/>
  <c r="L340" i="6"/>
  <c r="L582" i="6"/>
  <c r="L903" i="6"/>
  <c r="L1315" i="6"/>
  <c r="L1532" i="6"/>
  <c r="L532" i="6"/>
  <c r="L1376" i="6"/>
  <c r="L1083" i="6"/>
  <c r="L786" i="6"/>
  <c r="L966" i="6"/>
  <c r="L1648" i="6"/>
  <c r="L1351" i="6"/>
  <c r="L162" i="6"/>
  <c r="L1416" i="6"/>
  <c r="L1422" i="6"/>
  <c r="L462" i="6"/>
  <c r="L1517" i="6"/>
  <c r="L741" i="6"/>
  <c r="L805" i="6"/>
  <c r="L257" i="6"/>
  <c r="L1149" i="6"/>
  <c r="L1360" i="6"/>
  <c r="L729" i="6"/>
  <c r="L168" i="6"/>
  <c r="L1747" i="6"/>
  <c r="L1237" i="6"/>
  <c r="L1185" i="6"/>
  <c r="L123" i="6"/>
  <c r="L1596" i="6"/>
  <c r="L687" i="6"/>
  <c r="L1686" i="6"/>
  <c r="L611" i="6"/>
  <c r="L301" i="6"/>
  <c r="L1563" i="6"/>
  <c r="L1188" i="6"/>
  <c r="L1005" i="6"/>
  <c r="L1234" i="6"/>
  <c r="L1074" i="6"/>
  <c r="L108" i="6"/>
  <c r="L1758" i="6"/>
  <c r="G8" i="3"/>
  <c r="I8" i="3"/>
  <c r="L71" i="6"/>
  <c r="L35" i="6"/>
  <c r="L501" i="6"/>
  <c r="L312" i="6"/>
  <c r="L238" i="6"/>
  <c r="L1228" i="6"/>
  <c r="L780" i="6"/>
  <c r="L376" i="6"/>
  <c r="L1525" i="6"/>
  <c r="L1294" i="6"/>
  <c r="L297" i="6"/>
  <c r="L1302" i="6"/>
  <c r="L878" i="6"/>
  <c r="L706" i="6"/>
  <c r="L1615" i="6"/>
  <c r="L1311" i="6"/>
  <c r="L1282" i="6"/>
  <c r="L1467" i="6"/>
  <c r="L1394" i="6"/>
  <c r="L409" i="6"/>
  <c r="L1140" i="6"/>
  <c r="L891" i="6"/>
  <c r="L827" i="6"/>
  <c r="L816" i="6"/>
  <c r="L1033" i="6"/>
  <c r="L320" i="6"/>
  <c r="L955" i="6"/>
  <c r="L1495" i="6"/>
  <c r="L199" i="6"/>
  <c r="L1739" i="6"/>
  <c r="L183" i="6"/>
  <c r="L1746" i="6"/>
  <c r="L1338" i="6"/>
  <c r="L722" i="6"/>
  <c r="L1121" i="6"/>
  <c r="L1374" i="6"/>
  <c r="L1738" i="6"/>
  <c r="L236" i="6"/>
  <c r="L1036" i="6"/>
  <c r="L1619" i="6"/>
  <c r="L950" i="6"/>
  <c r="L904" i="6"/>
  <c r="L990" i="6"/>
  <c r="L1201" i="6"/>
  <c r="L482" i="6"/>
  <c r="L545" i="6"/>
  <c r="L1678" i="6"/>
  <c r="L1784" i="6"/>
  <c r="L475" i="6"/>
  <c r="L1524" i="6"/>
  <c r="L1079" i="6"/>
  <c r="L573" i="6"/>
  <c r="L131" i="6"/>
  <c r="L1743" i="6"/>
  <c r="L1641" i="6"/>
  <c r="L397" i="6"/>
  <c r="L802" i="6"/>
  <c r="L1279" i="6"/>
  <c r="L969" i="6"/>
  <c r="L896" i="6"/>
  <c r="L828" i="6"/>
  <c r="L1787" i="6"/>
  <c r="L1177" i="6"/>
  <c r="L1728" i="6"/>
  <c r="L1099" i="6"/>
  <c r="L561" i="6"/>
  <c r="L635" i="6"/>
  <c r="L433" i="6"/>
  <c r="L516" i="6"/>
  <c r="L665" i="6"/>
  <c r="L438" i="6"/>
  <c r="L1594" i="6"/>
  <c r="L544" i="6"/>
  <c r="L1111" i="6"/>
  <c r="L1497" i="6"/>
  <c r="L1440" i="6"/>
  <c r="L1628" i="6"/>
  <c r="L1521" i="6"/>
  <c r="L348" i="6"/>
  <c r="L571" i="6"/>
  <c r="L1583" i="6"/>
  <c r="L164" i="6"/>
  <c r="L1367" i="6"/>
  <c r="L325" i="6"/>
  <c r="L1277" i="6"/>
  <c r="L1396" i="6"/>
  <c r="L298" i="6"/>
  <c r="L133" i="6"/>
  <c r="L620" i="6"/>
  <c r="L129" i="6"/>
  <c r="L1737" i="6"/>
  <c r="L422" i="6"/>
  <c r="L1431" i="6"/>
  <c r="L1570" i="6"/>
  <c r="L506" i="6"/>
  <c r="L336" i="6"/>
  <c r="L1163" i="6"/>
  <c r="L778" i="6"/>
  <c r="L206" i="6"/>
  <c r="L668" i="6"/>
  <c r="L1398" i="6"/>
  <c r="L1104" i="6"/>
  <c r="L914" i="6"/>
  <c r="L1109" i="6"/>
  <c r="L125" i="6"/>
  <c r="L1427" i="6"/>
  <c r="L930" i="6"/>
  <c r="L151" i="6"/>
  <c r="L1093" i="6"/>
  <c r="L1436" i="6"/>
  <c r="L879" i="6"/>
  <c r="L1417" i="6"/>
  <c r="L933" i="6"/>
  <c r="L837" i="6"/>
  <c r="L1607" i="6"/>
  <c r="G38" i="3"/>
  <c r="I38" i="3"/>
  <c r="G22" i="3"/>
  <c r="I22" i="3"/>
  <c r="L104" i="6"/>
  <c r="L92" i="6"/>
  <c r="L80" i="6"/>
  <c r="L68" i="6"/>
  <c r="L56" i="6"/>
  <c r="L44" i="6"/>
  <c r="L32" i="6"/>
  <c r="L20" i="6"/>
  <c r="L8" i="6"/>
  <c r="L1187" i="6"/>
  <c r="L1327" i="6"/>
  <c r="L693" i="6"/>
  <c r="L792" i="6"/>
  <c r="L140" i="6"/>
  <c r="L1222" i="6"/>
  <c r="L142" i="6"/>
  <c r="G36" i="3"/>
  <c r="I36" i="3"/>
  <c r="L1238" i="6"/>
  <c r="L603" i="6"/>
  <c r="L239" i="6"/>
  <c r="L1776" i="6"/>
  <c r="L1120" i="6"/>
  <c r="L1603" i="6"/>
  <c r="L1138" i="6"/>
  <c r="L1465" i="6"/>
  <c r="L1038" i="6"/>
  <c r="L864" i="6"/>
  <c r="L491" i="6"/>
  <c r="L1246" i="6"/>
  <c r="L1531" i="6"/>
  <c r="L555" i="6"/>
  <c r="L1778" i="6"/>
  <c r="L597" i="6"/>
  <c r="L1548" i="6"/>
  <c r="L1314" i="6"/>
  <c r="L1132" i="6"/>
  <c r="L1281" i="6"/>
  <c r="L1569" i="6"/>
  <c r="L1054" i="6"/>
  <c r="L781" i="6"/>
  <c r="L389" i="6"/>
  <c r="L117" i="6"/>
  <c r="L639" i="6"/>
  <c r="L274" i="6"/>
  <c r="L841" i="6"/>
  <c r="L763" i="6"/>
  <c r="L299" i="6"/>
  <c r="L1001" i="6"/>
  <c r="L1653" i="6"/>
  <c r="L675" i="6"/>
  <c r="L278" i="6"/>
  <c r="L463" i="6"/>
  <c r="L201" i="6"/>
  <c r="L198" i="6"/>
  <c r="L1254" i="6"/>
  <c r="L519" i="6"/>
  <c r="L648" i="6"/>
  <c r="L660" i="6"/>
  <c r="L205" i="6"/>
  <c r="L1592" i="6"/>
  <c r="L1673" i="6"/>
  <c r="L1154" i="6"/>
  <c r="L871" i="6"/>
  <c r="L1081" i="6"/>
  <c r="L1620" i="6"/>
  <c r="L951" i="6"/>
  <c r="L487" i="6"/>
  <c r="L1089" i="6"/>
  <c r="L1158" i="6"/>
  <c r="L542" i="6"/>
  <c r="L622" i="6"/>
  <c r="L1155" i="6"/>
  <c r="L1505" i="6"/>
  <c r="L1353" i="6"/>
  <c r="L1086" i="6"/>
  <c r="L530" i="6"/>
  <c r="L1487" i="6"/>
  <c r="L1555" i="6"/>
  <c r="L537" i="6"/>
  <c r="L979" i="6"/>
  <c r="L361" i="6"/>
  <c r="L1612" i="6"/>
  <c r="L1512" i="6"/>
  <c r="L1732" i="6"/>
  <c r="L1280" i="6"/>
  <c r="L737" i="6"/>
  <c r="L1145" i="6"/>
  <c r="L907" i="6"/>
  <c r="L347" i="6"/>
  <c r="L972" i="6"/>
  <c r="L1536" i="6"/>
  <c r="L1595" i="6"/>
  <c r="L789" i="6"/>
  <c r="L1403" i="6"/>
  <c r="L1730" i="6"/>
  <c r="L1288" i="6"/>
  <c r="L804" i="6"/>
  <c r="L119" i="6"/>
  <c r="L1608" i="6"/>
  <c r="L464" i="6"/>
  <c r="L1444" i="6"/>
  <c r="L1342" i="6"/>
  <c r="L1699" i="6"/>
  <c r="L851" i="6"/>
  <c r="L916" i="6"/>
  <c r="L800" i="6"/>
  <c r="L768" i="6"/>
  <c r="L230" i="6"/>
  <c r="L351" i="6"/>
  <c r="L932" i="6"/>
  <c r="L1197" i="6"/>
  <c r="L1357" i="6"/>
  <c r="L1226" i="6"/>
  <c r="L1022" i="6"/>
  <c r="L1533" i="6"/>
  <c r="L1080" i="6"/>
  <c r="L628" i="6"/>
  <c r="L898" i="6"/>
  <c r="L1317" i="6"/>
  <c r="L443" i="6"/>
  <c r="L751" i="6"/>
  <c r="L1276" i="6"/>
  <c r="L328" i="6"/>
  <c r="L439" i="6"/>
  <c r="L1174" i="6"/>
  <c r="L642" i="6"/>
  <c r="L1259" i="6"/>
  <c r="L1420" i="6"/>
  <c r="L442" i="6"/>
  <c r="L432" i="6"/>
  <c r="L922" i="6"/>
  <c r="L664" i="6"/>
  <c r="L1126" i="6"/>
  <c r="L1604" i="6"/>
  <c r="L626" i="6"/>
  <c r="L1474" i="6"/>
  <c r="L1683" i="6"/>
  <c r="L1454" i="6"/>
  <c r="L834" i="6"/>
  <c r="L1528" i="6"/>
  <c r="L111" i="6"/>
  <c r="L720" i="6"/>
  <c r="L623" i="6"/>
  <c r="L335" i="6"/>
  <c r="L197" i="6"/>
  <c r="L580" i="6"/>
  <c r="L458" i="6"/>
  <c r="G53" i="3"/>
  <c r="I53" i="3"/>
  <c r="G63" i="3"/>
  <c r="I63" i="3"/>
  <c r="G10" i="3"/>
  <c r="I10" i="3"/>
  <c r="L103" i="6"/>
  <c r="L91" i="6"/>
  <c r="L79" i="6"/>
  <c r="L67" i="6"/>
  <c r="L55" i="6"/>
  <c r="L43" i="6"/>
  <c r="L31" i="6"/>
  <c r="L19" i="6"/>
  <c r="L711" i="6"/>
  <c r="L191" i="6"/>
  <c r="L215" i="6"/>
  <c r="L1655" i="6"/>
  <c r="L1409" i="6"/>
  <c r="L1779" i="6"/>
  <c r="L1271" i="6"/>
  <c r="L1712" i="6"/>
  <c r="L327" i="6"/>
  <c r="L163" i="6"/>
  <c r="L1191" i="6"/>
  <c r="L1142" i="6"/>
  <c r="L214" i="6"/>
  <c r="L1051" i="6"/>
  <c r="L1045" i="6"/>
  <c r="L759" i="6"/>
  <c r="L596" i="6"/>
  <c r="L1502" i="6"/>
  <c r="L222" i="6"/>
  <c r="L590" i="6"/>
  <c r="L1312" i="6"/>
  <c r="L1255" i="6"/>
  <c r="L218" i="6"/>
  <c r="L859" i="6"/>
  <c r="L105" i="6"/>
  <c r="L1724" i="6"/>
  <c r="L1372" i="6"/>
  <c r="L826" i="6"/>
  <c r="L704" i="6"/>
  <c r="L363" i="6"/>
  <c r="L145" i="6"/>
  <c r="L1131" i="6"/>
  <c r="L212" i="6"/>
  <c r="L1053" i="6"/>
  <c r="L645" i="6"/>
  <c r="L141" i="6"/>
  <c r="L522" i="6"/>
  <c r="L419" i="6"/>
  <c r="L400" i="6"/>
  <c r="L1161" i="6"/>
  <c r="L541" i="6"/>
  <c r="L317" i="6"/>
  <c r="L374" i="6"/>
  <c r="L330" i="6"/>
  <c r="L343" i="6"/>
  <c r="L225" i="6"/>
  <c r="L1283" i="6"/>
  <c r="L1292" i="6"/>
  <c r="L1680" i="6"/>
  <c r="L165" i="6"/>
  <c r="L381" i="6"/>
  <c r="L1780" i="6"/>
  <c r="L785" i="6"/>
  <c r="L465" i="6"/>
  <c r="L533" i="6"/>
  <c r="L1375" i="6"/>
  <c r="L1233" i="6"/>
  <c r="L787" i="6"/>
  <c r="L843" i="6"/>
  <c r="L832" i="6"/>
  <c r="L360" i="6"/>
  <c r="L1404" i="6"/>
  <c r="L822" i="6"/>
  <c r="G44" i="3"/>
  <c r="I44" i="3"/>
  <c r="L430" i="6"/>
  <c r="L1227" i="6"/>
  <c r="L869" i="6"/>
  <c r="L114" i="6"/>
  <c r="L1511" i="6"/>
  <c r="L314" i="6"/>
  <c r="L1325" i="6"/>
  <c r="L1056" i="6"/>
  <c r="L798" i="6"/>
  <c r="L769" i="6"/>
  <c r="L844" i="6"/>
  <c r="L646" i="6"/>
  <c r="L829" i="6"/>
  <c r="L249" i="6"/>
  <c r="L1740" i="6"/>
  <c r="L874" i="6"/>
  <c r="L1568" i="6"/>
  <c r="L410" i="6"/>
  <c r="L1039" i="6"/>
  <c r="L753" i="6"/>
  <c r="L669" i="6"/>
  <c r="L1510" i="6"/>
  <c r="L632" i="6"/>
  <c r="L710" i="6"/>
  <c r="L1650" i="6"/>
  <c r="L683" i="6"/>
  <c r="L303" i="6"/>
  <c r="L1103" i="6"/>
  <c r="L1689" i="6"/>
  <c r="L863" i="6"/>
  <c r="L1636" i="6"/>
  <c r="L755" i="6"/>
  <c r="L708" i="6"/>
  <c r="L1146" i="6"/>
  <c r="L377" i="6"/>
  <c r="L860" i="6"/>
  <c r="L1208" i="6"/>
  <c r="L784" i="6"/>
  <c r="L1501" i="6"/>
  <c r="L1540" i="6"/>
  <c r="L867" i="6"/>
  <c r="L1219" i="6"/>
  <c r="L1618" i="6"/>
  <c r="L695" i="6"/>
  <c r="L1782" i="6"/>
  <c r="L1393" i="6"/>
  <c r="L747" i="6"/>
  <c r="L468" i="6"/>
  <c r="L598" i="6"/>
  <c r="L490" i="6"/>
  <c r="L440" i="6"/>
  <c r="L1130" i="6"/>
  <c r="L1018" i="6"/>
  <c r="L270" i="6"/>
  <c r="L282" i="6"/>
  <c r="L1572" i="6"/>
  <c r="L1499" i="6"/>
  <c r="L339" i="6"/>
  <c r="L447" i="6"/>
  <c r="L166" i="6"/>
  <c r="L1030" i="6"/>
  <c r="L94" i="6"/>
  <c r="L70" i="6"/>
  <c r="L58" i="6"/>
  <c r="L46" i="6"/>
  <c r="L22" i="6"/>
  <c r="L10" i="6"/>
  <c r="L686" i="6"/>
  <c r="L1718" i="6"/>
  <c r="L1692" i="6"/>
  <c r="L938" i="6"/>
  <c r="L524" i="6"/>
  <c r="L1350" i="6"/>
  <c r="L1578" i="6"/>
  <c r="L283" i="6"/>
  <c r="L1141" i="6"/>
  <c r="L448" i="6"/>
  <c r="L806" i="6"/>
  <c r="L1456" i="6"/>
  <c r="L1506" i="6"/>
  <c r="L1516" i="6"/>
  <c r="L1285" i="6"/>
  <c r="L271" i="6"/>
  <c r="L1425" i="6"/>
  <c r="L1205" i="6"/>
  <c r="L229" i="6"/>
  <c r="L227" i="6"/>
  <c r="L1042" i="6"/>
  <c r="L1319" i="6"/>
  <c r="L1133" i="6"/>
  <c r="L540" i="6"/>
  <c r="L364" i="6"/>
  <c r="L733" i="6"/>
  <c r="L334" i="6"/>
  <c r="L1706" i="6"/>
  <c r="L1181" i="6"/>
  <c r="L1435" i="6"/>
  <c r="L226" i="6"/>
  <c r="L1756" i="6"/>
  <c r="L1092" i="6"/>
  <c r="L477" i="6"/>
  <c r="L1670" i="6"/>
  <c r="L1424" i="6"/>
  <c r="L391" i="6"/>
  <c r="L931" i="6"/>
  <c r="L700" i="6"/>
  <c r="L1190" i="6"/>
  <c r="L1221" i="6"/>
  <c r="L1682" i="6"/>
  <c r="L1727" i="6"/>
  <c r="L1744" i="6"/>
  <c r="L1101" i="6"/>
  <c r="L791" i="6"/>
  <c r="L663" i="6"/>
  <c r="L1437" i="6"/>
  <c r="L1241" i="6"/>
  <c r="L367" i="6"/>
  <c r="L1055" i="6"/>
  <c r="L1026" i="6"/>
  <c r="L306" i="6"/>
  <c r="L185" i="6"/>
  <c r="L1196" i="6"/>
  <c r="L987" i="6"/>
  <c r="L562" i="6"/>
  <c r="L801" i="6"/>
  <c r="L143" i="6"/>
  <c r="L993" i="6"/>
  <c r="L876" i="6"/>
  <c r="L937" i="6"/>
  <c r="L220" i="6"/>
  <c r="L535" i="6"/>
  <c r="L1065" i="6"/>
  <c r="L1212" i="6"/>
  <c r="L1098" i="6"/>
  <c r="L203" i="6"/>
  <c r="L1088" i="6"/>
  <c r="L1562" i="6"/>
  <c r="L807" i="6"/>
  <c r="L1450" i="6"/>
  <c r="L809" i="6"/>
  <c r="L1530" i="6"/>
  <c r="L745" i="6"/>
  <c r="L718" i="6"/>
  <c r="L764" i="6"/>
  <c r="L234" i="6"/>
  <c r="L1490" i="6"/>
  <c r="L678" i="6"/>
  <c r="L610" i="6"/>
  <c r="L1711" i="6"/>
  <c r="L793" i="6"/>
  <c r="L1117" i="6"/>
  <c r="L788" i="6"/>
  <c r="L265" i="6"/>
  <c r="L694" i="6"/>
  <c r="L1061" i="6"/>
  <c r="L579" i="6"/>
  <c r="L1043" i="6"/>
  <c r="L1240" i="6"/>
  <c r="L194" i="6"/>
  <c r="L1428" i="6"/>
  <c r="L1429" i="6"/>
  <c r="L1709" i="6"/>
  <c r="L318" i="6"/>
  <c r="L887" i="6"/>
  <c r="L1667" i="6"/>
  <c r="L118" i="6"/>
  <c r="L1125" i="6"/>
  <c r="L677" i="6"/>
  <c r="L707" i="6"/>
  <c r="L357" i="6"/>
  <c r="L1355" i="6"/>
  <c r="L958" i="6"/>
  <c r="L375" i="6"/>
  <c r="L1144" i="6"/>
  <c r="L316" i="6"/>
  <c r="L607" i="6"/>
  <c r="L294" i="6"/>
  <c r="L161" i="6"/>
  <c r="L1621" i="6"/>
  <c r="L726" i="6"/>
  <c r="L1410" i="6"/>
  <c r="L811" i="6"/>
  <c r="L899" i="6"/>
  <c r="L1571" i="6"/>
  <c r="L586" i="6"/>
  <c r="L912" i="6"/>
  <c r="L1289" i="6"/>
  <c r="L1244" i="6"/>
  <c r="L1391" i="6"/>
  <c r="L1299" i="6"/>
  <c r="L1245" i="6"/>
  <c r="L112" i="6"/>
  <c r="L1151" i="6"/>
  <c r="L1077" i="6"/>
  <c r="L921" i="6"/>
  <c r="L144" i="6"/>
  <c r="L1705" i="6"/>
  <c r="L1075" i="6"/>
  <c r="L1632" i="6"/>
  <c r="L460" i="6"/>
  <c r="L130" i="6"/>
  <c r="L1587" i="6"/>
  <c r="L1108" i="6"/>
  <c r="L1553" i="6"/>
  <c r="L915" i="6"/>
  <c r="L122" i="6"/>
  <c r="L1446" i="6"/>
  <c r="L1434" i="6"/>
  <c r="L691" i="6"/>
  <c r="L657" i="6"/>
  <c r="L378" i="6"/>
  <c r="L1781" i="6"/>
  <c r="L1527" i="6"/>
  <c r="L724" i="6"/>
  <c r="L881" i="6"/>
  <c r="L248" i="6"/>
  <c r="L584" i="6"/>
  <c r="L507" i="6"/>
  <c r="L1012" i="6"/>
  <c r="L1380" i="6"/>
  <c r="L1565" i="6"/>
  <c r="L416" i="6"/>
  <c r="L868" i="6"/>
  <c r="L902" i="6"/>
  <c r="L1364" i="6"/>
  <c r="L136" i="6"/>
  <c r="L627" i="6"/>
  <c r="L621" i="6"/>
  <c r="L1332" i="6"/>
  <c r="L1585" i="6"/>
  <c r="L644" i="6"/>
  <c r="L978" i="6"/>
  <c r="L1301" i="6"/>
  <c r="L600" i="6"/>
  <c r="L909" i="6"/>
  <c r="L1459" i="6"/>
  <c r="L1768" i="6"/>
  <c r="L1508" i="6"/>
  <c r="L492" i="6"/>
  <c r="L855" i="6"/>
  <c r="L503" i="6"/>
  <c r="L776" i="6"/>
  <c r="L1095" i="6"/>
  <c r="L924" i="6"/>
  <c r="L1402" i="6"/>
  <c r="L368" i="6"/>
  <c r="L1023" i="6"/>
  <c r="L1176" i="6"/>
  <c r="L777" i="6"/>
  <c r="L1677" i="6"/>
  <c r="L731" i="6"/>
  <c r="L1124" i="6"/>
  <c r="L1069" i="6"/>
  <c r="L957" i="6"/>
  <c r="L421" i="6"/>
  <c r="L1203" i="6"/>
  <c r="L219" i="6"/>
  <c r="L1258" i="6"/>
  <c r="L862" i="6"/>
  <c r="L1094" i="6"/>
  <c r="L169" i="6"/>
  <c r="L606" i="6"/>
  <c r="L814" i="6"/>
  <c r="L412" i="6"/>
  <c r="L976" i="6"/>
  <c r="L110" i="6"/>
  <c r="L517" i="6"/>
  <c r="L434" i="6"/>
  <c r="L1529" i="6"/>
  <c r="L1715" i="6"/>
  <c r="L1696" i="6"/>
  <c r="L650" i="6"/>
  <c r="L614" i="6"/>
  <c r="L980" i="6"/>
  <c r="L941" i="6"/>
  <c r="L633" i="6"/>
  <c r="L1348" i="6"/>
  <c r="L1663" i="6"/>
  <c r="L618" i="6"/>
  <c r="L1135" i="6"/>
  <c r="L272" i="6"/>
  <c r="L752" i="6"/>
  <c r="L641" i="6"/>
  <c r="L905" i="6"/>
  <c r="L256" i="6"/>
  <c r="L195" i="6"/>
  <c r="L1097" i="6"/>
  <c r="L193" i="6"/>
  <c r="L1742" i="6"/>
  <c r="L1685" i="6"/>
  <c r="L268" i="6"/>
  <c r="L137" i="6"/>
  <c r="L599" i="6"/>
  <c r="L1370" i="6"/>
  <c r="L965" i="6"/>
  <c r="L387" i="6"/>
  <c r="L973" i="6"/>
  <c r="L797" i="6"/>
  <c r="L556" i="6"/>
  <c r="L128" i="6"/>
  <c r="L762" i="6"/>
  <c r="L889" i="6"/>
  <c r="L853" i="6"/>
  <c r="L772" i="6"/>
  <c r="L857" i="6"/>
  <c r="L326" i="6"/>
  <c r="L445" i="6"/>
  <c r="L518" i="6"/>
  <c r="L1481" i="6"/>
  <c r="L1063" i="6"/>
  <c r="L923" i="6"/>
  <c r="L1401" i="6"/>
  <c r="L548" i="6"/>
  <c r="L1384" i="6"/>
  <c r="L799" i="6"/>
  <c r="L681" i="6"/>
  <c r="L812" i="6"/>
  <c r="L1336" i="6"/>
  <c r="L1623" i="6"/>
  <c r="L725" i="6"/>
  <c r="L908" i="6"/>
  <c r="L1324" i="6"/>
  <c r="L1447" i="6"/>
  <c r="L207" i="6"/>
  <c r="L469" i="6"/>
  <c r="L370" i="6"/>
  <c r="L1494" i="6"/>
  <c r="L1588" i="6"/>
  <c r="L856" i="6"/>
  <c r="L1769" i="6"/>
  <c r="L402" i="6"/>
  <c r="G23" i="3"/>
  <c r="I23" i="3"/>
  <c r="G52" i="3"/>
  <c r="I52" i="3"/>
  <c r="L275" i="6"/>
  <c r="L1106" i="6"/>
  <c r="L1484" i="6"/>
  <c r="L311" i="6"/>
  <c r="L1617" i="6"/>
  <c r="L962" i="6"/>
  <c r="L1625" i="6"/>
  <c r="L638" i="6"/>
  <c r="L702" i="6"/>
  <c r="L748" i="6"/>
  <c r="G47" i="3"/>
  <c r="I47" i="3"/>
  <c r="L984" i="6"/>
  <c r="L1630" i="6"/>
  <c r="L454" i="6"/>
  <c r="L120" i="6"/>
  <c r="L1031" i="6"/>
  <c r="L649" i="6"/>
  <c r="L1273" i="6"/>
  <c r="L886" i="6"/>
  <c r="L877" i="6"/>
  <c r="L595" i="6"/>
  <c r="L988" i="6"/>
  <c r="L461" i="6"/>
  <c r="L1534" i="6"/>
  <c r="L513" i="6"/>
  <c r="L1168" i="6"/>
  <c r="L408" i="6"/>
  <c r="L171" i="6"/>
  <c r="L365" i="6"/>
  <c r="L656" i="6"/>
  <c r="L511" i="6"/>
  <c r="L232" i="6"/>
  <c r="L510" i="6"/>
  <c r="L1278" i="6"/>
  <c r="L723" i="6"/>
  <c r="L1223" i="6"/>
  <c r="L719" i="6"/>
  <c r="L1328" i="6"/>
  <c r="L1019" i="6"/>
  <c r="L1544" i="6"/>
  <c r="L975" i="6"/>
  <c r="L928" i="6"/>
  <c r="L1210" i="6"/>
  <c r="L554" i="6"/>
  <c r="L1303" i="6"/>
  <c r="L738" i="6"/>
  <c r="L917" i="6"/>
  <c r="L372" i="6"/>
  <c r="L1432" i="6"/>
  <c r="L684" i="6"/>
  <c r="L1164" i="6"/>
  <c r="L167" i="6"/>
  <c r="L315" i="6"/>
  <c r="L287" i="6"/>
  <c r="L1341" i="6"/>
  <c r="L1767" i="6"/>
  <c r="L480" i="6"/>
  <c r="L818" i="6"/>
  <c r="L388" i="6"/>
  <c r="L1698" i="6"/>
  <c r="L815" i="6"/>
  <c r="L1710" i="6"/>
  <c r="L1356" i="6"/>
  <c r="L1037" i="6"/>
  <c r="L1694" i="6"/>
  <c r="L420" i="6"/>
  <c r="L1078" i="6"/>
  <c r="L1157" i="6"/>
  <c r="L1515" i="6"/>
  <c r="L1296" i="6"/>
  <c r="L1452" i="6"/>
  <c r="L1116" i="6"/>
  <c r="L1215" i="6"/>
  <c r="L371" i="6"/>
  <c r="L1726" i="6"/>
  <c r="L1637" i="6"/>
  <c r="L977" i="6"/>
  <c r="L617" i="6"/>
  <c r="L1721" i="6"/>
  <c r="L698" i="6"/>
  <c r="L264" i="6"/>
  <c r="L735" i="6"/>
  <c r="L744" i="6"/>
  <c r="L356" i="6"/>
  <c r="L906" i="6"/>
  <c r="L426" i="6"/>
  <c r="L1102" i="6"/>
  <c r="L1082" i="6"/>
  <c r="L1136" i="6"/>
  <c r="L591" i="6"/>
  <c r="L192" i="6"/>
  <c r="L1148" i="6"/>
  <c r="L1430" i="6"/>
  <c r="L1654" i="6"/>
  <c r="L1115" i="6"/>
  <c r="L452" i="6"/>
  <c r="L1211" i="6"/>
  <c r="L636" i="6"/>
  <c r="L444" i="6"/>
  <c r="L640" i="6"/>
  <c r="L1552" i="6"/>
  <c r="L159" i="6"/>
  <c r="L1770" i="6"/>
  <c r="L121" i="6"/>
  <c r="L608" i="6"/>
  <c r="L705" i="6"/>
  <c r="L1741" i="6"/>
  <c r="L1167" i="6"/>
  <c r="L393" i="6"/>
  <c r="L945" i="6"/>
  <c r="L655" i="6"/>
  <c r="L174" i="6"/>
  <c r="L1492" i="6"/>
  <c r="L952" i="6"/>
  <c r="L499" i="6"/>
  <c r="L243" i="6"/>
  <c r="L450" i="6"/>
  <c r="L808" i="6"/>
  <c r="L1110" i="6"/>
  <c r="L967" i="6"/>
  <c r="L1656" i="6"/>
  <c r="L1775" i="6"/>
  <c r="L583" i="6"/>
  <c r="L1719" i="6"/>
  <c r="L1009" i="6"/>
  <c r="L1549" i="6"/>
  <c r="L1193" i="6"/>
  <c r="L569" i="6"/>
  <c r="L713" i="6"/>
  <c r="L1275" i="6"/>
  <c r="L1265" i="6"/>
  <c r="L523" i="6"/>
  <c r="L1701" i="6"/>
  <c r="L1462" i="6"/>
  <c r="L175" i="6"/>
  <c r="L173" i="6"/>
  <c r="L1006" i="6"/>
  <c r="L661" i="6"/>
  <c r="L474" i="6"/>
  <c r="L920" i="6"/>
  <c r="L382" i="6"/>
  <c r="L127" i="6"/>
  <c r="G41" i="3"/>
  <c r="I41" i="3"/>
  <c r="G67" i="3"/>
  <c r="I67" i="3"/>
  <c r="G70" i="3"/>
  <c r="I70" i="3"/>
  <c r="G37" i="3"/>
  <c r="I37" i="3"/>
  <c r="L93" i="6"/>
  <c r="L81" i="6"/>
  <c r="L69" i="6"/>
  <c r="L57" i="6"/>
  <c r="L45" i="6"/>
  <c r="L21" i="6"/>
  <c r="L9" i="6"/>
  <c r="L401" i="6"/>
  <c r="L1714" i="6"/>
  <c r="L459" i="6"/>
  <c r="L585" i="6"/>
  <c r="L196" i="6"/>
  <c r="L366" i="6"/>
  <c r="L255" i="6"/>
  <c r="L224" i="6"/>
  <c r="L1119" i="6"/>
  <c r="L379" i="6"/>
  <c r="L1392" i="6"/>
  <c r="L1485" i="6"/>
  <c r="L1300" i="6"/>
  <c r="L1503" i="6"/>
  <c r="L398" i="6"/>
  <c r="L1659" i="6"/>
  <c r="L267" i="6"/>
  <c r="L1334" i="6"/>
  <c r="L893" i="6"/>
  <c r="L1260" i="6"/>
  <c r="L1252" i="6"/>
  <c r="L1100" i="6"/>
  <c r="L1152" i="6"/>
  <c r="L190" i="6"/>
  <c r="L730" i="6"/>
  <c r="L223" i="6"/>
  <c r="L1558" i="6"/>
  <c r="L1629" i="6"/>
  <c r="L890" i="6"/>
  <c r="L338" i="6"/>
  <c r="L796" i="6"/>
  <c r="L1084" i="6"/>
  <c r="L1500" i="6"/>
  <c r="L1129" i="6"/>
  <c r="L613" i="6"/>
  <c r="L1134" i="6"/>
  <c r="L1579" i="6"/>
  <c r="L1520" i="6"/>
  <c r="L449" i="6"/>
  <c r="L1445" i="6"/>
  <c r="L1290" i="6"/>
  <c r="L842" i="6"/>
  <c r="L1379" i="6"/>
  <c r="L750" i="6"/>
  <c r="L156" i="6"/>
  <c r="L831" i="6"/>
  <c r="L1786" i="6"/>
  <c r="L1526" i="6"/>
  <c r="L188" i="6"/>
  <c r="L1665" i="6"/>
  <c r="L775" i="6"/>
  <c r="L882" i="6"/>
  <c r="L1323" i="6"/>
  <c r="L534" i="6"/>
  <c r="L593" i="6"/>
  <c r="L578" i="6"/>
  <c r="L235" i="6"/>
  <c r="L948" i="6"/>
  <c r="L1295" i="6"/>
  <c r="L160" i="6"/>
  <c r="L1566" i="6"/>
  <c r="L494" i="6"/>
  <c r="L184" i="6"/>
  <c r="L1159" i="6"/>
  <c r="L546" i="6"/>
  <c r="L109" i="6"/>
  <c r="L833" i="6"/>
  <c r="L373" i="6"/>
  <c r="L152" i="6"/>
  <c r="L529" i="6"/>
  <c r="L1247" i="6"/>
  <c r="L1421" i="6"/>
  <c r="L1651" i="6"/>
  <c r="L999" i="6"/>
  <c r="L113" i="6"/>
  <c r="G45" i="3"/>
  <c r="I45" i="3"/>
  <c r="G64" i="3"/>
  <c r="I64" i="3"/>
  <c r="G21" i="3"/>
  <c r="I21" i="3"/>
  <c r="G39" i="3"/>
  <c r="I39" i="3"/>
  <c r="G54" i="3"/>
  <c r="I54" i="3"/>
  <c r="L102" i="6"/>
  <c r="L90" i="6"/>
  <c r="L78" i="6"/>
  <c r="L66" i="6"/>
  <c r="L54" i="6"/>
  <c r="L42" i="6"/>
  <c r="L30" i="6"/>
  <c r="L18" i="6"/>
  <c r="G20" i="3"/>
  <c r="I20" i="3"/>
  <c r="G14" i="3"/>
  <c r="I14" i="3"/>
  <c r="L101" i="6"/>
  <c r="L89" i="6"/>
  <c r="L77" i="6"/>
  <c r="L65" i="6"/>
  <c r="L53" i="6"/>
  <c r="L41" i="6"/>
  <c r="L29" i="6"/>
  <c r="L17" i="6"/>
  <c r="L5" i="6"/>
  <c r="G6" i="3"/>
  <c r="I6" i="3"/>
  <c r="G17" i="3"/>
  <c r="I17" i="3"/>
  <c r="G59" i="3"/>
  <c r="I59" i="3"/>
  <c r="L100" i="6"/>
  <c r="L88" i="6"/>
  <c r="L76" i="6"/>
  <c r="L64" i="6"/>
  <c r="L52" i="6"/>
  <c r="L40" i="6"/>
  <c r="L28" i="6"/>
  <c r="L16" i="6"/>
  <c r="L4" i="6"/>
  <c r="L99" i="6"/>
  <c r="L87" i="6"/>
  <c r="L75" i="6"/>
  <c r="L63" i="6"/>
  <c r="L51" i="6"/>
  <c r="L39" i="6"/>
  <c r="L27" i="6"/>
  <c r="J259" i="6"/>
  <c r="L259" i="6"/>
  <c r="J60" i="6"/>
  <c r="L60" i="6"/>
  <c r="J48" i="6"/>
  <c r="L48" i="6"/>
  <c r="J95" i="6"/>
  <c r="L95" i="6"/>
  <c r="J281" i="6"/>
  <c r="L281" i="6"/>
  <c r="J82" i="6"/>
  <c r="L82" i="6"/>
  <c r="J34" i="6"/>
  <c r="L34" i="6"/>
  <c r="J33" i="6"/>
  <c r="L33" i="6"/>
  <c r="J6" i="6"/>
  <c r="L6" i="6"/>
  <c r="J495" i="6"/>
  <c r="L495" i="6"/>
  <c r="J770" i="6"/>
  <c r="L770" i="6"/>
  <c r="J1576" i="6"/>
  <c r="L1576" i="6"/>
  <c r="J1644" i="6"/>
  <c r="L1644" i="6"/>
  <c r="J682" i="6"/>
  <c r="L682" i="6"/>
  <c r="J2" i="6"/>
  <c r="L2" i="6"/>
  <c r="J396" i="6"/>
  <c r="L396" i="6"/>
  <c r="J1610" i="6"/>
  <c r="L1610" i="6"/>
  <c r="J1143" i="6"/>
  <c r="L1143" i="6"/>
  <c r="J746" i="6"/>
  <c r="L746" i="6"/>
  <c r="J1602" i="6"/>
  <c r="L1602" i="6"/>
  <c r="J1733" i="6"/>
  <c r="L1733" i="6"/>
  <c r="J1399" i="6"/>
  <c r="L1399" i="6"/>
  <c r="J1551" i="6"/>
  <c r="L1551" i="6"/>
  <c r="J153" i="6"/>
  <c r="L153" i="6"/>
  <c r="J1722" i="6"/>
  <c r="L1722" i="6"/>
  <c r="J355" i="6"/>
  <c r="L355" i="6"/>
  <c r="J217" i="6"/>
  <c r="L217" i="6"/>
  <c r="J1214" i="6"/>
  <c r="L1214" i="6"/>
  <c r="J1475" i="6"/>
  <c r="L1475" i="6"/>
  <c r="J1206" i="6"/>
  <c r="L1206" i="6"/>
  <c r="J765" i="6"/>
  <c r="L765" i="6"/>
  <c r="J1461" i="6"/>
  <c r="L1461" i="6"/>
  <c r="J526" i="6"/>
  <c r="L526" i="6"/>
  <c r="J1458" i="6"/>
  <c r="L1458" i="6"/>
  <c r="J1634" i="6"/>
  <c r="L1634" i="6"/>
  <c r="J1204" i="6"/>
  <c r="L1204" i="6"/>
  <c r="J566" i="6"/>
  <c r="L566" i="6"/>
  <c r="J1182" i="6"/>
  <c r="L1182" i="6"/>
  <c r="J1048" i="6"/>
  <c r="L1048" i="6"/>
  <c r="J531" i="6"/>
  <c r="L531" i="6"/>
  <c r="J743" i="6"/>
  <c r="L743" i="6"/>
  <c r="J1613" i="6"/>
  <c r="L1613" i="6"/>
  <c r="J1480" i="6"/>
  <c r="L1480" i="6"/>
  <c r="J1643" i="6"/>
  <c r="L1643" i="6"/>
  <c r="J1542" i="6"/>
  <c r="L1542" i="6"/>
  <c r="J1700" i="6"/>
  <c r="L1700" i="6"/>
  <c r="J1433" i="6"/>
  <c r="L1433" i="6"/>
  <c r="J1660" i="6"/>
  <c r="L1660" i="6"/>
  <c r="J895" i="6"/>
  <c r="L895" i="6"/>
  <c r="J1672" i="6"/>
  <c r="L1672" i="6"/>
  <c r="J263" i="6"/>
  <c r="L263" i="6"/>
  <c r="J1415" i="6"/>
  <c r="L1415" i="6"/>
  <c r="J940" i="6"/>
  <c r="L940" i="6"/>
  <c r="J1127" i="6"/>
  <c r="L1127" i="6"/>
  <c r="J854" i="6"/>
  <c r="L854" i="6"/>
  <c r="J324" i="6"/>
  <c r="L324" i="6"/>
  <c r="J1199" i="6"/>
  <c r="L1199" i="6"/>
  <c r="J384" i="6"/>
  <c r="L384" i="6"/>
  <c r="J1284" i="6"/>
  <c r="L1284" i="6"/>
  <c r="J1358" i="6"/>
  <c r="L1358" i="6"/>
  <c r="J407" i="6"/>
  <c r="L407" i="6"/>
  <c r="J177" i="6"/>
  <c r="L177" i="6"/>
  <c r="J1597" i="6"/>
  <c r="L1597" i="6"/>
  <c r="J1469" i="6"/>
  <c r="L1469" i="6"/>
  <c r="J139" i="6"/>
  <c r="L139" i="6"/>
  <c r="J1478" i="6"/>
  <c r="L1478" i="6"/>
  <c r="J609" i="6"/>
  <c r="L609" i="6"/>
  <c r="J1589" i="6"/>
  <c r="L1589" i="6"/>
  <c r="J1114" i="6"/>
  <c r="L1114" i="6"/>
  <c r="J823" i="6"/>
  <c r="L823" i="6"/>
  <c r="J473" i="6"/>
  <c r="L473" i="6"/>
  <c r="J7" i="6"/>
  <c r="L7" i="6"/>
  <c r="J180" i="6"/>
  <c r="L180" i="6"/>
  <c r="J1297" i="6"/>
  <c r="L1297" i="6"/>
  <c r="J1322" i="6"/>
  <c r="L1322" i="6"/>
  <c r="J1354" i="6"/>
  <c r="L1354" i="6"/>
  <c r="J883" i="6"/>
  <c r="L883" i="6"/>
  <c r="J564" i="6"/>
  <c r="L564" i="6"/>
  <c r="J901" i="6"/>
  <c r="L901" i="6"/>
  <c r="J1024" i="6"/>
  <c r="L1024" i="6"/>
  <c r="J1291" i="6"/>
  <c r="L1291" i="6"/>
  <c r="J244" i="6"/>
  <c r="L244" i="6"/>
  <c r="J1044" i="6"/>
  <c r="L1044" i="6"/>
  <c r="J779" i="6"/>
  <c r="L779" i="6"/>
  <c r="J1774" i="6"/>
  <c r="L1774" i="6"/>
  <c r="J819" i="6"/>
  <c r="L819" i="6"/>
  <c r="J1359" i="6"/>
  <c r="L1359" i="6"/>
  <c r="J1488" i="6"/>
  <c r="L1488" i="6"/>
  <c r="J703" i="6"/>
  <c r="L703" i="6"/>
  <c r="J1573" i="6"/>
  <c r="L1573" i="6"/>
  <c r="J1611" i="6"/>
  <c r="L1611" i="6"/>
  <c r="J1708" i="6"/>
  <c r="L1708" i="6"/>
  <c r="J766" i="6"/>
  <c r="L766" i="6"/>
  <c r="J1382" i="6"/>
  <c r="L1382" i="6"/>
  <c r="J202" i="6"/>
  <c r="L202" i="6"/>
  <c r="J1640" i="6"/>
  <c r="L1640" i="6"/>
  <c r="J697" i="6"/>
  <c r="L697" i="6"/>
  <c r="J1243" i="6"/>
  <c r="L1243" i="6"/>
  <c r="J1697" i="6"/>
  <c r="L1697" i="6"/>
  <c r="J98" i="6"/>
  <c r="L98" i="6"/>
  <c r="J514" i="6"/>
  <c r="L514" i="6"/>
  <c r="J1147" i="6"/>
  <c r="L1147" i="6"/>
  <c r="J1707" i="6"/>
  <c r="L1707" i="6"/>
  <c r="J568" i="6"/>
  <c r="L568" i="6"/>
  <c r="J1600" i="6"/>
  <c r="L1600" i="6"/>
  <c r="J1423" i="6"/>
  <c r="L1423" i="6"/>
  <c r="J1671" i="6"/>
  <c r="L1671" i="6"/>
  <c r="J1249" i="6"/>
  <c r="L1249" i="6"/>
  <c r="J1513" i="6"/>
  <c r="L1513" i="6"/>
  <c r="J1684" i="6"/>
  <c r="L1684" i="6"/>
  <c r="J1262" i="6"/>
  <c r="L1262" i="6"/>
  <c r="J1180" i="6"/>
  <c r="L1180" i="6"/>
  <c r="J186" i="6"/>
  <c r="L186" i="6"/>
  <c r="J1765" i="6"/>
  <c r="L1765" i="6"/>
  <c r="J1561" i="6"/>
  <c r="L1561" i="6"/>
  <c r="J1723" i="6"/>
  <c r="L1723" i="6"/>
  <c r="J1331" i="6"/>
  <c r="L1331" i="6"/>
  <c r="J840" i="6"/>
  <c r="L840" i="6"/>
  <c r="J1395" i="6"/>
  <c r="L1395" i="6"/>
  <c r="J1514" i="6"/>
  <c r="L1514" i="6"/>
  <c r="J170" i="6"/>
  <c r="L170" i="6"/>
  <c r="J587" i="6"/>
  <c r="L587" i="6"/>
  <c r="J563" i="6"/>
  <c r="L563" i="6"/>
  <c r="J107" i="6"/>
  <c r="L107" i="6"/>
  <c r="J1601" i="6"/>
  <c r="L1601" i="6"/>
  <c r="J1049" i="6"/>
  <c r="L1049" i="6"/>
  <c r="J1773" i="6"/>
  <c r="L1773" i="6"/>
  <c r="J547" i="6"/>
  <c r="L547" i="6"/>
  <c r="J1263" i="6"/>
  <c r="L1263" i="6"/>
  <c r="J178" i="6"/>
  <c r="L178" i="6"/>
  <c r="J1504" i="6"/>
  <c r="L1504" i="6"/>
  <c r="J574" i="6"/>
  <c r="L574" i="6"/>
  <c r="J690" i="6"/>
  <c r="L690" i="6"/>
  <c r="J994" i="6"/>
  <c r="L994" i="6"/>
  <c r="J258" i="6"/>
  <c r="L258" i="6"/>
  <c r="J1198" i="6"/>
  <c r="L1198" i="6"/>
  <c r="J1264" i="6"/>
  <c r="L1264" i="6"/>
  <c r="J943" i="6"/>
  <c r="L943" i="6"/>
  <c r="J1397" i="6"/>
  <c r="L1397" i="6"/>
  <c r="J210" i="6"/>
  <c r="L210" i="6"/>
  <c r="J1184" i="6"/>
  <c r="L1184" i="6"/>
  <c r="J1441" i="6"/>
  <c r="L1441" i="6"/>
  <c r="J1028" i="6"/>
  <c r="L1028" i="6"/>
  <c r="J1586" i="6"/>
  <c r="L1586" i="6"/>
  <c r="J515" i="6"/>
  <c r="L515" i="6"/>
  <c r="J1066" i="6"/>
  <c r="L1066" i="6"/>
  <c r="J1112" i="6"/>
  <c r="L1112" i="6"/>
  <c r="J1439" i="6"/>
  <c r="L1439" i="6"/>
  <c r="J1369" i="6"/>
  <c r="L1369" i="6"/>
  <c r="J1691" i="6"/>
  <c r="L1691" i="6"/>
  <c r="J1554" i="6"/>
  <c r="L1554" i="6"/>
  <c r="J1761" i="6"/>
  <c r="L1761" i="6"/>
  <c r="J1153" i="6"/>
  <c r="L1153" i="6"/>
  <c r="J427" i="6"/>
  <c r="L427" i="6"/>
  <c r="J567" i="6"/>
  <c r="L567" i="6"/>
  <c r="J1509" i="6"/>
  <c r="L1509" i="6"/>
  <c r="J392" i="6"/>
  <c r="L392" i="6"/>
  <c r="J1076" i="6"/>
  <c r="L1076" i="6"/>
  <c r="J835" i="6"/>
  <c r="L835" i="6"/>
  <c r="J1493" i="6"/>
  <c r="L1493" i="6"/>
  <c r="J1361" i="6"/>
  <c r="L1361" i="6"/>
  <c r="J1489" i="6"/>
  <c r="L1489" i="6"/>
  <c r="J1250" i="6"/>
  <c r="L1250" i="6"/>
  <c r="J1661" i="6"/>
  <c r="L1661" i="6"/>
  <c r="J504" i="6"/>
  <c r="L504" i="6"/>
  <c r="J1321" i="6"/>
  <c r="L1321" i="6"/>
  <c r="J1386" i="6"/>
  <c r="L1386" i="6"/>
  <c r="J865" i="6"/>
  <c r="L865" i="6"/>
  <c r="J189" i="6"/>
  <c r="L189" i="6"/>
  <c r="J1195" i="6"/>
  <c r="L1195" i="6"/>
  <c r="J910" i="6"/>
  <c r="L910" i="6"/>
  <c r="J944" i="6"/>
  <c r="L944" i="6"/>
  <c r="J949" i="6"/>
  <c r="L949" i="6"/>
  <c r="J1560" i="6"/>
  <c r="L1560" i="6"/>
  <c r="J1584" i="6"/>
  <c r="L1584" i="6"/>
  <c r="J1477" i="6"/>
  <c r="L1477" i="6"/>
  <c r="J961" i="6"/>
  <c r="L961" i="6"/>
  <c r="J406" i="6"/>
  <c r="L406" i="6"/>
  <c r="J1749" i="6"/>
  <c r="L1749" i="6"/>
  <c r="J1599" i="6"/>
  <c r="L1599" i="6"/>
  <c r="J913" i="6"/>
  <c r="L913" i="6"/>
  <c r="J1788" i="6"/>
  <c r="L1788" i="6"/>
  <c r="J489" i="6"/>
  <c r="L489" i="6"/>
  <c r="J1267" i="6"/>
  <c r="L1267" i="6"/>
  <c r="J1368" i="6"/>
  <c r="L1368" i="6"/>
  <c r="J936" i="6"/>
  <c r="L936" i="6"/>
  <c r="J333" i="6"/>
  <c r="L333" i="6"/>
  <c r="J1483" i="6"/>
  <c r="L1483" i="6"/>
  <c r="J1624" i="6"/>
  <c r="L1624" i="6"/>
  <c r="J1200" i="6"/>
  <c r="L1200" i="6"/>
  <c r="J964" i="6"/>
  <c r="L964" i="6"/>
  <c r="J728" i="6"/>
  <c r="L728" i="6"/>
  <c r="J1559" i="6"/>
  <c r="L1559" i="6"/>
  <c r="J1642" i="6"/>
  <c r="L1642" i="6"/>
  <c r="J739" i="6"/>
  <c r="L739" i="6"/>
  <c r="J892" i="6"/>
  <c r="L892" i="6"/>
  <c r="J1451" i="6"/>
  <c r="L1451" i="6"/>
  <c r="J1352" i="6"/>
  <c r="L1352" i="6"/>
  <c r="J1007" i="6"/>
  <c r="L1007" i="6"/>
  <c r="J418" i="6"/>
  <c r="L418" i="6"/>
  <c r="J1760" i="6"/>
  <c r="L1760" i="6"/>
  <c r="J1371" i="6"/>
  <c r="L1371" i="6"/>
  <c r="J565" i="6"/>
  <c r="L565" i="6"/>
  <c r="J1645" i="6"/>
  <c r="L1645" i="6"/>
  <c r="J441" i="6"/>
  <c r="L441" i="6"/>
  <c r="J15" i="6"/>
  <c r="L15" i="6"/>
  <c r="J3" i="6"/>
  <c r="L3" i="6"/>
  <c r="H4" i="6"/>
  <c r="H1575" i="6"/>
  <c r="H1565" i="6"/>
  <c r="H1564" i="6"/>
  <c r="H280" i="6"/>
  <c r="H897" i="6"/>
  <c r="H3" i="6"/>
  <c r="H1697" i="6"/>
  <c r="H1524" i="6"/>
  <c r="H1259" i="6"/>
  <c r="H711" i="6"/>
  <c r="H1734" i="6"/>
  <c r="H885" i="6"/>
  <c r="H214" i="6"/>
  <c r="H1695" i="6"/>
  <c r="H1522" i="6"/>
  <c r="H1253" i="6"/>
  <c r="H710" i="6"/>
  <c r="H1356" i="6"/>
  <c r="H1692" i="6"/>
  <c r="H1520" i="6"/>
  <c r="H1252" i="6"/>
  <c r="H704" i="6"/>
  <c r="H1344" i="6"/>
  <c r="H1658" i="6"/>
  <c r="H1481" i="6"/>
  <c r="H1151" i="6"/>
  <c r="H530" i="6"/>
  <c r="H1732" i="6"/>
  <c r="H1655" i="6"/>
  <c r="H1478" i="6"/>
  <c r="H1150" i="6"/>
  <c r="H526" i="6"/>
  <c r="H1736" i="6"/>
  <c r="H1355" i="6"/>
  <c r="H1775" i="6"/>
  <c r="H1653" i="6"/>
  <c r="H1467" i="6"/>
  <c r="H1146" i="6"/>
  <c r="H525" i="6"/>
  <c r="H886" i="6"/>
  <c r="H147" i="6"/>
  <c r="H1773" i="6"/>
  <c r="H1618" i="6"/>
  <c r="H1423" i="6"/>
  <c r="H1047" i="6"/>
  <c r="H290" i="6"/>
  <c r="H1771" i="6"/>
  <c r="H1616" i="6"/>
  <c r="H1422" i="6"/>
  <c r="H1044" i="6"/>
  <c r="H283" i="6"/>
  <c r="H1761" i="6"/>
  <c r="H1614" i="6"/>
  <c r="H1421" i="6"/>
  <c r="H1037" i="6"/>
  <c r="H1722" i="6"/>
  <c r="H1683" i="6"/>
  <c r="H1643" i="6"/>
  <c r="H1604" i="6"/>
  <c r="H1562" i="6"/>
  <c r="H1517" i="6"/>
  <c r="H1466" i="6"/>
  <c r="H1416" i="6"/>
  <c r="H1325" i="6"/>
  <c r="H1240" i="6"/>
  <c r="H1134" i="6"/>
  <c r="H1026" i="6"/>
  <c r="H867" i="6"/>
  <c r="H688" i="6"/>
  <c r="H476" i="6"/>
  <c r="H218" i="6"/>
  <c r="H1760" i="6"/>
  <c r="H1721" i="6"/>
  <c r="H1682" i="6"/>
  <c r="H1642" i="6"/>
  <c r="H1603" i="6"/>
  <c r="H1559" i="6"/>
  <c r="H1506" i="6"/>
  <c r="H1464" i="6"/>
  <c r="H1410" i="6"/>
  <c r="H1324" i="6"/>
  <c r="H1222" i="6"/>
  <c r="H1116" i="6"/>
  <c r="H1010" i="6"/>
  <c r="H835" i="6"/>
  <c r="H652" i="6"/>
  <c r="H464" i="6"/>
  <c r="H5" i="6"/>
  <c r="H17" i="6"/>
  <c r="H29" i="6"/>
  <c r="H41" i="6"/>
  <c r="H53" i="6"/>
  <c r="H65" i="6"/>
  <c r="H77" i="6"/>
  <c r="H89" i="6"/>
  <c r="H101" i="6"/>
  <c r="H113" i="6"/>
  <c r="H125" i="6"/>
  <c r="H137" i="6"/>
  <c r="H149" i="6"/>
  <c r="H161" i="6"/>
  <c r="H173" i="6"/>
  <c r="H185" i="6"/>
  <c r="H197" i="6"/>
  <c r="H209" i="6"/>
  <c r="H221" i="6"/>
  <c r="H233" i="6"/>
  <c r="H245" i="6"/>
  <c r="H257" i="6"/>
  <c r="H269" i="6"/>
  <c r="H281" i="6"/>
  <c r="H293" i="6"/>
  <c r="H305" i="6"/>
  <c r="H317" i="6"/>
  <c r="H329" i="6"/>
  <c r="H341" i="6"/>
  <c r="H353" i="6"/>
  <c r="H365" i="6"/>
  <c r="H377" i="6"/>
  <c r="H389" i="6"/>
  <c r="H401" i="6"/>
  <c r="H413" i="6"/>
  <c r="H425" i="6"/>
  <c r="H437" i="6"/>
  <c r="H449" i="6"/>
  <c r="H461" i="6"/>
  <c r="H473" i="6"/>
  <c r="H485" i="6"/>
  <c r="H497" i="6"/>
  <c r="H509" i="6"/>
  <c r="H521" i="6"/>
  <c r="H533" i="6"/>
  <c r="H545" i="6"/>
  <c r="H557" i="6"/>
  <c r="H569" i="6"/>
  <c r="H581" i="6"/>
  <c r="H593" i="6"/>
  <c r="H605" i="6"/>
  <c r="H617" i="6"/>
  <c r="H629" i="6"/>
  <c r="H641" i="6"/>
  <c r="H653" i="6"/>
  <c r="H665" i="6"/>
  <c r="H677" i="6"/>
  <c r="H689" i="6"/>
  <c r="H701" i="6"/>
  <c r="H713" i="6"/>
  <c r="H725" i="6"/>
  <c r="H737" i="6"/>
  <c r="H749" i="6"/>
  <c r="H761" i="6"/>
  <c r="H773" i="6"/>
  <c r="H785" i="6"/>
  <c r="H797" i="6"/>
  <c r="H809" i="6"/>
  <c r="H821" i="6"/>
  <c r="H833" i="6"/>
  <c r="H845" i="6"/>
  <c r="H857" i="6"/>
  <c r="H869" i="6"/>
  <c r="H881" i="6"/>
  <c r="H893" i="6"/>
  <c r="H905" i="6"/>
  <c r="H917" i="6"/>
  <c r="H929" i="6"/>
  <c r="H941" i="6"/>
  <c r="H953" i="6"/>
  <c r="H965" i="6"/>
  <c r="H977" i="6"/>
  <c r="H989" i="6"/>
  <c r="H1001" i="6"/>
  <c r="H1013" i="6"/>
  <c r="H6" i="6"/>
  <c r="H18" i="6"/>
  <c r="H30" i="6"/>
  <c r="H42" i="6"/>
  <c r="H54" i="6"/>
  <c r="H66" i="6"/>
  <c r="H78" i="6"/>
  <c r="H90" i="6"/>
  <c r="H102" i="6"/>
  <c r="H114" i="6"/>
  <c r="H126" i="6"/>
  <c r="H138" i="6"/>
  <c r="H150" i="6"/>
  <c r="H162" i="6"/>
  <c r="H174" i="6"/>
  <c r="H186" i="6"/>
  <c r="H198" i="6"/>
  <c r="H210" i="6"/>
  <c r="H222" i="6"/>
  <c r="H234" i="6"/>
  <c r="H246" i="6"/>
  <c r="H258" i="6"/>
  <c r="H270" i="6"/>
  <c r="H282" i="6"/>
  <c r="H294" i="6"/>
  <c r="H306" i="6"/>
  <c r="H318" i="6"/>
  <c r="H330" i="6"/>
  <c r="H342" i="6"/>
  <c r="H354" i="6"/>
  <c r="H366" i="6"/>
  <c r="H378" i="6"/>
  <c r="H390" i="6"/>
  <c r="H402" i="6"/>
  <c r="H414" i="6"/>
  <c r="H426" i="6"/>
  <c r="H438" i="6"/>
  <c r="H450" i="6"/>
  <c r="H462" i="6"/>
  <c r="H474" i="6"/>
  <c r="H486" i="6"/>
  <c r="H498" i="6"/>
  <c r="H510" i="6"/>
  <c r="H522" i="6"/>
  <c r="H534" i="6"/>
  <c r="H546" i="6"/>
  <c r="H558" i="6"/>
  <c r="H570" i="6"/>
  <c r="H582" i="6"/>
  <c r="H594" i="6"/>
  <c r="H606" i="6"/>
  <c r="H618" i="6"/>
  <c r="H630" i="6"/>
  <c r="H642" i="6"/>
  <c r="H654" i="6"/>
  <c r="H666" i="6"/>
  <c r="H678" i="6"/>
  <c r="H690" i="6"/>
  <c r="H702" i="6"/>
  <c r="H714" i="6"/>
  <c r="H726" i="6"/>
  <c r="H738" i="6"/>
  <c r="H750" i="6"/>
  <c r="H762" i="6"/>
  <c r="H774" i="6"/>
  <c r="H786" i="6"/>
  <c r="H798" i="6"/>
  <c r="H810" i="6"/>
  <c r="H822" i="6"/>
  <c r="H834" i="6"/>
  <c r="H846" i="6"/>
  <c r="H858" i="6"/>
  <c r="H870" i="6"/>
  <c r="H882" i="6"/>
  <c r="H894" i="6"/>
  <c r="H906" i="6"/>
  <c r="H918" i="6"/>
  <c r="H930" i="6"/>
  <c r="H942" i="6"/>
  <c r="H954" i="6"/>
  <c r="H966" i="6"/>
  <c r="H978" i="6"/>
  <c r="H990" i="6"/>
  <c r="H1002" i="6"/>
  <c r="H1014" i="6"/>
  <c r="H11" i="6"/>
  <c r="H23" i="6"/>
  <c r="H35" i="6"/>
  <c r="H47" i="6"/>
  <c r="H59" i="6"/>
  <c r="H71" i="6"/>
  <c r="H83" i="6"/>
  <c r="H95" i="6"/>
  <c r="H107" i="6"/>
  <c r="H119" i="6"/>
  <c r="H131" i="6"/>
  <c r="H143" i="6"/>
  <c r="H155" i="6"/>
  <c r="H167" i="6"/>
  <c r="H179" i="6"/>
  <c r="H191" i="6"/>
  <c r="H203" i="6"/>
  <c r="H215" i="6"/>
  <c r="H227" i="6"/>
  <c r="H239" i="6"/>
  <c r="H251" i="6"/>
  <c r="H263" i="6"/>
  <c r="H275" i="6"/>
  <c r="H287" i="6"/>
  <c r="H299" i="6"/>
  <c r="H311" i="6"/>
  <c r="H323" i="6"/>
  <c r="H335" i="6"/>
  <c r="H347" i="6"/>
  <c r="H359" i="6"/>
  <c r="H371" i="6"/>
  <c r="H383" i="6"/>
  <c r="H395" i="6"/>
  <c r="H407" i="6"/>
  <c r="H419" i="6"/>
  <c r="H431" i="6"/>
  <c r="H443" i="6"/>
  <c r="H455" i="6"/>
  <c r="H467" i="6"/>
  <c r="H479" i="6"/>
  <c r="H491" i="6"/>
  <c r="H503" i="6"/>
  <c r="H515" i="6"/>
  <c r="H527" i="6"/>
  <c r="H539" i="6"/>
  <c r="H551" i="6"/>
  <c r="H563" i="6"/>
  <c r="H575" i="6"/>
  <c r="H587" i="6"/>
  <c r="H599" i="6"/>
  <c r="H611" i="6"/>
  <c r="H623" i="6"/>
  <c r="H635" i="6"/>
  <c r="H647" i="6"/>
  <c r="H659" i="6"/>
  <c r="H671" i="6"/>
  <c r="H683" i="6"/>
  <c r="H695" i="6"/>
  <c r="H707" i="6"/>
  <c r="H719" i="6"/>
  <c r="H731" i="6"/>
  <c r="H743" i="6"/>
  <c r="H755" i="6"/>
  <c r="H767" i="6"/>
  <c r="H779" i="6"/>
  <c r="H791" i="6"/>
  <c r="H803" i="6"/>
  <c r="H815" i="6"/>
  <c r="H827" i="6"/>
  <c r="H839" i="6"/>
  <c r="H851" i="6"/>
  <c r="H863" i="6"/>
  <c r="H875" i="6"/>
  <c r="H887" i="6"/>
  <c r="H899" i="6"/>
  <c r="H911" i="6"/>
  <c r="H923" i="6"/>
  <c r="H935" i="6"/>
  <c r="H947" i="6"/>
  <c r="H959" i="6"/>
  <c r="H971" i="6"/>
  <c r="H983" i="6"/>
  <c r="H995" i="6"/>
  <c r="H12" i="6"/>
  <c r="H24" i="6"/>
  <c r="H36" i="6"/>
  <c r="H48" i="6"/>
  <c r="H60" i="6"/>
  <c r="H72" i="6"/>
  <c r="H84" i="6"/>
  <c r="H96" i="6"/>
  <c r="H108" i="6"/>
  <c r="H120" i="6"/>
  <c r="H132" i="6"/>
  <c r="H144" i="6"/>
  <c r="H156" i="6"/>
  <c r="H168" i="6"/>
  <c r="H180" i="6"/>
  <c r="H192" i="6"/>
  <c r="H204" i="6"/>
  <c r="H216" i="6"/>
  <c r="H228" i="6"/>
  <c r="H240" i="6"/>
  <c r="H252" i="6"/>
  <c r="H264" i="6"/>
  <c r="H276" i="6"/>
  <c r="H288" i="6"/>
  <c r="H300" i="6"/>
  <c r="H312" i="6"/>
  <c r="H324" i="6"/>
  <c r="H336" i="6"/>
  <c r="H348" i="6"/>
  <c r="H360" i="6"/>
  <c r="H372" i="6"/>
  <c r="H384" i="6"/>
  <c r="H396" i="6"/>
  <c r="H408" i="6"/>
  <c r="H420" i="6"/>
  <c r="H432" i="6"/>
  <c r="H444" i="6"/>
  <c r="H456" i="6"/>
  <c r="H468" i="6"/>
  <c r="H480" i="6"/>
  <c r="H492" i="6"/>
  <c r="H504" i="6"/>
  <c r="H516" i="6"/>
  <c r="H528" i="6"/>
  <c r="H540" i="6"/>
  <c r="H552" i="6"/>
  <c r="H564" i="6"/>
  <c r="H576" i="6"/>
  <c r="H588" i="6"/>
  <c r="H600" i="6"/>
  <c r="H612" i="6"/>
  <c r="H624" i="6"/>
  <c r="H636" i="6"/>
  <c r="H648" i="6"/>
  <c r="H660" i="6"/>
  <c r="H672" i="6"/>
  <c r="H684" i="6"/>
  <c r="H696" i="6"/>
  <c r="H708" i="6"/>
  <c r="H720" i="6"/>
  <c r="H732" i="6"/>
  <c r="H744" i="6"/>
  <c r="H756" i="6"/>
  <c r="H768" i="6"/>
  <c r="H780" i="6"/>
  <c r="H792" i="6"/>
  <c r="H804" i="6"/>
  <c r="H816" i="6"/>
  <c r="H828" i="6"/>
  <c r="H840" i="6"/>
  <c r="H852" i="6"/>
  <c r="H864" i="6"/>
  <c r="H876" i="6"/>
  <c r="H888" i="6"/>
  <c r="H900" i="6"/>
  <c r="H912" i="6"/>
  <c r="H924" i="6"/>
  <c r="H936" i="6"/>
  <c r="H948" i="6"/>
  <c r="H960" i="6"/>
  <c r="H972" i="6"/>
  <c r="H13" i="6"/>
  <c r="H25" i="6"/>
  <c r="H37" i="6"/>
  <c r="H49" i="6"/>
  <c r="H61" i="6"/>
  <c r="H73" i="6"/>
  <c r="H85" i="6"/>
  <c r="H97" i="6"/>
  <c r="H109" i="6"/>
  <c r="H121" i="6"/>
  <c r="H133" i="6"/>
  <c r="H145" i="6"/>
  <c r="H157" i="6"/>
  <c r="H169" i="6"/>
  <c r="H181" i="6"/>
  <c r="H193" i="6"/>
  <c r="H205" i="6"/>
  <c r="H217" i="6"/>
  <c r="H229" i="6"/>
  <c r="H241" i="6"/>
  <c r="H253" i="6"/>
  <c r="H265" i="6"/>
  <c r="H277" i="6"/>
  <c r="H289" i="6"/>
  <c r="H301" i="6"/>
  <c r="H313" i="6"/>
  <c r="H325" i="6"/>
  <c r="H337" i="6"/>
  <c r="H349" i="6"/>
  <c r="H361" i="6"/>
  <c r="H373" i="6"/>
  <c r="H385" i="6"/>
  <c r="H397" i="6"/>
  <c r="H409" i="6"/>
  <c r="H421" i="6"/>
  <c r="H433" i="6"/>
  <c r="H445" i="6"/>
  <c r="H457" i="6"/>
  <c r="H469" i="6"/>
  <c r="H481" i="6"/>
  <c r="H493" i="6"/>
  <c r="H505" i="6"/>
  <c r="H517" i="6"/>
  <c r="H529" i="6"/>
  <c r="H541" i="6"/>
  <c r="H553" i="6"/>
  <c r="H565" i="6"/>
  <c r="H577" i="6"/>
  <c r="H589" i="6"/>
  <c r="H601" i="6"/>
  <c r="H613" i="6"/>
  <c r="H625" i="6"/>
  <c r="H637" i="6"/>
  <c r="H649" i="6"/>
  <c r="H661" i="6"/>
  <c r="H673" i="6"/>
  <c r="H685" i="6"/>
  <c r="H697" i="6"/>
  <c r="H709" i="6"/>
  <c r="H721" i="6"/>
  <c r="H733" i="6"/>
  <c r="H745" i="6"/>
  <c r="H757" i="6"/>
  <c r="H769" i="6"/>
  <c r="H781" i="6"/>
  <c r="H793" i="6"/>
  <c r="H805" i="6"/>
  <c r="H817" i="6"/>
  <c r="H829" i="6"/>
  <c r="H841" i="6"/>
  <c r="H853" i="6"/>
  <c r="H865" i="6"/>
  <c r="H877" i="6"/>
  <c r="H889" i="6"/>
  <c r="H901" i="6"/>
  <c r="H913" i="6"/>
  <c r="H925" i="6"/>
  <c r="H937" i="6"/>
  <c r="H949" i="6"/>
  <c r="H961" i="6"/>
  <c r="H973" i="6"/>
  <c r="H985" i="6"/>
  <c r="H7" i="6"/>
  <c r="H27" i="6"/>
  <c r="H46" i="6"/>
  <c r="H68" i="6"/>
  <c r="H88" i="6"/>
  <c r="H110" i="6"/>
  <c r="H129" i="6"/>
  <c r="H151" i="6"/>
  <c r="H171" i="6"/>
  <c r="H190" i="6"/>
  <c r="H212" i="6"/>
  <c r="H232" i="6"/>
  <c r="H254" i="6"/>
  <c r="H273" i="6"/>
  <c r="H295" i="6"/>
  <c r="H315" i="6"/>
  <c r="H334" i="6"/>
  <c r="H356" i="6"/>
  <c r="H376" i="6"/>
  <c r="H398" i="6"/>
  <c r="H417" i="6"/>
  <c r="H439" i="6"/>
  <c r="H459" i="6"/>
  <c r="H478" i="6"/>
  <c r="H500" i="6"/>
  <c r="H520" i="6"/>
  <c r="H542" i="6"/>
  <c r="H561" i="6"/>
  <c r="H583" i="6"/>
  <c r="H603" i="6"/>
  <c r="H622" i="6"/>
  <c r="H644" i="6"/>
  <c r="H664" i="6"/>
  <c r="H686" i="6"/>
  <c r="H705" i="6"/>
  <c r="H727" i="6"/>
  <c r="H747" i="6"/>
  <c r="H766" i="6"/>
  <c r="H788" i="6"/>
  <c r="H808" i="6"/>
  <c r="H830" i="6"/>
  <c r="H849" i="6"/>
  <c r="H871" i="6"/>
  <c r="H891" i="6"/>
  <c r="H910" i="6"/>
  <c r="H932" i="6"/>
  <c r="H952" i="6"/>
  <c r="H974" i="6"/>
  <c r="H992" i="6"/>
  <c r="H1007" i="6"/>
  <c r="H1021" i="6"/>
  <c r="H1033" i="6"/>
  <c r="H1045" i="6"/>
  <c r="H1057" i="6"/>
  <c r="H1069" i="6"/>
  <c r="H1081" i="6"/>
  <c r="H1093" i="6"/>
  <c r="H1105" i="6"/>
  <c r="H1117" i="6"/>
  <c r="H1129" i="6"/>
  <c r="H1141" i="6"/>
  <c r="H1153" i="6"/>
  <c r="H1165" i="6"/>
  <c r="H1177" i="6"/>
  <c r="H1189" i="6"/>
  <c r="H1201" i="6"/>
  <c r="H1213" i="6"/>
  <c r="H1225" i="6"/>
  <c r="H1237" i="6"/>
  <c r="H1249" i="6"/>
  <c r="H1261" i="6"/>
  <c r="H1273" i="6"/>
  <c r="H1285" i="6"/>
  <c r="H1297" i="6"/>
  <c r="H1309" i="6"/>
  <c r="H1321" i="6"/>
  <c r="H1333" i="6"/>
  <c r="H1345" i="6"/>
  <c r="H1357" i="6"/>
  <c r="H1369" i="6"/>
  <c r="H1381" i="6"/>
  <c r="H1393" i="6"/>
  <c r="H1405" i="6"/>
  <c r="H1417" i="6"/>
  <c r="H1429" i="6"/>
  <c r="H1441" i="6"/>
  <c r="H1453" i="6"/>
  <c r="H1465" i="6"/>
  <c r="H1477" i="6"/>
  <c r="H1489" i="6"/>
  <c r="H1501" i="6"/>
  <c r="H1513" i="6"/>
  <c r="H1525" i="6"/>
  <c r="H1537" i="6"/>
  <c r="H1549" i="6"/>
  <c r="H1561" i="6"/>
  <c r="H1573" i="6"/>
  <c r="H1585" i="6"/>
  <c r="H1597" i="6"/>
  <c r="H1609" i="6"/>
  <c r="H1621" i="6"/>
  <c r="H1633" i="6"/>
  <c r="H1645" i="6"/>
  <c r="H1657" i="6"/>
  <c r="H1669" i="6"/>
  <c r="H1681" i="6"/>
  <c r="H1693" i="6"/>
  <c r="H1705" i="6"/>
  <c r="H1717" i="6"/>
  <c r="H1729" i="6"/>
  <c r="H1741" i="6"/>
  <c r="H1753" i="6"/>
  <c r="H1765" i="6"/>
  <c r="H8" i="6"/>
  <c r="H28" i="6"/>
  <c r="H50" i="6"/>
  <c r="H69" i="6"/>
  <c r="H91" i="6"/>
  <c r="H111" i="6"/>
  <c r="H130" i="6"/>
  <c r="H152" i="6"/>
  <c r="H172" i="6"/>
  <c r="H194" i="6"/>
  <c r="H213" i="6"/>
  <c r="H235" i="6"/>
  <c r="H255" i="6"/>
  <c r="H274" i="6"/>
  <c r="H296" i="6"/>
  <c r="H316" i="6"/>
  <c r="H338" i="6"/>
  <c r="H357" i="6"/>
  <c r="H379" i="6"/>
  <c r="H399" i="6"/>
  <c r="H418" i="6"/>
  <c r="H440" i="6"/>
  <c r="H460" i="6"/>
  <c r="H482" i="6"/>
  <c r="H501" i="6"/>
  <c r="H523" i="6"/>
  <c r="H543" i="6"/>
  <c r="H562" i="6"/>
  <c r="H584" i="6"/>
  <c r="H604" i="6"/>
  <c r="H626" i="6"/>
  <c r="H645" i="6"/>
  <c r="H667" i="6"/>
  <c r="H687" i="6"/>
  <c r="H706" i="6"/>
  <c r="H728" i="6"/>
  <c r="H748" i="6"/>
  <c r="H770" i="6"/>
  <c r="H789" i="6"/>
  <c r="H811" i="6"/>
  <c r="H831" i="6"/>
  <c r="H850" i="6"/>
  <c r="H872" i="6"/>
  <c r="H892" i="6"/>
  <c r="H914" i="6"/>
  <c r="H933" i="6"/>
  <c r="H955" i="6"/>
  <c r="H975" i="6"/>
  <c r="H993" i="6"/>
  <c r="H1008" i="6"/>
  <c r="H1022" i="6"/>
  <c r="H1034" i="6"/>
  <c r="H1046" i="6"/>
  <c r="H1058" i="6"/>
  <c r="H1070" i="6"/>
  <c r="H1082" i="6"/>
  <c r="H1094" i="6"/>
  <c r="H1106" i="6"/>
  <c r="H1118" i="6"/>
  <c r="H1130" i="6"/>
  <c r="H1142" i="6"/>
  <c r="H1154" i="6"/>
  <c r="H1166" i="6"/>
  <c r="H1178" i="6"/>
  <c r="H1190" i="6"/>
  <c r="H1202" i="6"/>
  <c r="H1214" i="6"/>
  <c r="H1226" i="6"/>
  <c r="H1238" i="6"/>
  <c r="H1250" i="6"/>
  <c r="H1262" i="6"/>
  <c r="H1274" i="6"/>
  <c r="H1286" i="6"/>
  <c r="H1298" i="6"/>
  <c r="H1310" i="6"/>
  <c r="H1322" i="6"/>
  <c r="H1334" i="6"/>
  <c r="H1346" i="6"/>
  <c r="H1358" i="6"/>
  <c r="H1370" i="6"/>
  <c r="H1382" i="6"/>
  <c r="H1394" i="6"/>
  <c r="H1406" i="6"/>
  <c r="H1418" i="6"/>
  <c r="H1430" i="6"/>
  <c r="H16" i="6"/>
  <c r="H38" i="6"/>
  <c r="H57" i="6"/>
  <c r="H79" i="6"/>
  <c r="H99" i="6"/>
  <c r="H118" i="6"/>
  <c r="H140" i="6"/>
  <c r="H160" i="6"/>
  <c r="H182" i="6"/>
  <c r="H201" i="6"/>
  <c r="H223" i="6"/>
  <c r="H243" i="6"/>
  <c r="H262" i="6"/>
  <c r="H284" i="6"/>
  <c r="H304" i="6"/>
  <c r="H326" i="6"/>
  <c r="H345" i="6"/>
  <c r="H367" i="6"/>
  <c r="H387" i="6"/>
  <c r="H406" i="6"/>
  <c r="H428" i="6"/>
  <c r="H448" i="6"/>
  <c r="H470" i="6"/>
  <c r="H489" i="6"/>
  <c r="H511" i="6"/>
  <c r="H531" i="6"/>
  <c r="H550" i="6"/>
  <c r="H572" i="6"/>
  <c r="H592" i="6"/>
  <c r="H614" i="6"/>
  <c r="H633" i="6"/>
  <c r="H655" i="6"/>
  <c r="H675" i="6"/>
  <c r="H694" i="6"/>
  <c r="H716" i="6"/>
  <c r="H736" i="6"/>
  <c r="H758" i="6"/>
  <c r="H777" i="6"/>
  <c r="H799" i="6"/>
  <c r="H819" i="6"/>
  <c r="H838" i="6"/>
  <c r="H860" i="6"/>
  <c r="H880" i="6"/>
  <c r="H902" i="6"/>
  <c r="H921" i="6"/>
  <c r="H943" i="6"/>
  <c r="H963" i="6"/>
  <c r="H982" i="6"/>
  <c r="H999" i="6"/>
  <c r="H1015" i="6"/>
  <c r="H1027" i="6"/>
  <c r="H1039" i="6"/>
  <c r="H1051" i="6"/>
  <c r="H1063" i="6"/>
  <c r="H1075" i="6"/>
  <c r="H1087" i="6"/>
  <c r="H1099" i="6"/>
  <c r="H1111" i="6"/>
  <c r="H1123" i="6"/>
  <c r="H1135" i="6"/>
  <c r="H1147" i="6"/>
  <c r="H1159" i="6"/>
  <c r="H1171" i="6"/>
  <c r="H1183" i="6"/>
  <c r="H1195" i="6"/>
  <c r="H1207" i="6"/>
  <c r="H1219" i="6"/>
  <c r="H1231" i="6"/>
  <c r="H1243" i="6"/>
  <c r="H1255" i="6"/>
  <c r="H1267" i="6"/>
  <c r="H1279" i="6"/>
  <c r="H1291" i="6"/>
  <c r="H1303" i="6"/>
  <c r="H1315" i="6"/>
  <c r="H1327" i="6"/>
  <c r="H1339" i="6"/>
  <c r="H1351" i="6"/>
  <c r="H1363" i="6"/>
  <c r="H1375" i="6"/>
  <c r="H1387" i="6"/>
  <c r="H1399" i="6"/>
  <c r="H19" i="6"/>
  <c r="H39" i="6"/>
  <c r="H58" i="6"/>
  <c r="H80" i="6"/>
  <c r="H100" i="6"/>
  <c r="H122" i="6"/>
  <c r="H141" i="6"/>
  <c r="H163" i="6"/>
  <c r="H183" i="6"/>
  <c r="H202" i="6"/>
  <c r="H224" i="6"/>
  <c r="H244" i="6"/>
  <c r="H266" i="6"/>
  <c r="H285" i="6"/>
  <c r="H307" i="6"/>
  <c r="H327" i="6"/>
  <c r="H346" i="6"/>
  <c r="H368" i="6"/>
  <c r="H388" i="6"/>
  <c r="H410" i="6"/>
  <c r="H429" i="6"/>
  <c r="H451" i="6"/>
  <c r="H471" i="6"/>
  <c r="H490" i="6"/>
  <c r="H512" i="6"/>
  <c r="H532" i="6"/>
  <c r="H554" i="6"/>
  <c r="H573" i="6"/>
  <c r="H595" i="6"/>
  <c r="H615" i="6"/>
  <c r="H634" i="6"/>
  <c r="H656" i="6"/>
  <c r="H676" i="6"/>
  <c r="H698" i="6"/>
  <c r="H717" i="6"/>
  <c r="H739" i="6"/>
  <c r="H759" i="6"/>
  <c r="H778" i="6"/>
  <c r="H800" i="6"/>
  <c r="H820" i="6"/>
  <c r="H842" i="6"/>
  <c r="H861" i="6"/>
  <c r="H883" i="6"/>
  <c r="H903" i="6"/>
  <c r="H922" i="6"/>
  <c r="H944" i="6"/>
  <c r="H964" i="6"/>
  <c r="H984" i="6"/>
  <c r="H1000" i="6"/>
  <c r="H1016" i="6"/>
  <c r="H1028" i="6"/>
  <c r="H1040" i="6"/>
  <c r="H1052" i="6"/>
  <c r="H1064" i="6"/>
  <c r="H1076" i="6"/>
  <c r="H1088" i="6"/>
  <c r="H1100" i="6"/>
  <c r="H1112" i="6"/>
  <c r="H1124" i="6"/>
  <c r="H1136" i="6"/>
  <c r="H1148" i="6"/>
  <c r="H1160" i="6"/>
  <c r="H1172" i="6"/>
  <c r="H1184" i="6"/>
  <c r="H1196" i="6"/>
  <c r="H1208" i="6"/>
  <c r="H1220" i="6"/>
  <c r="H1232" i="6"/>
  <c r="H1244" i="6"/>
  <c r="H1256" i="6"/>
  <c r="H1268" i="6"/>
  <c r="H1280" i="6"/>
  <c r="H1292" i="6"/>
  <c r="H1304" i="6"/>
  <c r="H1316" i="6"/>
  <c r="H1328" i="6"/>
  <c r="H1340" i="6"/>
  <c r="H1352" i="6"/>
  <c r="H1364" i="6"/>
  <c r="H1376" i="6"/>
  <c r="H1388" i="6"/>
  <c r="H1400" i="6"/>
  <c r="H1412" i="6"/>
  <c r="H1424" i="6"/>
  <c r="H1436" i="6"/>
  <c r="H20" i="6"/>
  <c r="H40" i="6"/>
  <c r="H62" i="6"/>
  <c r="H81" i="6"/>
  <c r="H103" i="6"/>
  <c r="H123" i="6"/>
  <c r="H142" i="6"/>
  <c r="H164" i="6"/>
  <c r="H184" i="6"/>
  <c r="H206" i="6"/>
  <c r="H225" i="6"/>
  <c r="H247" i="6"/>
  <c r="H267" i="6"/>
  <c r="H286" i="6"/>
  <c r="H308" i="6"/>
  <c r="H328" i="6"/>
  <c r="H350" i="6"/>
  <c r="H369" i="6"/>
  <c r="H391" i="6"/>
  <c r="H411" i="6"/>
  <c r="H430" i="6"/>
  <c r="H452" i="6"/>
  <c r="H472" i="6"/>
  <c r="H494" i="6"/>
  <c r="H513" i="6"/>
  <c r="H535" i="6"/>
  <c r="H555" i="6"/>
  <c r="H574" i="6"/>
  <c r="H596" i="6"/>
  <c r="H616" i="6"/>
  <c r="H638" i="6"/>
  <c r="H657" i="6"/>
  <c r="H679" i="6"/>
  <c r="H699" i="6"/>
  <c r="H718" i="6"/>
  <c r="H740" i="6"/>
  <c r="H760" i="6"/>
  <c r="H782" i="6"/>
  <c r="H801" i="6"/>
  <c r="H823" i="6"/>
  <c r="H843" i="6"/>
  <c r="H862" i="6"/>
  <c r="H884" i="6"/>
  <c r="H904" i="6"/>
  <c r="H926" i="6"/>
  <c r="H945" i="6"/>
  <c r="H967" i="6"/>
  <c r="H986" i="6"/>
  <c r="H1003" i="6"/>
  <c r="H1017" i="6"/>
  <c r="H1029" i="6"/>
  <c r="H1041" i="6"/>
  <c r="H1053" i="6"/>
  <c r="H1065" i="6"/>
  <c r="H1077" i="6"/>
  <c r="H1089" i="6"/>
  <c r="H1101" i="6"/>
  <c r="H1113" i="6"/>
  <c r="H1125" i="6"/>
  <c r="H1137" i="6"/>
  <c r="H1149" i="6"/>
  <c r="H1161" i="6"/>
  <c r="H1173" i="6"/>
  <c r="H1185" i="6"/>
  <c r="H1197" i="6"/>
  <c r="H1209" i="6"/>
  <c r="H1221" i="6"/>
  <c r="H1233" i="6"/>
  <c r="H1245" i="6"/>
  <c r="H1257" i="6"/>
  <c r="H1269" i="6"/>
  <c r="H1281" i="6"/>
  <c r="H1293" i="6"/>
  <c r="H1305" i="6"/>
  <c r="H1317" i="6"/>
  <c r="H1329" i="6"/>
  <c r="H1341" i="6"/>
  <c r="H1353" i="6"/>
  <c r="H1365" i="6"/>
  <c r="H1377" i="6"/>
  <c r="H1389" i="6"/>
  <c r="H1401" i="6"/>
  <c r="H1413" i="6"/>
  <c r="H1425" i="6"/>
  <c r="H9" i="6"/>
  <c r="H44" i="6"/>
  <c r="H76" i="6"/>
  <c r="H115" i="6"/>
  <c r="H148" i="6"/>
  <c r="H187" i="6"/>
  <c r="H219" i="6"/>
  <c r="H256" i="6"/>
  <c r="H291" i="6"/>
  <c r="H322" i="6"/>
  <c r="H362" i="6"/>
  <c r="H394" i="6"/>
  <c r="H434" i="6"/>
  <c r="H465" i="6"/>
  <c r="H502" i="6"/>
  <c r="H537" i="6"/>
  <c r="H571" i="6"/>
  <c r="H608" i="6"/>
  <c r="H643" i="6"/>
  <c r="H680" i="6"/>
  <c r="H712" i="6"/>
  <c r="H751" i="6"/>
  <c r="H784" i="6"/>
  <c r="H818" i="6"/>
  <c r="H855" i="6"/>
  <c r="H890" i="6"/>
  <c r="H927" i="6"/>
  <c r="H958" i="6"/>
  <c r="H994" i="6"/>
  <c r="H1019" i="6"/>
  <c r="H1038" i="6"/>
  <c r="H1060" i="6"/>
  <c r="H1080" i="6"/>
  <c r="H1102" i="6"/>
  <c r="H1121" i="6"/>
  <c r="H1143" i="6"/>
  <c r="H1163" i="6"/>
  <c r="H1182" i="6"/>
  <c r="H1204" i="6"/>
  <c r="H1224" i="6"/>
  <c r="H1246" i="6"/>
  <c r="H1265" i="6"/>
  <c r="H1287" i="6"/>
  <c r="H1307" i="6"/>
  <c r="H1326" i="6"/>
  <c r="H1348" i="6"/>
  <c r="H1368" i="6"/>
  <c r="H1390" i="6"/>
  <c r="H1409" i="6"/>
  <c r="H1427" i="6"/>
  <c r="H1443" i="6"/>
  <c r="H1456" i="6"/>
  <c r="H1469" i="6"/>
  <c r="H1482" i="6"/>
  <c r="H1495" i="6"/>
  <c r="H1508" i="6"/>
  <c r="H1521" i="6"/>
  <c r="H1534" i="6"/>
  <c r="H1547" i="6"/>
  <c r="H1560" i="6"/>
  <c r="H1574" i="6"/>
  <c r="H1587" i="6"/>
  <c r="H1600" i="6"/>
  <c r="H1613" i="6"/>
  <c r="H1626" i="6"/>
  <c r="H1639" i="6"/>
  <c r="H1652" i="6"/>
  <c r="H1665" i="6"/>
  <c r="H1678" i="6"/>
  <c r="H1691" i="6"/>
  <c r="H1704" i="6"/>
  <c r="H1718" i="6"/>
  <c r="H1731" i="6"/>
  <c r="H1744" i="6"/>
  <c r="H1757" i="6"/>
  <c r="H1770" i="6"/>
  <c r="H1782" i="6"/>
  <c r="H10" i="6"/>
  <c r="H45" i="6"/>
  <c r="H82" i="6"/>
  <c r="H116" i="6"/>
  <c r="H153" i="6"/>
  <c r="H188" i="6"/>
  <c r="H220" i="6"/>
  <c r="H259" i="6"/>
  <c r="H292" i="6"/>
  <c r="H331" i="6"/>
  <c r="H363" i="6"/>
  <c r="H400" i="6"/>
  <c r="H435" i="6"/>
  <c r="H466" i="6"/>
  <c r="H506" i="6"/>
  <c r="H538" i="6"/>
  <c r="H578" i="6"/>
  <c r="H609" i="6"/>
  <c r="H646" i="6"/>
  <c r="H681" i="6"/>
  <c r="H715" i="6"/>
  <c r="H752" i="6"/>
  <c r="H787" i="6"/>
  <c r="H824" i="6"/>
  <c r="H856" i="6"/>
  <c r="H895" i="6"/>
  <c r="H928" i="6"/>
  <c r="H962" i="6"/>
  <c r="H996" i="6"/>
  <c r="H1020" i="6"/>
  <c r="H1042" i="6"/>
  <c r="H1061" i="6"/>
  <c r="H1083" i="6"/>
  <c r="H1103" i="6"/>
  <c r="H1122" i="6"/>
  <c r="H1144" i="6"/>
  <c r="H1164" i="6"/>
  <c r="H1186" i="6"/>
  <c r="H1205" i="6"/>
  <c r="H1227" i="6"/>
  <c r="H1247" i="6"/>
  <c r="H1266" i="6"/>
  <c r="H1288" i="6"/>
  <c r="H1308" i="6"/>
  <c r="H1330" i="6"/>
  <c r="H1349" i="6"/>
  <c r="H1371" i="6"/>
  <c r="H14" i="6"/>
  <c r="H51" i="6"/>
  <c r="H86" i="6"/>
  <c r="H117" i="6"/>
  <c r="H154" i="6"/>
  <c r="H189" i="6"/>
  <c r="H226" i="6"/>
  <c r="H260" i="6"/>
  <c r="H297" i="6"/>
  <c r="H332" i="6"/>
  <c r="H364" i="6"/>
  <c r="H403" i="6"/>
  <c r="H436" i="6"/>
  <c r="H475" i="6"/>
  <c r="H507" i="6"/>
  <c r="H544" i="6"/>
  <c r="H579" i="6"/>
  <c r="H610" i="6"/>
  <c r="H650" i="6"/>
  <c r="H682" i="6"/>
  <c r="H722" i="6"/>
  <c r="H753" i="6"/>
  <c r="H790" i="6"/>
  <c r="H825" i="6"/>
  <c r="H859" i="6"/>
  <c r="H896" i="6"/>
  <c r="H931" i="6"/>
  <c r="H968" i="6"/>
  <c r="H997" i="6"/>
  <c r="H1023" i="6"/>
  <c r="H1043" i="6"/>
  <c r="H1062" i="6"/>
  <c r="H1084" i="6"/>
  <c r="H1104" i="6"/>
  <c r="H1126" i="6"/>
  <c r="H1145" i="6"/>
  <c r="H1167" i="6"/>
  <c r="H1187" i="6"/>
  <c r="H1206" i="6"/>
  <c r="H1228" i="6"/>
  <c r="H1248" i="6"/>
  <c r="H1270" i="6"/>
  <c r="H1289" i="6"/>
  <c r="H1311" i="6"/>
  <c r="H1331" i="6"/>
  <c r="H1350" i="6"/>
  <c r="H1372" i="6"/>
  <c r="H1392" i="6"/>
  <c r="H1411" i="6"/>
  <c r="H1431" i="6"/>
  <c r="H1445" i="6"/>
  <c r="H1458" i="6"/>
  <c r="H1471" i="6"/>
  <c r="H1484" i="6"/>
  <c r="H1497" i="6"/>
  <c r="H1510" i="6"/>
  <c r="H1523" i="6"/>
  <c r="H1536" i="6"/>
  <c r="H1550" i="6"/>
  <c r="H1563" i="6"/>
  <c r="H1576" i="6"/>
  <c r="H1589" i="6"/>
  <c r="H1602" i="6"/>
  <c r="H1615" i="6"/>
  <c r="H1628" i="6"/>
  <c r="H1641" i="6"/>
  <c r="H1654" i="6"/>
  <c r="H1667" i="6"/>
  <c r="H1680" i="6"/>
  <c r="H1694" i="6"/>
  <c r="H1707" i="6"/>
  <c r="H1720" i="6"/>
  <c r="H1733" i="6"/>
  <c r="H1746" i="6"/>
  <c r="H1759" i="6"/>
  <c r="H1772" i="6"/>
  <c r="H1784" i="6"/>
  <c r="H15" i="6"/>
  <c r="H52" i="6"/>
  <c r="H87" i="6"/>
  <c r="H124" i="6"/>
  <c r="H158" i="6"/>
  <c r="H195" i="6"/>
  <c r="H230" i="6"/>
  <c r="H261" i="6"/>
  <c r="H26" i="6"/>
  <c r="H63" i="6"/>
  <c r="H94" i="6"/>
  <c r="H134" i="6"/>
  <c r="H166" i="6"/>
  <c r="H200" i="6"/>
  <c r="H237" i="6"/>
  <c r="H272" i="6"/>
  <c r="H309" i="6"/>
  <c r="H343" i="6"/>
  <c r="H380" i="6"/>
  <c r="H415" i="6"/>
  <c r="H447" i="6"/>
  <c r="H484" i="6"/>
  <c r="H519" i="6"/>
  <c r="H556" i="6"/>
  <c r="H590" i="6"/>
  <c r="H627" i="6"/>
  <c r="H662" i="6"/>
  <c r="H693" i="6"/>
  <c r="H730" i="6"/>
  <c r="H765" i="6"/>
  <c r="H802" i="6"/>
  <c r="H836" i="6"/>
  <c r="H873" i="6"/>
  <c r="H908" i="6"/>
  <c r="H940" i="6"/>
  <c r="H979" i="6"/>
  <c r="H1006" i="6"/>
  <c r="H1030" i="6"/>
  <c r="H1049" i="6"/>
  <c r="H1071" i="6"/>
  <c r="H1091" i="6"/>
  <c r="H1110" i="6"/>
  <c r="H1132" i="6"/>
  <c r="H1152" i="6"/>
  <c r="H1174" i="6"/>
  <c r="H1193" i="6"/>
  <c r="H1215" i="6"/>
  <c r="H1235" i="6"/>
  <c r="H1254" i="6"/>
  <c r="H1276" i="6"/>
  <c r="H1296" i="6"/>
  <c r="H1318" i="6"/>
  <c r="H1337" i="6"/>
  <c r="H1359" i="6"/>
  <c r="H1379" i="6"/>
  <c r="H1398" i="6"/>
  <c r="H1419" i="6"/>
  <c r="H1435" i="6"/>
  <c r="H1449" i="6"/>
  <c r="H1462" i="6"/>
  <c r="H1475" i="6"/>
  <c r="H1488" i="6"/>
  <c r="H1502" i="6"/>
  <c r="H1515" i="6"/>
  <c r="H1528" i="6"/>
  <c r="H1541" i="6"/>
  <c r="H1554" i="6"/>
  <c r="H1567" i="6"/>
  <c r="H1580" i="6"/>
  <c r="H1593" i="6"/>
  <c r="H1606" i="6"/>
  <c r="H1619" i="6"/>
  <c r="H1632" i="6"/>
  <c r="H1646" i="6"/>
  <c r="H1659" i="6"/>
  <c r="H1672" i="6"/>
  <c r="H1685" i="6"/>
  <c r="H1698" i="6"/>
  <c r="H1711" i="6"/>
  <c r="H1724" i="6"/>
  <c r="H1737" i="6"/>
  <c r="H1750" i="6"/>
  <c r="H1763" i="6"/>
  <c r="H1776" i="6"/>
  <c r="H1788" i="6"/>
  <c r="H31" i="6"/>
  <c r="H64" i="6"/>
  <c r="H98" i="6"/>
  <c r="H135" i="6"/>
  <c r="H170" i="6"/>
  <c r="H207" i="6"/>
  <c r="H238" i="6"/>
  <c r="H278" i="6"/>
  <c r="H310" i="6"/>
  <c r="H344" i="6"/>
  <c r="H381" i="6"/>
  <c r="H416" i="6"/>
  <c r="H453" i="6"/>
  <c r="H487" i="6"/>
  <c r="H524" i="6"/>
  <c r="H559" i="6"/>
  <c r="H591" i="6"/>
  <c r="H628" i="6"/>
  <c r="H663" i="6"/>
  <c r="H700" i="6"/>
  <c r="H734" i="6"/>
  <c r="H771" i="6"/>
  <c r="H806" i="6"/>
  <c r="H837" i="6"/>
  <c r="H874" i="6"/>
  <c r="H909" i="6"/>
  <c r="H946" i="6"/>
  <c r="H980" i="6"/>
  <c r="H1009" i="6"/>
  <c r="H1031" i="6"/>
  <c r="H1050" i="6"/>
  <c r="H1072" i="6"/>
  <c r="H1092" i="6"/>
  <c r="H1114" i="6"/>
  <c r="H1133" i="6"/>
  <c r="H1155" i="6"/>
  <c r="H1175" i="6"/>
  <c r="H1194" i="6"/>
  <c r="H1216" i="6"/>
  <c r="H1236" i="6"/>
  <c r="H1258" i="6"/>
  <c r="H1277" i="6"/>
  <c r="H1299" i="6"/>
  <c r="H1319" i="6"/>
  <c r="H1338" i="6"/>
  <c r="H1360" i="6"/>
  <c r="H1380" i="6"/>
  <c r="H1402" i="6"/>
  <c r="H1420" i="6"/>
  <c r="H1437" i="6"/>
  <c r="H1450" i="6"/>
  <c r="H1463" i="6"/>
  <c r="H1476" i="6"/>
  <c r="H1490" i="6"/>
  <c r="H1503" i="6"/>
  <c r="H1516" i="6"/>
  <c r="H1529" i="6"/>
  <c r="H1542" i="6"/>
  <c r="H1555" i="6"/>
  <c r="H1568" i="6"/>
  <c r="H1581" i="6"/>
  <c r="H1594" i="6"/>
  <c r="H1607" i="6"/>
  <c r="H1620" i="6"/>
  <c r="H1634" i="6"/>
  <c r="H1647" i="6"/>
  <c r="H1660" i="6"/>
  <c r="H1673" i="6"/>
  <c r="H1686" i="6"/>
  <c r="H1699" i="6"/>
  <c r="H1712" i="6"/>
  <c r="H1725" i="6"/>
  <c r="H1738" i="6"/>
  <c r="H1751" i="6"/>
  <c r="H1764" i="6"/>
  <c r="H1777" i="6"/>
  <c r="H2" i="6"/>
  <c r="H21" i="6"/>
  <c r="H92" i="6"/>
  <c r="H159" i="6"/>
  <c r="H231" i="6"/>
  <c r="H298" i="6"/>
  <c r="H355" i="6"/>
  <c r="H422" i="6"/>
  <c r="H477" i="6"/>
  <c r="H536" i="6"/>
  <c r="H598" i="6"/>
  <c r="H658" i="6"/>
  <c r="H723" i="6"/>
  <c r="H776" i="6"/>
  <c r="H844" i="6"/>
  <c r="H898" i="6"/>
  <c r="H957" i="6"/>
  <c r="H1011" i="6"/>
  <c r="H1048" i="6"/>
  <c r="H1085" i="6"/>
  <c r="H1119" i="6"/>
  <c r="H1156" i="6"/>
  <c r="H1191" i="6"/>
  <c r="H1223" i="6"/>
  <c r="H1260" i="6"/>
  <c r="H1295" i="6"/>
  <c r="H1332" i="6"/>
  <c r="H1366" i="6"/>
  <c r="H1397" i="6"/>
  <c r="H1426" i="6"/>
  <c r="H1448" i="6"/>
  <c r="H1468" i="6"/>
  <c r="H1487" i="6"/>
  <c r="H1507" i="6"/>
  <c r="H1527" i="6"/>
  <c r="H1546" i="6"/>
  <c r="H1566" i="6"/>
  <c r="H1586" i="6"/>
  <c r="H1605" i="6"/>
  <c r="H1625" i="6"/>
  <c r="H1644" i="6"/>
  <c r="H1664" i="6"/>
  <c r="H1684" i="6"/>
  <c r="H1703" i="6"/>
  <c r="H1723" i="6"/>
  <c r="H1743" i="6"/>
  <c r="H1762" i="6"/>
  <c r="H1781" i="6"/>
  <c r="H22" i="6"/>
  <c r="H93" i="6"/>
  <c r="H165" i="6"/>
  <c r="H236" i="6"/>
  <c r="H302" i="6"/>
  <c r="H358" i="6"/>
  <c r="H423" i="6"/>
  <c r="H483" i="6"/>
  <c r="H547" i="6"/>
  <c r="H602" i="6"/>
  <c r="H668" i="6"/>
  <c r="H724" i="6"/>
  <c r="H783" i="6"/>
  <c r="H847" i="6"/>
  <c r="H907" i="6"/>
  <c r="H969" i="6"/>
  <c r="H1012" i="6"/>
  <c r="H1054" i="6"/>
  <c r="H1086" i="6"/>
  <c r="H1120" i="6"/>
  <c r="H1157" i="6"/>
  <c r="H1192" i="6"/>
  <c r="H1229" i="6"/>
  <c r="H1263" i="6"/>
  <c r="H1300" i="6"/>
  <c r="H1335" i="6"/>
  <c r="H1367" i="6"/>
  <c r="H1403" i="6"/>
  <c r="H1428" i="6"/>
  <c r="H1451" i="6"/>
  <c r="H1470" i="6"/>
  <c r="H1491" i="6"/>
  <c r="H1509" i="6"/>
  <c r="H1530" i="6"/>
  <c r="H1548" i="6"/>
  <c r="H1569" i="6"/>
  <c r="H1588" i="6"/>
  <c r="H1608" i="6"/>
  <c r="H1627" i="6"/>
  <c r="H1648" i="6"/>
  <c r="H1666" i="6"/>
  <c r="H1687" i="6"/>
  <c r="H1706" i="6"/>
  <c r="H1726" i="6"/>
  <c r="H1745" i="6"/>
  <c r="H1766" i="6"/>
  <c r="H1783" i="6"/>
  <c r="H32" i="6"/>
  <c r="H104" i="6"/>
  <c r="H175" i="6"/>
  <c r="H242" i="6"/>
  <c r="H303" i="6"/>
  <c r="H370" i="6"/>
  <c r="H424" i="6"/>
  <c r="H488" i="6"/>
  <c r="H548" i="6"/>
  <c r="H607" i="6"/>
  <c r="H669" i="6"/>
  <c r="H729" i="6"/>
  <c r="H794" i="6"/>
  <c r="H848" i="6"/>
  <c r="H915" i="6"/>
  <c r="H970" i="6"/>
  <c r="H1018" i="6"/>
  <c r="H1055" i="6"/>
  <c r="H1090" i="6"/>
  <c r="H1127" i="6"/>
  <c r="H1158" i="6"/>
  <c r="H1198" i="6"/>
  <c r="H1230" i="6"/>
  <c r="H1264" i="6"/>
  <c r="H1301" i="6"/>
  <c r="H1336" i="6"/>
  <c r="H1373" i="6"/>
  <c r="H1404" i="6"/>
  <c r="H1432" i="6"/>
  <c r="H1452" i="6"/>
  <c r="H1472" i="6"/>
  <c r="H1492" i="6"/>
  <c r="H1511" i="6"/>
  <c r="H1531" i="6"/>
  <c r="H1551" i="6"/>
  <c r="H1570" i="6"/>
  <c r="H1590" i="6"/>
  <c r="H1610" i="6"/>
  <c r="H1629" i="6"/>
  <c r="H1649" i="6"/>
  <c r="H1668" i="6"/>
  <c r="H1688" i="6"/>
  <c r="H1708" i="6"/>
  <c r="H1727" i="6"/>
  <c r="H1747" i="6"/>
  <c r="H1767" i="6"/>
  <c r="H1785" i="6"/>
  <c r="H33" i="6"/>
  <c r="H105" i="6"/>
  <c r="H176" i="6"/>
  <c r="H248" i="6"/>
  <c r="H314" i="6"/>
  <c r="H374" i="6"/>
  <c r="H427" i="6"/>
  <c r="H495" i="6"/>
  <c r="H549" i="6"/>
  <c r="H619" i="6"/>
  <c r="H670" i="6"/>
  <c r="H735" i="6"/>
  <c r="H795" i="6"/>
  <c r="H854" i="6"/>
  <c r="H916" i="6"/>
  <c r="H976" i="6"/>
  <c r="H1024" i="6"/>
  <c r="H1056" i="6"/>
  <c r="H1095" i="6"/>
  <c r="H1128" i="6"/>
  <c r="H1162" i="6"/>
  <c r="H1199" i="6"/>
  <c r="H1234" i="6"/>
  <c r="H1271" i="6"/>
  <c r="H1302" i="6"/>
  <c r="H1342" i="6"/>
  <c r="H1374" i="6"/>
  <c r="H1407" i="6"/>
  <c r="H1433" i="6"/>
  <c r="H1454" i="6"/>
  <c r="H1473" i="6"/>
  <c r="H1493" i="6"/>
  <c r="H1512" i="6"/>
  <c r="H1532" i="6"/>
  <c r="H1552" i="6"/>
  <c r="H1571" i="6"/>
  <c r="H1591" i="6"/>
  <c r="H1611" i="6"/>
  <c r="H1630" i="6"/>
  <c r="H1650" i="6"/>
  <c r="H1670" i="6"/>
  <c r="H1689" i="6"/>
  <c r="H1709" i="6"/>
  <c r="H1728" i="6"/>
  <c r="H1748" i="6"/>
  <c r="H1768" i="6"/>
  <c r="H1786" i="6"/>
  <c r="H1378" i="6"/>
  <c r="H1408" i="6"/>
  <c r="H1434" i="6"/>
  <c r="H1455" i="6"/>
  <c r="H1474" i="6"/>
  <c r="H1494" i="6"/>
  <c r="H1514" i="6"/>
  <c r="H1533" i="6"/>
  <c r="H1553" i="6"/>
  <c r="H1572" i="6"/>
  <c r="H1592" i="6"/>
  <c r="H1612" i="6"/>
  <c r="H1631" i="6"/>
  <c r="H1651" i="6"/>
  <c r="H1671" i="6"/>
  <c r="H1690" i="6"/>
  <c r="H1710" i="6"/>
  <c r="H1730" i="6"/>
  <c r="H1749" i="6"/>
  <c r="H1769" i="6"/>
  <c r="H1787" i="6"/>
  <c r="H43" i="6"/>
  <c r="H112" i="6"/>
  <c r="H178" i="6"/>
  <c r="H250" i="6"/>
  <c r="H320" i="6"/>
  <c r="H382" i="6"/>
  <c r="H442" i="6"/>
  <c r="H499" i="6"/>
  <c r="H34" i="6"/>
  <c r="H106" i="6"/>
  <c r="H177" i="6"/>
  <c r="H249" i="6"/>
  <c r="H319" i="6"/>
  <c r="H375" i="6"/>
  <c r="H441" i="6"/>
  <c r="H496" i="6"/>
  <c r="H560" i="6"/>
  <c r="H620" i="6"/>
  <c r="H674" i="6"/>
  <c r="H741" i="6"/>
  <c r="H796" i="6"/>
  <c r="H866" i="6"/>
  <c r="H919" i="6"/>
  <c r="H981" i="6"/>
  <c r="H1025" i="6"/>
  <c r="H1059" i="6"/>
  <c r="H1096" i="6"/>
  <c r="H1131" i="6"/>
  <c r="H1168" i="6"/>
  <c r="H1200" i="6"/>
  <c r="H1239" i="6"/>
  <c r="H1272" i="6"/>
  <c r="H1306" i="6"/>
  <c r="H1343" i="6"/>
  <c r="H55" i="6"/>
  <c r="H127" i="6"/>
  <c r="H196" i="6"/>
  <c r="H268" i="6"/>
  <c r="H321" i="6"/>
  <c r="H386" i="6"/>
  <c r="H446" i="6"/>
  <c r="H508" i="6"/>
  <c r="H567" i="6"/>
  <c r="H631" i="6"/>
  <c r="H691" i="6"/>
  <c r="H746" i="6"/>
  <c r="H812" i="6"/>
  <c r="H868" i="6"/>
  <c r="H934" i="6"/>
  <c r="H988" i="6"/>
  <c r="H1032" i="6"/>
  <c r="H1067" i="6"/>
  <c r="H1098" i="6"/>
  <c r="H1138" i="6"/>
  <c r="H1170" i="6"/>
  <c r="H1210" i="6"/>
  <c r="H1241" i="6"/>
  <c r="H1278" i="6"/>
  <c r="H1313" i="6"/>
  <c r="H1347" i="6"/>
  <c r="H1384" i="6"/>
  <c r="H1414" i="6"/>
  <c r="H1439" i="6"/>
  <c r="H1459" i="6"/>
  <c r="H1479" i="6"/>
  <c r="H1498" i="6"/>
  <c r="H1518" i="6"/>
  <c r="H1538" i="6"/>
  <c r="H1557" i="6"/>
  <c r="H1577" i="6"/>
  <c r="H1596" i="6"/>
  <c r="H56" i="6"/>
  <c r="H128" i="6"/>
  <c r="H199" i="6"/>
  <c r="H271" i="6"/>
  <c r="H333" i="6"/>
  <c r="H392" i="6"/>
  <c r="H454" i="6"/>
  <c r="H514" i="6"/>
  <c r="H568" i="6"/>
  <c r="H632" i="6"/>
  <c r="H692" i="6"/>
  <c r="H754" i="6"/>
  <c r="H813" i="6"/>
  <c r="H878" i="6"/>
  <c r="H938" i="6"/>
  <c r="H991" i="6"/>
  <c r="H1035" i="6"/>
  <c r="H1068" i="6"/>
  <c r="H1107" i="6"/>
  <c r="H1139" i="6"/>
  <c r="H1176" i="6"/>
  <c r="H1211" i="6"/>
  <c r="H1242" i="6"/>
  <c r="H1282" i="6"/>
  <c r="H1314" i="6"/>
  <c r="H1354" i="6"/>
  <c r="H1385" i="6"/>
  <c r="H1415" i="6"/>
  <c r="H1440" i="6"/>
  <c r="H1460" i="6"/>
  <c r="H1480" i="6"/>
  <c r="H1499" i="6"/>
  <c r="H1519" i="6"/>
  <c r="H1539" i="6"/>
  <c r="H1558" i="6"/>
  <c r="H1578" i="6"/>
  <c r="H1598" i="6"/>
  <c r="H1617" i="6"/>
  <c r="H1637" i="6"/>
  <c r="H1656" i="6"/>
  <c r="H1676" i="6"/>
  <c r="H1696" i="6"/>
  <c r="H1715" i="6"/>
  <c r="H1735" i="6"/>
  <c r="H1755" i="6"/>
  <c r="H1774" i="6"/>
  <c r="H67" i="6"/>
  <c r="H136" i="6"/>
  <c r="H208" i="6"/>
  <c r="H279" i="6"/>
  <c r="H339" i="6"/>
  <c r="H393" i="6"/>
  <c r="H458" i="6"/>
  <c r="H518" i="6"/>
  <c r="H580" i="6"/>
  <c r="H639" i="6"/>
  <c r="H703" i="6"/>
  <c r="H763" i="6"/>
  <c r="H814" i="6"/>
  <c r="H879" i="6"/>
  <c r="H939" i="6"/>
  <c r="H998" i="6"/>
  <c r="H1036" i="6"/>
  <c r="H1073" i="6"/>
  <c r="H1108" i="6"/>
  <c r="H1140" i="6"/>
  <c r="H1179" i="6"/>
  <c r="H1212" i="6"/>
  <c r="H1251" i="6"/>
  <c r="H1283" i="6"/>
  <c r="H1758" i="6"/>
  <c r="H1719" i="6"/>
  <c r="H1679" i="6"/>
  <c r="H1640" i="6"/>
  <c r="H1601" i="6"/>
  <c r="H1556" i="6"/>
  <c r="H1505" i="6"/>
  <c r="H1461" i="6"/>
  <c r="H1396" i="6"/>
  <c r="H1323" i="6"/>
  <c r="H1218" i="6"/>
  <c r="H1115" i="6"/>
  <c r="H1005" i="6"/>
  <c r="H832" i="6"/>
  <c r="H651" i="6"/>
  <c r="H463" i="6"/>
  <c r="H211" i="6"/>
  <c r="H1756" i="6"/>
  <c r="H1716" i="6"/>
  <c r="H1677" i="6"/>
  <c r="H1638" i="6"/>
  <c r="H1599" i="6"/>
  <c r="H1545" i="6"/>
  <c r="H1504" i="6"/>
  <c r="H1457" i="6"/>
  <c r="H1395" i="6"/>
  <c r="H1320" i="6"/>
  <c r="H1217" i="6"/>
  <c r="H1109" i="6"/>
  <c r="H1004" i="6"/>
  <c r="H826" i="6"/>
  <c r="H640" i="6"/>
  <c r="H412" i="6"/>
  <c r="H1754" i="6"/>
  <c r="H1714" i="6"/>
  <c r="H1675" i="6"/>
  <c r="H1636" i="6"/>
  <c r="H1595" i="6"/>
  <c r="H1544" i="6"/>
  <c r="H1500" i="6"/>
  <c r="H1447" i="6"/>
  <c r="H1391" i="6"/>
  <c r="H1312" i="6"/>
  <c r="H1203" i="6"/>
  <c r="H1097" i="6"/>
  <c r="H987" i="6"/>
  <c r="H807" i="6"/>
  <c r="H621" i="6"/>
  <c r="H405" i="6"/>
  <c r="H146" i="6"/>
  <c r="H1752" i="6"/>
  <c r="H1713" i="6"/>
  <c r="H1674" i="6"/>
  <c r="H1635" i="6"/>
  <c r="H1584" i="6"/>
  <c r="H1543" i="6"/>
  <c r="H1496" i="6"/>
  <c r="H1446" i="6"/>
  <c r="H1386" i="6"/>
  <c r="H1294" i="6"/>
  <c r="H1188" i="6"/>
  <c r="H1079" i="6"/>
  <c r="H956" i="6"/>
  <c r="H775" i="6"/>
  <c r="H597" i="6"/>
  <c r="H139" i="6"/>
  <c r="H1780" i="6"/>
  <c r="H1742" i="6"/>
  <c r="H1702" i="6"/>
  <c r="H1663" i="6"/>
  <c r="H1624" i="6"/>
  <c r="H1583" i="6"/>
  <c r="H1540" i="6"/>
  <c r="H1486" i="6"/>
  <c r="H1444" i="6"/>
  <c r="H1383" i="6"/>
  <c r="H1290" i="6"/>
  <c r="H1181" i="6"/>
  <c r="H1078" i="6"/>
  <c r="H951" i="6"/>
  <c r="H772" i="6"/>
  <c r="H586" i="6"/>
  <c r="H352" i="6"/>
  <c r="H75" i="6"/>
  <c r="H1779" i="6"/>
  <c r="H1740" i="6"/>
  <c r="H1701" i="6"/>
  <c r="H1662" i="6"/>
  <c r="H1623" i="6"/>
  <c r="H1582" i="6"/>
  <c r="H1535" i="6"/>
  <c r="H1485" i="6"/>
  <c r="H1442" i="6"/>
  <c r="H1362" i="6"/>
  <c r="H1284" i="6"/>
  <c r="H1180" i="6"/>
  <c r="H1074" i="6"/>
  <c r="H950" i="6"/>
  <c r="H764" i="6"/>
  <c r="H585" i="6"/>
  <c r="H351" i="6"/>
  <c r="H74" i="6"/>
  <c r="H404" i="6"/>
  <c r="H1778" i="6"/>
  <c r="H1739" i="6"/>
  <c r="H1700" i="6"/>
  <c r="H1661" i="6"/>
  <c r="H1622" i="6"/>
  <c r="H1579" i="6"/>
  <c r="H1526" i="6"/>
  <c r="H1483" i="6"/>
  <c r="H1438" i="6"/>
  <c r="H1361" i="6"/>
  <c r="H1275" i="6"/>
  <c r="H1169" i="6"/>
  <c r="H1066" i="6"/>
  <c r="H920" i="6"/>
  <c r="H742" i="6"/>
  <c r="H566" i="6"/>
  <c r="H340" i="6"/>
  <c r="H70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tc={E7C60D74-B5B3-4AB7-B1D7-66CBC7EB29EF}</author>
    <author>tc={085006BE-45AC-4FC2-9418-1C70C57C98BD}</author>
    <author>tc={5999980A-59BC-4D14-ABDD-C0AA57A190F7}</author>
  </authors>
  <commentList>
    <comment ref="C6" authorId="0" shapeId="0" xr:uid="{E7C60D74-B5B3-4AB7-B1D7-66CBC7EB29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Filters on May Billing tab
</t>
      </text>
    </comment>
    <comment ref="P7" authorId="1" shapeId="0" xr:uid="{085006BE-45AC-4FC2-9418-1C70C57C98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Combine Column O &amp; P amount columns into 1 summary column (70 total sites)
</t>
      </text>
    </comment>
    <comment ref="H9" authorId="2" shapeId="0" xr:uid="{5999980A-59BC-4D14-ABDD-C0AA57A190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39 on mass cancellation list.  31 new losses in March and Apr ( 6 cancel submitted, 25 not submitted)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tc={CDF55E0A-B41E-4D58-9294-3890A1AAD8BF}</author>
  </authors>
  <commentList>
    <comment ref="V1" authorId="0" shapeId="0" xr:uid="{CDF55E0A-B41E-4D58-9294-3890A1AAD8BF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2024 July</t>
      </text>
    </comment>
  </commentList>
</comments>
</file>

<file path=xl/sharedStrings.xml><?xml version="1.0" encoding="utf-8"?>
<sst xmlns="http://schemas.openxmlformats.org/spreadsheetml/2006/main" count="33270" uniqueCount="8879">
  <si>
    <t xml:space="preserve"> </t>
  </si>
  <si>
    <t>Billing Sites</t>
  </si>
  <si>
    <t>Billing Amount - Gap</t>
  </si>
  <si>
    <t>TruVideo Billed</t>
  </si>
  <si>
    <t>CDK INS</t>
  </si>
  <si>
    <t>CDK BLG</t>
  </si>
  <si>
    <t>TV Billed vs CDK INS</t>
  </si>
  <si>
    <t>TV Billed vs CDK INS+BLG</t>
  </si>
  <si>
    <t>BLG Sites</t>
  </si>
  <si>
    <t xml:space="preserve">Non-INS Sites on mass Cancellation list </t>
  </si>
  <si>
    <t>New Loss Sites since March</t>
  </si>
  <si>
    <t>April Prorated Billing</t>
  </si>
  <si>
    <t>April- Prorated Invoice Sites</t>
  </si>
  <si>
    <t>May Monthly Billing</t>
  </si>
  <si>
    <t>April- Prorated Invoice Amount</t>
  </si>
  <si>
    <t>(H+I)</t>
  </si>
  <si>
    <t>(J+K)</t>
  </si>
  <si>
    <t>(To Cancel in Invoice GAP sites)</t>
  </si>
  <si>
    <t>May- Monthly Invoice Sites</t>
  </si>
  <si>
    <t>May- Monthly Invoice Amount</t>
  </si>
  <si>
    <t>Total Amount</t>
  </si>
  <si>
    <t>CDK INS not billed by TruVideo</t>
  </si>
  <si>
    <t>CMF</t>
  </si>
  <si>
    <t>Customer</t>
  </si>
  <si>
    <t>Contract Number</t>
  </si>
  <si>
    <t>CMF Number</t>
  </si>
  <si>
    <t>CID Number</t>
  </si>
  <si>
    <t>Item</t>
  </si>
  <si>
    <t xml:space="preserve">Base Fee </t>
  </si>
  <si>
    <t>AI Suite Fee</t>
  </si>
  <si>
    <t>on March 10 Cancel list?</t>
  </si>
  <si>
    <t>CDK Asked TV to retain</t>
  </si>
  <si>
    <t>Comments - CDK Status</t>
  </si>
  <si>
    <t>Comments - Status Date</t>
  </si>
  <si>
    <t xml:space="preserve">Comments - Product </t>
  </si>
  <si>
    <t>Comments - Others</t>
  </si>
  <si>
    <t>05088801</t>
  </si>
  <si>
    <t>WINTER CHEVROLET CO. INC.</t>
  </si>
  <si>
    <t>T-5636</t>
  </si>
  <si>
    <t>CDK Reseller - Base Fee</t>
  </si>
  <si>
    <t>05236442</t>
  </si>
  <si>
    <t>Smothers European</t>
  </si>
  <si>
    <t>T-7444</t>
  </si>
  <si>
    <t>08300018</t>
  </si>
  <si>
    <t>GRAINGER HONDA</t>
  </si>
  <si>
    <t>T-13310</t>
  </si>
  <si>
    <t>13093301</t>
  </si>
  <si>
    <t>MIKE FINNIN FORD</t>
  </si>
  <si>
    <t>T-10652</t>
  </si>
  <si>
    <t>25297551</t>
  </si>
  <si>
    <t>COLONIAL TOYOTA - CT</t>
  </si>
  <si>
    <t>T-9268</t>
  </si>
  <si>
    <t>33049702</t>
  </si>
  <si>
    <t>Don Ayres Honda</t>
  </si>
  <si>
    <t>T-11270</t>
  </si>
  <si>
    <t>37216003</t>
  </si>
  <si>
    <t>TC CHEVROLET</t>
  </si>
  <si>
    <t>T-10901</t>
  </si>
  <si>
    <t>43996001</t>
  </si>
  <si>
    <t>PAUL MILLER AUDI</t>
  </si>
  <si>
    <t>T-4201</t>
  </si>
  <si>
    <t>71062428</t>
  </si>
  <si>
    <t>WINTER HONDA</t>
  </si>
  <si>
    <t>T-5710</t>
  </si>
  <si>
    <t>76001666</t>
  </si>
  <si>
    <t>KOEPPEL NISSAN</t>
  </si>
  <si>
    <t>T-4093</t>
  </si>
  <si>
    <t>Yes</t>
  </si>
  <si>
    <t>76018447</t>
  </si>
  <si>
    <t>CAROLINA HYUNDAI OF HIGH POINT</t>
  </si>
  <si>
    <t>T-13384</t>
  </si>
  <si>
    <t>76025293</t>
  </si>
  <si>
    <t>ATLANTIC AUTO EQUIP CORP DBA ATLANTIC TOYOTA</t>
  </si>
  <si>
    <t>T-1024</t>
  </si>
  <si>
    <t>76028715</t>
  </si>
  <si>
    <t>JOHNSON HYUNDAI OF CARY</t>
  </si>
  <si>
    <t>T-4067</t>
  </si>
  <si>
    <t>76043277</t>
  </si>
  <si>
    <t>PAUL MILLER HONDA OF WEST CALDWELL</t>
  </si>
  <si>
    <t>T-4204</t>
  </si>
  <si>
    <t>76051500</t>
  </si>
  <si>
    <t>RED BANK VOLVO</t>
  </si>
  <si>
    <t>T-8026</t>
  </si>
  <si>
    <t>76057672</t>
  </si>
  <si>
    <t>MAZDA OF MILFORD</t>
  </si>
  <si>
    <t>T-4134</t>
  </si>
  <si>
    <t>76097658</t>
  </si>
  <si>
    <t>STATELINE MASERATI ALFA ROMEO</t>
  </si>
  <si>
    <t>T-14496</t>
  </si>
  <si>
    <t>76134865</t>
  </si>
  <si>
    <t>REINEKE NISSAN</t>
  </si>
  <si>
    <t>T-13497</t>
  </si>
  <si>
    <t>76157327</t>
  </si>
  <si>
    <t>MARINA DEL REY TOYOTA SCION</t>
  </si>
  <si>
    <t>T-4118</t>
  </si>
  <si>
    <t>76173064</t>
  </si>
  <si>
    <t>WEST HOUSTON INFINITI</t>
  </si>
  <si>
    <t>T-14518</t>
  </si>
  <si>
    <t>76181139</t>
  </si>
  <si>
    <t>Mazda of Richmond Hill</t>
  </si>
  <si>
    <t>T-14525</t>
  </si>
  <si>
    <t>76184938</t>
  </si>
  <si>
    <t>TAYLOR FORD LINCOLN</t>
  </si>
  <si>
    <t>T-14162</t>
  </si>
  <si>
    <t>76194812</t>
  </si>
  <si>
    <t>PUTNAM SUBARU BURLINGAME</t>
  </si>
  <si>
    <t>T-5627</t>
  </si>
  <si>
    <t>76197109</t>
  </si>
  <si>
    <t>LEXUS OF WESLEY CHAPEL</t>
  </si>
  <si>
    <t>T-5929</t>
  </si>
  <si>
    <t>76201836</t>
  </si>
  <si>
    <t>VOLVO CARS WEST HOUSTON</t>
  </si>
  <si>
    <t>T-14393</t>
  </si>
  <si>
    <t>76202516</t>
  </si>
  <si>
    <t>KEN GANLEY TOYOTA</t>
  </si>
  <si>
    <t>T-6016</t>
  </si>
  <si>
    <t>76204182</t>
  </si>
  <si>
    <t>Saskatoon South Hyundai</t>
  </si>
  <si>
    <t>T-9598</t>
  </si>
  <si>
    <t>76205609</t>
  </si>
  <si>
    <t>FRIENDSHIP FORD LENOIR</t>
  </si>
  <si>
    <t>T-3955</t>
  </si>
  <si>
    <t>76215310</t>
  </si>
  <si>
    <t>DON AYRES ACURA</t>
  </si>
  <si>
    <t>T-10911</t>
  </si>
  <si>
    <t>76215380</t>
  </si>
  <si>
    <t>Purdy Mazda</t>
  </si>
  <si>
    <t>T-3912</t>
  </si>
  <si>
    <t>76217036</t>
  </si>
  <si>
    <t>CAROLINA KIA OF HIGH POINT</t>
  </si>
  <si>
    <t>T-11253</t>
  </si>
  <si>
    <t>76217358</t>
  </si>
  <si>
    <t>ROCKY MOUNT TOYOTA</t>
  </si>
  <si>
    <t>T-4254</t>
  </si>
  <si>
    <t>76220331</t>
  </si>
  <si>
    <t>SUBARU SOUTH TAMPA</t>
  </si>
  <si>
    <t>T-8125</t>
  </si>
  <si>
    <t>76220332</t>
  </si>
  <si>
    <t>SUBARU NORTH ORLANDO</t>
  </si>
  <si>
    <t>T-8094</t>
  </si>
  <si>
    <t>76225712</t>
  </si>
  <si>
    <t>HGREG NISSAN BUENA PARK</t>
  </si>
  <si>
    <t>T-3995</t>
  </si>
  <si>
    <t>76227121</t>
  </si>
  <si>
    <t>MARTHALER HONDA TOYOTA OF ASHLAND</t>
  </si>
  <si>
    <t>T-4122</t>
  </si>
  <si>
    <t>76227134</t>
  </si>
  <si>
    <t>INFINITI OF NORTHERN KENTUCKY</t>
  </si>
  <si>
    <t>T-9119</t>
  </si>
  <si>
    <t>76227679</t>
  </si>
  <si>
    <t>Express Chevrolet</t>
  </si>
  <si>
    <t>T-9807</t>
  </si>
  <si>
    <t>76227757</t>
  </si>
  <si>
    <t>Spitzer Ford Dubois</t>
  </si>
  <si>
    <t>T-5725</t>
  </si>
  <si>
    <t>76228229</t>
  </si>
  <si>
    <t>INFINITI of Montgomery</t>
  </si>
  <si>
    <t>T-7174</t>
  </si>
  <si>
    <t>76228237</t>
  </si>
  <si>
    <t>PINE BELT MAZDA - NJ</t>
  </si>
  <si>
    <t>T-4219</t>
  </si>
  <si>
    <t>76228316</t>
  </si>
  <si>
    <t>Genesis West Houston</t>
  </si>
  <si>
    <t>T-7224</t>
  </si>
  <si>
    <t>76228629</t>
  </si>
  <si>
    <t>MIDLANDS TOYOTA</t>
  </si>
  <si>
    <t>T-4159</t>
  </si>
  <si>
    <t>76228727</t>
  </si>
  <si>
    <t>HAMBLOCK FORD LINCOLN</t>
  </si>
  <si>
    <t>T-14818</t>
  </si>
  <si>
    <t>76229253</t>
  </si>
  <si>
    <t>BRAVO NISSAN OF VICTORIA</t>
  </si>
  <si>
    <t>T-5712</t>
  </si>
  <si>
    <t>76229684</t>
  </si>
  <si>
    <t>UNITY CHEVROLET CADILLAC</t>
  </si>
  <si>
    <t>T-6185</t>
  </si>
  <si>
    <t>76229942</t>
  </si>
  <si>
    <t>KOCH ROUTE 2 TOYOTA</t>
  </si>
  <si>
    <t>T-4092</t>
  </si>
  <si>
    <t>76230156</t>
  </si>
  <si>
    <t>FIRELANDS CHEVROLET BUICK</t>
  </si>
  <si>
    <t>T-3933</t>
  </si>
  <si>
    <t>76230427</t>
  </si>
  <si>
    <t>PUENTE HILLS TOYOTA</t>
  </si>
  <si>
    <t>T-6028</t>
  </si>
  <si>
    <t>76231689</t>
  </si>
  <si>
    <t>LONG-LEWIS FORD LINCOLN</t>
  </si>
  <si>
    <t>T-14170</t>
  </si>
  <si>
    <t>76231928</t>
  </si>
  <si>
    <t>Spitzer Ford St. Mary's</t>
  </si>
  <si>
    <t>T-5727</t>
  </si>
  <si>
    <t>76232064</t>
  </si>
  <si>
    <t>Tucson Subaru</t>
  </si>
  <si>
    <t>T-4488</t>
  </si>
  <si>
    <t>76232553</t>
  </si>
  <si>
    <t>NISSAN OF THE MAIN LINE</t>
  </si>
  <si>
    <t>T-7916</t>
  </si>
  <si>
    <t>76232596</t>
  </si>
  <si>
    <t>MENKE BUICK GMC SCHOFIELD</t>
  </si>
  <si>
    <t>T-4146</t>
  </si>
  <si>
    <t>76232815</t>
  </si>
  <si>
    <t>Downtown Ford Fleet</t>
  </si>
  <si>
    <t>T-3914</t>
  </si>
  <si>
    <t>76233048</t>
  </si>
  <si>
    <t>AUDI KIRKWOOD</t>
  </si>
  <si>
    <t>T-1025</t>
  </si>
  <si>
    <t>76233242</t>
  </si>
  <si>
    <t>Tonkin Hillsboro Chevrolet</t>
  </si>
  <si>
    <t>T-4332</t>
  </si>
  <si>
    <t>76234206</t>
  </si>
  <si>
    <t>EDWARDS CHRYSLER DODGE JEEP RAM NE</t>
  </si>
  <si>
    <t>T-9008</t>
  </si>
  <si>
    <t>76234275</t>
  </si>
  <si>
    <t>PLATTNER'S OCALA VOLVO SUBARU</t>
  </si>
  <si>
    <t>T-4222</t>
  </si>
  <si>
    <t>76235514</t>
  </si>
  <si>
    <t>Genesis of North Charleston</t>
  </si>
  <si>
    <t>T-11265</t>
  </si>
  <si>
    <t>76236622</t>
  </si>
  <si>
    <t>LAND ROVER ALEXANDRIA</t>
  </si>
  <si>
    <t>T-6019</t>
  </si>
  <si>
    <t>76237142</t>
  </si>
  <si>
    <t>PRIORITY TOYOTA CHESAPEAKE</t>
  </si>
  <si>
    <t>T-5923</t>
  </si>
  <si>
    <t>76237167</t>
  </si>
  <si>
    <t>PRIORITY TOYOTA SPRINGFIELD</t>
  </si>
  <si>
    <t>T-6487</t>
  </si>
  <si>
    <t>76237170</t>
  </si>
  <si>
    <t>PRIORITY HONDA HAMPTON</t>
  </si>
  <si>
    <t>T-6161</t>
  </si>
  <si>
    <t>76238669</t>
  </si>
  <si>
    <t>Wallace Volkswagen of Kingsport</t>
  </si>
  <si>
    <t>T-6769</t>
  </si>
  <si>
    <t>76238760</t>
  </si>
  <si>
    <t>FRED ANDERSON NISSAN OF GREER</t>
  </si>
  <si>
    <t>T-5893</t>
  </si>
  <si>
    <t>76240142</t>
  </si>
  <si>
    <t>NORTHSIDE FORD TRUCK</t>
  </si>
  <si>
    <t>T-14150</t>
  </si>
  <si>
    <t>76240429</t>
  </si>
  <si>
    <t>FRED ANDERSON CHEVROLET</t>
  </si>
  <si>
    <t>T-5925</t>
  </si>
  <si>
    <t>76241005</t>
  </si>
  <si>
    <t>SUBARU OF MIDLAND</t>
  </si>
  <si>
    <t>T-6783</t>
  </si>
  <si>
    <t>76241171</t>
  </si>
  <si>
    <t>MERCEDES BENZ OF RICHMOND</t>
  </si>
  <si>
    <t>T-13505</t>
  </si>
  <si>
    <t>76241172</t>
  </si>
  <si>
    <t>MERCEDES BENZ OF MIDLOTHIAN</t>
  </si>
  <si>
    <t>T-8289</t>
  </si>
  <si>
    <t>76241447</t>
  </si>
  <si>
    <t>LAND ROVER SHREVEPORT.1</t>
  </si>
  <si>
    <t>T-6453</t>
  </si>
  <si>
    <t>76241522</t>
  </si>
  <si>
    <t>SMAIL FORD</t>
  </si>
  <si>
    <t>T-6458</t>
  </si>
  <si>
    <t>76243293</t>
  </si>
  <si>
    <t>DAYTONAUTOS LLC DBA MAZDA OF DAYTON</t>
  </si>
  <si>
    <t>T-8002</t>
  </si>
  <si>
    <t>76244521</t>
  </si>
  <si>
    <t>Go Kia West</t>
  </si>
  <si>
    <t>T-9434</t>
  </si>
  <si>
    <t>76244781</t>
  </si>
  <si>
    <t>FOX VALLEY VOLKSWAGEN OF CRYSTAL LAKE</t>
  </si>
  <si>
    <t>T-7456</t>
  </si>
  <si>
    <t>76245003</t>
  </si>
  <si>
    <t>GRUBBS NISSAN</t>
  </si>
  <si>
    <t>T-8091</t>
  </si>
  <si>
    <t>76245016</t>
  </si>
  <si>
    <t>FOLSOM LAKE CHRYSLER DODGE JEEP RAM</t>
  </si>
  <si>
    <t>T-7881</t>
  </si>
  <si>
    <t>76245040</t>
  </si>
  <si>
    <t>CHIEF TWO LLC DBA CROWN DODGE AND CHRYSLER</t>
  </si>
  <si>
    <t>T-9614</t>
  </si>
  <si>
    <t>76246888</t>
  </si>
  <si>
    <t>Pilson CDJR</t>
  </si>
  <si>
    <t>T-9433</t>
  </si>
  <si>
    <t>76250378</t>
  </si>
  <si>
    <t>GALEANA CDJR MT. PLEASANT</t>
  </si>
  <si>
    <t>T-8809</t>
  </si>
  <si>
    <t>76252046</t>
  </si>
  <si>
    <t>ALFA ROMEO OF HAZLET</t>
  </si>
  <si>
    <t>T-9266</t>
  </si>
  <si>
    <t>76253766</t>
  </si>
  <si>
    <t>MVP MITSUBISHI</t>
  </si>
  <si>
    <t>T-10869</t>
  </si>
  <si>
    <t>76253767</t>
  </si>
  <si>
    <t>MVP KIA</t>
  </si>
  <si>
    <t>T-10868</t>
  </si>
  <si>
    <t>76256562</t>
  </si>
  <si>
    <t>McGovern Ford of Beverly</t>
  </si>
  <si>
    <t>T-13842</t>
  </si>
  <si>
    <t>76257159</t>
  </si>
  <si>
    <t>KIA OF FORT MYERS</t>
  </si>
  <si>
    <t>T-14803</t>
  </si>
  <si>
    <t>76258093</t>
  </si>
  <si>
    <t>EUROBAHN MOTORSPORTS</t>
  </si>
  <si>
    <t>T-14491</t>
  </si>
  <si>
    <t>Subtotal Amount</t>
  </si>
  <si>
    <t>total Amount</t>
  </si>
  <si>
    <t>Commentss</t>
  </si>
  <si>
    <t>Actions</t>
  </si>
  <si>
    <t>CDK sent Cancellation date</t>
  </si>
  <si>
    <t>Additional Comments</t>
  </si>
  <si>
    <t xml:space="preserve">new CMF </t>
  </si>
  <si>
    <t>No</t>
  </si>
  <si>
    <t>CDK Loss on 3/31/2026</t>
  </si>
  <si>
    <t>To Cancel</t>
  </si>
  <si>
    <t>CDK loss on 4/30/2026</t>
  </si>
  <si>
    <t>Converted to CMF76234346 in BLG</t>
  </si>
  <si>
    <t>Retained</t>
  </si>
  <si>
    <t>no SV contract for this site found</t>
  </si>
  <si>
    <t>CDK Loss on Feb 28, 2026</t>
  </si>
  <si>
    <t>Buysell to retain - new CMF76257313- Notified TV</t>
  </si>
  <si>
    <t xml:space="preserve">CDK Loss on March 15, 2026, </t>
  </si>
  <si>
    <t>Buysell to retain - new CMF 76244599- Notified TV</t>
  </si>
  <si>
    <t>Buysell to retain - new CMF 76258384- Notified TV</t>
  </si>
  <si>
    <t>Buysell to retain - new CMF 76257430 - Notified TV</t>
  </si>
  <si>
    <t>ANS  05/01/2023  Suite  CDKS ANS, on TV active usage list, CDK to Review</t>
  </si>
  <si>
    <t>LSS  07/01/2024  Standalone  Everything ANS or LSS</t>
  </si>
  <si>
    <t>CDK asked to retain</t>
  </si>
  <si>
    <t>CDK Loss on Feb 28, 2026,</t>
  </si>
  <si>
    <t>CDK Loss on March 15, 2026</t>
  </si>
  <si>
    <t>Buysell to retain - new CMF 76244595 - Notified TV</t>
  </si>
  <si>
    <t>Buysell to retain - new CMF 76257313 - notified TV</t>
  </si>
  <si>
    <t>LSS  10/01/2024  Suite  Price/Value Proposition</t>
  </si>
  <si>
    <t>LSS  10/01/2025  Suite  Ownership Change /  FOS ANS</t>
  </si>
  <si>
    <t>LSS  12/25/2026  Suite  CDK CONVERSION - SYS GENERATED</t>
  </si>
  <si>
    <t>To Retain</t>
  </si>
  <si>
    <t xml:space="preserve">Buy/sell new CMF </t>
  </si>
  <si>
    <t>LSS  12/01/2024  Standalone  CDK CONVERSION</t>
  </si>
  <si>
    <t>No CDK client billing</t>
  </si>
  <si>
    <t>0  01/00/1900  0  SV NOT ON CONTRACT</t>
  </si>
  <si>
    <t>LSS  07/01/2024  Standalone  Price/Value Proposition</t>
  </si>
  <si>
    <t>LSS  05/01/2024  Suite  CDK CONVERSION - SYS GENERATED</t>
  </si>
  <si>
    <t>Shows CDK client billing under</t>
  </si>
  <si>
    <t xml:space="preserve">
76245067</t>
  </si>
  <si>
    <t xml:space="preserve">LSS  03/25/2026  Suite  CDK CONVERSION </t>
  </si>
  <si>
    <t xml:space="preserve">No CDK client Package billing </t>
  </si>
  <si>
    <t>LSS  05/01/2025  Suite  CDK CONVERSION - SYS GENERATED</t>
  </si>
  <si>
    <t>Ownership change new cmf</t>
  </si>
  <si>
    <t xml:space="preserve">
76254533</t>
  </si>
  <si>
    <t>LSS  08/01/2025  Standalone  OWNERSHIP CHANGE</t>
  </si>
  <si>
    <t>LSS  02/01/2024  Suite  Price/Value Proposition</t>
  </si>
  <si>
    <t>CDK Loss on March 26, 2026</t>
  </si>
  <si>
    <t>LSS  04/01/2025  Suite  CLEANUP</t>
  </si>
  <si>
    <t xml:space="preserve">LSS  09/01/2023  Standalone  CDK CONVERSION </t>
  </si>
  <si>
    <t>LSS  04/01/2024  Suite  CDK CONVERSION</t>
  </si>
  <si>
    <t>ANS  07/01/2023  Suite  CDKS LSS</t>
  </si>
  <si>
    <t xml:space="preserve">LSS  07/01/2025  Suite  cdk conversion </t>
  </si>
  <si>
    <t>LSS  12/01/2023  Standalone  Low or No Utilization</t>
  </si>
  <si>
    <t>ANS  03/01/2024  Suite  suite ANS</t>
  </si>
  <si>
    <t>LSS  02/01/2024  Standalone  Low or No Utilization</t>
  </si>
  <si>
    <t>LSS  06/01/2024  Suite  Low or No Utilization</t>
  </si>
  <si>
    <t>LSS  05/01/2025  Suite  Dealership Operation Changes</t>
  </si>
  <si>
    <t xml:space="preserve">LSS  04/01/2025  Suite  Cleanup </t>
  </si>
  <si>
    <t>LSS  08/01/2024  Suite  CDK CONVERSION - SYS GENERATED</t>
  </si>
  <si>
    <t>To retain</t>
  </si>
  <si>
    <t>billing under new CMF</t>
  </si>
  <si>
    <t>ANS  08/01/2023  Standalone  ENTIRE ANS</t>
  </si>
  <si>
    <t>LSS  08/01/2025  Suite  Price/Value Proposition</t>
  </si>
  <si>
    <t>LSS  11/01/2025  Standalone  Price/Value Proposition</t>
  </si>
  <si>
    <t xml:space="preserve">LSS  03/01/2025  Suite  CDK CONVERSION  </t>
  </si>
  <si>
    <t xml:space="preserve">
76241446</t>
  </si>
  <si>
    <t>LSS  01/01/2026  Standalone  CDK CONVERSION - SYS GENERATED</t>
  </si>
  <si>
    <t xml:space="preserve">
71057123</t>
  </si>
  <si>
    <t>ANS  08/05/2024  Suite  0</t>
  </si>
  <si>
    <t>LSS  04/03/2024  Standalone  Price/Value Proposition</t>
  </si>
  <si>
    <t>LSS  07/01/2025  Suite  CDK conversion</t>
  </si>
  <si>
    <t>ANS  02/01/2024  Suite  0</t>
  </si>
  <si>
    <t xml:space="preserve">LSS  03/03/2025  Suite  CDK conversion </t>
  </si>
  <si>
    <t xml:space="preserve">LSS  02/24/2025  Suite  REASON UNKOWN </t>
  </si>
  <si>
    <t>ANS  02/25/2025  Suite  DMS ANS</t>
  </si>
  <si>
    <t>ANS  02/01/2025  Suite  DMS ANS</t>
  </si>
  <si>
    <t>CDK Loss on Jan 23, 2026</t>
  </si>
  <si>
    <t>Local Amount</t>
  </si>
  <si>
    <t>AI fee</t>
  </si>
  <si>
    <t>01012201</t>
  </si>
  <si>
    <t>Lynn Layton Chevrolet</t>
  </si>
  <si>
    <t>T-16228</t>
  </si>
  <si>
    <t>01012202</t>
  </si>
  <si>
    <t>LYNN LAYTON CADILLAC NISSAN</t>
  </si>
  <si>
    <t>T-16227</t>
  </si>
  <si>
    <t>01013501</t>
  </si>
  <si>
    <t>AL PACKER FORD INC</t>
  </si>
  <si>
    <t>T-15480</t>
  </si>
  <si>
    <t>01013502</t>
  </si>
  <si>
    <t>AL PACKER FORD ROYAL PALM BEACH</t>
  </si>
  <si>
    <t>T-15479</t>
  </si>
  <si>
    <t>01029501</t>
  </si>
  <si>
    <t>HAMPTON CHEVROLET - VA</t>
  </si>
  <si>
    <t>T-15096</t>
  </si>
  <si>
    <t>01325739</t>
  </si>
  <si>
    <t>SOUTHTOWNE MOTORS OF NEWNAN</t>
  </si>
  <si>
    <t>T-13815</t>
  </si>
  <si>
    <t>01326145</t>
  </si>
  <si>
    <t>Honda de San Juan</t>
  </si>
  <si>
    <t>T-16178</t>
  </si>
  <si>
    <t>08320081</t>
  </si>
  <si>
    <t>BAHAMAS BUS &amp; TRUCK CO</t>
  </si>
  <si>
    <t>T-10870</t>
  </si>
  <si>
    <t>09025902</t>
  </si>
  <si>
    <t>BRANTFORD NISSAN</t>
  </si>
  <si>
    <t>T-16213</t>
  </si>
  <si>
    <t>13498058</t>
  </si>
  <si>
    <t>PAT MILLIKEN FORD</t>
  </si>
  <si>
    <t>T-16176</t>
  </si>
  <si>
    <t>17237901</t>
  </si>
  <si>
    <t>WESTSIDE CHEVROLET INC.</t>
  </si>
  <si>
    <t>T-4374</t>
  </si>
  <si>
    <t>25111201</t>
  </si>
  <si>
    <t>RYE SUBARU</t>
  </si>
  <si>
    <t>T-15509</t>
  </si>
  <si>
    <t>25149302</t>
  </si>
  <si>
    <t>HONDA OF WATERTOWN</t>
  </si>
  <si>
    <t>T-9440</t>
  </si>
  <si>
    <t>25212501</t>
  </si>
  <si>
    <t>WAYNE FORD</t>
  </si>
  <si>
    <t>T-16218</t>
  </si>
  <si>
    <t>25298998</t>
  </si>
  <si>
    <t>HUDSON CADILLAC BUICK GMC</t>
  </si>
  <si>
    <t>T-15527</t>
  </si>
  <si>
    <t>25300610</t>
  </si>
  <si>
    <t>SIMMONS ROCKWELL CHEVROLET GMC</t>
  </si>
  <si>
    <t>T-16208</t>
  </si>
  <si>
    <t>44780001</t>
  </si>
  <si>
    <t>BEECHMONT FORD</t>
  </si>
  <si>
    <t>T-16212</t>
  </si>
  <si>
    <t>45602701</t>
  </si>
  <si>
    <t>CMP CHEVY CADILLAC BUICK GMC</t>
  </si>
  <si>
    <t>T-16224</t>
  </si>
  <si>
    <t>71034933</t>
  </si>
  <si>
    <t>AL PACKER FORD WHITE MARSH</t>
  </si>
  <si>
    <t>T-15475</t>
  </si>
  <si>
    <t>71046210</t>
  </si>
  <si>
    <t>PETERBILT OF UTAH, INC.</t>
  </si>
  <si>
    <t>T-6822</t>
  </si>
  <si>
    <t>N/A</t>
  </si>
  <si>
    <t>71047545</t>
  </si>
  <si>
    <t>FIRST TEAM HONDA</t>
  </si>
  <si>
    <t>T-15095</t>
  </si>
  <si>
    <t>71052261</t>
  </si>
  <si>
    <t>JAY WOLFE ACURA</t>
  </si>
  <si>
    <t>T-15484</t>
  </si>
  <si>
    <t>71059338</t>
  </si>
  <si>
    <t>FIRST TEAM TOYOTA SCION</t>
  </si>
  <si>
    <t>T-15094</t>
  </si>
  <si>
    <t>71061453</t>
  </si>
  <si>
    <t>BURLINGTON KIA</t>
  </si>
  <si>
    <t>T-16233</t>
  </si>
  <si>
    <t>71064116</t>
  </si>
  <si>
    <t>MERCEDES BENZ OF SOUTH ORLANDO</t>
  </si>
  <si>
    <t>T-14827</t>
  </si>
  <si>
    <t>71064158</t>
  </si>
  <si>
    <t>CASTLE CHEVROLET NORTH</t>
  </si>
  <si>
    <t>T-13597</t>
  </si>
  <si>
    <t>76003334</t>
  </si>
  <si>
    <t>FRIENDLY FORD</t>
  </si>
  <si>
    <t>T-14786</t>
  </si>
  <si>
    <t>76031206</t>
  </si>
  <si>
    <t>MARSHALL FORD - TX</t>
  </si>
  <si>
    <t>T-15478</t>
  </si>
  <si>
    <t>76032748</t>
  </si>
  <si>
    <t>KERRY MAZDA</t>
  </si>
  <si>
    <t>T-16222</t>
  </si>
  <si>
    <t>76036137</t>
  </si>
  <si>
    <t>SHAW GMC CHEVROLET BUICK</t>
  </si>
  <si>
    <t>T-16221</t>
  </si>
  <si>
    <t>76036160</t>
  </si>
  <si>
    <t>GREENWOOD CHEVY OF AUSTINTOWN</t>
  </si>
  <si>
    <t>T-16169</t>
  </si>
  <si>
    <t>76037591</t>
  </si>
  <si>
    <t>LB SMITH FORD LINCOLN</t>
  </si>
  <si>
    <t>T-16203</t>
  </si>
  <si>
    <t>76038422</t>
  </si>
  <si>
    <t>ROUTE 60 HYUNDAI</t>
  </si>
  <si>
    <t>T-16167</t>
  </si>
  <si>
    <t>76041535</t>
  </si>
  <si>
    <t>JEROME PETERBILT, INC.</t>
  </si>
  <si>
    <t>T-5708</t>
  </si>
  <si>
    <t>76043449</t>
  </si>
  <si>
    <t>FELDMAN CHEVROLET OF NEW HUDSON</t>
  </si>
  <si>
    <t>T-15506</t>
  </si>
  <si>
    <t>76043451</t>
  </si>
  <si>
    <t>FELDMAN CHEVROLET OF HIGHLAND</t>
  </si>
  <si>
    <t>T-15505</t>
  </si>
  <si>
    <t>76043453</t>
  </si>
  <si>
    <t>FELDMAN HYUNDAI OF NEW HUDSON</t>
  </si>
  <si>
    <t>T-15085</t>
  </si>
  <si>
    <t>76043455</t>
  </si>
  <si>
    <t>FELDMAN CHEVROLET OF NOVI</t>
  </si>
  <si>
    <t>T-15504</t>
  </si>
  <si>
    <t>76043468</t>
  </si>
  <si>
    <t>MIKE TOLER CHRYSLER DODGE JEEP</t>
  </si>
  <si>
    <t>T-16172</t>
  </si>
  <si>
    <t>76044062</t>
  </si>
  <si>
    <t>TOYOTA SCION OF WEST COUNTY</t>
  </si>
  <si>
    <t>T-15483</t>
  </si>
  <si>
    <t>76072064</t>
  </si>
  <si>
    <t>BMW OF SOUTHAMPTON</t>
  </si>
  <si>
    <t>T-16199</t>
  </si>
  <si>
    <t>76073131</t>
  </si>
  <si>
    <t>SIMMONS ROCKWELL FORD - NY</t>
  </si>
  <si>
    <t>T-16214</t>
  </si>
  <si>
    <t>76074237</t>
  </si>
  <si>
    <t>FELDMAN 1800 PRE-OWNED SUPERCENTER</t>
  </si>
  <si>
    <t>T-15084</t>
  </si>
  <si>
    <t>76074791</t>
  </si>
  <si>
    <t>ACADEMY FORD SALES</t>
  </si>
  <si>
    <t>T-16219</t>
  </si>
  <si>
    <t>76124458</t>
  </si>
  <si>
    <t>Pepe Cadillac</t>
  </si>
  <si>
    <t>T-13331</t>
  </si>
  <si>
    <t>76135790</t>
  </si>
  <si>
    <t>GENE LANGLEY FORD</t>
  </si>
  <si>
    <t>T-16217</t>
  </si>
  <si>
    <t>76143293</t>
  </si>
  <si>
    <t>MERCEDES BENZ OF NEW ROCHELLE</t>
  </si>
  <si>
    <t>T-11250</t>
  </si>
  <si>
    <t>76143376</t>
  </si>
  <si>
    <t>MILNES CHEVROLET</t>
  </si>
  <si>
    <t>T-16175</t>
  </si>
  <si>
    <t>76144136</t>
  </si>
  <si>
    <t>GENE LATTA FORD</t>
  </si>
  <si>
    <t>T-16220</t>
  </si>
  <si>
    <t>76146350</t>
  </si>
  <si>
    <t>JIM ELLIS HYUNDAI ATLANTA</t>
  </si>
  <si>
    <t>T-10640</t>
  </si>
  <si>
    <t>76157694</t>
  </si>
  <si>
    <t>AUTO SOLUTIONS LTD</t>
  </si>
  <si>
    <t>T-10915</t>
  </si>
  <si>
    <t>76159225</t>
  </si>
  <si>
    <t>TREND MOTORS VOLKSWAGEN</t>
  </si>
  <si>
    <t>T-16200</t>
  </si>
  <si>
    <t>76159913</t>
  </si>
  <si>
    <t>Honda de Caguas</t>
  </si>
  <si>
    <t>T-16193</t>
  </si>
  <si>
    <t>76164480</t>
  </si>
  <si>
    <t>THOROUGHBRED FORD OF PLATTE CITY</t>
  </si>
  <si>
    <t>T-16187</t>
  </si>
  <si>
    <t>76164765</t>
  </si>
  <si>
    <t>FIRST TEAM KIA</t>
  </si>
  <si>
    <t>T-14788</t>
  </si>
  <si>
    <t>76169148</t>
  </si>
  <si>
    <t>FIRST TEAM SUBARU</t>
  </si>
  <si>
    <t>T-15080</t>
  </si>
  <si>
    <t>76170921</t>
  </si>
  <si>
    <t>OGDEN PETERBILT, INC.</t>
  </si>
  <si>
    <t>T-6189</t>
  </si>
  <si>
    <t>76171400</t>
  </si>
  <si>
    <t>EASTSIDE DODGE CHRYSLER JEEP RAM</t>
  </si>
  <si>
    <t>T-13752</t>
  </si>
  <si>
    <t>76171640</t>
  </si>
  <si>
    <t>DUPAGE DODGE CHRYSLER JEEP</t>
  </si>
  <si>
    <t>T-15106</t>
  </si>
  <si>
    <t>76174651</t>
  </si>
  <si>
    <t>LAMBORGHINI PALM BEACH</t>
  </si>
  <si>
    <t>T-14498</t>
  </si>
  <si>
    <t>76180102</t>
  </si>
  <si>
    <t>HONDA OF PRINCETON</t>
  </si>
  <si>
    <t>T-16198</t>
  </si>
  <si>
    <t>76181398</t>
  </si>
  <si>
    <t>GRIMSBY HYUNDAI</t>
  </si>
  <si>
    <t>T-15489</t>
  </si>
  <si>
    <t>76181513</t>
  </si>
  <si>
    <t>TRANSWEST CHRYSLER DODGE JEEP RAM</t>
  </si>
  <si>
    <t>T-16204</t>
  </si>
  <si>
    <t>76187537</t>
  </si>
  <si>
    <t>MT. ORAB FORD</t>
  </si>
  <si>
    <t>T-16174</t>
  </si>
  <si>
    <t>76188296</t>
  </si>
  <si>
    <t>TRANSWEST CHEVROLET BUICK -STERLING</t>
  </si>
  <si>
    <t>T-16205</t>
  </si>
  <si>
    <t>76204394</t>
  </si>
  <si>
    <t>SIMMONS ROCKWELL NISSAN OF HORNELL</t>
  </si>
  <si>
    <t>T-16207</t>
  </si>
  <si>
    <t>76204610</t>
  </si>
  <si>
    <t>Mark Wahlberg Chevrolet of Columbus</t>
  </si>
  <si>
    <t>T-15501</t>
  </si>
  <si>
    <t>76206543</t>
  </si>
  <si>
    <t>AUDI NYACK - NY</t>
  </si>
  <si>
    <t>T-13584</t>
  </si>
  <si>
    <t>76209301</t>
  </si>
  <si>
    <t>FIRST TEAM SUBARU NORFOLK</t>
  </si>
  <si>
    <t>T-14798</t>
  </si>
  <si>
    <t>76209725</t>
  </si>
  <si>
    <t>FELDMAN CHRYSLER DODGE JEEP RAM WOODHAVEN</t>
  </si>
  <si>
    <t>T-15500</t>
  </si>
  <si>
    <t>76210834</t>
  </si>
  <si>
    <t>JAY WOLFE ACURA OF OVERLAND PARK</t>
  </si>
  <si>
    <t>T-16183</t>
  </si>
  <si>
    <t>76211772</t>
  </si>
  <si>
    <t>RED RIVER FORD</t>
  </si>
  <si>
    <t>T-16215</t>
  </si>
  <si>
    <t>76213077</t>
  </si>
  <si>
    <t>KARL MALONE TOYOTA OF RUSTON</t>
  </si>
  <si>
    <t>T-9587</t>
  </si>
  <si>
    <t>76214576</t>
  </si>
  <si>
    <t>FELDMAN KIA</t>
  </si>
  <si>
    <t>T-15075</t>
  </si>
  <si>
    <t>76216633</t>
  </si>
  <si>
    <t>CHRYSLER DODGE JEEP RAM OF SOUTHAMPTON</t>
  </si>
  <si>
    <t>T-16201</t>
  </si>
  <si>
    <t>76216971</t>
  </si>
  <si>
    <t>Mark Wahlberg Chevrolet of Avon</t>
  </si>
  <si>
    <t>T-15499</t>
  </si>
  <si>
    <t>76216978</t>
  </si>
  <si>
    <t>MARK WAHLBERG BUICK GMC</t>
  </si>
  <si>
    <t>T-15498</t>
  </si>
  <si>
    <t>76217262</t>
  </si>
  <si>
    <t>Flagship Mazda De Ponce</t>
  </si>
  <si>
    <t>T-16234</t>
  </si>
  <si>
    <t>76218409</t>
  </si>
  <si>
    <t>CASTLE SUBARU</t>
  </si>
  <si>
    <t>T-13502</t>
  </si>
  <si>
    <t>76219675</t>
  </si>
  <si>
    <t>CALIFORNIA CHRYSLER DODGE JEEP RAM</t>
  </si>
  <si>
    <t>T-9858</t>
  </si>
  <si>
    <t>76220871</t>
  </si>
  <si>
    <t>GRAND JUNCTION PETERBILT, INC.</t>
  </si>
  <si>
    <t>T-9471</t>
  </si>
  <si>
    <t>JACKSON GROUP PETERBILT MISSOULA</t>
  </si>
  <si>
    <t>T-6014</t>
  </si>
  <si>
    <t>76220873</t>
  </si>
  <si>
    <t>JACKSON GROUP PETERBILT BILLINGS</t>
  </si>
  <si>
    <t>T-5638</t>
  </si>
  <si>
    <t>76221156</t>
  </si>
  <si>
    <t>JIM ELLIS FORD OF SANDY SPRINGS</t>
  </si>
  <si>
    <t>T-10639</t>
  </si>
  <si>
    <t>76222063</t>
  </si>
  <si>
    <t>FELDMAN CHRYSLER DODGE JEEP RAM OF CLARKSTON</t>
  </si>
  <si>
    <t>T-15497</t>
  </si>
  <si>
    <t>76222545</t>
  </si>
  <si>
    <t>UNION CITY CHRYSLER DODGE JEEP</t>
  </si>
  <si>
    <t>T-10623</t>
  </si>
  <si>
    <t>76223425</t>
  </si>
  <si>
    <t>PORTLAND PETERBILT, INC.</t>
  </si>
  <si>
    <t>T-5709</t>
  </si>
  <si>
    <t>76225720</t>
  </si>
  <si>
    <t>KARL MALONE TOYOTA CHEVROLET</t>
  </si>
  <si>
    <t>T-13504</t>
  </si>
  <si>
    <t>76225949</t>
  </si>
  <si>
    <t>Mark Wahlberg Chevrolet of Worthington</t>
  </si>
  <si>
    <t>T-15496</t>
  </si>
  <si>
    <t>76227697</t>
  </si>
  <si>
    <t>UTAH VALLEY PETERBILT</t>
  </si>
  <si>
    <t>T-6190</t>
  </si>
  <si>
    <t>76229011</t>
  </si>
  <si>
    <t>HELLO SUBARU OF VALENCIA</t>
  </si>
  <si>
    <t>T-3993</t>
  </si>
  <si>
    <t>76229318</t>
  </si>
  <si>
    <t>CASTLE VOLKSWAGEN SCHAUMBURG</t>
  </si>
  <si>
    <t>T-13600</t>
  </si>
  <si>
    <t>76230520</t>
  </si>
  <si>
    <t>LAURENTIAN CHRYSLER</t>
  </si>
  <si>
    <t>T-13583</t>
  </si>
  <si>
    <t>76231277</t>
  </si>
  <si>
    <t>MAZDA OF BEDFORD - OH</t>
  </si>
  <si>
    <t>T-15467</t>
  </si>
  <si>
    <t>76231546</t>
  </si>
  <si>
    <t>JERRY V HONOLULU HYUNDAI</t>
  </si>
  <si>
    <t>T-15495</t>
  </si>
  <si>
    <t>76232074</t>
  </si>
  <si>
    <t>NORTH HILLS TOYOTA SERVICE CENTER</t>
  </si>
  <si>
    <t>T-14466</t>
  </si>
  <si>
    <t>76233198</t>
  </si>
  <si>
    <t>BURLINGTON HYUNDAI - NJ</t>
  </si>
  <si>
    <t>T-16232</t>
  </si>
  <si>
    <t>76233833</t>
  </si>
  <si>
    <t>WINDWARD DODGE CHRYSLER JEEP</t>
  </si>
  <si>
    <t>T-15494</t>
  </si>
  <si>
    <t>76234346</t>
  </si>
  <si>
    <t>Crabtree Toyota</t>
  </si>
  <si>
    <t>T-14452</t>
  </si>
  <si>
    <t>76236503</t>
  </si>
  <si>
    <t>WINSLOW FORD</t>
  </si>
  <si>
    <t>T-16210</t>
  </si>
  <si>
    <t>76240343</t>
  </si>
  <si>
    <t>HAPPY CHRYSLER DODGE JEEP RAM OF ROCHESTER</t>
  </si>
  <si>
    <t>T-15107</t>
  </si>
  <si>
    <t>76241159</t>
  </si>
  <si>
    <t>LEGENDARY FORD</t>
  </si>
  <si>
    <t>T-16209</t>
  </si>
  <si>
    <t>76241216</t>
  </si>
  <si>
    <t>FELDMAN MUNCIE LLC</t>
  </si>
  <si>
    <t>T-15082</t>
  </si>
  <si>
    <t>76241605</t>
  </si>
  <si>
    <t>QUEEN CITY FORD</t>
  </si>
  <si>
    <t>T-16211</t>
  </si>
  <si>
    <t>76244900</t>
  </si>
  <si>
    <t>PORSCHE ATLANTA NORTHEAST</t>
  </si>
  <si>
    <t>T-10611</t>
  </si>
  <si>
    <t>76246857</t>
  </si>
  <si>
    <t>FELDMAN CHRYSLER JEEP OF LIVONIA</t>
  </si>
  <si>
    <t>T-15081</t>
  </si>
  <si>
    <t>76250502</t>
  </si>
  <si>
    <t>Country Hills Ford</t>
  </si>
  <si>
    <t>T-13567</t>
  </si>
  <si>
    <t>76251423</t>
  </si>
  <si>
    <t>Norm Reeves Dallas Toyota</t>
  </si>
  <si>
    <t>T-16191</t>
  </si>
  <si>
    <t>76251805</t>
  </si>
  <si>
    <t>MERCEDEZ-BENZ OF NEWNAN</t>
  </si>
  <si>
    <t>T-10635</t>
  </si>
  <si>
    <t>76252076</t>
  </si>
  <si>
    <t>FlagShip Ford Del Sur</t>
  </si>
  <si>
    <t>T-15457</t>
  </si>
  <si>
    <t>76252738</t>
  </si>
  <si>
    <t>NORM REEVES HONDA SUPERSTORE NORTH RICHLAND HILLS</t>
  </si>
  <si>
    <t>T-16226</t>
  </si>
  <si>
    <t>76252740</t>
  </si>
  <si>
    <t>NORM REEVES SUBARU ROCKWALL</t>
  </si>
  <si>
    <t>T-16225</t>
  </si>
  <si>
    <t>76255135</t>
  </si>
  <si>
    <t>DICK BROOKS HONDA</t>
  </si>
  <si>
    <t>T-14820</t>
  </si>
  <si>
    <t>76257108</t>
  </si>
  <si>
    <t>KERRY INFINITI N. KENTUCKY - KERRY NISSAN</t>
  </si>
  <si>
    <t>T-16230</t>
  </si>
  <si>
    <t>76257366</t>
  </si>
  <si>
    <t>RED DEER DODGE CHRYSLER JEEP RAM</t>
  </si>
  <si>
    <t>T-14506</t>
  </si>
  <si>
    <t>76257826</t>
  </si>
  <si>
    <t>John Megel Ford</t>
  </si>
  <si>
    <t>T-15465</t>
  </si>
  <si>
    <t>97000001</t>
  </si>
  <si>
    <t>KERRY INFINITI OF NORTHERN KENTUCKY - KERRY NISSAN</t>
  </si>
  <si>
    <t>T-16229</t>
  </si>
  <si>
    <t>TruVideo AI Suite</t>
  </si>
  <si>
    <t>total amount</t>
  </si>
  <si>
    <t>CDF ID</t>
  </si>
  <si>
    <t>Ship-To Name</t>
  </si>
  <si>
    <t>Catalog Number</t>
  </si>
  <si>
    <t>CDF Status (w/ATN)</t>
  </si>
  <si>
    <t>Catalog Description</t>
  </si>
  <si>
    <t>Consolidation Name</t>
  </si>
  <si>
    <t>Roll Call Date</t>
  </si>
  <si>
    <t>Total</t>
  </si>
  <si>
    <t>05400042</t>
  </si>
  <si>
    <t>62188525SW04</t>
  </si>
  <si>
    <t>BEAVERTON KIA</t>
  </si>
  <si>
    <t>INS</t>
  </si>
  <si>
    <t>CDK SERVICEVIEW (IN FIXED OPS PKG)</t>
  </si>
  <si>
    <t>LANPHERE</t>
  </si>
  <si>
    <t>05400043</t>
  </si>
  <si>
    <t>62188525SW11</t>
  </si>
  <si>
    <t>BEAVERTON INFINITI 1</t>
  </si>
  <si>
    <t>13115402</t>
  </si>
  <si>
    <t>64238276SW87</t>
  </si>
  <si>
    <t>BILLION HYUNDAI</t>
  </si>
  <si>
    <t>BILLION</t>
  </si>
  <si>
    <t>13115403</t>
  </si>
  <si>
    <t>64238279SW74</t>
  </si>
  <si>
    <t>BILLION DODGE CHRYSLER JEEP</t>
  </si>
  <si>
    <t>13497880</t>
  </si>
  <si>
    <t>64238409SW64</t>
  </si>
  <si>
    <t>WARD CHRYSLER CENTER</t>
  </si>
  <si>
    <t>WARD</t>
  </si>
  <si>
    <t>14600646</t>
  </si>
  <si>
    <t>68233042SW04</t>
  </si>
  <si>
    <t>FLOW MOTORS OF WINSTON-SALEM, LLC</t>
  </si>
  <si>
    <t>FLOW COMPANIES - GROUP</t>
  </si>
  <si>
    <t>17042101</t>
  </si>
  <si>
    <t>64234862SW04</t>
  </si>
  <si>
    <t>KNIPPELMIER CHEV INC</t>
  </si>
  <si>
    <t>KNIPPELMIER CHEVROLET INC.</t>
  </si>
  <si>
    <t>17150701</t>
  </si>
  <si>
    <t>62188549SW04</t>
  </si>
  <si>
    <t>MAC HAIK CHEV</t>
  </si>
  <si>
    <t>MAC HAIK AUTO GROUP</t>
  </si>
  <si>
    <t>25298834</t>
  </si>
  <si>
    <t>68243943SW69</t>
  </si>
  <si>
    <t>RUGE'S CHRYSLER DODGE JEEP RAM</t>
  </si>
  <si>
    <t>RUGE</t>
  </si>
  <si>
    <t>25300234</t>
  </si>
  <si>
    <t>68245295SW83</t>
  </si>
  <si>
    <t>SIMMONS ROCKWELL BUICK GMC OF ELMIRA</t>
  </si>
  <si>
    <t>SIMMONS ROCKWELL</t>
  </si>
  <si>
    <t>29012602</t>
  </si>
  <si>
    <t>01354704SW50</t>
  </si>
  <si>
    <t>MORREY NISSAN</t>
  </si>
  <si>
    <t>CDK SERVICEVIEW IN PKG (CHILD CATALOG NUMBER FOR CDK SERVICE BUNDLE)</t>
  </si>
  <si>
    <t>MORREY</t>
  </si>
  <si>
    <t>33118201</t>
  </si>
  <si>
    <t>68233615SW08</t>
  </si>
  <si>
    <t>LINDSAY HONDA</t>
  </si>
  <si>
    <t>LINDSAY AUTOMOTIVE</t>
  </si>
  <si>
    <t>33118203</t>
  </si>
  <si>
    <t>68233615SW13</t>
  </si>
  <si>
    <t>LINDSAY ACURA</t>
  </si>
  <si>
    <t>37119401</t>
  </si>
  <si>
    <t>62188525SW18</t>
  </si>
  <si>
    <t>BEAVERTON HONDA</t>
  </si>
  <si>
    <t>42350801</t>
  </si>
  <si>
    <t>64234823SW04</t>
  </si>
  <si>
    <t>BERT SMITH INTERNATIONAL</t>
  </si>
  <si>
    <t>BERT SMITH</t>
  </si>
  <si>
    <t>47000370</t>
  </si>
  <si>
    <t>62198587SW03</t>
  </si>
  <si>
    <t>COURTESY FORD</t>
  </si>
  <si>
    <t>PHIL MEADOR GROUP</t>
  </si>
  <si>
    <t>47001390</t>
  </si>
  <si>
    <t>68238608SW04</t>
  </si>
  <si>
    <t>LINDSAY CADILLAC OF ALEXANDRIA</t>
  </si>
  <si>
    <t>LINDSAY AUTOMOTIVE GROUP</t>
  </si>
  <si>
    <t>71034910</t>
  </si>
  <si>
    <t>68238608SW11</t>
  </si>
  <si>
    <t>LINDSAY CHEVROLET OF WOODBRIDGE</t>
  </si>
  <si>
    <t>71045437</t>
  </si>
  <si>
    <t>62195016SW05</t>
  </si>
  <si>
    <t>FIRST TEXAS HONDA</t>
  </si>
  <si>
    <t>CONTINENTAL AUTOMOTIVE GROUP (CAG)(TEXAS)</t>
  </si>
  <si>
    <t>71047296</t>
  </si>
  <si>
    <t>64233446SW52</t>
  </si>
  <si>
    <t>GRIECO MAZDA OF DELRAY BEACH</t>
  </si>
  <si>
    <t>GRIECO</t>
  </si>
  <si>
    <t>71048600</t>
  </si>
  <si>
    <t>68233042SW10</t>
  </si>
  <si>
    <t>FLOW HONDA IN WINSTON SALEM</t>
  </si>
  <si>
    <t>71057123</t>
  </si>
  <si>
    <t>68246201SW59</t>
  </si>
  <si>
    <t>BUD SMAIL FORD</t>
  </si>
  <si>
    <t>CDK SERVICEVIEW (REQUIRES CDK SERVICE INSPECT)</t>
  </si>
  <si>
    <t>SMAIL</t>
  </si>
  <si>
    <t>71058736</t>
  </si>
  <si>
    <t>68235210SW45</t>
  </si>
  <si>
    <t>TASCA MAZDA CRANSTON</t>
  </si>
  <si>
    <t>CDK SERVICEVIEW (STANDALONE WITHOUT CDK SERVICE)</t>
  </si>
  <si>
    <t>TASCA</t>
  </si>
  <si>
    <t>71060072</t>
  </si>
  <si>
    <t>62185474SW69</t>
  </si>
  <si>
    <t>JERRY SEINER KIA</t>
  </si>
  <si>
    <t>JERRY SEINER</t>
  </si>
  <si>
    <t>71060738</t>
  </si>
  <si>
    <t>68233042SW46</t>
  </si>
  <si>
    <t>FLOW COMPANIES OF CHARLOTTESVILLE, LLC</t>
  </si>
  <si>
    <t>68233042SW52</t>
  </si>
  <si>
    <t>71063492</t>
  </si>
  <si>
    <t>03174024SW08</t>
  </si>
  <si>
    <t>INFINITI OF WINDSOR</t>
  </si>
  <si>
    <t>REVENBERG</t>
  </si>
  <si>
    <t>71065033</t>
  </si>
  <si>
    <t>62189098SW54</t>
  </si>
  <si>
    <t>HONDA OF SEATTLE</t>
  </si>
  <si>
    <t>MILLER-NICHOLSON AUTO GROUP</t>
  </si>
  <si>
    <t>71065044</t>
  </si>
  <si>
    <t>62189098SW73</t>
  </si>
  <si>
    <t>TOYOTA OF SEATTLE</t>
  </si>
  <si>
    <t>76021240</t>
  </si>
  <si>
    <t>62185924SW51</t>
  </si>
  <si>
    <t>ANCIRA WINTON CHEVROLET</t>
  </si>
  <si>
    <t>ANCIRA ENTERPRISE GROUP</t>
  </si>
  <si>
    <t>76026691</t>
  </si>
  <si>
    <t>64234507SW04</t>
  </si>
  <si>
    <t>VALUE MAX</t>
  </si>
  <si>
    <t>DON MEALEY GROUP</t>
  </si>
  <si>
    <t>76032657</t>
  </si>
  <si>
    <t>62187702SW04</t>
  </si>
  <si>
    <t>FINDLAY ACURA</t>
  </si>
  <si>
    <t>FINDLAY AUTOMOTIVE GROUP</t>
  </si>
  <si>
    <t>76033191</t>
  </si>
  <si>
    <t>62187533SW84</t>
  </si>
  <si>
    <t>JIMMY VASSER TOYOTA</t>
  </si>
  <si>
    <t>JIMMY VASSER</t>
  </si>
  <si>
    <t>76033777</t>
  </si>
  <si>
    <t>62177765SW49</t>
  </si>
  <si>
    <t>THOUSAND OAKS TOYOTA</t>
  </si>
  <si>
    <t>THOUSAND OAKS TOYOTA GROUP</t>
  </si>
  <si>
    <t>76040226</t>
  </si>
  <si>
    <t>62188259SW04</t>
  </si>
  <si>
    <t>TRACY TOYOTA</t>
  </si>
  <si>
    <t>76062941</t>
  </si>
  <si>
    <t>68238254SW44</t>
  </si>
  <si>
    <t>HUBERT VESTER TOYOTA OF WILSON</t>
  </si>
  <si>
    <t>HUBERT VESTER CARS</t>
  </si>
  <si>
    <t>76066086</t>
  </si>
  <si>
    <t>64235452SW37</t>
  </si>
  <si>
    <t>DELRAY TOYOTA</t>
  </si>
  <si>
    <t>ED MORSE AUTOMOTIVE GROUP</t>
  </si>
  <si>
    <t>76067577</t>
  </si>
  <si>
    <t>64238402SW66</t>
  </si>
  <si>
    <t>CASTLE BUICK GMC PONTIAC CADILLAC</t>
  </si>
  <si>
    <t>CASTLE AUTO GROUP</t>
  </si>
  <si>
    <t>76072153</t>
  </si>
  <si>
    <t>68233047SW60</t>
  </si>
  <si>
    <t>FLOW MINI OF RALEIGH</t>
  </si>
  <si>
    <t>76072262</t>
  </si>
  <si>
    <t>62185924SW77</t>
  </si>
  <si>
    <t>ANCIRA CHRYLSER JEEP DODGE</t>
  </si>
  <si>
    <t>76072437</t>
  </si>
  <si>
    <t>64238320SW58</t>
  </si>
  <si>
    <t>BILLION HYUNDAI IOWA CITY</t>
  </si>
  <si>
    <t>76073606</t>
  </si>
  <si>
    <t>64241235SW01</t>
  </si>
  <si>
    <t>HALLADA MOTORS INC</t>
  </si>
  <si>
    <t>HALLADA GROUP</t>
  </si>
  <si>
    <t>76073739</t>
  </si>
  <si>
    <t>62190587SW68</t>
  </si>
  <si>
    <t>DICK HANNAH HONDA</t>
  </si>
  <si>
    <t>DICK HANNAH</t>
  </si>
  <si>
    <t>76074276</t>
  </si>
  <si>
    <t>98050956SW02</t>
  </si>
  <si>
    <t>ST. GEORGE PETERBILT, INC.</t>
  </si>
  <si>
    <t>CDK SERVICEVIEW FOR TRUCK (STANDALONE WITHOUT CDK SERVICE)</t>
  </si>
  <si>
    <t>JACKSON GROUP PETERBILT</t>
  </si>
  <si>
    <t>76075454</t>
  </si>
  <si>
    <t>67054571SW01</t>
  </si>
  <si>
    <t>PRESTON MAZDA</t>
  </si>
  <si>
    <t>CDK SERVICEVIEW (AUDI &amp; MAZDA DEALERS ONLY)</t>
  </si>
  <si>
    <t>PRESTON</t>
  </si>
  <si>
    <t>76091258</t>
  </si>
  <si>
    <t>62190590SW82</t>
  </si>
  <si>
    <t>DICK HANNAH HYUNDAI VOLKSWAGEN</t>
  </si>
  <si>
    <t>76127638</t>
  </si>
  <si>
    <t>68233042SW68</t>
  </si>
  <si>
    <t>FLOW AUTOBAHN, LLC</t>
  </si>
  <si>
    <t>68233042SW75</t>
  </si>
  <si>
    <t>76127639</t>
  </si>
  <si>
    <t>68233047SW04</t>
  </si>
  <si>
    <t>FLOW AUTOMOTIVE CENTER OF WINSTON-SALEM, LLC</t>
  </si>
  <si>
    <t>Saskatoon North Hyundai Genesis</t>
  </si>
  <si>
    <t>76127658</t>
  </si>
  <si>
    <t>68233047SW11</t>
  </si>
  <si>
    <t>FLOW AUDI VOLKSWAGEN OF GREENSBORO</t>
  </si>
  <si>
    <t>68233047SW18</t>
  </si>
  <si>
    <t>76127659</t>
  </si>
  <si>
    <t>68233047SW67</t>
  </si>
  <si>
    <t>FLOW AUTO OF FAYETTEVILLE</t>
  </si>
  <si>
    <t>76127679</t>
  </si>
  <si>
    <t>68233047SW74</t>
  </si>
  <si>
    <t>FLOW BUICK GMC LAND ROVER MAZDA OF GREENSBORO</t>
  </si>
  <si>
    <t>68233047SW81</t>
  </si>
  <si>
    <t>76139117</t>
  </si>
  <si>
    <t>68233048SW04</t>
  </si>
  <si>
    <t>FLOW LEAN SERVICE, LLC</t>
  </si>
  <si>
    <t>76150784</t>
  </si>
  <si>
    <t>62198326SW58</t>
  </si>
  <si>
    <t>JAGUAR LAND ROVER SAN JUAN</t>
  </si>
  <si>
    <t>HELLER-BIRD AUTO GROUP</t>
  </si>
  <si>
    <t>76155716</t>
  </si>
  <si>
    <t>68233047SW25</t>
  </si>
  <si>
    <t>FLOW HONDA OF STATESVILLE</t>
  </si>
  <si>
    <t>76159995</t>
  </si>
  <si>
    <t>68233047SW32</t>
  </si>
  <si>
    <t>FLOW VOLKSWAGEN OF BURLINGTON</t>
  </si>
  <si>
    <t>76160175</t>
  </si>
  <si>
    <t>62190591SW87</t>
  </si>
  <si>
    <t>ACURA OF PORTLAND</t>
  </si>
  <si>
    <t>76160177</t>
  </si>
  <si>
    <t>62190592SW43</t>
  </si>
  <si>
    <t>DICK HANNAH TOYOTA</t>
  </si>
  <si>
    <t>76160178</t>
  </si>
  <si>
    <t>62190593SW04</t>
  </si>
  <si>
    <t>DICK HANNAH VOLKSWAGEN</t>
  </si>
  <si>
    <t>76160180</t>
  </si>
  <si>
    <t>62190593SW83</t>
  </si>
  <si>
    <t>DICK HANNAH CHRYSLER JEEP DODGE</t>
  </si>
  <si>
    <t>76160182</t>
  </si>
  <si>
    <t>62190594SW68</t>
  </si>
  <si>
    <t>DICK HANNAH KIA</t>
  </si>
  <si>
    <t>76160183</t>
  </si>
  <si>
    <t>62190594SW82</t>
  </si>
  <si>
    <t>DICK HANNAH SUBARU</t>
  </si>
  <si>
    <t>76163024</t>
  </si>
  <si>
    <t>64243908SW04</t>
  </si>
  <si>
    <t>JAGUAR PALM BEACH</t>
  </si>
  <si>
    <t>MYERS AUTO GROUP</t>
  </si>
  <si>
    <t>76164325</t>
  </si>
  <si>
    <t>62189152SW04</t>
  </si>
  <si>
    <t>KARL MALONE CHRYSLER JEEP DODGE RAM</t>
  </si>
  <si>
    <t>KARL MALONE GROUP</t>
  </si>
  <si>
    <t>76164497</t>
  </si>
  <si>
    <t>98053035SW36</t>
  </si>
  <si>
    <t>PETERBILT OF EVANSVILLE</t>
  </si>
  <si>
    <t>TLG - THE LARSON GROUP</t>
  </si>
  <si>
    <t>76167620</t>
  </si>
  <si>
    <t>68233047SW39</t>
  </si>
  <si>
    <t>FLOW TOYOTA OF STATESVILLE</t>
  </si>
  <si>
    <t>76169598</t>
  </si>
  <si>
    <t>68199993SW08</t>
  </si>
  <si>
    <t>PRESTON CHRYSLER DODGE JEEP RAM</t>
  </si>
  <si>
    <t>76171302</t>
  </si>
  <si>
    <t>64239192SW04</t>
  </si>
  <si>
    <t>HAWK VOLKSWAGEN</t>
  </si>
  <si>
    <t>HAWK AUTO GROUP</t>
  </si>
  <si>
    <t>76173070</t>
  </si>
  <si>
    <t>62195016SW76</t>
  </si>
  <si>
    <t>AUSTIN SUBARU</t>
  </si>
  <si>
    <t>76173078</t>
  </si>
  <si>
    <t>62195016SW87</t>
  </si>
  <si>
    <t>MERCEDES BENZ OF AUSTIN</t>
  </si>
  <si>
    <t>76180485</t>
  </si>
  <si>
    <t>68233047SW46</t>
  </si>
  <si>
    <t>FLOW HONDA OF BURLINGTON</t>
  </si>
  <si>
    <t>76180714</t>
  </si>
  <si>
    <t>68245277SW04</t>
  </si>
  <si>
    <t>NORTHWAY TOYOTA</t>
  </si>
  <si>
    <t>KOLLECTIVE</t>
  </si>
  <si>
    <t>76180734</t>
  </si>
  <si>
    <t>68239805SW04</t>
  </si>
  <si>
    <t>BMW OF SOUTH ALBANY</t>
  </si>
  <si>
    <t>76184710</t>
  </si>
  <si>
    <t>68233047SW53</t>
  </si>
  <si>
    <t>FLOW VOLKSWAGEN OF WILMINGTON</t>
  </si>
  <si>
    <t>76191269</t>
  </si>
  <si>
    <t>62190599SW55</t>
  </si>
  <si>
    <t>DICK HANNAH NISSAN</t>
  </si>
  <si>
    <t>76195666</t>
  </si>
  <si>
    <t>62188910SW94</t>
  </si>
  <si>
    <t>FOUR STARS TOYOTA</t>
  </si>
  <si>
    <t>D&amp;M AUTO LEASING</t>
  </si>
  <si>
    <t>76204642</t>
  </si>
  <si>
    <t>68233042SW16</t>
  </si>
  <si>
    <t>FLOW NISSAN OF FAYETTEVILLE</t>
  </si>
  <si>
    <t>76205123</t>
  </si>
  <si>
    <t>68233042SW22</t>
  </si>
  <si>
    <t>FLOW ACURA OF WILMINGTON</t>
  </si>
  <si>
    <t>76206438</t>
  </si>
  <si>
    <t>62185926SW87</t>
  </si>
  <si>
    <t>ANCIRA KIA</t>
  </si>
  <si>
    <t>76206444</t>
  </si>
  <si>
    <t>62185928SW43</t>
  </si>
  <si>
    <t>ANCIRA NISSAN</t>
  </si>
  <si>
    <t>76206448</t>
  </si>
  <si>
    <t>62185910SW91</t>
  </si>
  <si>
    <t>ANCIRA EAGLE PASS CHRYSLER DODGE JEEP RAM</t>
  </si>
  <si>
    <t>76206960</t>
  </si>
  <si>
    <t>68243686SW06</t>
  </si>
  <si>
    <t>HUTCHINSON TOYOTA OF ALBANY</t>
  </si>
  <si>
    <t>HUTCHINSON AUTO GROUP</t>
  </si>
  <si>
    <t>76208633</t>
  </si>
  <si>
    <t>64220648SW63</t>
  </si>
  <si>
    <t>JOHN LEE MAZDA</t>
  </si>
  <si>
    <t>JOHN LEE AUTO GROUP</t>
  </si>
  <si>
    <t>76209898</t>
  </si>
  <si>
    <t>68232100SW22</t>
  </si>
  <si>
    <t>FRIENDSHIP FORD BRISTOL</t>
  </si>
  <si>
    <t>FRIENDSHIP CARS</t>
  </si>
  <si>
    <t>76211125</t>
  </si>
  <si>
    <t>03173626SW04</t>
  </si>
  <si>
    <t>MERCEDES-BENZ LAVAL</t>
  </si>
  <si>
    <t>MB LAVAL GROUP</t>
  </si>
  <si>
    <t>76211329</t>
  </si>
  <si>
    <t>62195017SW84</t>
  </si>
  <si>
    <t>MERCEDES-BENZ OF SAN JUAN</t>
  </si>
  <si>
    <t>76213073</t>
  </si>
  <si>
    <t>64235382SW78</t>
  </si>
  <si>
    <t>ARBOGAST FORD</t>
  </si>
  <si>
    <t>DAVE ARBOGAST</t>
  </si>
  <si>
    <t>76213177</t>
  </si>
  <si>
    <t>68233042SW28</t>
  </si>
  <si>
    <t>FLOW VOLKSWAGEN OF DURHAM</t>
  </si>
  <si>
    <t>76213235</t>
  </si>
  <si>
    <t>62183292SW03</t>
  </si>
  <si>
    <t>JIM BAGAN TOYOTA</t>
  </si>
  <si>
    <t>ROGER BEASLEY AUTO GROUP</t>
  </si>
  <si>
    <t>76215823</t>
  </si>
  <si>
    <t>68232844SW03</t>
  </si>
  <si>
    <t>LIA INFINITI</t>
  </si>
  <si>
    <t>LIA AUTO GROUP</t>
  </si>
  <si>
    <t>76215994</t>
  </si>
  <si>
    <t>64234507SW18</t>
  </si>
  <si>
    <t>SPORT MAZDA NORTH</t>
  </si>
  <si>
    <t>76216403</t>
  </si>
  <si>
    <t>68233042SW34</t>
  </si>
  <si>
    <t>FLOW NISSAN OF STATESVILLE</t>
  </si>
  <si>
    <t>76216404</t>
  </si>
  <si>
    <t>68233042SW40</t>
  </si>
  <si>
    <t>FLOW HYUNDAI OF STATESVILLE</t>
  </si>
  <si>
    <t>76217325</t>
  </si>
  <si>
    <t>62195017SW94</t>
  </si>
  <si>
    <t>AUDI SAN JUAN</t>
  </si>
  <si>
    <t>76219467</t>
  </si>
  <si>
    <t>68233048SW46</t>
  </si>
  <si>
    <t>FLOW CADILLAC OF WILMINGTON</t>
  </si>
  <si>
    <t>76220417</t>
  </si>
  <si>
    <t>68238608SW25</t>
  </si>
  <si>
    <t>LINDSAY CHEVROLET OF FRONT ROYAL</t>
  </si>
  <si>
    <t>76220481</t>
  </si>
  <si>
    <t>68233048SW53</t>
  </si>
  <si>
    <t>FLOW VW AUDI PORSCHE OF ASHEVILLE</t>
  </si>
  <si>
    <t>76224416</t>
  </si>
  <si>
    <t>62187727SW04</t>
  </si>
  <si>
    <t>FINDLAY JAGUAR LAND ROVER HENDERSON</t>
  </si>
  <si>
    <t>76224482</t>
  </si>
  <si>
    <t>68248440SW03</t>
  </si>
  <si>
    <t>MYERS FORD COMPANY</t>
  </si>
  <si>
    <t>MYERS FORD CO INC</t>
  </si>
  <si>
    <t>76225236</t>
  </si>
  <si>
    <t>68243833SW03</t>
  </si>
  <si>
    <t>MADISON FORD</t>
  </si>
  <si>
    <t>BATTLEFIELD</t>
  </si>
  <si>
    <t>76226264</t>
  </si>
  <si>
    <t>68244982SW89</t>
  </si>
  <si>
    <t>CLASSIC HAMPTON AUTO MALL GENESIS SHOWROOM</t>
  </si>
  <si>
    <t>MILLS AUTO GROUP</t>
  </si>
  <si>
    <t>76226267</t>
  </si>
  <si>
    <t>68244985SW95</t>
  </si>
  <si>
    <t>CLASSIC HAMPTON AUTO MALL MERCEDES BENZ SHOWROOM</t>
  </si>
  <si>
    <t>76226269</t>
  </si>
  <si>
    <t>68244986SW54</t>
  </si>
  <si>
    <t>CLASSIC HAMPTON AUTO MALL HYUNDAI SHOWROOM</t>
  </si>
  <si>
    <t>76226270</t>
  </si>
  <si>
    <t>68244987SW14</t>
  </si>
  <si>
    <t>CLASSIC HAMPTON AUTO MALL AUDI SHOWROOM</t>
  </si>
  <si>
    <t>76226276</t>
  </si>
  <si>
    <t>68244987SW95</t>
  </si>
  <si>
    <t>CLASSIC HAMPTON AUTO MALL</t>
  </si>
  <si>
    <t>76226715</t>
  </si>
  <si>
    <t>68233048SW60</t>
  </si>
  <si>
    <t>BMW OF CHARLOTTESVILLE</t>
  </si>
  <si>
    <t>76226950</t>
  </si>
  <si>
    <t>68243654SW62</t>
  </si>
  <si>
    <t>MISSION FORD</t>
  </si>
  <si>
    <t>SABATINI AUTO GROUP</t>
  </si>
  <si>
    <t>76234097</t>
  </si>
  <si>
    <t>62190130SW54</t>
  </si>
  <si>
    <t>KEY ACURA OF RENO</t>
  </si>
  <si>
    <t>KEY NH</t>
  </si>
  <si>
    <t>76235484</t>
  </si>
  <si>
    <t>68233048SW67</t>
  </si>
  <si>
    <t>FLOW MERCEDES BENZ OF CHARLOTTESVILLE</t>
  </si>
  <si>
    <t>76235485</t>
  </si>
  <si>
    <t>68233048SW74</t>
  </si>
  <si>
    <t>FLOW HONDA OF CHARLOTTESVILLE</t>
  </si>
  <si>
    <t>76235488</t>
  </si>
  <si>
    <t>68233048SW11</t>
  </si>
  <si>
    <t>FLOW TOYOTA OF CHARLOTTESVILLE</t>
  </si>
  <si>
    <t>76235494</t>
  </si>
  <si>
    <t>68233048SW18</t>
  </si>
  <si>
    <t>FLOW SUBARU OF CHARLOTTESVILLE</t>
  </si>
  <si>
    <t>76235496</t>
  </si>
  <si>
    <t>68233048SW25</t>
  </si>
  <si>
    <t>FLOW CHRYSLER DODGE JEEP RAM OF CHARLOTTESVILLE</t>
  </si>
  <si>
    <t>76236747</t>
  </si>
  <si>
    <t>62176902SW80</t>
  </si>
  <si>
    <t>MISSION VIEJO KIA</t>
  </si>
  <si>
    <t>OC AUTO TEAM</t>
  </si>
  <si>
    <t>76238643</t>
  </si>
  <si>
    <t>68233048SW32</t>
  </si>
  <si>
    <t>FLOW KIA OF CHARLOTTESVILLE</t>
  </si>
  <si>
    <t>76238647</t>
  </si>
  <si>
    <t>68233048SW39</t>
  </si>
  <si>
    <t>FLOW HYUNDAI OF CHARLOTTESVILLE</t>
  </si>
  <si>
    <t>76241289</t>
  </si>
  <si>
    <t>68213873SW61</t>
  </si>
  <si>
    <t>MONUMENTAL FORD</t>
  </si>
  <si>
    <t>JOHN LONG</t>
  </si>
  <si>
    <t>76241360</t>
  </si>
  <si>
    <t>03174815SW77</t>
  </si>
  <si>
    <t>STRATFORD NISSAN</t>
  </si>
  <si>
    <t>JAMES AUTO GROUP (JAG)</t>
  </si>
  <si>
    <t>76241979</t>
  </si>
  <si>
    <t>68233368SW32</t>
  </si>
  <si>
    <t>RDS ENTERPRISES XVIII LP DBA RDS INEOS GRENADIER</t>
  </si>
  <si>
    <t>RDS AUTOMOTIVE</t>
  </si>
  <si>
    <t>76243194</t>
  </si>
  <si>
    <t>62177578SW59</t>
  </si>
  <si>
    <t>FORD FAIRFIELD</t>
  </si>
  <si>
    <t>SIMMS AUTO GROUP</t>
  </si>
  <si>
    <t>76243560</t>
  </si>
  <si>
    <t>64242798SW69</t>
  </si>
  <si>
    <t>RUSS DARROW WEST BEND - CHRY/DDGE/JEEP</t>
  </si>
  <si>
    <t>RUSS DARROW GROUP</t>
  </si>
  <si>
    <t>76244542</t>
  </si>
  <si>
    <t>62185913SW51</t>
  </si>
  <si>
    <t>PARTNERS CHEVROLET BUICK GMC</t>
  </si>
  <si>
    <t>76244599</t>
  </si>
  <si>
    <t>68232921SW03</t>
  </si>
  <si>
    <t>JOHNSON HYUNDAI OF APEX</t>
  </si>
  <si>
    <t>DAVID JOHNSON-RALEIGH</t>
  </si>
  <si>
    <t>76244695</t>
  </si>
  <si>
    <t>68233075SW39</t>
  </si>
  <si>
    <t>CMA'S ROCKY MOUNT TOYOTA</t>
  </si>
  <si>
    <t>CARTER MYERS GROUP</t>
  </si>
  <si>
    <t>76245067</t>
  </si>
  <si>
    <t>62188504SW04</t>
  </si>
  <si>
    <t>WEST HOUSTON GENESIS</t>
  </si>
  <si>
    <t>KEATING AUTO GROUP</t>
  </si>
  <si>
    <t>76245731</t>
  </si>
  <si>
    <t>62183978SW03</t>
  </si>
  <si>
    <t>BRAVO NISSAN OF BAYTOWN</t>
  </si>
  <si>
    <t>BRAVO GROUP</t>
  </si>
  <si>
    <t>76245733</t>
  </si>
  <si>
    <t>62195018SW93</t>
  </si>
  <si>
    <t>SUBARU OF GEORGETOWN</t>
  </si>
  <si>
    <t>76246621</t>
  </si>
  <si>
    <t>68250410SW85</t>
  </si>
  <si>
    <t>MOTOR MILE HONDA</t>
  </si>
  <si>
    <t>SHELOR AUTO GROUP</t>
  </si>
  <si>
    <t>76250570</t>
  </si>
  <si>
    <t>68227659SW94</t>
  </si>
  <si>
    <t>ESCUDE NISSAN OF GREER</t>
  </si>
  <si>
    <t>MCE AUTO GROUP</t>
  </si>
  <si>
    <t>76250571</t>
  </si>
  <si>
    <t>68227660SW58</t>
  </si>
  <si>
    <t>ESCUDE CHEVROLET OF EASLEY</t>
  </si>
  <si>
    <t>76252743</t>
  </si>
  <si>
    <t>62188814SW43</t>
  </si>
  <si>
    <t xml:space="preserve">KILLEEN HYUNDAI	</t>
  </si>
  <si>
    <t>76254215</t>
  </si>
  <si>
    <t>68245802SW55</t>
  </si>
  <si>
    <t>HEIGHTS NISSAN</t>
  </si>
  <si>
    <t>CDK SERVICEVIEW W/ESTIMATOR (REQUIRES CDK SERVICE INSPECT)</t>
  </si>
  <si>
    <t>NORTHSTAR GROUP</t>
  </si>
  <si>
    <t>76254533</t>
  </si>
  <si>
    <t>62191744SW48</t>
  </si>
  <si>
    <t>BENJI NISSAN OF VICTORIA</t>
  </si>
  <si>
    <t>BENJI AUTO SALES</t>
  </si>
  <si>
    <t>76254620</t>
  </si>
  <si>
    <t>62192314SW05</t>
  </si>
  <si>
    <t>WESTERN SLOPE TOYOTA</t>
  </si>
  <si>
    <t>WESTERN SLOPE AUTO CO.</t>
  </si>
  <si>
    <t>76255685</t>
  </si>
  <si>
    <t>62192691SW02</t>
  </si>
  <si>
    <t>LONGHORN NISSAN</t>
  </si>
  <si>
    <t>TKO GROUP</t>
  </si>
  <si>
    <t>76255914</t>
  </si>
  <si>
    <t>68241717SW65</t>
  </si>
  <si>
    <t>MOUNT PLEASANT JEEP</t>
  </si>
  <si>
    <t>MP AUTOMOTIVE MANAGEMENT</t>
  </si>
  <si>
    <t>76256229</t>
  </si>
  <si>
    <t>68241340SW43</t>
  </si>
  <si>
    <t>LS2C LLC DBA CREW VW PLAINVILLE</t>
  </si>
  <si>
    <t>76256300</t>
  </si>
  <si>
    <t>62194204SW49</t>
  </si>
  <si>
    <t>CHAMPION NISSAN NEW BRAUNFELS</t>
  </si>
  <si>
    <t>HFP AUTOMOTIVE ENTERPRISES LLC</t>
  </si>
  <si>
    <t>76256626</t>
  </si>
  <si>
    <t>62194383SW54</t>
  </si>
  <si>
    <t>GO HYUNDAI OF RENTON</t>
  </si>
  <si>
    <t>GOAUTO GROUP</t>
  </si>
  <si>
    <t>76256631</t>
  </si>
  <si>
    <t>62194369SW51</t>
  </si>
  <si>
    <t>GO KIA TACOMA</t>
  </si>
  <si>
    <t>76256639</t>
  </si>
  <si>
    <t>62194387SW44</t>
  </si>
  <si>
    <t>GO KIA RENTON</t>
  </si>
  <si>
    <t>76257313</t>
  </si>
  <si>
    <t>62195242SW53</t>
  </si>
  <si>
    <t>NISSAN OF BUENA PARK</t>
  </si>
  <si>
    <t>76258017</t>
  </si>
  <si>
    <t>68246111SW46</t>
  </si>
  <si>
    <t>HYUNDAI OF GREENVILLE</t>
  </si>
  <si>
    <t>PABLO RIVER PARTNERS</t>
  </si>
  <si>
    <t>76258384</t>
  </si>
  <si>
    <t>68247455SW12</t>
  </si>
  <si>
    <t>VOLVO CARS RED BANK</t>
  </si>
  <si>
    <t>FLETCHER GROUP</t>
  </si>
  <si>
    <t>76259838</t>
  </si>
  <si>
    <t>68250022SW49</t>
  </si>
  <si>
    <t>VANN YORK HYUNDAI</t>
  </si>
  <si>
    <t>VANN YORK</t>
  </si>
  <si>
    <t>76259847</t>
  </si>
  <si>
    <t>68250022SW85</t>
  </si>
  <si>
    <t>VANN YORK KIA</t>
  </si>
  <si>
    <t>Store Name</t>
  </si>
  <si>
    <t>Comments</t>
  </si>
  <si>
    <t>Exclude for May non INS gap list</t>
  </si>
  <si>
    <t>Exclude from May BLG gap list</t>
  </si>
  <si>
    <t>CMF #</t>
  </si>
  <si>
    <t>Ken Ganley Toyota</t>
  </si>
  <si>
    <t>not installed on TV invoice</t>
  </si>
  <si>
    <t>yes</t>
  </si>
  <si>
    <t>WESTBROOK HONDA</t>
  </si>
  <si>
    <t>MODERN INFINITI OF GREENSBORO</t>
  </si>
  <si>
    <t>moved to Installed, and matched</t>
  </si>
  <si>
    <t>TOYOTA OF WESTBROOK</t>
  </si>
  <si>
    <t>moved to BLG in CDK</t>
  </si>
  <si>
    <t>SUPERIOR CHEVROLET</t>
  </si>
  <si>
    <t>not on TV invoice, CDK shows LSS</t>
  </si>
  <si>
    <t>Scenic Chevrolet GMC Subaru</t>
  </si>
  <si>
    <t>additional to ratain sites found on May 19</t>
  </si>
  <si>
    <t>Partner ID#</t>
  </si>
  <si>
    <t>Customer Number</t>
  </si>
  <si>
    <t>TV ID</t>
  </si>
  <si>
    <t>MOST_RECENT_VIDEO</t>
  </si>
  <si>
    <t>Asked by CDK to retain</t>
  </si>
  <si>
    <t>BuySell New CMF</t>
  </si>
  <si>
    <t>Billed in May?</t>
  </si>
  <si>
    <t>C. Harper Ford KIA</t>
  </si>
  <si>
    <t>08310080</t>
  </si>
  <si>
    <t>T-8969</t>
  </si>
  <si>
    <t>T-8209</t>
  </si>
  <si>
    <t>RUSS DARROW CHRYSLER DODGE JEEP WEST BEND</t>
  </si>
  <si>
    <t>T-4258</t>
  </si>
  <si>
    <t>T-3236</t>
  </si>
  <si>
    <t>T-14524</t>
  </si>
  <si>
    <t>T-12723</t>
  </si>
  <si>
    <t>T-8576</t>
  </si>
  <si>
    <t>CDK in BLG</t>
  </si>
  <si>
    <t>ACURA OF AVON</t>
  </si>
  <si>
    <t>T-9439</t>
  </si>
  <si>
    <t>T-8575</t>
  </si>
  <si>
    <t>T-9607</t>
  </si>
  <si>
    <t>T-8705</t>
  </si>
  <si>
    <t>T-7482</t>
  </si>
  <si>
    <t>T-6426</t>
  </si>
  <si>
    <t>Myers Auto Group</t>
  </si>
  <si>
    <t>T-8089</t>
  </si>
  <si>
    <t>T-6921</t>
  </si>
  <si>
    <t>CAR PROS KIA</t>
  </si>
  <si>
    <t>T-8975</t>
  </si>
  <si>
    <t>T-8215</t>
  </si>
  <si>
    <t>T-7811</t>
  </si>
  <si>
    <t>T-2669</t>
  </si>
  <si>
    <t>T-6865</t>
  </si>
  <si>
    <t>FINDLAY VOLKSWAGEN OF ST GEORGE</t>
  </si>
  <si>
    <t>T-4460</t>
  </si>
  <si>
    <t>T-4087</t>
  </si>
  <si>
    <t>T-9144</t>
  </si>
  <si>
    <t>T-2227</t>
  </si>
  <si>
    <t>T-4308</t>
  </si>
  <si>
    <t>Ford Lincoln Fairfield</t>
  </si>
  <si>
    <t>T-3941</t>
  </si>
  <si>
    <t>T-3219</t>
  </si>
  <si>
    <t>T-12699</t>
  </si>
  <si>
    <t>Al Spitzer Ford Cuyahoga Falls</t>
  </si>
  <si>
    <t>T-5724</t>
  </si>
  <si>
    <t>T-4774</t>
  </si>
  <si>
    <t>Spitzer Ford Hartville</t>
  </si>
  <si>
    <t>T-5733</t>
  </si>
  <si>
    <t>T-4783</t>
  </si>
  <si>
    <t>CAR PROS RENTON HYUNDAI</t>
  </si>
  <si>
    <t>T-8976</t>
  </si>
  <si>
    <t>T-8216</t>
  </si>
  <si>
    <t>T-2728</t>
  </si>
  <si>
    <t>ANS toyota inspect package, INS non SV inspect bundle. Inactive customer for SV</t>
  </si>
  <si>
    <t>ELYRIA HYUNDAI</t>
  </si>
  <si>
    <t>T-8302</t>
  </si>
  <si>
    <t>T-7618</t>
  </si>
  <si>
    <t xml:space="preserve">will be rekeyed to have SV. </t>
  </si>
  <si>
    <t>SIMMONS-ROCKWELL SUBARU MITSUBISHI</t>
  </si>
  <si>
    <t>T-8790</t>
  </si>
  <si>
    <t>T-8068</t>
  </si>
  <si>
    <t>CAR PROS KIA RENTON</t>
  </si>
  <si>
    <t>T-8977</t>
  </si>
  <si>
    <t>T-8217</t>
  </si>
  <si>
    <t>new CMF 76256639/ Go Kai Renton</t>
  </si>
  <si>
    <t>T-5095</t>
  </si>
  <si>
    <t>T-9599</t>
  </si>
  <si>
    <t>T-3488</t>
  </si>
  <si>
    <t>T-3124</t>
  </si>
  <si>
    <t>GRIECO HYUNDAI</t>
  </si>
  <si>
    <t>T-6776</t>
  </si>
  <si>
    <t>T-5812</t>
  </si>
  <si>
    <t>Gengras Volkswagen of Plainville</t>
  </si>
  <si>
    <t>T-6765</t>
  </si>
  <si>
    <t>T-5801</t>
  </si>
  <si>
    <t>T-9822</t>
  </si>
  <si>
    <t>T-8876</t>
  </si>
  <si>
    <t>already billed under new CMF</t>
  </si>
  <si>
    <t>T-2717</t>
  </si>
  <si>
    <t>PREMIER CAPE COD</t>
  </si>
  <si>
    <t>T-4228</t>
  </si>
  <si>
    <t>T-2380</t>
  </si>
  <si>
    <t>T-2706</t>
  </si>
  <si>
    <t>Dealer Name</t>
  </si>
  <si>
    <t xml:space="preserve">CMF # </t>
  </si>
  <si>
    <t>Service/Dealer Code</t>
  </si>
  <si>
    <t>Date Loss Requested</t>
  </si>
  <si>
    <t>Cancel Reason</t>
  </si>
  <si>
    <t>On Lei List</t>
  </si>
  <si>
    <t>Notes</t>
  </si>
  <si>
    <t xml:space="preserve">Coastal Hyundai </t>
  </si>
  <si>
    <t>Recent</t>
  </si>
  <si>
    <t xml:space="preserve">Maxie Price Chevrolet </t>
  </si>
  <si>
    <t>Low Utilization</t>
  </si>
  <si>
    <t xml:space="preserve">Maita Chevrolet </t>
  </si>
  <si>
    <t>DMS Provider Change</t>
  </si>
  <si>
    <t>Changed DMS Provider</t>
  </si>
  <si>
    <t>Toyota Del Rio</t>
  </si>
  <si>
    <t>  024996</t>
  </si>
  <si>
    <t xml:space="preserve">Anderson Ford </t>
  </si>
  <si>
    <t>Ford of Spartanburg</t>
  </si>
  <si>
    <t>Grainger Honda</t>
  </si>
  <si>
    <t>No Comment</t>
  </si>
  <si>
    <t>Prestige Imports</t>
  </si>
  <si>
    <t>Van Buren Buick GMC - DealerID 6554</t>
  </si>
  <si>
    <t>Sames Ford Laredo</t>
  </si>
  <si>
    <t xml:space="preserve">On Loss list from Lei SAMES MOTOR COMPANY Same CMF </t>
  </si>
  <si>
    <t xml:space="preserve">Sames Honda </t>
  </si>
  <si>
    <t>Len Lyall Chevrolet</t>
  </si>
  <si>
    <t>Jerry Seiner Chevrolet Cadillac Kia Salt Lake</t>
  </si>
  <si>
    <t>Jerry Seiner Buick GMS North Salt Lake</t>
  </si>
  <si>
    <t>Paul MIller Audi</t>
  </si>
  <si>
    <t>Changed provider</t>
  </si>
  <si>
    <t>Aiport Chevrolet</t>
  </si>
  <si>
    <t xml:space="preserve">Cancelled </t>
  </si>
  <si>
    <t>The Chevrolet Exchange</t>
  </si>
  <si>
    <t>Schicker Ford St. Louis - Dealer ID  3000872</t>
  </si>
  <si>
    <t>incompatible</t>
  </si>
  <si>
    <t>Caldwell Toyota  </t>
  </si>
  <si>
    <t>Changed Vendors</t>
  </si>
  <si>
    <t>Toyota Tacoma</t>
  </si>
  <si>
    <t>DmS Provider Change</t>
  </si>
  <si>
    <t>Bentley Paramus - DealerID 2139</t>
  </si>
  <si>
    <t>Findlay Honda Henderson  </t>
  </si>
  <si>
    <t>Damerow Ford</t>
  </si>
  <si>
    <t>Cannon Chevrolet Buick Cadillac</t>
  </si>
  <si>
    <t>Valley Hi Honda</t>
  </si>
  <si>
    <t>Changed vendors</t>
  </si>
  <si>
    <t>Sames Bastrop Ford</t>
  </si>
  <si>
    <t xml:space="preserve">On Loss list from Lei SAMES MOTOR COMPANY Different CMF </t>
  </si>
  <si>
    <t>Chaparral Buick GMC</t>
  </si>
  <si>
    <t> 214382</t>
  </si>
  <si>
    <t xml:space="preserve">Mag Volvo Cars Dublin </t>
  </si>
  <si>
    <t>Paul Miller Honda West Caldwell</t>
  </si>
  <si>
    <t>Rancho Grand Motors Buick GMC</t>
  </si>
  <si>
    <t>Midwestern Auto Group  </t>
  </si>
  <si>
    <t>Jeff Schmitt Mazda</t>
  </si>
  <si>
    <t>Changed providers</t>
  </si>
  <si>
    <t>Volvo Car Pioneer Valley</t>
  </si>
  <si>
    <t>Dealer closed</t>
  </si>
  <si>
    <t>Speedway Chevrolet</t>
  </si>
  <si>
    <t xml:space="preserve">Recent- Reinstated 4/8/26 per Ryan Reed </t>
  </si>
  <si>
    <t>Gebhardt BMW</t>
  </si>
  <si>
    <t>Lexington Toyota</t>
  </si>
  <si>
    <t>Hyundai Inland Empire  </t>
  </si>
  <si>
    <t>Roseburg Honda</t>
  </si>
  <si>
    <t xml:space="preserve">Sames Kia </t>
  </si>
  <si>
    <t>Jaguar Land Rover San Juan</t>
  </si>
  <si>
    <t>Johnson City Ford</t>
  </si>
  <si>
    <t>Recent 4/14/26 asked to have onboarding sent and SV reinstalled  4/16/26 reconnected</t>
  </si>
  <si>
    <t xml:space="preserve">Lithia Nissan Clovis </t>
  </si>
  <si>
    <t>Hawk VW of Joliet</t>
  </si>
  <si>
    <t>Paul Miller Porsche - DealerID 2143</t>
  </si>
  <si>
    <t>Infiniti West Houston</t>
  </si>
  <si>
    <t>Hawk Chevrolet of Joliet</t>
  </si>
  <si>
    <t>On Loss list from Lei as HAWK CHEVROLET CADILLAC OF JOLIET 76174379</t>
  </si>
  <si>
    <t>Audi Tacoma</t>
  </si>
  <si>
    <t>Magna Motors Dealership  (ServiceView Plus for Truck)</t>
  </si>
  <si>
    <t>Recent: There is no  as this Dealer is no ServiceView however they do appear on our invoice</t>
  </si>
  <si>
    <t xml:space="preserve">Four Start Toyota </t>
  </si>
  <si>
    <t>Interstate Ford</t>
  </si>
  <si>
    <t>Lexus of Wesley Chapel</t>
  </si>
  <si>
    <t>Volvo Cars West Houston</t>
  </si>
  <si>
    <t>Johnson City Toyota</t>
  </si>
  <si>
    <t>Reliance Chevrolet Buick GMC</t>
  </si>
  <si>
    <t>Lebanon Ford</t>
  </si>
  <si>
    <t xml:space="preserve">Toyota of Berkeley </t>
  </si>
  <si>
    <t xml:space="preserve">Mercedez Benz of Cincinnati </t>
  </si>
  <si>
    <t xml:space="preserve">Ciocca Toyota of Williamsport </t>
  </si>
  <si>
    <t>New Century Honda</t>
  </si>
  <si>
    <t>Honda of Kingsport</t>
  </si>
  <si>
    <t xml:space="preserve">Asheville Ford Lincoln </t>
  </si>
  <si>
    <t xml:space="preserve">Huntersviille Ford </t>
  </si>
  <si>
    <t xml:space="preserve">Acura of Fremont </t>
  </si>
  <si>
    <t>Recent 4/14/26 asked to have onboarding sent and SV reinstalled -4/16/26 reconnected</t>
  </si>
  <si>
    <t>Lia Infiniti Latham</t>
  </si>
  <si>
    <t>StoneCrest Honda</t>
  </si>
  <si>
    <t>Cleveland Ford</t>
  </si>
  <si>
    <t xml:space="preserve">Hyundai or Cumming </t>
  </si>
  <si>
    <t>Beaman Buick</t>
  </si>
  <si>
    <t>Beaman Toyota</t>
  </si>
  <si>
    <t>Lexus of Greenville</t>
  </si>
  <si>
    <t xml:space="preserve">Recent- 4/13/26 asked to have them reinstated as loss was from 9/2025 and they recontracted 11/25  4/16/26 reconnected </t>
  </si>
  <si>
    <t xml:space="preserve">Forest Lane CDJR </t>
  </si>
  <si>
    <t>- I do not see them setup in ServiceView- Please verify that we are not being billed for this store</t>
  </si>
  <si>
    <t>Morristown Chevrolet</t>
  </si>
  <si>
    <t>Mazda of Amarillo</t>
  </si>
  <si>
    <t>Mercedes Benz West Chester</t>
  </si>
  <si>
    <t>  7441770</t>
  </si>
  <si>
    <t>Corpus Christi Mitsubishi</t>
  </si>
  <si>
    <t>Mazda Corus Christi</t>
  </si>
  <si>
    <t>Jerry Seiner Buick GMC</t>
  </si>
  <si>
    <t>Jerry Seiner Buick GMC South Jordan 76230499 Same CMF</t>
  </si>
  <si>
    <t xml:space="preserve">Rock Hill Ford  </t>
  </si>
  <si>
    <t xml:space="preserve">Confidence Chevrolet </t>
  </si>
  <si>
    <t>Confidence Buick GMC- Changed Vendor</t>
  </si>
  <si>
    <t xml:space="preserve">Hyundai of North Charleston </t>
  </si>
  <si>
    <t>Hyundai of Charleston  </t>
  </si>
  <si>
    <t>Young Mazda Idaho Falls</t>
  </si>
  <si>
    <t>Changing provider</t>
  </si>
  <si>
    <t>Hyundai of Gainsville (Gainsville Hyundai)  </t>
  </si>
  <si>
    <t>Gensis of Greensboro</t>
  </si>
  <si>
    <t>Out of Business</t>
  </si>
  <si>
    <t>Infiniti City of Queens - DealerID 5321</t>
  </si>
  <si>
    <t>Porsche Service Center East Hanover - DealerID 4363</t>
  </si>
  <si>
    <t>Fort Myers Genesis</t>
  </si>
  <si>
    <t>Crown Dodge Chrysler</t>
  </si>
  <si>
    <t>Dealer Sold</t>
  </si>
  <si>
    <t>Bravo Nissan of Baytown</t>
  </si>
  <si>
    <t>Incompatible</t>
  </si>
  <si>
    <t>Vaden Hyundai of Statesboro - DealerID 5702</t>
  </si>
  <si>
    <t>On Loss list from Lei VADEN NISSAN OF STATESBORO 76245931</t>
  </si>
  <si>
    <t>Lexus of Huntsville</t>
  </si>
  <si>
    <t>On Loss list from Lei LEXUS OF HUNTSVILLE 01327159 Different CMF</t>
  </si>
  <si>
    <t>Mercedes Benz of Collierville - DealerID 6082</t>
  </si>
  <si>
    <t>Mercedes Benz of Jackson - DealerID 6083</t>
  </si>
  <si>
    <t>Eurobahn Motorsport</t>
  </si>
  <si>
    <t>Jerry Seiner Kia South Jordan</t>
  </si>
  <si>
    <t>76231813 or 37011802</t>
  </si>
  <si>
    <t>On Loss list from Lei as Jerry Seiner Chevrolet Casa Grande 76219556 Different CMF</t>
  </si>
  <si>
    <t>Found in CDK INS by CMF</t>
  </si>
  <si>
    <t>Found in CDK INS by Name</t>
  </si>
  <si>
    <t>Found in CDK BLG by CMF</t>
  </si>
  <si>
    <t>Found in CDK BLG by Name</t>
  </si>
  <si>
    <t>New Sites in April</t>
  </si>
  <si>
    <t>To Retain List</t>
  </si>
  <si>
    <t>Solomon Chevrolet Cadillac</t>
  </si>
  <si>
    <t>T-11243</t>
  </si>
  <si>
    <t>Tameron Honda</t>
  </si>
  <si>
    <t>T-10927</t>
  </si>
  <si>
    <t>JOHN THORNTON CHEVROLET</t>
  </si>
  <si>
    <t>T-14157</t>
  </si>
  <si>
    <t>Dick Smith Nissan of Columbia</t>
  </si>
  <si>
    <t>T-6802</t>
  </si>
  <si>
    <t>CMA's Colonial Honda</t>
  </si>
  <si>
    <t>T-6786</t>
  </si>
  <si>
    <t>CMA's Colonial Auto Center</t>
  </si>
  <si>
    <t>T-7442</t>
  </si>
  <si>
    <t>BERGLUND FORD MAZDA</t>
  </si>
  <si>
    <t>T-3836</t>
  </si>
  <si>
    <t>MORGAN MCCLURE CHEVY BUICK CADILLAC</t>
  </si>
  <si>
    <t>T-14159</t>
  </si>
  <si>
    <t>MORGAN-MCCLURE CHEVROLET</t>
  </si>
  <si>
    <t>T-14158</t>
  </si>
  <si>
    <t>WEST BROAD HONDA</t>
  </si>
  <si>
    <t>T-4370</t>
  </si>
  <si>
    <t>MECHANICSVILLE HONDA</t>
  </si>
  <si>
    <t>T-9118</t>
  </si>
  <si>
    <t>WEST BROAD HYUNDAI</t>
  </si>
  <si>
    <t>T-4371</t>
  </si>
  <si>
    <t>Howard Bentley Buick GMC</t>
  </si>
  <si>
    <t>T-9655</t>
  </si>
  <si>
    <t>Tri-State Nissan</t>
  </si>
  <si>
    <t>T-9251</t>
  </si>
  <si>
    <t>R.E. Yrausquin &amp; Sons N.V.</t>
  </si>
  <si>
    <t>T-9789</t>
  </si>
  <si>
    <t>JIM ARMSTRONG SUBARU</t>
  </si>
  <si>
    <t>T-14147</t>
  </si>
  <si>
    <t>WARREN HENRY AUTO MALL</t>
  </si>
  <si>
    <t>T-9464</t>
  </si>
  <si>
    <t>Autos Vega Group</t>
  </si>
  <si>
    <t>T-5998</t>
  </si>
  <si>
    <t>Volkswagen Kennedy</t>
  </si>
  <si>
    <t>T-6147</t>
  </si>
  <si>
    <t>Rice Buick GMC</t>
  </si>
  <si>
    <t>T-6764</t>
  </si>
  <si>
    <t>HEADQUARTER TOYOTA</t>
  </si>
  <si>
    <t>T-13339</t>
  </si>
  <si>
    <t>BRYAN EASLER TOYOTA</t>
  </si>
  <si>
    <t>T-9287</t>
  </si>
  <si>
    <t>HERITAGE CADILLAC</t>
  </si>
  <si>
    <t>T-10656</t>
  </si>
  <si>
    <t>DUNCAN FORD MAZDA LINCOLN - VA</t>
  </si>
  <si>
    <t>T-13573</t>
  </si>
  <si>
    <t>ALAN JAY CHEVROLET BUICK GMC CADILLAC</t>
  </si>
  <si>
    <t>T-13591</t>
  </si>
  <si>
    <t>KEVIN WHITAKER CHEVROLET CADILLAC</t>
  </si>
  <si>
    <t>T-4081</t>
  </si>
  <si>
    <t>MECHANICSVILLE TOYOTA</t>
  </si>
  <si>
    <t>T-4144</t>
  </si>
  <si>
    <t>Dick Smith Nissan of Lexington</t>
  </si>
  <si>
    <t>T-6805</t>
  </si>
  <si>
    <t>Dick Smith Nissan of St Andrews</t>
  </si>
  <si>
    <t>T-6804</t>
  </si>
  <si>
    <t>MIDWAY FORD</t>
  </si>
  <si>
    <t>T-15078</t>
  </si>
  <si>
    <t>Motor Mile Hyundai</t>
  </si>
  <si>
    <t>T-9437</t>
  </si>
  <si>
    <t>PIEDMONT FORD TRUCK SALES</t>
  </si>
  <si>
    <t>T-4218</t>
  </si>
  <si>
    <t>VILLAGE CADILLAC TOYOTA OF HOMASASSA</t>
  </si>
  <si>
    <t>T-4357</t>
  </si>
  <si>
    <t>SCENIC MOTORS INC.</t>
  </si>
  <si>
    <t>T-14828</t>
  </si>
  <si>
    <t>JAGUAR LAND ROVER NORTH DADE</t>
  </si>
  <si>
    <t>T-9463</t>
  </si>
  <si>
    <t>Bella Acura de Guaynabo</t>
  </si>
  <si>
    <t>T-15461</t>
  </si>
  <si>
    <t>Harry's Buick GMC</t>
  </si>
  <si>
    <t>T-10631</t>
  </si>
  <si>
    <t>ROPER KIA</t>
  </si>
  <si>
    <t>T-8516</t>
  </si>
  <si>
    <t>ROYAL MOTOR SALES</t>
  </si>
  <si>
    <t>T-4257</t>
  </si>
  <si>
    <t>ACURA OF STOCKTON</t>
  </si>
  <si>
    <t>T-1020</t>
  </si>
  <si>
    <t>FREMONT TOYOTA</t>
  </si>
  <si>
    <t>T-3952</t>
  </si>
  <si>
    <t>MANLY HYUNDAI</t>
  </si>
  <si>
    <t>T-5699</t>
  </si>
  <si>
    <t>MANLY HONDA</t>
  </si>
  <si>
    <t>T-5698</t>
  </si>
  <si>
    <t>TEAM VW OF HAYWARD</t>
  </si>
  <si>
    <t>T-4320</t>
  </si>
  <si>
    <t>SERRAMONTE VOLKSWAGEN</t>
  </si>
  <si>
    <t>T-4287</t>
  </si>
  <si>
    <t>CYPRESS COAST SUBARU</t>
  </si>
  <si>
    <t>T-3899</t>
  </si>
  <si>
    <t>CYPRESS COAST FORD</t>
  </si>
  <si>
    <t>T-3898</t>
  </si>
  <si>
    <t>CHASE CHEVROLET</t>
  </si>
  <si>
    <t>T-8996</t>
  </si>
  <si>
    <t>MERCED HONDA</t>
  </si>
  <si>
    <t>T-8092</t>
  </si>
  <si>
    <t>CRESTVIEW CADILLAC OF WEST COVINA</t>
  </si>
  <si>
    <t>T-10607</t>
  </si>
  <si>
    <t>LODI HONDA</t>
  </si>
  <si>
    <t>T-4109</t>
  </si>
  <si>
    <t>VAL STROUGH HONDA</t>
  </si>
  <si>
    <t>T-4354</t>
  </si>
  <si>
    <t>WALNUT CREEK FORD</t>
  </si>
  <si>
    <t>T-14800</t>
  </si>
  <si>
    <t>ELK GROVE HONDA</t>
  </si>
  <si>
    <t>T-14160</t>
  </si>
  <si>
    <t>BONANDER BUICK GMC</t>
  </si>
  <si>
    <t>T-13576</t>
  </si>
  <si>
    <t>CHAMPION CHEVROLET - NV</t>
  </si>
  <si>
    <t>T-9802</t>
  </si>
  <si>
    <t>COURTESY BUICK GMC - LA</t>
  </si>
  <si>
    <t>T-9430</t>
  </si>
  <si>
    <t>Walker Volkswagen</t>
  </si>
  <si>
    <t>T-6767</t>
  </si>
  <si>
    <t>Carlsen Subaru</t>
  </si>
  <si>
    <t>T-7214</t>
  </si>
  <si>
    <t>RALPH SELLERS CHRYSLER DODGE JEEP HYUNDAI</t>
  </si>
  <si>
    <t>T-8657</t>
  </si>
  <si>
    <t>Rio Motor Co.</t>
  </si>
  <si>
    <t>T-6787</t>
  </si>
  <si>
    <t>TYLER FORD</t>
  </si>
  <si>
    <t>T-9793</t>
  </si>
  <si>
    <t>RELIABLE BUICK GMC CADILLAC</t>
  </si>
  <si>
    <t>T-15087</t>
  </si>
  <si>
    <t>Wheeler Auto Center</t>
  </si>
  <si>
    <t>T-10660</t>
  </si>
  <si>
    <t>DAVIS-MOORE CHEVROLET</t>
  </si>
  <si>
    <t>T-13570</t>
  </si>
  <si>
    <t>STOCKTON HONDA</t>
  </si>
  <si>
    <t>T-4300</t>
  </si>
  <si>
    <t>CAROUSEL MOTORS</t>
  </si>
  <si>
    <t>T-3866</t>
  </si>
  <si>
    <t>O'DANIEL MAZDA AUTOMART</t>
  </si>
  <si>
    <t>T-4194</t>
  </si>
  <si>
    <t>GRIEGER'S MOTOR SALES</t>
  </si>
  <si>
    <t>T-14520</t>
  </si>
  <si>
    <t>HERITAGE VOLKSWAGEN OF SOUTH ATLANTA</t>
  </si>
  <si>
    <t>T-3994</t>
  </si>
  <si>
    <t>MONTGOMERYVILLE ACURA</t>
  </si>
  <si>
    <t>T-4166</t>
  </si>
  <si>
    <t>ALL AMERICAN FORD</t>
  </si>
  <si>
    <t>T-15482</t>
  </si>
  <si>
    <t>TASCA FORD MAZDA</t>
  </si>
  <si>
    <t>T-4315</t>
  </si>
  <si>
    <t>Toyota World of Lakewood</t>
  </si>
  <si>
    <t>T-7989</t>
  </si>
  <si>
    <t>SPRINGFIELD BUICK GMC CADILLAC</t>
  </si>
  <si>
    <t>T-5647</t>
  </si>
  <si>
    <t>Freehold Dodge</t>
  </si>
  <si>
    <t>T-8005</t>
  </si>
  <si>
    <t>PRESTON CDJR TOYOTA</t>
  </si>
  <si>
    <t>T-4232</t>
  </si>
  <si>
    <t>PRESTON CHRYSLER DODGE JEEP RAM TOYOTA</t>
  </si>
  <si>
    <t>T-4234</t>
  </si>
  <si>
    <t>CHRYSLER JEEP DODGE OF PARAMUS</t>
  </si>
  <si>
    <t>T-14814</t>
  </si>
  <si>
    <t>Audi of Mendham</t>
  </si>
  <si>
    <t>T-7893</t>
  </si>
  <si>
    <t>Jaguar Land Rover Freeport</t>
  </si>
  <si>
    <t>T-15114</t>
  </si>
  <si>
    <t>CELLA FORD</t>
  </si>
  <si>
    <t>T-14508</t>
  </si>
  <si>
    <t>VAMPT MOTORS</t>
  </si>
  <si>
    <t>T-7908</t>
  </si>
  <si>
    <t>LAND ROVER SOUTH DADE</t>
  </si>
  <si>
    <t>T-9458</t>
  </si>
  <si>
    <t>HICKMAN MOTORS LTD.</t>
  </si>
  <si>
    <t>T-14514</t>
  </si>
  <si>
    <t>MACDONALD BUICK GMC CADILLAC LTD</t>
  </si>
  <si>
    <t>T-14132</t>
  </si>
  <si>
    <t>DECARIE MOTORS INC.</t>
  </si>
  <si>
    <t>T-13382</t>
  </si>
  <si>
    <t>OAKVILLE TOYOTA LTD</t>
  </si>
  <si>
    <t>T-8024</t>
  </si>
  <si>
    <t>COCONUT CREEK AUTOMALL</t>
  </si>
  <si>
    <t>T-9263</t>
  </si>
  <si>
    <t>Ganley Chevrolet</t>
  </si>
  <si>
    <t>T-10670</t>
  </si>
  <si>
    <t>RIHM KENWORTH DULUTH/SUPERIOR</t>
  </si>
  <si>
    <t>T-6030</t>
  </si>
  <si>
    <t>PARKS MOTOR SALES INC</t>
  </si>
  <si>
    <t>T-15492</t>
  </si>
  <si>
    <t>Valley Imports</t>
  </si>
  <si>
    <t>T-15076</t>
  </si>
  <si>
    <t>ALAN BROWNE CHEVROLET</t>
  </si>
  <si>
    <t>T-10863</t>
  </si>
  <si>
    <t>BILLION BUICK GMC, INC.</t>
  </si>
  <si>
    <t>T-10601</t>
  </si>
  <si>
    <t>MINNESOTA MOTOR CO</t>
  </si>
  <si>
    <t>T-15086</t>
  </si>
  <si>
    <t>CONTINENTAL TOYOTA</t>
  </si>
  <si>
    <t>T-4534</t>
  </si>
  <si>
    <t>JOHN AMATO HYUNDAI</t>
  </si>
  <si>
    <t>T-14139</t>
  </si>
  <si>
    <t>ACKERMAN TOYOTA</t>
  </si>
  <si>
    <t>T-1018</t>
  </si>
  <si>
    <t>VAESSEN BROTHERS</t>
  </si>
  <si>
    <t>T-10865</t>
  </si>
  <si>
    <t>RUSS DARROW KIA OF WAUKESHA</t>
  </si>
  <si>
    <t>T-4261</t>
  </si>
  <si>
    <t>RUSS DARROW MADISON KIA</t>
  </si>
  <si>
    <t>T-4263</t>
  </si>
  <si>
    <t>RUSS DARROW TOYOTA</t>
  </si>
  <si>
    <t>T-4268</t>
  </si>
  <si>
    <t>River Front CDJR</t>
  </si>
  <si>
    <t>T-6143</t>
  </si>
  <si>
    <t>GORDIE BOUCHER LINCOLN</t>
  </si>
  <si>
    <t>T-3979</t>
  </si>
  <si>
    <t>GORDIE BOUCHER CHEVROLET</t>
  </si>
  <si>
    <t>T-3974</t>
  </si>
  <si>
    <t>FRANK BOUCHER CHEVROLET CADILLAC</t>
  </si>
  <si>
    <t>T-3945</t>
  </si>
  <si>
    <t>FRANK BOUCHER MAZDA VW KIA</t>
  </si>
  <si>
    <t>T-3947</t>
  </si>
  <si>
    <t>BRUNSWICK AUTO MART INC.</t>
  </si>
  <si>
    <t>T-3860</t>
  </si>
  <si>
    <t>GORDIE BOUCHER NISSAN</t>
  </si>
  <si>
    <t>T-3980</t>
  </si>
  <si>
    <t>BILLION TOYOTA SCION</t>
  </si>
  <si>
    <t>T-10600</t>
  </si>
  <si>
    <t>KERRY CHEVROLET</t>
  </si>
  <si>
    <t>T-15518</t>
  </si>
  <si>
    <t>ABERDEEN CHRYSLER CENTER</t>
  </si>
  <si>
    <t>T-13829</t>
  </si>
  <si>
    <t>UPTOWN CHRYSLER DODGE AND JEEP</t>
  </si>
  <si>
    <t>T-9843</t>
  </si>
  <si>
    <t>COUNTRY CHEVROLET</t>
  </si>
  <si>
    <t>T-14153</t>
  </si>
  <si>
    <t>GORDIE BOUCHER FORD LINCOLN OF JANESVILLE</t>
  </si>
  <si>
    <t>T-3975</t>
  </si>
  <si>
    <t>Kings Toyota</t>
  </si>
  <si>
    <t>T-9667</t>
  </si>
  <si>
    <t>O'DANIEL MOTOR SALES</t>
  </si>
  <si>
    <t>T-4195</t>
  </si>
  <si>
    <t>DAVE ARBOGAST BUICK GMC</t>
  </si>
  <si>
    <t>T-3901</t>
  </si>
  <si>
    <t>ST. CHARLES TOYOTA</t>
  </si>
  <si>
    <t>T-4298</t>
  </si>
  <si>
    <t>MATHEWS FORD LINCOLN</t>
  </si>
  <si>
    <t>T-14394</t>
  </si>
  <si>
    <t>BERGER CHEVROLET</t>
  </si>
  <si>
    <t>T-13572</t>
  </si>
  <si>
    <t>WILLIAMS HYUNDAI</t>
  </si>
  <si>
    <t>T-9831</t>
  </si>
  <si>
    <t>ERIC VON SCHLEDORN FORD</t>
  </si>
  <si>
    <t>T-3923</t>
  </si>
  <si>
    <t>WARRENSBURG CHRYSLER DODGE JEEP</t>
  </si>
  <si>
    <t>T-8664</t>
  </si>
  <si>
    <t>Preston Chevrolet</t>
  </si>
  <si>
    <t>T-4233</t>
  </si>
  <si>
    <t>Valley Auto World VW</t>
  </si>
  <si>
    <t>T-7193</t>
  </si>
  <si>
    <t>MCKINSTRY CHRYSLER</t>
  </si>
  <si>
    <t>T-14140</t>
  </si>
  <si>
    <t>HYUNDAI AMOS</t>
  </si>
  <si>
    <t>T-11273</t>
  </si>
  <si>
    <t>TERREBONNE FORD</t>
  </si>
  <si>
    <t>T-13828</t>
  </si>
  <si>
    <t>BARKER MITSUBISHI KIA</t>
  </si>
  <si>
    <t>T-8656</t>
  </si>
  <si>
    <t>SERVICE CHEVROLET CADILLAC</t>
  </si>
  <si>
    <t>T-9124</t>
  </si>
  <si>
    <t>ROYAL NISSAN LLC</t>
  </si>
  <si>
    <t>T-14486</t>
  </si>
  <si>
    <t>Tipotex Chevrolet</t>
  </si>
  <si>
    <t>T-10658</t>
  </si>
  <si>
    <t>Walker Acura</t>
  </si>
  <si>
    <t>T-6768</t>
  </si>
  <si>
    <t>BATES NISSAN INC.</t>
  </si>
  <si>
    <t>T-1027</t>
  </si>
  <si>
    <t>BANNER CHEVROLET</t>
  </si>
  <si>
    <t>T-3829</t>
  </si>
  <si>
    <t>Davis Chevrolet</t>
  </si>
  <si>
    <t>T-3904</t>
  </si>
  <si>
    <t>LAKESIDE TOYOTA</t>
  </si>
  <si>
    <t>T-4096</t>
  </si>
  <si>
    <t>DIFFEE FORD LINCOLN</t>
  </si>
  <si>
    <t>T-9255</t>
  </si>
  <si>
    <t>Roger Beasley (Mazda South)</t>
  </si>
  <si>
    <t>T-15127</t>
  </si>
  <si>
    <t>PEAKE BMW</t>
  </si>
  <si>
    <t>T-4209</t>
  </si>
  <si>
    <t>FREEMAN TOYOTA AND SCION</t>
  </si>
  <si>
    <t>T-3950</t>
  </si>
  <si>
    <t>BROADWAY FORD TRUCK SALES</t>
  </si>
  <si>
    <t>T-6816</t>
  </si>
  <si>
    <t>MONACO FORD</t>
  </si>
  <si>
    <t>T-4164</t>
  </si>
  <si>
    <t>FREEHOLD BUICK GMC</t>
  </si>
  <si>
    <t>T-8794</t>
  </si>
  <si>
    <t>Team Nissan - NJ</t>
  </si>
  <si>
    <t>T-7192</t>
  </si>
  <si>
    <t>Faulkner Chevrolet Cadillac Bethlehem</t>
  </si>
  <si>
    <t>T-6012</t>
  </si>
  <si>
    <t>Faulkner Cadillac Trevose</t>
  </si>
  <si>
    <t>T-6011</t>
  </si>
  <si>
    <t>ACME NISSAN</t>
  </si>
  <si>
    <t>T-7871</t>
  </si>
  <si>
    <t>BENZEL BUSCH MOTOR CORP</t>
  </si>
  <si>
    <t>T-3834</t>
  </si>
  <si>
    <t>CHERRY HILL NISSAN</t>
  </si>
  <si>
    <t>T-3881</t>
  </si>
  <si>
    <t>O'NEIL BUICK GMC</t>
  </si>
  <si>
    <t>T-4196</t>
  </si>
  <si>
    <t>Faulkner Buick Gmc</t>
  </si>
  <si>
    <t>T-9595</t>
  </si>
  <si>
    <t>Bryner Chevrolet</t>
  </si>
  <si>
    <t>T-6141</t>
  </si>
  <si>
    <t>BALISE LEXUS</t>
  </si>
  <si>
    <t>T-5632</t>
  </si>
  <si>
    <t>Downeast Toyota</t>
  </si>
  <si>
    <t>T-8300</t>
  </si>
  <si>
    <t>BARLOW CHEVROLET</t>
  </si>
  <si>
    <t>T-14485</t>
  </si>
  <si>
    <t>WOBURN TOYOTA</t>
  </si>
  <si>
    <t>T-6048</t>
  </si>
  <si>
    <t>ACURA OF MILFORD</t>
  </si>
  <si>
    <t>T-9438</t>
  </si>
  <si>
    <t>FREEHOLD HYUNDAI</t>
  </si>
  <si>
    <t>T-7985</t>
  </si>
  <si>
    <t>FAULKNER HONDA HARRISBURG</t>
  </si>
  <si>
    <t>T-10890</t>
  </si>
  <si>
    <t>PAUL CONTE CADILLAC</t>
  </si>
  <si>
    <t>T-14133</t>
  </si>
  <si>
    <t>BOB BELL CHEVROLET OF BEL AIR</t>
  </si>
  <si>
    <t>T-8998</t>
  </si>
  <si>
    <t>PARAMUS HYUNDAI</t>
  </si>
  <si>
    <t>T-9572</t>
  </si>
  <si>
    <t>Joe Basil Chevrolet</t>
  </si>
  <si>
    <t>T-9010</t>
  </si>
  <si>
    <t>COURTESY FORD INC.</t>
  </si>
  <si>
    <t>T-9857</t>
  </si>
  <si>
    <t>HILLTOP NISSAN</t>
  </si>
  <si>
    <t>T-8815</t>
  </si>
  <si>
    <t>WHITE RIVER TOYOTA</t>
  </si>
  <si>
    <t>T-9828</t>
  </si>
  <si>
    <t>HERITAGE FORD</t>
  </si>
  <si>
    <t>T-9829</t>
  </si>
  <si>
    <t>HERITAGE TOYOTA SCION</t>
  </si>
  <si>
    <t>T-9840</t>
  </si>
  <si>
    <t>REEDMAN TOLL HONDA OF DOWNINGTOWN</t>
  </si>
  <si>
    <t>T-8542</t>
  </si>
  <si>
    <t>HYANNIS HONDA</t>
  </si>
  <si>
    <t>T-5641</t>
  </si>
  <si>
    <t>LITTLETON CHEVROLET BUICK</t>
  </si>
  <si>
    <t>T-4562</t>
  </si>
  <si>
    <t>C. HARPER CHEVROLET BUICK CADILLAC</t>
  </si>
  <si>
    <t>T-8813</t>
  </si>
  <si>
    <t>PINE BELT NISSAN OF TOMS RIVER</t>
  </si>
  <si>
    <t>T-14164</t>
  </si>
  <si>
    <t>PINE BELT NISSAN OF KEYPORT</t>
  </si>
  <si>
    <t>T-14163</t>
  </si>
  <si>
    <t>Towne Mazda - NY</t>
  </si>
  <si>
    <t>T-6041</t>
  </si>
  <si>
    <t>POHANKA LEXUS</t>
  </si>
  <si>
    <t>T-6485</t>
  </si>
  <si>
    <t>Grieco Honda</t>
  </si>
  <si>
    <t>T-3988</t>
  </si>
  <si>
    <t>COUNTRY NISSAN</t>
  </si>
  <si>
    <t>T-3894</t>
  </si>
  <si>
    <t>North Penn Mazda</t>
  </si>
  <si>
    <t>T-14785</t>
  </si>
  <si>
    <t>BURLINGTON VW</t>
  </si>
  <si>
    <t>T-13604</t>
  </si>
  <si>
    <t>Rallye Lexus</t>
  </si>
  <si>
    <t>T-4568</t>
  </si>
  <si>
    <t>TOWNE CHRYSLER DODGE JEEP</t>
  </si>
  <si>
    <t>T-7889</t>
  </si>
  <si>
    <t>FAULKNER SUBARU HARRISBURG</t>
  </si>
  <si>
    <t>T-8093</t>
  </si>
  <si>
    <t>WEST END NISSAN</t>
  </si>
  <si>
    <t>T-10889</t>
  </si>
  <si>
    <t>SILVERHILL ACURA</t>
  </si>
  <si>
    <t>T-8777</t>
  </si>
  <si>
    <t>Discovery Honda</t>
  </si>
  <si>
    <t>T-15063</t>
  </si>
  <si>
    <t>South 20 Dodge</t>
  </si>
  <si>
    <t>T-9600</t>
  </si>
  <si>
    <t>WEST SIDE ACURA</t>
  </si>
  <si>
    <t>T-10673</t>
  </si>
  <si>
    <t>BETTEN IMPORTS INC</t>
  </si>
  <si>
    <t>T-15508</t>
  </si>
  <si>
    <t>POHANKA HYUNDAI OF CAPITOL HEIGHTS</t>
  </si>
  <si>
    <t>T-13808</t>
  </si>
  <si>
    <t>POHANKA HONDA CAPITOL HEIGHTS</t>
  </si>
  <si>
    <t>T-13809</t>
  </si>
  <si>
    <t>KOOL CHEVROLET</t>
  </si>
  <si>
    <t>T-9839</t>
  </si>
  <si>
    <t>RICART FORD MITSUBISHI NISSAN KIA HYUNDAI</t>
  </si>
  <si>
    <t>T-9007</t>
  </si>
  <si>
    <t>Ricart Nissan</t>
  </si>
  <si>
    <t>T-8968</t>
  </si>
  <si>
    <t>HAMILTON NISSAN</t>
  </si>
  <si>
    <t>T-8989</t>
  </si>
  <si>
    <t>LARICHE CHEVY CADILLAC INC</t>
  </si>
  <si>
    <t>T-5631</t>
  </si>
  <si>
    <t>HILLVIEW MOTORS</t>
  </si>
  <si>
    <t>T-8098</t>
  </si>
  <si>
    <t>BUSAM NISSAN</t>
  </si>
  <si>
    <t>T-15065</t>
  </si>
  <si>
    <t>COURTESY MOTOR SALES INC</t>
  </si>
  <si>
    <t>T-14529</t>
  </si>
  <si>
    <t>Bowser GM</t>
  </si>
  <si>
    <t>T-14450</t>
  </si>
  <si>
    <t>Dave Gill Chevrolet</t>
  </si>
  <si>
    <t>T-10926</t>
  </si>
  <si>
    <t>RICKENBAUGH CADILLAC VOLVO</t>
  </si>
  <si>
    <t>T-8974</t>
  </si>
  <si>
    <t>PACIFIC HONDA</t>
  </si>
  <si>
    <t>T-8291</t>
  </si>
  <si>
    <t>Dennis Dillon Mazda Kia</t>
  </si>
  <si>
    <t>T-9469</t>
  </si>
  <si>
    <t>MCCURLEY INTEGRITY CHEVROLET CADILLAC MAZDA</t>
  </si>
  <si>
    <t>T-4137</t>
  </si>
  <si>
    <t>CASCADE AUTOCENTER</t>
  </si>
  <si>
    <t>T-8109</t>
  </si>
  <si>
    <t>Cascade Subaru</t>
  </si>
  <si>
    <t>T-7998</t>
  </si>
  <si>
    <t>Morehart Chevrolet Co</t>
  </si>
  <si>
    <t>T-7453</t>
  </si>
  <si>
    <t>MAUI TOYOTA (M-75)</t>
  </si>
  <si>
    <t>T-4533</t>
  </si>
  <si>
    <t>T-4373</t>
  </si>
  <si>
    <t>WESTERN SLOPE AUTO CO. 2</t>
  </si>
  <si>
    <t>T-13835</t>
  </si>
  <si>
    <t>MIKE HALE ACURA</t>
  </si>
  <si>
    <t>T-10619</t>
  </si>
  <si>
    <t>RED NOLAND CADILLAC</t>
  </si>
  <si>
    <t>T-14497</t>
  </si>
  <si>
    <t>YOUNG BUICK GMC - Layton</t>
  </si>
  <si>
    <t>T-9613</t>
  </si>
  <si>
    <t>CUTTER CHEVROLET</t>
  </si>
  <si>
    <t>T-10651</t>
  </si>
  <si>
    <t>HONDA AUTO CENTER OF BELLEVUE</t>
  </si>
  <si>
    <t>T-10922</t>
  </si>
  <si>
    <t>HONDA OF KIRKLAND</t>
  </si>
  <si>
    <t>T-9855</t>
  </si>
  <si>
    <t>JON HALL CHEVROLET</t>
  </si>
  <si>
    <t>T-13811</t>
  </si>
  <si>
    <t>CENTURY BUICK GMC</t>
  </si>
  <si>
    <t>T-9588</t>
  </si>
  <si>
    <t>PINE BELT CADILLAC OF TOMS RIVER</t>
  </si>
  <si>
    <t>T-13579</t>
  </si>
  <si>
    <t>FAIRWAY FORD INC.</t>
  </si>
  <si>
    <t>T-10625</t>
  </si>
  <si>
    <t>ST. CATHARINES VOLKSWAGEN</t>
  </si>
  <si>
    <t>T-14806</t>
  </si>
  <si>
    <t>O'CONNOR CHEVROLET BUICK GMC CADILLAC</t>
  </si>
  <si>
    <t>T-9262</t>
  </si>
  <si>
    <t>DAVIS MOORE CHRYSLER DODGE JEEP RAM FIAT</t>
  </si>
  <si>
    <t>T-14151</t>
  </si>
  <si>
    <t>WESTLIE MOTOR COMPANY</t>
  </si>
  <si>
    <t>T-14809</t>
  </si>
  <si>
    <t>LENZEN CHEVROLET</t>
  </si>
  <si>
    <t>T-13754</t>
  </si>
  <si>
    <t>JACK DANIELS VOLKSWAGEN</t>
  </si>
  <si>
    <t>T-4022</t>
  </si>
  <si>
    <t>DAVE SYVERSON AUTO MALL</t>
  </si>
  <si>
    <t>T-15520</t>
  </si>
  <si>
    <t>UNIVERSITY VOLVO</t>
  </si>
  <si>
    <t>T-4353</t>
  </si>
  <si>
    <t>O'DANIEL MOTOR SALES - IN</t>
  </si>
  <si>
    <t>T-13335</t>
  </si>
  <si>
    <t>O'Daniel Motor Sales CDJR</t>
  </si>
  <si>
    <t>T-14154</t>
  </si>
  <si>
    <t>JOE HOLLAND CHEVROLET</t>
  </si>
  <si>
    <t>T-7175</t>
  </si>
  <si>
    <t>TOMBALL FORD</t>
  </si>
  <si>
    <t>T-15071</t>
  </si>
  <si>
    <t>Johnson Sewell Ford</t>
  </si>
  <si>
    <t>T-10886</t>
  </si>
  <si>
    <t>JIM FISHER VOLVO</t>
  </si>
  <si>
    <t>T-8820</t>
  </si>
  <si>
    <t>Woodall Automotive Group</t>
  </si>
  <si>
    <t>T-7454</t>
  </si>
  <si>
    <t>MARSHAL MIZE FORD INC</t>
  </si>
  <si>
    <t>T-13751</t>
  </si>
  <si>
    <t>Dimmitt Automotive Clearwater</t>
  </si>
  <si>
    <t>T-3908</t>
  </si>
  <si>
    <t>DIMMITT LUXURY</t>
  </si>
  <si>
    <t>T-3910</t>
  </si>
  <si>
    <t>JOE RIZZA FORD LINCOLN</t>
  </si>
  <si>
    <t>T-14802</t>
  </si>
  <si>
    <t>HAAG FORD SALES</t>
  </si>
  <si>
    <t>T-15521</t>
  </si>
  <si>
    <t>ROUTE 46 AUTOMALL</t>
  </si>
  <si>
    <t>T-5639</t>
  </si>
  <si>
    <t>NICK CHEVROLET</t>
  </si>
  <si>
    <t>T-10891</t>
  </si>
  <si>
    <t>PLAZA FORD</t>
  </si>
  <si>
    <t>T-15098</t>
  </si>
  <si>
    <t>ALEXANDER TOYOTA</t>
  </si>
  <si>
    <t>T-3805</t>
  </si>
  <si>
    <t>POYNTER CHEVROLET BUICK CADILLAC GMC TRUCK</t>
  </si>
  <si>
    <t>T-13593</t>
  </si>
  <si>
    <t>WILCOXSON BUICK CADILLAC GMC</t>
  </si>
  <si>
    <t>T-8298</t>
  </si>
  <si>
    <t>DAVE KEHL CHEVROLET INC.</t>
  </si>
  <si>
    <t>T-9575</t>
  </si>
  <si>
    <t>COURTESY FORD LINCOLN</t>
  </si>
  <si>
    <t>T-13755</t>
  </si>
  <si>
    <t>FOWLER HYUNDAI</t>
  </si>
  <si>
    <t>T-9290</t>
  </si>
  <si>
    <t>LEE CHEVROLET BUICK</t>
  </si>
  <si>
    <t>T-9005</t>
  </si>
  <si>
    <t>WICKSTROM FORD LINCOLN</t>
  </si>
  <si>
    <t>T-15491</t>
  </si>
  <si>
    <t>Dewey Barber Chevrolet</t>
  </si>
  <si>
    <t>T-9862</t>
  </si>
  <si>
    <t>Balise Nissan of West Springfield</t>
  </si>
  <si>
    <t>T-6493</t>
  </si>
  <si>
    <t>NORTH STAR BUICK GMC</t>
  </si>
  <si>
    <t>T-9445</t>
  </si>
  <si>
    <t>PACIFICO HYUNDAI MAZDA</t>
  </si>
  <si>
    <t>T-4198</t>
  </si>
  <si>
    <t>GRANGER CHEVROLET</t>
  </si>
  <si>
    <t>T-14795</t>
  </si>
  <si>
    <t>NAPOLI NISSAN</t>
  </si>
  <si>
    <t>T-4175</t>
  </si>
  <si>
    <t>Markham Mazda</t>
  </si>
  <si>
    <t>T-13316</t>
  </si>
  <si>
    <t>CHEVROLET BUICK GMC OF ROME</t>
  </si>
  <si>
    <t>T-7999</t>
  </si>
  <si>
    <t>MULLINAX FORD OF CENTRAL FLORIDA</t>
  </si>
  <si>
    <t>T-16168</t>
  </si>
  <si>
    <t>NAPOLI KIA</t>
  </si>
  <si>
    <t>T-4174</t>
  </si>
  <si>
    <t>Pacific Volkswagen</t>
  </si>
  <si>
    <t>T-14824</t>
  </si>
  <si>
    <t>TOYOTA SCION OF HOLLYWOOD .2</t>
  </si>
  <si>
    <t>T-14823</t>
  </si>
  <si>
    <t>DEEL SALES VOLKSWAGEN</t>
  </si>
  <si>
    <t>T-3905</t>
  </si>
  <si>
    <t>RICK CASE AUDI HYUNDAI</t>
  </si>
  <si>
    <t>T-10924</t>
  </si>
  <si>
    <t>FREEMAN BUICK GMC</t>
  </si>
  <si>
    <t>T-7877</t>
  </si>
  <si>
    <t>BIGHORN MOTORS</t>
  </si>
  <si>
    <t>T-3839</t>
  </si>
  <si>
    <t>SCHUMACHER SUBARU OF WEST PALM BEACH</t>
  </si>
  <si>
    <t>T-4278</t>
  </si>
  <si>
    <t>TOYOTA OF WATERTOWN</t>
  </si>
  <si>
    <t>T-14794</t>
  </si>
  <si>
    <t>F.C. KERBECK</t>
  </si>
  <si>
    <t>T-3924</t>
  </si>
  <si>
    <t>MACDONALD KIA</t>
  </si>
  <si>
    <t>T-14131</t>
  </si>
  <si>
    <t>Pohanka Honda Of Salisbury</t>
  </si>
  <si>
    <t>T-6156</t>
  </si>
  <si>
    <t>RICK CASE HYUNDAI - PLANTATION</t>
  </si>
  <si>
    <t>T-10910</t>
  </si>
  <si>
    <t>DELANO CHEVROLET BUICK GMC</t>
  </si>
  <si>
    <t>T-3906</t>
  </si>
  <si>
    <t>MODERN TOYOTA</t>
  </si>
  <si>
    <t>T-5736</t>
  </si>
  <si>
    <t>Modern Nissan of Winston Salem</t>
  </si>
  <si>
    <t>T-7185</t>
  </si>
  <si>
    <t>Wilson Chevrolet, Inc</t>
  </si>
  <si>
    <t>T-13332</t>
  </si>
  <si>
    <t>WEBB AUTOMOTIVE</t>
  </si>
  <si>
    <t>T-4368</t>
  </si>
  <si>
    <t>SUNTRUP FORD WESTPORT</t>
  </si>
  <si>
    <t>T-9784</t>
  </si>
  <si>
    <t>BASIL CHEVROLET BUICK CADILLAC</t>
  </si>
  <si>
    <t>T-5645</t>
  </si>
  <si>
    <t>NORTHTOWN MAZDA</t>
  </si>
  <si>
    <t>T-4192</t>
  </si>
  <si>
    <t>LIBERTY TOYOTA</t>
  </si>
  <si>
    <t>T-5937</t>
  </si>
  <si>
    <t>SHORE TOYOTA</t>
  </si>
  <si>
    <t>T-6038</t>
  </si>
  <si>
    <t>Middletown Toyota</t>
  </si>
  <si>
    <t>T-11268</t>
  </si>
  <si>
    <t>Preston Ford</t>
  </si>
  <si>
    <t>T-4235</t>
  </si>
  <si>
    <t>WEST BROAD VW KIA</t>
  </si>
  <si>
    <t>T-4372</t>
  </si>
  <si>
    <t>FREEHOLD DODGE SUBARU</t>
  </si>
  <si>
    <t>T-7978</t>
  </si>
  <si>
    <t>NISSAN OF WINDSOR</t>
  </si>
  <si>
    <t>T-9610</t>
  </si>
  <si>
    <t>Dyer Mazda Subaru</t>
  </si>
  <si>
    <t>T-3919</t>
  </si>
  <si>
    <t>The Audi Exchange Highland Park</t>
  </si>
  <si>
    <t>T-13320</t>
  </si>
  <si>
    <t>THE PORSCHE EXCHANGE</t>
  </si>
  <si>
    <t>T-13325</t>
  </si>
  <si>
    <t>KEN GANLEY FORD NORTON</t>
  </si>
  <si>
    <t>T-13823</t>
  </si>
  <si>
    <t>CAR PROS KIA GLENDALE</t>
  </si>
  <si>
    <t>T-9134</t>
  </si>
  <si>
    <t>JIM RIEHLS FRIENDLY AUTOMOTIVE</t>
  </si>
  <si>
    <t>T-9852</t>
  </si>
  <si>
    <t>WILKINSON AUTOMOTIVE</t>
  </si>
  <si>
    <t>T-10643</t>
  </si>
  <si>
    <t>MODERN CHEVROLET</t>
  </si>
  <si>
    <t>T-7177</t>
  </si>
  <si>
    <t>Cavenaugh Hyundai</t>
  </si>
  <si>
    <t>T-15517</t>
  </si>
  <si>
    <t>CAVENAUGH FORD LINCOLN</t>
  </si>
  <si>
    <t>T-15516</t>
  </si>
  <si>
    <t>CAVENAUGH GM SUPERCENTER</t>
  </si>
  <si>
    <t>T-15073</t>
  </si>
  <si>
    <t>UPTOWN CHEVROLET</t>
  </si>
  <si>
    <t>T-10604</t>
  </si>
  <si>
    <t>GORDIE BOUCHER FORD LINCOLN OF WEST BEND</t>
  </si>
  <si>
    <t>T-3976</t>
  </si>
  <si>
    <t>BOUCHER VOLKSWAGEN MARKETPLACE</t>
  </si>
  <si>
    <t>T-3857</t>
  </si>
  <si>
    <t>KENDALL TOYOTA</t>
  </si>
  <si>
    <t>T-6819</t>
  </si>
  <si>
    <t>LOMBARD TOYOTA</t>
  </si>
  <si>
    <t>T-14130</t>
  </si>
  <si>
    <t>JAY WOLFE HONDA</t>
  </si>
  <si>
    <t>T-16184</t>
  </si>
  <si>
    <t>INFINITI OF SOUTH ATLANTA</t>
  </si>
  <si>
    <t>T-4013</t>
  </si>
  <si>
    <t>Toyota World of Newton</t>
  </si>
  <si>
    <t>T-7890</t>
  </si>
  <si>
    <t>DON VALLEY VOLKSWAGEN</t>
  </si>
  <si>
    <t>T-14792</t>
  </si>
  <si>
    <t>RICK CASE HONDA - WESTON</t>
  </si>
  <si>
    <t>T-13338</t>
  </si>
  <si>
    <t>INFINITI OF THE PALM BEACHES</t>
  </si>
  <si>
    <t>T-4014</t>
  </si>
  <si>
    <t>FOUNTAIN AUTO MALL</t>
  </si>
  <si>
    <t>T-3943</t>
  </si>
  <si>
    <t>BARLOW BUICK GMC OF WOODBURY</t>
  </si>
  <si>
    <t>T-14495</t>
  </si>
  <si>
    <t>HAROLD GWATNEY CHEVROLET</t>
  </si>
  <si>
    <t>T-9132</t>
  </si>
  <si>
    <t>RICK CASE ACURA</t>
  </si>
  <si>
    <t>T-13596</t>
  </si>
  <si>
    <t>PORSCHE SOUTH BAY</t>
  </si>
  <si>
    <t>T-4227</t>
  </si>
  <si>
    <t>RAINBOW NORTHSHORE BUICK GMC</t>
  </si>
  <si>
    <t>T-10605</t>
  </si>
  <si>
    <t>Russ Darrow Mazda of Greenfield</t>
  </si>
  <si>
    <t>T-15532</t>
  </si>
  <si>
    <t>JAY WOLFE TOYOTA SCION</t>
  </si>
  <si>
    <t>T-16182</t>
  </si>
  <si>
    <t>PORT LAVACA FORD</t>
  </si>
  <si>
    <t>T-7457</t>
  </si>
  <si>
    <t>WESTWOOD HONDA</t>
  </si>
  <si>
    <t>T-14513</t>
  </si>
  <si>
    <t>TOWNE CHEVROLET, INC</t>
  </si>
  <si>
    <t>T-7888</t>
  </si>
  <si>
    <t>BANNER FORD</t>
  </si>
  <si>
    <t>T-3830</t>
  </si>
  <si>
    <t>KEN POLLOCK AUTO GROUP</t>
  </si>
  <si>
    <t>T-4078</t>
  </si>
  <si>
    <t>TIM MARBURGER HONDA</t>
  </si>
  <si>
    <t>T-8029</t>
  </si>
  <si>
    <t>TOYOTA OF BERKELEY</t>
  </si>
  <si>
    <t>T-4339</t>
  </si>
  <si>
    <t>Classic Chevrolet - Denison TX</t>
  </si>
  <si>
    <t>T-8805</t>
  </si>
  <si>
    <t>Erin Mills Mazda</t>
  </si>
  <si>
    <t>T-9596</t>
  </si>
  <si>
    <t>LIBERTY CHEVROLET - GA</t>
  </si>
  <si>
    <t>T-9436</t>
  </si>
  <si>
    <t>Rick Case Mazda</t>
  </si>
  <si>
    <t>T-13763</t>
  </si>
  <si>
    <t>SHERWOOD CHEVROLET BUICK GMC</t>
  </si>
  <si>
    <t>T-13577</t>
  </si>
  <si>
    <t>BRIAN HOSKINS FORD</t>
  </si>
  <si>
    <t>T-4451</t>
  </si>
  <si>
    <t>Port Lavaca CDJR</t>
  </si>
  <si>
    <t>T-7223</t>
  </si>
  <si>
    <t>LEGACY NISSAN</t>
  </si>
  <si>
    <t>T-7975</t>
  </si>
  <si>
    <t>BOAST VOLKSWAGEN</t>
  </si>
  <si>
    <t>T-5676</t>
  </si>
  <si>
    <t>BASIL TOYOTA</t>
  </si>
  <si>
    <t>T-5646</t>
  </si>
  <si>
    <t>KROSS MITSUBISHI</t>
  </si>
  <si>
    <t>T-8786</t>
  </si>
  <si>
    <t>PERFORMANCE MERCEDES-BENZ</t>
  </si>
  <si>
    <t>T-14805</t>
  </si>
  <si>
    <t>VOLKSWAGEN SOUTH TOWNE</t>
  </si>
  <si>
    <t>T-8546</t>
  </si>
  <si>
    <t>TOYOTA SANTA MONICA</t>
  </si>
  <si>
    <t>T-14822</t>
  </si>
  <si>
    <t>Dick Smith INFINITI of Columbia</t>
  </si>
  <si>
    <t>T-6803</t>
  </si>
  <si>
    <t>KREBS DODGE CHRYSLER JEEP RAM</t>
  </si>
  <si>
    <t>T-13585</t>
  </si>
  <si>
    <t>RICK CASE HYUNDAI</t>
  </si>
  <si>
    <t>T-10903</t>
  </si>
  <si>
    <t>Dutchess Chrysler Dodge Jeep Kia</t>
  </si>
  <si>
    <t>T-7448</t>
  </si>
  <si>
    <t>AIRPORT MARINA FORD</t>
  </si>
  <si>
    <t>T-1021</t>
  </si>
  <si>
    <t>BUD SMAIL FORD LINCOLN MAZDA</t>
  </si>
  <si>
    <t>T-4290</t>
  </si>
  <si>
    <t>Raceway Chevrolet of Bethlehem</t>
  </si>
  <si>
    <t>T-9581</t>
  </si>
  <si>
    <t>MERCEDES BENZ OF SAN FRANCISCO</t>
  </si>
  <si>
    <t>T-4149</t>
  </si>
  <si>
    <t>WALLY EDGAR CHEVROLET</t>
  </si>
  <si>
    <t>T-14168</t>
  </si>
  <si>
    <t>NORTH BAY CADILLAC BUICK GMC CERTIFIED SERVICE CENTER</t>
  </si>
  <si>
    <t>T-14816</t>
  </si>
  <si>
    <t>SCHUMACHER BUICK GMC OF NORTH PALM BEACH</t>
  </si>
  <si>
    <t>T-4274</t>
  </si>
  <si>
    <t>SCHUMACHER VOLKSWAGEN OF WEST PALM BEACH</t>
  </si>
  <si>
    <t>T-4280</t>
  </si>
  <si>
    <t>BILLION CHEVROLET</t>
  </si>
  <si>
    <t>T-10647</t>
  </si>
  <si>
    <t>FAJARDO FORD INC.</t>
  </si>
  <si>
    <t>T-11239</t>
  </si>
  <si>
    <t>HALDEMAN LEXUS OF PRINCETON</t>
  </si>
  <si>
    <t>T-6184</t>
  </si>
  <si>
    <t>YOUNGER NISSAN OF FREDERICK</t>
  </si>
  <si>
    <t>T-6482</t>
  </si>
  <si>
    <t>JOHNSON LEXUS OF RALEIGH</t>
  </si>
  <si>
    <t>T-4070</t>
  </si>
  <si>
    <t>JOHN AMATO HYUNDAI OF GLENDALE</t>
  </si>
  <si>
    <t>T-14138</t>
  </si>
  <si>
    <t>FRIENDSHIP HYUNDAI OF BRISTOL</t>
  </si>
  <si>
    <t>T-3958</t>
  </si>
  <si>
    <t>MONTGOMERYVILLE NISSAN</t>
  </si>
  <si>
    <t>T-4167</t>
  </si>
  <si>
    <t>MAZDA OF KNOXVILLE</t>
  </si>
  <si>
    <t>T-4133</t>
  </si>
  <si>
    <t>Northshore VW</t>
  </si>
  <si>
    <t>T-6766</t>
  </si>
  <si>
    <t>Helms Bros. Mercedes</t>
  </si>
  <si>
    <t>T-6807</t>
  </si>
  <si>
    <t>RUSS DARROW DIRECT</t>
  </si>
  <si>
    <t>T-4260</t>
  </si>
  <si>
    <t>Cavenaugh Hyundai of Hot Springs</t>
  </si>
  <si>
    <t>T-15515</t>
  </si>
  <si>
    <t>Feldman Chevrolet of Lansing</t>
  </si>
  <si>
    <t>T-15507</t>
  </si>
  <si>
    <t>Schoner Chevrolet</t>
  </si>
  <si>
    <t>T-4273</t>
  </si>
  <si>
    <t>WILLIAMSON CADILLAC CO</t>
  </si>
  <si>
    <t>T-11256</t>
  </si>
  <si>
    <t>WESTON NISSAN VOLVO</t>
  </si>
  <si>
    <t>T-8096</t>
  </si>
  <si>
    <t>MODERN TOYOTA OF BOONE</t>
  </si>
  <si>
    <t>T-5737</t>
  </si>
  <si>
    <t>SPARKS TOYOTA</t>
  </si>
  <si>
    <t>T-6782</t>
  </si>
  <si>
    <t>SANDS CHEVROLET GLENDALE</t>
  </si>
  <si>
    <t>T-7462</t>
  </si>
  <si>
    <t>Blasius Chevrolet</t>
  </si>
  <si>
    <t>T-6450</t>
  </si>
  <si>
    <t>BOB BELL CHEVROLET OF BALTIMORE</t>
  </si>
  <si>
    <t>T-8814</t>
  </si>
  <si>
    <t>CAUSEWAY FORD LINCOLN</t>
  </si>
  <si>
    <t>T-8294</t>
  </si>
  <si>
    <t>Notbohm Motors Chevrolet</t>
  </si>
  <si>
    <t>T-9860</t>
  </si>
  <si>
    <t>MIKE CASTRUCCI CHEVROLET</t>
  </si>
  <si>
    <t>T-14172</t>
  </si>
  <si>
    <t>Port Lavaca Chevrolet</t>
  </si>
  <si>
    <t>T-7216</t>
  </si>
  <si>
    <t>CMA's Volvo Cars of Charlottesville</t>
  </si>
  <si>
    <t>T-7441</t>
  </si>
  <si>
    <t>CMA's Colonial Chevrolet</t>
  </si>
  <si>
    <t>T-6810</t>
  </si>
  <si>
    <t>NORTH STAR CHEVROLET</t>
  </si>
  <si>
    <t>T-9431</t>
  </si>
  <si>
    <t>PACIFICO FORD</t>
  </si>
  <si>
    <t>T-4197</t>
  </si>
  <si>
    <t>JACK DANIELS PORSCHE</t>
  </si>
  <si>
    <t>T-4021</t>
  </si>
  <si>
    <t>BRIGHTON FORD INC</t>
  </si>
  <si>
    <t>T-14492</t>
  </si>
  <si>
    <t>GENTILINI FORD</t>
  </si>
  <si>
    <t>T-13337</t>
  </si>
  <si>
    <t>WRIGHT AUTOMOTIVE GROUP</t>
  </si>
  <si>
    <t>T-13810</t>
  </si>
  <si>
    <t>STEVENS FORD - OK</t>
  </si>
  <si>
    <t>T-15486</t>
  </si>
  <si>
    <t>HEALEY CHRYSLER DODGE JEEP</t>
  </si>
  <si>
    <t>T-10904</t>
  </si>
  <si>
    <t>HEALEY FORD LINCOLN</t>
  </si>
  <si>
    <t>T-5687</t>
  </si>
  <si>
    <t>Mercedes-Benz of Tri-Cities</t>
  </si>
  <si>
    <t>T-13819</t>
  </si>
  <si>
    <t>427 QEW KIA</t>
  </si>
  <si>
    <t>T-15093</t>
  </si>
  <si>
    <t>RUSS DARROW KIA WAUWATOSA</t>
  </si>
  <si>
    <t>T-4262</t>
  </si>
  <si>
    <t>FRONTIER TOYOTA</t>
  </si>
  <si>
    <t>T-4571</t>
  </si>
  <si>
    <t>GORDIE BOUCHER FORD OF MENOMONEE FALLS</t>
  </si>
  <si>
    <t>T-3978</t>
  </si>
  <si>
    <t>JOHNSON LEXUS OF DURHAM</t>
  </si>
  <si>
    <t>T-4069</t>
  </si>
  <si>
    <t>GORDIE BOUCHER FORD OF KENOSHA</t>
  </si>
  <si>
    <t>T-3977</t>
  </si>
  <si>
    <t>HONDA OF SUPERSTITION SPRINGS</t>
  </si>
  <si>
    <t>T-4003</t>
  </si>
  <si>
    <t>LOW COUNTRY VW</t>
  </si>
  <si>
    <t>T-9783</t>
  </si>
  <si>
    <t>GENERATION HYUNDAI</t>
  </si>
  <si>
    <t>T-14499</t>
  </si>
  <si>
    <t>TAYLOR FORD</t>
  </si>
  <si>
    <t>T-8990</t>
  </si>
  <si>
    <t>TERRY REID HYUNDAI</t>
  </si>
  <si>
    <t>T-15529</t>
  </si>
  <si>
    <t>BILLION SOUTHTOWN INC.</t>
  </si>
  <si>
    <t>T-3843</t>
  </si>
  <si>
    <t>FINNEGAN CHRYSLER JEEP DODGE</t>
  </si>
  <si>
    <t>T-9289</t>
  </si>
  <si>
    <t>FOREST CITY HONDA</t>
  </si>
  <si>
    <t>T-8004</t>
  </si>
  <si>
    <t>COURTESY AUTOMOTIVE</t>
  </si>
  <si>
    <t>T-13592</t>
  </si>
  <si>
    <t>RICK CASE HYUNDAI - WESTON</t>
  </si>
  <si>
    <t>T-10902</t>
  </si>
  <si>
    <t>Grappone Honda</t>
  </si>
  <si>
    <t>T-3983</t>
  </si>
  <si>
    <t>GRAPPONE FORD</t>
  </si>
  <si>
    <t>T-3982</t>
  </si>
  <si>
    <t>Grappone Mazda</t>
  </si>
  <si>
    <t>T-7227</t>
  </si>
  <si>
    <t>CAVENAUGH KIA</t>
  </si>
  <si>
    <t>T-15101</t>
  </si>
  <si>
    <t>TOWNE HYUNDAI - NY</t>
  </si>
  <si>
    <t>T-6040</t>
  </si>
  <si>
    <t>BIONDI MOTOR COMPANY</t>
  </si>
  <si>
    <t>T-14804</t>
  </si>
  <si>
    <t>BOB BRADY DODGE</t>
  </si>
  <si>
    <t>T-8547</t>
  </si>
  <si>
    <t>MARCHANT CHEVROLET</t>
  </si>
  <si>
    <t>T-8986</t>
  </si>
  <si>
    <t>GREAT LAKES HYUNDAI</t>
  </si>
  <si>
    <t>T-10899</t>
  </si>
  <si>
    <t>FRANK BOUCHER CHRYSLER DODGE JEEP VOLKSWAGEN OF JANESVILLE</t>
  </si>
  <si>
    <t>T-3946</t>
  </si>
  <si>
    <t>FAULKNER SUBARU BETHLEHEM</t>
  </si>
  <si>
    <t>T-8090</t>
  </si>
  <si>
    <t>PORSCHE OF COLORADO SPRINGS</t>
  </si>
  <si>
    <t>T-16223</t>
  </si>
  <si>
    <t>NISSAN OF SANTA ROSA</t>
  </si>
  <si>
    <t>T-9845</t>
  </si>
  <si>
    <t>CLASSIC BUICK GMC ARLINGTON</t>
  </si>
  <si>
    <t>T-3883</t>
  </si>
  <si>
    <t>WARRENSBURG FORD</t>
  </si>
  <si>
    <t>T-4366</t>
  </si>
  <si>
    <t>BOB SIGHT INDEPENDENCE KIA</t>
  </si>
  <si>
    <t>T-6780</t>
  </si>
  <si>
    <t>JAGUAR LAND ROVER PRINCETON SERVICE CENTER</t>
  </si>
  <si>
    <t>T-6170</t>
  </si>
  <si>
    <t>PREMIER TOYOTA</t>
  </si>
  <si>
    <t>T-5707</t>
  </si>
  <si>
    <t>CROSS CREEK SUBARU</t>
  </si>
  <si>
    <t>T-13330</t>
  </si>
  <si>
    <t>JACK DANIELS AUDI OF UPPER SADDLE RIVER</t>
  </si>
  <si>
    <t>T-4019</t>
  </si>
  <si>
    <t>FINDLAY CADILLAC</t>
  </si>
  <si>
    <t>T-3927</t>
  </si>
  <si>
    <t>Apple Ford</t>
  </si>
  <si>
    <t>T-14455</t>
  </si>
  <si>
    <t>LIBERTYVILLE CHEVROLET, INC.</t>
  </si>
  <si>
    <t>T-14472</t>
  </si>
  <si>
    <t>TETON TOYOTA INC.</t>
  </si>
  <si>
    <t>T-11259</t>
  </si>
  <si>
    <t>BOB BROWN BUICK GMC</t>
  </si>
  <si>
    <t>T-10679</t>
  </si>
  <si>
    <t>BUZZ CHEW CHEVROLET CADILLAC INC.</t>
  </si>
  <si>
    <t>T-10677</t>
  </si>
  <si>
    <t>Brown Chevrolet Buick GMC of Eagle Pass</t>
  </si>
  <si>
    <t>T-9864</t>
  </si>
  <si>
    <t>ALL AMERICAN FORD OF PARAMUS</t>
  </si>
  <si>
    <t>T-16180</t>
  </si>
  <si>
    <t>KIA OF OLD SAYBROOK</t>
  </si>
  <si>
    <t>T-9574</t>
  </si>
  <si>
    <t>Mazda of North Miami</t>
  </si>
  <si>
    <t>T-8804</t>
  </si>
  <si>
    <t>Bowser Hyundai of Chippewa</t>
  </si>
  <si>
    <t>T-14782</t>
  </si>
  <si>
    <t>HELLMAN CHEVROLET BUICK</t>
  </si>
  <si>
    <t>T-14149</t>
  </si>
  <si>
    <t>KEN POLLOCK NISSAN</t>
  </si>
  <si>
    <t>T-4079</t>
  </si>
  <si>
    <t>WACONIA DODGE</t>
  </si>
  <si>
    <t>T-10898</t>
  </si>
  <si>
    <t>METROPOLITAN FORD</t>
  </si>
  <si>
    <t>T-8023</t>
  </si>
  <si>
    <t>TRI COUNTY LEXUS</t>
  </si>
  <si>
    <t>T-4347</t>
  </si>
  <si>
    <t>Hansel BMW of Santa Rosa</t>
  </si>
  <si>
    <t>T-6808</t>
  </si>
  <si>
    <t>TOYOTA OF BOARDMAN</t>
  </si>
  <si>
    <t>T-7887</t>
  </si>
  <si>
    <t>TOYOTA DE BAYAMON</t>
  </si>
  <si>
    <t>T-4337</t>
  </si>
  <si>
    <t>FRIENDSHIP HYUNDAI OF JOHNSON CITY</t>
  </si>
  <si>
    <t>T-3959</t>
  </si>
  <si>
    <t>BOUCHER NISSAN</t>
  </si>
  <si>
    <t>T-3856</t>
  </si>
  <si>
    <t>PREMIER CHEVROLET GMC OF MORGANTOWN</t>
  </si>
  <si>
    <t>T-10867</t>
  </si>
  <si>
    <t>PORSCHE ANNAPOLIS</t>
  </si>
  <si>
    <t>T-4223</t>
  </si>
  <si>
    <t>Busam Subaru</t>
  </si>
  <si>
    <t>T-15064</t>
  </si>
  <si>
    <t>DAYTON TOYOTA SCION</t>
  </si>
  <si>
    <t>T-13324</t>
  </si>
  <si>
    <t>RIHM MOTOR COMPANY ALBERT LEA NEW</t>
  </si>
  <si>
    <t>T-6050</t>
  </si>
  <si>
    <t>WYNNE FORD</t>
  </si>
  <si>
    <t>T-15097</t>
  </si>
  <si>
    <t>BILL BRANDT FORD</t>
  </si>
  <si>
    <t>T-9447</t>
  </si>
  <si>
    <t>THE AUTOBARN MAZDA EVANSTON</t>
  </si>
  <si>
    <t>T-4322</t>
  </si>
  <si>
    <t>Liccardi Ford</t>
  </si>
  <si>
    <t>T-14146</t>
  </si>
  <si>
    <t>CHAMPION DODGE</t>
  </si>
  <si>
    <t>T-9856</t>
  </si>
  <si>
    <t>CAPISTRANO VOLKSWAGEN</t>
  </si>
  <si>
    <t>T-13321</t>
  </si>
  <si>
    <t>ALAN JAY FORD LINCOLN, INC.</t>
  </si>
  <si>
    <t>T-13590</t>
  </si>
  <si>
    <t>Tameron Hyundai</t>
  </si>
  <si>
    <t>T-10681</t>
  </si>
  <si>
    <t>DALE EARNHARDT CHEVROLET</t>
  </si>
  <si>
    <t>T-16206</t>
  </si>
  <si>
    <t>DICK SMITH FORD OF COLUMBIA</t>
  </si>
  <si>
    <t>T-6815</t>
  </si>
  <si>
    <t>MERCEDES-BENZ OF OAKLAND</t>
  </si>
  <si>
    <t>T-4472</t>
  </si>
  <si>
    <t>FINDLAY KIA</t>
  </si>
  <si>
    <t>T-3931</t>
  </si>
  <si>
    <t>GRIFFIN FORD</t>
  </si>
  <si>
    <t>T-7873</t>
  </si>
  <si>
    <t>MIKE CASTRUCCI FORD</t>
  </si>
  <si>
    <t>T-14797</t>
  </si>
  <si>
    <t>Suburban Chevrolet</t>
  </si>
  <si>
    <t>T-8035</t>
  </si>
  <si>
    <t>PERRY MOTORS</t>
  </si>
  <si>
    <t>T-5930</t>
  </si>
  <si>
    <t>POHANKA NISSAN SALISBURY</t>
  </si>
  <si>
    <t>T-6155</t>
  </si>
  <si>
    <t>Pohanka Toyota of Salisbury</t>
  </si>
  <si>
    <t>T-6154</t>
  </si>
  <si>
    <t>Pohanka Hyundai of Salisbury</t>
  </si>
  <si>
    <t>T-6153</t>
  </si>
  <si>
    <t>Billion Kia of Sioux City</t>
  </si>
  <si>
    <t>T-10666</t>
  </si>
  <si>
    <t>FRIENDSHIP HONDA OF BOONE</t>
  </si>
  <si>
    <t>T-3956</t>
  </si>
  <si>
    <t>HOY FAMILY AUTO</t>
  </si>
  <si>
    <t>T-4008</t>
  </si>
  <si>
    <t>RAFFERTY SUBARU</t>
  </si>
  <si>
    <t>T-4480</t>
  </si>
  <si>
    <t>SCHUMACHER LINCOLN OF DELRAY</t>
  </si>
  <si>
    <t>T-4276</t>
  </si>
  <si>
    <t>Austin Infiniti</t>
  </si>
  <si>
    <t>T-7440</t>
  </si>
  <si>
    <t>LAVERY GM SUPERSTORE</t>
  </si>
  <si>
    <t>T-11251</t>
  </si>
  <si>
    <t>Huntington Beach Mazda</t>
  </si>
  <si>
    <t>T-7432</t>
  </si>
  <si>
    <t>CAPITOL CITY BUICK GMC</t>
  </si>
  <si>
    <t>T-4563</t>
  </si>
  <si>
    <t>Chuck Hutton Chevrolet</t>
  </si>
  <si>
    <t>T-5031</t>
  </si>
  <si>
    <t>KARL KNAUZ BMW</t>
  </si>
  <si>
    <t>T-4074</t>
  </si>
  <si>
    <t>LAND ROVER LAKE BLUFF</t>
  </si>
  <si>
    <t>T-4097</t>
  </si>
  <si>
    <t>KNAUZ CONTINENTAL AUTOS</t>
  </si>
  <si>
    <t>T-4090</t>
  </si>
  <si>
    <t>KNAUZ NORTH</t>
  </si>
  <si>
    <t>T-4091</t>
  </si>
  <si>
    <t>Henderson Chevrolet</t>
  </si>
  <si>
    <t>T-14503</t>
  </si>
  <si>
    <t>CLASSIC TOYOTA OF WILKESBORO</t>
  </si>
  <si>
    <t>T-9001</t>
  </si>
  <si>
    <t>MARITIME CHEVROLET</t>
  </si>
  <si>
    <t>T-13328</t>
  </si>
  <si>
    <t>MEDINA AUTO MALL</t>
  </si>
  <si>
    <t>T-4145</t>
  </si>
  <si>
    <t>BRIGHTON FORD.2</t>
  </si>
  <si>
    <t>T-15068</t>
  </si>
  <si>
    <t>GENGRAS VOLVO</t>
  </si>
  <si>
    <t>T-14392</t>
  </si>
  <si>
    <t>MATHEWS EAST</t>
  </si>
  <si>
    <t>T-14511</t>
  </si>
  <si>
    <t>BILLION RAPID KIA</t>
  </si>
  <si>
    <t>T-10646</t>
  </si>
  <si>
    <t>SMAIL HONDA VILLAGE</t>
  </si>
  <si>
    <t>T-5635</t>
  </si>
  <si>
    <t>BUD SMAIL MOTORCARS</t>
  </si>
  <si>
    <t>T-3861</t>
  </si>
  <si>
    <t>SMAIL BUICK GMC CADILLAC</t>
  </si>
  <si>
    <t>T-5634</t>
  </si>
  <si>
    <t>SMAIL ACURA</t>
  </si>
  <si>
    <t>T-4289</t>
  </si>
  <si>
    <t>MAGGIO BUICK GMC TRUCK</t>
  </si>
  <si>
    <t>T-9846</t>
  </si>
  <si>
    <t>PORSCHE OF THE MAIN LINE</t>
  </si>
  <si>
    <t>T-4226</t>
  </si>
  <si>
    <t>BURLINGTON CHEVROLET</t>
  </si>
  <si>
    <t>T-9603</t>
  </si>
  <si>
    <t>THOROUGHBRED FORD, INC.</t>
  </si>
  <si>
    <t>T-13753</t>
  </si>
  <si>
    <t>VENTURA TOYOTA</t>
  </si>
  <si>
    <t>T-6182</t>
  </si>
  <si>
    <t>TOYOTA UNIVERSE</t>
  </si>
  <si>
    <t>T-4346</t>
  </si>
  <si>
    <t>GALAXY TOYOTA SCION</t>
  </si>
  <si>
    <t>T-3966</t>
  </si>
  <si>
    <t>HONDA UNIVERSE</t>
  </si>
  <si>
    <t>T-4004</t>
  </si>
  <si>
    <t>METRO HONDA</t>
  </si>
  <si>
    <t>T-14512</t>
  </si>
  <si>
    <t>HONDA OF TOMS RIVER</t>
  </si>
  <si>
    <t>T-9443</t>
  </si>
  <si>
    <t>MODERN HYUNDAI OF CONCORD</t>
  </si>
  <si>
    <t>T-7180</t>
  </si>
  <si>
    <t>Bowser Nissan</t>
  </si>
  <si>
    <t>T-14451</t>
  </si>
  <si>
    <t>Mercedes-Benz of Salisbury</t>
  </si>
  <si>
    <t>T-6152</t>
  </si>
  <si>
    <t>Finnegan Chevrolet</t>
  </si>
  <si>
    <t>T-9293</t>
  </si>
  <si>
    <t>CLASSIC FORD LINCOLN OF COLUMBIA</t>
  </si>
  <si>
    <t>T-9826</t>
  </si>
  <si>
    <t>KUNDERT VOLVO</t>
  </si>
  <si>
    <t>T-8110</t>
  </si>
  <si>
    <t>COUNTRY HYUNDAI</t>
  </si>
  <si>
    <t>T-3893</t>
  </si>
  <si>
    <t>Tufankjian Toyota of Braintree</t>
  </si>
  <si>
    <t>T-5899</t>
  </si>
  <si>
    <t>Dennis Dillon CDJR</t>
  </si>
  <si>
    <t>T-9271</t>
  </si>
  <si>
    <t>CAVALIER MAZDA</t>
  </si>
  <si>
    <t>T-3867</t>
  </si>
  <si>
    <t>SMAIL KIA</t>
  </si>
  <si>
    <t>T-6490</t>
  </si>
  <si>
    <t>BROGAN CADILLAC</t>
  </si>
  <si>
    <t>T-10896</t>
  </si>
  <si>
    <t>WICHITA FALLS FORD LINCOLN</t>
  </si>
  <si>
    <t>T-11277</t>
  </si>
  <si>
    <t>JOHNSON SUBARU OF CARY</t>
  </si>
  <si>
    <t>T-4072</t>
  </si>
  <si>
    <t>CAUSEWAY HONDA</t>
  </si>
  <si>
    <t>T-8518</t>
  </si>
  <si>
    <t>CAUSEWAY NISSAN</t>
  </si>
  <si>
    <t>T-8293</t>
  </si>
  <si>
    <t>LOVERING VOLVO OF NASHUA</t>
  </si>
  <si>
    <t>T-5897</t>
  </si>
  <si>
    <t>LOVERING VOLVO OF MEREDITH</t>
  </si>
  <si>
    <t>T-5896</t>
  </si>
  <si>
    <t>NORTH PENN VOLKSWAGEN</t>
  </si>
  <si>
    <t>T-14784</t>
  </si>
  <si>
    <t>PACIFICO MAZDA</t>
  </si>
  <si>
    <t>T-4199</t>
  </si>
  <si>
    <t>RANDY CURNOW BUICK GMC TRUCK</t>
  </si>
  <si>
    <t>T-13582</t>
  </si>
  <si>
    <t>HONDA OF LAKE JACKSON</t>
  </si>
  <si>
    <t>T-9136</t>
  </si>
  <si>
    <t>TEXARKANA MACK</t>
  </si>
  <si>
    <t>T-5931</t>
  </si>
  <si>
    <t>CENTURY III KIA</t>
  </si>
  <si>
    <t>T-14790</t>
  </si>
  <si>
    <t>WHITE ALLEN CHEVROLET</t>
  </si>
  <si>
    <t>T-9578</t>
  </si>
  <si>
    <t>FREEWAY FORD</t>
  </si>
  <si>
    <t>T-9138</t>
  </si>
  <si>
    <t>Rosedale Chevrolet</t>
  </si>
  <si>
    <t>T-8036</t>
  </si>
  <si>
    <t>SUPERIOR/BROOKDALE FORD</t>
  </si>
  <si>
    <t>T-9139</t>
  </si>
  <si>
    <t>HUGH WHITE HONDA</t>
  </si>
  <si>
    <t>T-7879</t>
  </si>
  <si>
    <t>WHITE ALLEN EUROPEAN AUTO GROUP</t>
  </si>
  <si>
    <t>T-4375</t>
  </si>
  <si>
    <t>WHITE ALLEN HONDA</t>
  </si>
  <si>
    <t>T-9585</t>
  </si>
  <si>
    <t>WHITE'S MOUNTAIN MOTORS</t>
  </si>
  <si>
    <t>T-9785</t>
  </si>
  <si>
    <t>STAMFORD FORD</t>
  </si>
  <si>
    <t>T-7907</t>
  </si>
  <si>
    <t>WHITE'S QUEEN CITY MOTORS</t>
  </si>
  <si>
    <t>T-16179</t>
  </si>
  <si>
    <t>GENTILINI CHEVROLET</t>
  </si>
  <si>
    <t>T-13336</t>
  </si>
  <si>
    <t>DON MEALEY CHEVROLET</t>
  </si>
  <si>
    <t>T-3911</t>
  </si>
  <si>
    <t>NISSAN OF PORTLAND</t>
  </si>
  <si>
    <t>T-4185</t>
  </si>
  <si>
    <t>T-9278</t>
  </si>
  <si>
    <t>FOLSOM LAKE HONDA</t>
  </si>
  <si>
    <t>T-3940</t>
  </si>
  <si>
    <t>ALL AMERICAN FORD SUBARU OF OLD BRIDGE</t>
  </si>
  <si>
    <t>T-14801</t>
  </si>
  <si>
    <t>BILLION CHEVROLET OF SIOUX FALLS</t>
  </si>
  <si>
    <t>T-10599</t>
  </si>
  <si>
    <t>VOLVO CARS CARLSBAD</t>
  </si>
  <si>
    <t>T-8797</t>
  </si>
  <si>
    <t>FRIENDSHIP VOLVO OF BRISTOL</t>
  </si>
  <si>
    <t>T-3964</t>
  </si>
  <si>
    <t>LOVERING VOLVO OF CONCORD</t>
  </si>
  <si>
    <t>T-5895</t>
  </si>
  <si>
    <t>SHARP AUTOMOTIVE</t>
  </si>
  <si>
    <t>T-10632</t>
  </si>
  <si>
    <t>KELLY BUICK GMC</t>
  </si>
  <si>
    <t>T-13608</t>
  </si>
  <si>
    <t>KELLY CADILLAC</t>
  </si>
  <si>
    <t>T-10908</t>
  </si>
  <si>
    <t>Kelly Ford - FL</t>
  </si>
  <si>
    <t>T-9605</t>
  </si>
  <si>
    <t>JACK DANIELS KIA</t>
  </si>
  <si>
    <t>T-4020</t>
  </si>
  <si>
    <t>COURTESY GMC BUICK CADILLAC</t>
  </si>
  <si>
    <t>T-9428</t>
  </si>
  <si>
    <t>BALLAS BUICK GMC</t>
  </si>
  <si>
    <t>T-14169</t>
  </si>
  <si>
    <t>MATHEWS FORD</t>
  </si>
  <si>
    <t>T-14505</t>
  </si>
  <si>
    <t>CENTURY KIA</t>
  </si>
  <si>
    <t>T-3879</t>
  </si>
  <si>
    <t>Roger Beasley Mazda (Georgetown)</t>
  </si>
  <si>
    <t>T-15126</t>
  </si>
  <si>
    <t>Roger Beasley (Mazda Central)</t>
  </si>
  <si>
    <t>T-15125</t>
  </si>
  <si>
    <t>FRIESEN CHEVROLET INC.</t>
  </si>
  <si>
    <t>T-9582</t>
  </si>
  <si>
    <t>BASIL FORD OF NIAGARA FALLS</t>
  </si>
  <si>
    <t>T-4450</t>
  </si>
  <si>
    <t>MIKE ERDMAN NISSAN</t>
  </si>
  <si>
    <t>T-7867</t>
  </si>
  <si>
    <t>SANDS CHEVROLET SURPRISE</t>
  </si>
  <si>
    <t>T-7882</t>
  </si>
  <si>
    <t>HYUNDAI OF NEW BERN LLC</t>
  </si>
  <si>
    <t>T-8012</t>
  </si>
  <si>
    <t>Piazza Hyundai of Pottstown</t>
  </si>
  <si>
    <t>T-7429</t>
  </si>
  <si>
    <t>VOLKSWAGEN OF CORPUS CHRISTI</t>
  </si>
  <si>
    <t>T-13342</t>
  </si>
  <si>
    <t>Landers Mclarty Chevrolet</t>
  </si>
  <si>
    <t>T-16165</t>
  </si>
  <si>
    <t>MCCURLEY INTEGRITY HONDA</t>
  </si>
  <si>
    <t>T-13834</t>
  </si>
  <si>
    <t>Hoffman Ford</t>
  </si>
  <si>
    <t>T-7451</t>
  </si>
  <si>
    <t>GERMAIN FORD</t>
  </si>
  <si>
    <t>T-16186</t>
  </si>
  <si>
    <t>JAGUAR LAND ROVER CINCINNATI</t>
  </si>
  <si>
    <t>T-4463</t>
  </si>
  <si>
    <t>MERCEDES BENZ ST-JOHN'S</t>
  </si>
  <si>
    <t>T-9442</t>
  </si>
  <si>
    <t>RUSS DARROW CHRYSLER JEEP DODGE OF MADISON</t>
  </si>
  <si>
    <t>T-4259</t>
  </si>
  <si>
    <t>GANLEY CHEVROLET OF AURORA</t>
  </si>
  <si>
    <t>T-5918</t>
  </si>
  <si>
    <t>JENKINS ACURA OF OCALA</t>
  </si>
  <si>
    <t>T-4061</t>
  </si>
  <si>
    <t>JENKINS MAZDA</t>
  </si>
  <si>
    <t>T-4063</t>
  </si>
  <si>
    <t>NICK MAYER LINCOLN</t>
  </si>
  <si>
    <t>T-13757</t>
  </si>
  <si>
    <t>ARROWHEAD HONDA</t>
  </si>
  <si>
    <t>T-9448</t>
  </si>
  <si>
    <t>REINEKE FORD LINCOLN OF TIFFIN</t>
  </si>
  <si>
    <t>T-13323</t>
  </si>
  <si>
    <t>REINEKE FORD LINCOLN OF FINDLAY</t>
  </si>
  <si>
    <t>T-13322</t>
  </si>
  <si>
    <t>RICK CASE FIAT MASERATI ALFA ROMEO</t>
  </si>
  <si>
    <t>T-11258</t>
  </si>
  <si>
    <t>Pacfico Marple Ford</t>
  </si>
  <si>
    <t>T-8787</t>
  </si>
  <si>
    <t>GENGRAS BMW OF WEST SPRINGFIELD</t>
  </si>
  <si>
    <t>T-4560</t>
  </si>
  <si>
    <t>MAPLECREST FORD LINCOLN OF UNION</t>
  </si>
  <si>
    <t>T-4117</t>
  </si>
  <si>
    <t>BMW OF NEWPORT</t>
  </si>
  <si>
    <t>T-5916</t>
  </si>
  <si>
    <t>ED MORSE BAYVIEW CADILLAC</t>
  </si>
  <si>
    <t>T-11234</t>
  </si>
  <si>
    <t>Ed Morse Cadillac Brandon</t>
  </si>
  <si>
    <t>T-11242</t>
  </si>
  <si>
    <t>ED MORSE CADILLAC DELRAY BEACH</t>
  </si>
  <si>
    <t>T-11233</t>
  </si>
  <si>
    <t>Ed Morse Cadillac Tampa</t>
  </si>
  <si>
    <t>T-11241</t>
  </si>
  <si>
    <t>ED MORSE HONDA - FL</t>
  </si>
  <si>
    <t>T-13569</t>
  </si>
  <si>
    <t>ED MORSE SAWGRASS AUTOMALL</t>
  </si>
  <si>
    <t>T-11238</t>
  </si>
  <si>
    <t>LILLISTON FORD</t>
  </si>
  <si>
    <t>T-9795</t>
  </si>
  <si>
    <t>LILLISTON CHRYSLER JEEP DODGE</t>
  </si>
  <si>
    <t>T-14145</t>
  </si>
  <si>
    <t>NYLE MAXWELL CHRYSLER DODGE JEEP</t>
  </si>
  <si>
    <t>T-9282</t>
  </si>
  <si>
    <t>AUDI HENDERSON</t>
  </si>
  <si>
    <t>T-8198</t>
  </si>
  <si>
    <t>Findlay Chevrolet</t>
  </si>
  <si>
    <t>T-3928</t>
  </si>
  <si>
    <t>SPEEDWAY CHEVROLET LLC</t>
  </si>
  <si>
    <t>T-16166</t>
  </si>
  <si>
    <t>GREEN BUICK GMC</t>
  </si>
  <si>
    <t>T-9257</t>
  </si>
  <si>
    <t>GREEN CHEVROLET</t>
  </si>
  <si>
    <t>T-9253</t>
  </si>
  <si>
    <t>Simmons-Rockwell Hyundai</t>
  </si>
  <si>
    <t>T-15108</t>
  </si>
  <si>
    <t>TARRYTOWN HONDA</t>
  </si>
  <si>
    <t>T-13603</t>
  </si>
  <si>
    <t>BROOKINGS AUTO MALL</t>
  </si>
  <si>
    <t>T-7876</t>
  </si>
  <si>
    <t>WEIMER CHEVROLET OF CUMBERLAND</t>
  </si>
  <si>
    <t>T-14447</t>
  </si>
  <si>
    <t>STATELINE CHRYSLER JEEP DODGE RAM FIAT</t>
  </si>
  <si>
    <t>T-9004</t>
  </si>
  <si>
    <t>Bob Brown Chevrolet Inc</t>
  </si>
  <si>
    <t>T-10661</t>
  </si>
  <si>
    <t>HEADQUARTER HONDA</t>
  </si>
  <si>
    <t>T-10596</t>
  </si>
  <si>
    <t>SUBARU SOUTH CHARLOTTE</t>
  </si>
  <si>
    <t>T-5678</t>
  </si>
  <si>
    <t>WILHELM CHEVROLET GMC</t>
  </si>
  <si>
    <t>T-13501</t>
  </si>
  <si>
    <t>PRESTON MAZDA MD</t>
  </si>
  <si>
    <t>T-4236</t>
  </si>
  <si>
    <t>PRESTON MAZDA OH</t>
  </si>
  <si>
    <t>T-4237</t>
  </si>
  <si>
    <t>Ralph Sellers Hyundai</t>
  </si>
  <si>
    <t>T-8642</t>
  </si>
  <si>
    <t>BOUCHER HYUNDAI OF WAUKESHA</t>
  </si>
  <si>
    <t>T-1033</t>
  </si>
  <si>
    <t>STIVERS FORD LINCOLN</t>
  </si>
  <si>
    <t>T-11271</t>
  </si>
  <si>
    <t>PLANTATION FORD</t>
  </si>
  <si>
    <t>T-8095</t>
  </si>
  <si>
    <t>SANTOS FORD LINCOLN</t>
  </si>
  <si>
    <t>T-7979</t>
  </si>
  <si>
    <t>TRANSWEST GMC TRUCK</t>
  </si>
  <si>
    <t>T-16170</t>
  </si>
  <si>
    <t>BILLION NISSAN</t>
  </si>
  <si>
    <t>T-3841</t>
  </si>
  <si>
    <t>BILLION HONDA</t>
  </si>
  <si>
    <t>T-10642</t>
  </si>
  <si>
    <t>Gengras Volvo Cars North Haven</t>
  </si>
  <si>
    <t>T-6763</t>
  </si>
  <si>
    <t>BOB MCCOSH CHEVROLET</t>
  </si>
  <si>
    <t>T-15503</t>
  </si>
  <si>
    <t>PREMIER HONDA</t>
  </si>
  <si>
    <t>T-4229</t>
  </si>
  <si>
    <t>MIAMI LAKES AUTOMALL</t>
  </si>
  <si>
    <t>T-11257</t>
  </si>
  <si>
    <t>FAULKNER BUICK GMC HARRISBURG</t>
  </si>
  <si>
    <t>T-9612</t>
  </si>
  <si>
    <t>LAKELAND AUTOMALL</t>
  </si>
  <si>
    <t>T-8796</t>
  </si>
  <si>
    <t>White's Frontier Motors</t>
  </si>
  <si>
    <t>T-9824</t>
  </si>
  <si>
    <t>SUBARU CONCORD</t>
  </si>
  <si>
    <t>T-7977</t>
  </si>
  <si>
    <t>MCNEILL CHEVROLET BUICK OF WILKESBORO</t>
  </si>
  <si>
    <t>T-11254</t>
  </si>
  <si>
    <t>WINNER FORD</t>
  </si>
  <si>
    <t>T-7868</t>
  </si>
  <si>
    <t>JOHNSON HONDA OF STUART</t>
  </si>
  <si>
    <t>T-4465</t>
  </si>
  <si>
    <t>DEMAAGD GMC NISSAN (BATTLE CREEK)</t>
  </si>
  <si>
    <t>T-9591</t>
  </si>
  <si>
    <t>BATTLE CREEK HONDA</t>
  </si>
  <si>
    <t>T-9590</t>
  </si>
  <si>
    <t>CAR PROS KIA OF HUNTINGTON BEACH</t>
  </si>
  <si>
    <t>T-8985</t>
  </si>
  <si>
    <t>MERCEDES BENZ OF DOTHAN</t>
  </si>
  <si>
    <t>T-8021</t>
  </si>
  <si>
    <t>ACADIANA DODGE, INC.</t>
  </si>
  <si>
    <t>T-13758</t>
  </si>
  <si>
    <t>FIRST CHOICE FORD</t>
  </si>
  <si>
    <t>T-16185</t>
  </si>
  <si>
    <t>SUPERIOR MAZDA</t>
  </si>
  <si>
    <t>T-4310</t>
  </si>
  <si>
    <t>PUENTE HILLS CHRYSLER DODGE JEEP RAM</t>
  </si>
  <si>
    <t>T-13814</t>
  </si>
  <si>
    <t>STERNBERG FORD</t>
  </si>
  <si>
    <t>T-14137</t>
  </si>
  <si>
    <t>TOYOTA OF BERKELEY ALBANY SERVICE CENTER &amp; USED CARS</t>
  </si>
  <si>
    <t>T-16192</t>
  </si>
  <si>
    <t>VICKAR NISSAN</t>
  </si>
  <si>
    <t>T-11249</t>
  </si>
  <si>
    <t>Willis Auto Campus</t>
  </si>
  <si>
    <t>T-14457</t>
  </si>
  <si>
    <t>Rhinelander Chevrolet Cadillac Buick</t>
  </si>
  <si>
    <t>T-10885</t>
  </si>
  <si>
    <t>BOUCHER CADILLAC OF WAUKESHA</t>
  </si>
  <si>
    <t>T-3855</t>
  </si>
  <si>
    <t>Dewey Griffin Subaru</t>
  </si>
  <si>
    <t>T-15100</t>
  </si>
  <si>
    <t>UNIVERSITY VW</t>
  </si>
  <si>
    <t>T-8203</t>
  </si>
  <si>
    <t>Audi Seattle</t>
  </si>
  <si>
    <t>T-8114</t>
  </si>
  <si>
    <t>UNIVERSITY AUDI LYNNWOOD</t>
  </si>
  <si>
    <t>T-8112</t>
  </si>
  <si>
    <t>COURTESY FORD BREAUX BRIDGE</t>
  </si>
  <si>
    <t>T-16177</t>
  </si>
  <si>
    <t>CMA'S VALLEY HONDA</t>
  </si>
  <si>
    <t>T-7464</t>
  </si>
  <si>
    <t>CMA'S VALLEY VOLKSWAGEN</t>
  </si>
  <si>
    <t>T-7459</t>
  </si>
  <si>
    <t>GEORGE NAHAS CHEVROLET INC.</t>
  </si>
  <si>
    <t>T-9781</t>
  </si>
  <si>
    <t>North Park Lexus of San Antonio</t>
  </si>
  <si>
    <t>T-6788</t>
  </si>
  <si>
    <t>COMPETITION SUBARU OF SMITHTOWN</t>
  </si>
  <si>
    <t>T-3889</t>
  </si>
  <si>
    <t>Competition Subaru of Smithtown - NY</t>
  </si>
  <si>
    <t>T-13568</t>
  </si>
  <si>
    <t>Ritchey Automotive</t>
  </si>
  <si>
    <t>T-4250</t>
  </si>
  <si>
    <t>MIKE CASTRUCCI FORD LINCOLN OF ALEXANDRIA</t>
  </si>
  <si>
    <t>T-14796</t>
  </si>
  <si>
    <t>BARLOW BUICK GMC OF MANAHAWKIN</t>
  </si>
  <si>
    <t>T-14494</t>
  </si>
  <si>
    <t>Classic Chrysler Jeep Dodge Ram Fiat of Goldsboro</t>
  </si>
  <si>
    <t>T-14783</t>
  </si>
  <si>
    <t>HEALEY CHEVROLET</t>
  </si>
  <si>
    <t>T-5933</t>
  </si>
  <si>
    <t>RICK CASE KIA - DULUTH</t>
  </si>
  <si>
    <t>T-13837</t>
  </si>
  <si>
    <t>ANTELOPE VALLEY CHEVROLET INC</t>
  </si>
  <si>
    <t>T-3810</t>
  </si>
  <si>
    <t>CHAMPION FORD INC</t>
  </si>
  <si>
    <t>T-15526</t>
  </si>
  <si>
    <t>Subaru World of Newton</t>
  </si>
  <si>
    <t>T-7891</t>
  </si>
  <si>
    <t>JIM SHORKEY KIA</t>
  </si>
  <si>
    <t>T-14483</t>
  </si>
  <si>
    <t>JIM SHORKEY FAMILY AUTO GROUP</t>
  </si>
  <si>
    <t>T-14482</t>
  </si>
  <si>
    <t>JIM SHORKEY CHRYSLER DODGE JEEP RAM</t>
  </si>
  <si>
    <t>T-14468</t>
  </si>
  <si>
    <t>BRAMAN MIAMI HYUNDAI</t>
  </si>
  <si>
    <t>T-7911</t>
  </si>
  <si>
    <t>FINDLAY HONDA OF FLAGSTAFF</t>
  </si>
  <si>
    <t>T-9450</t>
  </si>
  <si>
    <t>ED KOEHN CHEVROLET</t>
  </si>
  <si>
    <t>T-15528</t>
  </si>
  <si>
    <t>WASHINGTON HYUNDAI</t>
  </si>
  <si>
    <t>T-4367</t>
  </si>
  <si>
    <t>JIM BONE KIA OF SANTA ROSA</t>
  </si>
  <si>
    <t>T-10606</t>
  </si>
  <si>
    <t>Dennis Dillon Nissan</t>
  </si>
  <si>
    <t>T-9292</t>
  </si>
  <si>
    <t>John Hiester Chevrolet</t>
  </si>
  <si>
    <t>T-10664</t>
  </si>
  <si>
    <t>MCLAREN PHILADELPHIA</t>
  </si>
  <si>
    <t>T-6486</t>
  </si>
  <si>
    <t>PAUL MILLER SUBARU</t>
  </si>
  <si>
    <t>T-4206</t>
  </si>
  <si>
    <t>EDISON NISSAN</t>
  </si>
  <si>
    <t>T-7476</t>
  </si>
  <si>
    <t>LEVITTOWN FORD LLC</t>
  </si>
  <si>
    <t>T-14507</t>
  </si>
  <si>
    <t>JIM SHORKEY KIA OF UNIONTOWN</t>
  </si>
  <si>
    <t>T-14481</t>
  </si>
  <si>
    <t>WEST KENDALL TOYOTA</t>
  </si>
  <si>
    <t>T-6818</t>
  </si>
  <si>
    <t>APPLE AUTO MITSUBISHI</t>
  </si>
  <si>
    <t>T-14829</t>
  </si>
  <si>
    <t>SUNNYSIDE CHEVROLET</t>
  </si>
  <si>
    <t>T-13812</t>
  </si>
  <si>
    <t>JONES FORD CASA GRANDE</t>
  </si>
  <si>
    <t>T-15466</t>
  </si>
  <si>
    <t>REINEKE FORD OF LIMA</t>
  </si>
  <si>
    <t>T-13318</t>
  </si>
  <si>
    <t>LINCOLN OF WAYNE</t>
  </si>
  <si>
    <t>T-10672</t>
  </si>
  <si>
    <t>RUSS DARROW MITSUBISHI</t>
  </si>
  <si>
    <t>T-8802</t>
  </si>
  <si>
    <t>Mission Viejo Acura</t>
  </si>
  <si>
    <t>T-7435</t>
  </si>
  <si>
    <t>Tustin Hyundai</t>
  </si>
  <si>
    <t>T-7433</t>
  </si>
  <si>
    <t>Tustin Mazda</t>
  </si>
  <si>
    <t>T-7434</t>
  </si>
  <si>
    <t>RIHM KENWORTH - SAUK CENTRE</t>
  </si>
  <si>
    <t>T-6029</t>
  </si>
  <si>
    <t>CLASSIC NISSAN OF SANFORD</t>
  </si>
  <si>
    <t>T-9003</t>
  </si>
  <si>
    <t>SUBARU PACIFIC</t>
  </si>
  <si>
    <t>T-4307</t>
  </si>
  <si>
    <t>RUSNAK ROLLS-ROYCE MOTOR CARS PASADENA</t>
  </si>
  <si>
    <t>T-9834</t>
  </si>
  <si>
    <t>RUSNAK PASADENA VOLVO</t>
  </si>
  <si>
    <t>T-9830</t>
  </si>
  <si>
    <t>PAUL MILLER VOLKSWAGEN OF BERNARDSVILLE</t>
  </si>
  <si>
    <t>T-4208</t>
  </si>
  <si>
    <t>TOM KELLEY VOLVO</t>
  </si>
  <si>
    <t>T-4330</t>
  </si>
  <si>
    <t>ROYAL VW VOLVO GMC</t>
  </si>
  <si>
    <t>T-9269</t>
  </si>
  <si>
    <t>NORTHAMPTON VOLKSWAGEN</t>
  </si>
  <si>
    <t>T-4187</t>
  </si>
  <si>
    <t>COLUMBIA GORGE HONDA</t>
  </si>
  <si>
    <t>T-13601</t>
  </si>
  <si>
    <t>SUMMIT TOYOTA OF AKRON</t>
  </si>
  <si>
    <t>T-5640</t>
  </si>
  <si>
    <t>RUSHMORE HONDA</t>
  </si>
  <si>
    <t>T-15104</t>
  </si>
  <si>
    <t>C. HARPER HONDA</t>
  </si>
  <si>
    <t>T-8812</t>
  </si>
  <si>
    <t>W.S. HEALEY CHEVROLET, INC.</t>
  </si>
  <si>
    <t>T-6044</t>
  </si>
  <si>
    <t>SERRAMONTE SUBARU</t>
  </si>
  <si>
    <t>T-4286</t>
  </si>
  <si>
    <t>BILLION KIA OF IOWA CITY</t>
  </si>
  <si>
    <t>T-1031</t>
  </si>
  <si>
    <t>KIA OF ST. CATHARINES</t>
  </si>
  <si>
    <t>T-15092</t>
  </si>
  <si>
    <t>RUSS DARROW NISSAN</t>
  </si>
  <si>
    <t>T-4266</t>
  </si>
  <si>
    <t>COLUMBIA GORGE TOYOTA</t>
  </si>
  <si>
    <t>T-13598</t>
  </si>
  <si>
    <t>GREENS TOYOTA OF LEXINGTON</t>
  </si>
  <si>
    <t>T-3986</t>
  </si>
  <si>
    <t>BILLION CADILLAC BUICK GMC OF SIOUX CITY</t>
  </si>
  <si>
    <t>T-10645</t>
  </si>
  <si>
    <t>Toyota of Victoria</t>
  </si>
  <si>
    <t>T-7226</t>
  </si>
  <si>
    <t>HOLLINGSWORTH RICHARDS FORD</t>
  </si>
  <si>
    <t>T-13574</t>
  </si>
  <si>
    <t>VITI INC.</t>
  </si>
  <si>
    <t>T-8296</t>
  </si>
  <si>
    <t>ACTION TRUCK CENTER INC.</t>
  </si>
  <si>
    <t>T-10634</t>
  </si>
  <si>
    <t>WEIMER CHRYSLER DODGE JEEP, INC.</t>
  </si>
  <si>
    <t>T-15103</t>
  </si>
  <si>
    <t>WEIMER CHEVROLET BUICK GMC</t>
  </si>
  <si>
    <t>T-14793</t>
  </si>
  <si>
    <t>INTERSTATE FORD</t>
  </si>
  <si>
    <t>T-14817</t>
  </si>
  <si>
    <t>Germain Audi of Ann Arbor</t>
  </si>
  <si>
    <t>T-10662</t>
  </si>
  <si>
    <t>Germain Porsche Of Ann Arbor</t>
  </si>
  <si>
    <t>T-10682</t>
  </si>
  <si>
    <t>VOLKSWAGEN OF ANN ARBOR</t>
  </si>
  <si>
    <t>T-10676</t>
  </si>
  <si>
    <t>SERRA HONDA</t>
  </si>
  <si>
    <t>T-8027</t>
  </si>
  <si>
    <t>SERRA ACURA</t>
  </si>
  <si>
    <t>T-8295</t>
  </si>
  <si>
    <t>Serra Mazda</t>
  </si>
  <si>
    <t>T-4284</t>
  </si>
  <si>
    <t>MERCEDES-BENZ OF VIRGINIA BEACH</t>
  </si>
  <si>
    <t>T-15118</t>
  </si>
  <si>
    <t>John Hiester Chevrolet of Lillington</t>
  </si>
  <si>
    <t>T-10665</t>
  </si>
  <si>
    <t>TETON VOLKSWAGEN</t>
  </si>
  <si>
    <t>T-10912</t>
  </si>
  <si>
    <t>GREEN FAMILY HYUNDAI</t>
  </si>
  <si>
    <t>T-9252</t>
  </si>
  <si>
    <t>DELRAY BUICK GMC</t>
  </si>
  <si>
    <t>T-14471</t>
  </si>
  <si>
    <t>FIELDS CADILLAC</t>
  </si>
  <si>
    <t>T-10909</t>
  </si>
  <si>
    <t>FREMONT MAZDA</t>
  </si>
  <si>
    <t>T-3951</t>
  </si>
  <si>
    <t>COMMUNITY HONDA OF ORLAND PARK</t>
  </si>
  <si>
    <t>T-3887</t>
  </si>
  <si>
    <t>FELDMAN CHEVROLET OF LIVONIA</t>
  </si>
  <si>
    <t>T-15502</t>
  </si>
  <si>
    <t>TOCARS INC.</t>
  </si>
  <si>
    <t>T-5706</t>
  </si>
  <si>
    <t>MERCEDES BENZ OF BROOKLYN</t>
  </si>
  <si>
    <t>T-6165</t>
  </si>
  <si>
    <t>Russ Darrow Mazda of Madison</t>
  </si>
  <si>
    <t>T-15531</t>
  </si>
  <si>
    <t>COMMONWEALTH CHEVROLET</t>
  </si>
  <si>
    <t>T-15077</t>
  </si>
  <si>
    <t>NATIONWIDE KIA</t>
  </si>
  <si>
    <t>T-4177</t>
  </si>
  <si>
    <t>NATIONWIDE INFINITI</t>
  </si>
  <si>
    <t>T-4176</t>
  </si>
  <si>
    <t>Rick Case Audi Gwinnett</t>
  </si>
  <si>
    <t>T-13843</t>
  </si>
  <si>
    <t>HEADQUARTER HYUNDAI</t>
  </si>
  <si>
    <t>T-10597</t>
  </si>
  <si>
    <t>AIRPORT MARINA HONDA</t>
  </si>
  <si>
    <t>T-3804</t>
  </si>
  <si>
    <t>TOYOTA SCION PLACE</t>
  </si>
  <si>
    <t>T-5642</t>
  </si>
  <si>
    <t>SANDS KIA</t>
  </si>
  <si>
    <t>T-4272</t>
  </si>
  <si>
    <t>AIRSTREAM LOS ANGELES</t>
  </si>
  <si>
    <t>T-5997</t>
  </si>
  <si>
    <t>FIELDS CADILLAC JACKSONVILLE</t>
  </si>
  <si>
    <t>T-10897</t>
  </si>
  <si>
    <t>LEGACY FORD</t>
  </si>
  <si>
    <t>T-11262</t>
  </si>
  <si>
    <t>WOODSTOCK HYUNDAI</t>
  </si>
  <si>
    <t>T-14148</t>
  </si>
  <si>
    <t>RICKENBAUGH INFINITI</t>
  </si>
  <si>
    <t>T-8972</t>
  </si>
  <si>
    <t>JAGUAR LAND ROVER RENO</t>
  </si>
  <si>
    <t>T-4026</t>
  </si>
  <si>
    <t>PRESTIGE VOLKSWAGEN OF STAMFORD</t>
  </si>
  <si>
    <t>T-4231</t>
  </si>
  <si>
    <t>JACK DANIELS AUDI OF PARAMUS</t>
  </si>
  <si>
    <t>T-4018</t>
  </si>
  <si>
    <t>DENNY MENHOLT CHEVROLET</t>
  </si>
  <si>
    <t>T-13838</t>
  </si>
  <si>
    <t>BASIL VOLKSWAGEN OF LOCKPORT</t>
  </si>
  <si>
    <t>T-4558</t>
  </si>
  <si>
    <t>BERGLUND LUXURY AUTO</t>
  </si>
  <si>
    <t>T-6770</t>
  </si>
  <si>
    <t>DENNY MENHOLT CHEVROLET BUICK GMC</t>
  </si>
  <si>
    <t>T-14174</t>
  </si>
  <si>
    <t>CALESA TOYOTA DE CAGUAS</t>
  </si>
  <si>
    <t>T-8816</t>
  </si>
  <si>
    <t>AIRSTREAM ORANGE COUNTY</t>
  </si>
  <si>
    <t>T-6180</t>
  </si>
  <si>
    <t>POHANKA VOLKSWAGEN OF CAPITOL HEIGHTS</t>
  </si>
  <si>
    <t>T-13824</t>
  </si>
  <si>
    <t>Pohanka Volkswagen of Salisbury</t>
  </si>
  <si>
    <t>T-6151</t>
  </si>
  <si>
    <t>ROBERT BASIL BUICK GMC CADILLAC</t>
  </si>
  <si>
    <t>T-4559</t>
  </si>
  <si>
    <t>Faulkner Cadillac Mechanicsburg</t>
  </si>
  <si>
    <t>T-9611</t>
  </si>
  <si>
    <t>BERGLUND LUXURY ROANOKE</t>
  </si>
  <si>
    <t>T-3837</t>
  </si>
  <si>
    <t>RICK CASE VOLKSWAGEN OF WESTON</t>
  </si>
  <si>
    <t>T-13594</t>
  </si>
  <si>
    <t>BOUCHER BUICK GMC OF WAUKESHA</t>
  </si>
  <si>
    <t>T-1032</t>
  </si>
  <si>
    <t>MODERN NISSAN OF LAKE NORMAN</t>
  </si>
  <si>
    <t>T-7184</t>
  </si>
  <si>
    <t>MODERN SUBARU OF BOONE</t>
  </si>
  <si>
    <t>T-7186</t>
  </si>
  <si>
    <t>JOHNSON CITY FORD</t>
  </si>
  <si>
    <t>T-16195</t>
  </si>
  <si>
    <t>LAND ROVER OF PALM BEACH</t>
  </si>
  <si>
    <t>T-8126</t>
  </si>
  <si>
    <t>AUDI DEVON</t>
  </si>
  <si>
    <t>T-3813</t>
  </si>
  <si>
    <t>STEVENS CREEK KIA</t>
  </si>
  <si>
    <t>T-4299</t>
  </si>
  <si>
    <t>BILL ALEXANDER FLIGHT LINE MAZDA MITSUBISHI</t>
  </si>
  <si>
    <t>T-3840</t>
  </si>
  <si>
    <t>TOYOTA CHULA VISTA</t>
  </si>
  <si>
    <t>T-4336</t>
  </si>
  <si>
    <t>TLG Peterbilt - Mid-America</t>
  </si>
  <si>
    <t>T-5889</t>
  </si>
  <si>
    <t>PETERBILT OF JOPLIN</t>
  </si>
  <si>
    <t>T-6478</t>
  </si>
  <si>
    <t>TLG PETERBILT - LOUISVILLE</t>
  </si>
  <si>
    <t>T-6477</t>
  </si>
  <si>
    <t>PETERBILT OF FORT SMITH</t>
  </si>
  <si>
    <t>T-6476</t>
  </si>
  <si>
    <t>PETERBILT OF SIKESTON</t>
  </si>
  <si>
    <t>T-5936</t>
  </si>
  <si>
    <t>TLG Peterbilt - St. Louis</t>
  </si>
  <si>
    <t>T-5888</t>
  </si>
  <si>
    <t>PETERBILT OF CINCINNATI</t>
  </si>
  <si>
    <t>T-6475</t>
  </si>
  <si>
    <t>PETERBILT OF NORTHERN KENTUCKY</t>
  </si>
  <si>
    <t>T-6474</t>
  </si>
  <si>
    <t>TLG Peterbilt - NW Arkansas</t>
  </si>
  <si>
    <t>T-5887</t>
  </si>
  <si>
    <t>TRUCK COMPONENT SERVICES</t>
  </si>
  <si>
    <t>T-6473</t>
  </si>
  <si>
    <t>Georgetown Volkswagen</t>
  </si>
  <si>
    <t>T-9273</t>
  </si>
  <si>
    <t>Performance Toyota .2</t>
  </si>
  <si>
    <t>T-14449</t>
  </si>
  <si>
    <t>BMW AUTOHAUS</t>
  </si>
  <si>
    <t>T-13589</t>
  </si>
  <si>
    <t>VOLKSWAGEN OF LEE'S SUMMIT</t>
  </si>
  <si>
    <t>T-8545</t>
  </si>
  <si>
    <t>NICK MAYER FORD LINCOLN</t>
  </si>
  <si>
    <t>T-13762</t>
  </si>
  <si>
    <t>MORREY NISSAN INFINITI</t>
  </si>
  <si>
    <t>T-9661</t>
  </si>
  <si>
    <t>FAULKNER SUBARU MECHANICSBURG</t>
  </si>
  <si>
    <t>T-8003</t>
  </si>
  <si>
    <t>TS&amp;S Ford</t>
  </si>
  <si>
    <t>T-14459</t>
  </si>
  <si>
    <t>North Park Lexus at Dominion</t>
  </si>
  <si>
    <t>T-15456</t>
  </si>
  <si>
    <t>MIDDLEKAUFF FORD</t>
  </si>
  <si>
    <t>T-14819</t>
  </si>
  <si>
    <t>LITHIA HYUNDAI OF FRESNO</t>
  </si>
  <si>
    <t>T-7913</t>
  </si>
  <si>
    <t>FRIENDSHIP NISSAN OF FOREST CITY</t>
  </si>
  <si>
    <t>T-3962</t>
  </si>
  <si>
    <t>TLG PETERBILT - WILLOW SPRINGS</t>
  </si>
  <si>
    <t>T-6472</t>
  </si>
  <si>
    <t>Audi of Bridgewater</t>
  </si>
  <si>
    <t>T-7894</t>
  </si>
  <si>
    <t>VOLVO CARS NORTH MIAMI</t>
  </si>
  <si>
    <t>T-7875</t>
  </si>
  <si>
    <t>CMA'S VALLEY NISSAN</t>
  </si>
  <si>
    <t>T-7460</t>
  </si>
  <si>
    <t>CMA's Valley Subaru</t>
  </si>
  <si>
    <t>T-7176</t>
  </si>
  <si>
    <t>JERRY'S CHEVROLET OF BERESFORD</t>
  </si>
  <si>
    <t>T-9615</t>
  </si>
  <si>
    <t>Jerry's Chevrolet Buick GMC</t>
  </si>
  <si>
    <t>T-9657</t>
  </si>
  <si>
    <t>GARNET FORD</t>
  </si>
  <si>
    <t>T-9283</t>
  </si>
  <si>
    <t>Russ Darrow Metro Mazda of Milwaukee</t>
  </si>
  <si>
    <t>T-15530</t>
  </si>
  <si>
    <t>COLLEGE STATION FORD LINCOLN</t>
  </si>
  <si>
    <t>T-7455</t>
  </si>
  <si>
    <t>Toyota of Smithfield</t>
  </si>
  <si>
    <t>T-7920</t>
  </si>
  <si>
    <t>GREAT LAKES PETERBILT</t>
  </si>
  <si>
    <t>T-6752</t>
  </si>
  <si>
    <t>ROUTE 33 NISSAN</t>
  </si>
  <si>
    <t>T-7475</t>
  </si>
  <si>
    <t>JAGUAR LAND ROVER OF MANHATTAN</t>
  </si>
  <si>
    <t>T-8014</t>
  </si>
  <si>
    <t>Sam Pack's Five Star Chevrolet</t>
  </si>
  <si>
    <t>T-16216</t>
  </si>
  <si>
    <t>JENNINGS CHEVROLET</t>
  </si>
  <si>
    <t>T-8015</t>
  </si>
  <si>
    <t>TOYOTA OF FORT WALTON BEACH</t>
  </si>
  <si>
    <t>T-8525</t>
  </si>
  <si>
    <t>MERCEDES BENZ OF FORT WALTON BEACH</t>
  </si>
  <si>
    <t>T-8524</t>
  </si>
  <si>
    <t>MAZDA OF FORT WALTON BEACH</t>
  </si>
  <si>
    <t>T-4131</t>
  </si>
  <si>
    <t>BMW OF FORT WALTON BEACH</t>
  </si>
  <si>
    <t>T-8523</t>
  </si>
  <si>
    <t>BILLION NISSAN OF SIOUX CITY</t>
  </si>
  <si>
    <t>T-3842</t>
  </si>
  <si>
    <t>JIM SHORKEY FORD</t>
  </si>
  <si>
    <t>T-14467</t>
  </si>
  <si>
    <t>MERCEDES-BENZ OF CALDWELL</t>
  </si>
  <si>
    <t>T-6467</t>
  </si>
  <si>
    <t>JAGUAR LAND ROVER HUNTINGTON</t>
  </si>
  <si>
    <t>T-6164</t>
  </si>
  <si>
    <t>JAGUAR LAND ROVER GLEN COVE</t>
  </si>
  <si>
    <t>T-6466</t>
  </si>
  <si>
    <t>JAGUAR LAND ROVER SOUTHAMPTON</t>
  </si>
  <si>
    <t>T-6465</t>
  </si>
  <si>
    <t>RICK CASE KIA</t>
  </si>
  <si>
    <t>T-13595</t>
  </si>
  <si>
    <t>WALSH HONDA</t>
  </si>
  <si>
    <t>T-16164</t>
  </si>
  <si>
    <t>TETON HONDA</t>
  </si>
  <si>
    <t>T-11260</t>
  </si>
  <si>
    <t>LEXUS SANTA MONICA SERVICE CENTER</t>
  </si>
  <si>
    <t>T-14826</t>
  </si>
  <si>
    <t>BOB BRADY HONDA</t>
  </si>
  <si>
    <t>T-8292</t>
  </si>
  <si>
    <t>Fred Anderson Toyota of Charleston - SC</t>
  </si>
  <si>
    <t>T-9275</t>
  </si>
  <si>
    <t>SOUTH HILLS TOYOTA</t>
  </si>
  <si>
    <t>T-4292</t>
  </si>
  <si>
    <t>BOUCHER HYUNDAI OF JANESVILLE</t>
  </si>
  <si>
    <t>T-1017</t>
  </si>
  <si>
    <t>AUBURN TOYOTA SCION</t>
  </si>
  <si>
    <t>T-4449</t>
  </si>
  <si>
    <t>CADILLAC OF GREENWICH</t>
  </si>
  <si>
    <t>T-13327</t>
  </si>
  <si>
    <t>ALL AMERICAN FORD IN POINT PLEASANT</t>
  </si>
  <si>
    <t>T-15481</t>
  </si>
  <si>
    <t>INFINITI OF NASHUA</t>
  </si>
  <si>
    <t>T-9127</t>
  </si>
  <si>
    <t>GRIECO TOYOTA</t>
  </si>
  <si>
    <t>T-7986</t>
  </si>
  <si>
    <t>Spitzer Chevrolet Lordstown</t>
  </si>
  <si>
    <t>T-5716</t>
  </si>
  <si>
    <t>Spitzer Volkswagen</t>
  </si>
  <si>
    <t>T-5722</t>
  </si>
  <si>
    <t>MERCEDES BENZ OF ORANGE COUNTY</t>
  </si>
  <si>
    <t>T-4148</t>
  </si>
  <si>
    <t>PAUL MILLER TOYOTA</t>
  </si>
  <si>
    <t>T-4207</t>
  </si>
  <si>
    <t>PETERBILT OF CHARLOTTE</t>
  </si>
  <si>
    <t>T-6024</t>
  </si>
  <si>
    <t>CAPISTRANO MAZDA</t>
  </si>
  <si>
    <t>T-11272</t>
  </si>
  <si>
    <t>LAMBORGHINI BROWARD</t>
  </si>
  <si>
    <t>T-9462</t>
  </si>
  <si>
    <t>BERT SMITH SUBARU</t>
  </si>
  <si>
    <t>T-9457</t>
  </si>
  <si>
    <t>BERT SMITH VOLKSWAGEN</t>
  </si>
  <si>
    <t>T-9455</t>
  </si>
  <si>
    <t>RANDY CURNOW CHEVROLET GMC</t>
  </si>
  <si>
    <t>T-13581</t>
  </si>
  <si>
    <t>ALLENTOWN KIA</t>
  </si>
  <si>
    <t>T-3807</t>
  </si>
  <si>
    <t>MODERN NISSAN OF HICKORY</t>
  </si>
  <si>
    <t>T-7183</t>
  </si>
  <si>
    <t>BILL HOLT CHEVROLET OF BLUE RIDGE</t>
  </si>
  <si>
    <t>T-9584</t>
  </si>
  <si>
    <t>Landers McLarty Subaru</t>
  </si>
  <si>
    <t>T-9821</t>
  </si>
  <si>
    <t>FRONTIER MOTORS INC.</t>
  </si>
  <si>
    <t>T-10916</t>
  </si>
  <si>
    <t>Balise Kia</t>
  </si>
  <si>
    <t>T-9474</t>
  </si>
  <si>
    <t>LEXUS OF WEST KENDALL</t>
  </si>
  <si>
    <t>T-6773</t>
  </si>
  <si>
    <t>LEXUS OF KENDALL</t>
  </si>
  <si>
    <t>T-6772</t>
  </si>
  <si>
    <t>ERIKSEN CHEVROLET</t>
  </si>
  <si>
    <t>T-10602</t>
  </si>
  <si>
    <t>CLASSIC CHRYSLER JEEP DODGE OF PINEVILLE</t>
  </si>
  <si>
    <t>T-9794</t>
  </si>
  <si>
    <t>MCCURLEY INTEGRITY SUBARU</t>
  </si>
  <si>
    <t>T-13833</t>
  </si>
  <si>
    <t>CAPITAL CHEVROLET</t>
  </si>
  <si>
    <t>T-5652</t>
  </si>
  <si>
    <t>MIKE ERDMAN TOYOTA SCION</t>
  </si>
  <si>
    <t>T-6814</t>
  </si>
  <si>
    <t>MIKE ERDMAN TOYOTA SCION.2</t>
  </si>
  <si>
    <t>T-9427</t>
  </si>
  <si>
    <t>Dennis Dillon GMC Fiat</t>
  </si>
  <si>
    <t>T-9468</t>
  </si>
  <si>
    <t>LEGACY CHEVROLET GMC</t>
  </si>
  <si>
    <t>T-15525</t>
  </si>
  <si>
    <t>AUDI GAINESVILLE</t>
  </si>
  <si>
    <t>T-9461</t>
  </si>
  <si>
    <t>POWER OF BOWSER</t>
  </si>
  <si>
    <t>T-7471</t>
  </si>
  <si>
    <t>BOWSER HYUNDAI</t>
  </si>
  <si>
    <t>T-14490</t>
  </si>
  <si>
    <t>PRESTIGE FORD INC</t>
  </si>
  <si>
    <t>T-10674</t>
  </si>
  <si>
    <t>PETERBILT OF RALEIGH</t>
  </si>
  <si>
    <t>T-6025</t>
  </si>
  <si>
    <t>TLG PETERBILT OF FLORENCE</t>
  </si>
  <si>
    <t>T-6188</t>
  </si>
  <si>
    <t>PETERBILT OF CHARLESTON</t>
  </si>
  <si>
    <t>T-6187</t>
  </si>
  <si>
    <t>MIKE ERDMAN CADILLAC</t>
  </si>
  <si>
    <t>T-7905</t>
  </si>
  <si>
    <t>RUGE'S CHEVROLET</t>
  </si>
  <si>
    <t>T-14510</t>
  </si>
  <si>
    <t>WEBB TOYOTA</t>
  </si>
  <si>
    <t>T-4369</t>
  </si>
  <si>
    <t>GORDIE BOUCHER VILLAGE FORD OF THIENSVILLE, INC.</t>
  </si>
  <si>
    <t>T-3981</t>
  </si>
  <si>
    <t>CMA's Valley CDJR</t>
  </si>
  <si>
    <t>T-6809</t>
  </si>
  <si>
    <t>CMA'S COLONIAL SUBARU</t>
  </si>
  <si>
    <t>T-7458</t>
  </si>
  <si>
    <t>JIM SHORKEY CDJR OF THE NORTH HILLS</t>
  </si>
  <si>
    <t>T-14480</t>
  </si>
  <si>
    <t>PETERBILT OF DAYTON</t>
  </si>
  <si>
    <t>T-6471</t>
  </si>
  <si>
    <t>Billion Chevrolet Buick GMC Cadilac</t>
  </si>
  <si>
    <t>T-11244</t>
  </si>
  <si>
    <t>Hyundai of Central Florida</t>
  </si>
  <si>
    <t>T-15067</t>
  </si>
  <si>
    <t>VOLVO CARS WALNUT CREEK</t>
  </si>
  <si>
    <t>T-8801</t>
  </si>
  <si>
    <t>Lorenzo Ford</t>
  </si>
  <si>
    <t>T-14516</t>
  </si>
  <si>
    <t>CAUSEWAY HYUNDAI</t>
  </si>
  <si>
    <t>T-8519</t>
  </si>
  <si>
    <t>MODERN FORD OF BOONE</t>
  </si>
  <si>
    <t>T-7179</t>
  </si>
  <si>
    <t>KIA OF WEST NYACK</t>
  </si>
  <si>
    <t>T-5684</t>
  </si>
  <si>
    <t>AIRSTREAM INLAND EMPIRE</t>
  </si>
  <si>
    <t>T-5995</t>
  </si>
  <si>
    <t>KIA OF MURFREESBORO</t>
  </si>
  <si>
    <t>T-13326</t>
  </si>
  <si>
    <t>Lindsay Buick GMC - VA</t>
  </si>
  <si>
    <t>T-11266</t>
  </si>
  <si>
    <t>ACURA OF TEMPE</t>
  </si>
  <si>
    <t>T-3803</t>
  </si>
  <si>
    <t>GRIECO CHEVROLET FORT LAUDERDALE</t>
  </si>
  <si>
    <t>T-6779</t>
  </si>
  <si>
    <t>GRIECO CHEVROLET OF DELRAY BEACH</t>
  </si>
  <si>
    <t>T-3987</t>
  </si>
  <si>
    <t>GRIECO FORD OF DELRAY BEACH</t>
  </si>
  <si>
    <t>T-6778</t>
  </si>
  <si>
    <t>KEATING HONDA</t>
  </si>
  <si>
    <t>T-4544</t>
  </si>
  <si>
    <t>Keating Nissan</t>
  </si>
  <si>
    <t>T-7222</t>
  </si>
  <si>
    <t>NATIONWIDE NISSAN</t>
  </si>
  <si>
    <t>T-4178</t>
  </si>
  <si>
    <t>Fred Anderson Toyota of Asheville</t>
  </si>
  <si>
    <t>T-6049</t>
  </si>
  <si>
    <t>BAIERL FORD</t>
  </si>
  <si>
    <t>T-7172</t>
  </si>
  <si>
    <t>MERCEDES BENZ OF GOLDEN BRIDGE</t>
  </si>
  <si>
    <t>T-5630</t>
  </si>
  <si>
    <t>PIAZZA HYUNDAI OF WEST CHESTER</t>
  </si>
  <si>
    <t>T-6169</t>
  </si>
  <si>
    <t>BUTTE TOYOTA</t>
  </si>
  <si>
    <t>T-8800</t>
  </si>
  <si>
    <t>MASERATI OF WILMINGTON PIKE</t>
  </si>
  <si>
    <t>T-4124</t>
  </si>
  <si>
    <t>CLASSIC HYUNDAI OF NORTH WILKESBORO</t>
  </si>
  <si>
    <t>T-9000</t>
  </si>
  <si>
    <t>Cadillac of New Orleans</t>
  </si>
  <si>
    <t>T-9782</t>
  </si>
  <si>
    <t>RIHM WINONA</t>
  </si>
  <si>
    <t>T-6033</t>
  </si>
  <si>
    <t>RIHM KENWORTH NORTH METRO</t>
  </si>
  <si>
    <t>T-6032</t>
  </si>
  <si>
    <t>AIRSTREAM LAS VEGAS</t>
  </si>
  <si>
    <t>T-5996</t>
  </si>
  <si>
    <t>VOLKSWAGEN OF MARIETTA</t>
  </si>
  <si>
    <t>T-8549</t>
  </si>
  <si>
    <t>REINEKE HONDA</t>
  </si>
  <si>
    <t>T-13319</t>
  </si>
  <si>
    <t>RIHM KENWORTH SOUTH METRO</t>
  </si>
  <si>
    <t>T-6051</t>
  </si>
  <si>
    <t>TOYOTA OF DOWNTOWN LA</t>
  </si>
  <si>
    <t>T-4549</t>
  </si>
  <si>
    <t>UPPER VALLEY HONDA</t>
  </si>
  <si>
    <t>T-4489</t>
  </si>
  <si>
    <t>AUDI QUEENS</t>
  </si>
  <si>
    <t>T-6163</t>
  </si>
  <si>
    <t>AUDI WESLEY CHAPEL</t>
  </si>
  <si>
    <t>T-3823</t>
  </si>
  <si>
    <t>RUSS DARROW NISSAN OF WEST BEND</t>
  </si>
  <si>
    <t>T-4267</t>
  </si>
  <si>
    <t>C HARPER BUICK GMC</t>
  </si>
  <si>
    <t>T-8811</t>
  </si>
  <si>
    <t>JAGUAR LAND ROVER WILLOW GROVE</t>
  </si>
  <si>
    <t>T-6463</t>
  </si>
  <si>
    <t>STIVERS- QUICK LUBE</t>
  </si>
  <si>
    <t>T-11247</t>
  </si>
  <si>
    <t>C. HARPER CDJR</t>
  </si>
  <si>
    <t>T-8810</t>
  </si>
  <si>
    <t>AUDI RICHMOND</t>
  </si>
  <si>
    <t>T-3819</t>
  </si>
  <si>
    <t>Lorenzo Buick GMC</t>
  </si>
  <si>
    <t>T-10925</t>
  </si>
  <si>
    <t>RIVERSIDE BUICK GMC</t>
  </si>
  <si>
    <t>T-7982</t>
  </si>
  <si>
    <t>GRIECO FORD FORT LAUDERDALE</t>
  </si>
  <si>
    <t>T-6777</t>
  </si>
  <si>
    <t>BMW OF FORT WAYNE</t>
  </si>
  <si>
    <t>T-8803</t>
  </si>
  <si>
    <t>FINDLAY VOLVO CARS LAS VEGAS</t>
  </si>
  <si>
    <t>T-10620</t>
  </si>
  <si>
    <t>CHRYSLER DODGE JEEP RAM OF ENGLEWOOD</t>
  </si>
  <si>
    <t>T-14815</t>
  </si>
  <si>
    <t>HUTCHINSON KIA</t>
  </si>
  <si>
    <t>T-8202</t>
  </si>
  <si>
    <t>HUTCHINSON BUICK GMC CADILLAC</t>
  </si>
  <si>
    <t>T-8205</t>
  </si>
  <si>
    <t>North Park Lexus of Rio Grande Valley</t>
  </si>
  <si>
    <t>T-9011</t>
  </si>
  <si>
    <t>SERRA CHEVROLET</t>
  </si>
  <si>
    <t>T-8674</t>
  </si>
  <si>
    <t>FAIRWAY SUBARU</t>
  </si>
  <si>
    <t>T-4459</t>
  </si>
  <si>
    <t>PRESTIGE LEXUS OF RAMSEY</t>
  </si>
  <si>
    <t>T-5682</t>
  </si>
  <si>
    <t>LEXUS OF ORANGE COUNTY</t>
  </si>
  <si>
    <t>T-4105</t>
  </si>
  <si>
    <t>COUNTRY HILLS NISSAN</t>
  </si>
  <si>
    <t>T-10638</t>
  </si>
  <si>
    <t>Spitzer Chevy North Canton</t>
  </si>
  <si>
    <t>T-5734</t>
  </si>
  <si>
    <t>Germain Honda of Ann Arbor</t>
  </si>
  <si>
    <t>T-10626</t>
  </si>
  <si>
    <t>Johnson Alfa Romero of Cary</t>
  </si>
  <si>
    <t>T-5653</t>
  </si>
  <si>
    <t>RAVENEL FORD</t>
  </si>
  <si>
    <t>T-10918</t>
  </si>
  <si>
    <t>CARBONE SUBARU OF UTICA</t>
  </si>
  <si>
    <t>T-1034</t>
  </si>
  <si>
    <t>BUTTE SUBARU</t>
  </si>
  <si>
    <t>T-8672</t>
  </si>
  <si>
    <t>MODERN MAZDA OF BURLINGTON</t>
  </si>
  <si>
    <t>T-8526</t>
  </si>
  <si>
    <t>MODERN CHEVROLET CADILLAC OF BURLINGTON</t>
  </si>
  <si>
    <t>T-7178</t>
  </si>
  <si>
    <t>VALLEY FORD OF HURON</t>
  </si>
  <si>
    <t>T-9123</t>
  </si>
  <si>
    <t>WHITE ALLEN VOLKSWAGEN</t>
  </si>
  <si>
    <t>T-9473</t>
  </si>
  <si>
    <t>CROSSROADS CHEVROLET</t>
  </si>
  <si>
    <t>T-9844</t>
  </si>
  <si>
    <t>Acura Centre of Saskatoon</t>
  </si>
  <si>
    <t>T-9669</t>
  </si>
  <si>
    <t>COUNTRY FORD INC</t>
  </si>
  <si>
    <t>T-9801</t>
  </si>
  <si>
    <t>Saskatoon Volkswagen</t>
  </si>
  <si>
    <t>T-9597</t>
  </si>
  <si>
    <t>Kia of Saskatoon</t>
  </si>
  <si>
    <t>T-9668</t>
  </si>
  <si>
    <t>Toyota World of Clinton</t>
  </si>
  <si>
    <t>T-7990</t>
  </si>
  <si>
    <t>NORTH STAR CHEVROLET-WEST LIBERTY</t>
  </si>
  <si>
    <t>T-9573</t>
  </si>
  <si>
    <t>SHORTLINE BUICK GMC</t>
  </si>
  <si>
    <t>T-9454</t>
  </si>
  <si>
    <t>JIM SHORKEY YOUNGSTOWN CHRYSLER DODGE JEEP RAM FIAT</t>
  </si>
  <si>
    <t>T-14479</t>
  </si>
  <si>
    <t>ROUTE 17 NISSAN</t>
  </si>
  <si>
    <t>T-7474</t>
  </si>
  <si>
    <t>South Tacoma Honda</t>
  </si>
  <si>
    <t>T-10629</t>
  </si>
  <si>
    <t>REEDMAN-TOLL AUTO WORLD</t>
  </si>
  <si>
    <t>T-15472</t>
  </si>
  <si>
    <t>Spitzer Acura McMurray</t>
  </si>
  <si>
    <t>T-5723</t>
  </si>
  <si>
    <t>Spitzer CDJR Cleveland</t>
  </si>
  <si>
    <t>T-5721</t>
  </si>
  <si>
    <t>Spitzer Kia Mansfield</t>
  </si>
  <si>
    <t>T-5719</t>
  </si>
  <si>
    <t>Spitzer CDJR Mansfield</t>
  </si>
  <si>
    <t>T-5718</t>
  </si>
  <si>
    <t>Spitzer Chevrolet Amherst</t>
  </si>
  <si>
    <t>T-5717</t>
  </si>
  <si>
    <t>Spitzer Chevrolet Northfield</t>
  </si>
  <si>
    <t>T-5735</t>
  </si>
  <si>
    <t>Spitzer CDJR Homestead</t>
  </si>
  <si>
    <t>T-7917</t>
  </si>
  <si>
    <t>Spitzer Toyota Monroeville</t>
  </si>
  <si>
    <t>T-4295</t>
  </si>
  <si>
    <t>Spitzer Kia Cleveland</t>
  </si>
  <si>
    <t>T-5732</t>
  </si>
  <si>
    <t>JIM SHORKEY KIA WEXFORD</t>
  </si>
  <si>
    <t>T-14530</t>
  </si>
  <si>
    <t>BENNETT CHEVROLET</t>
  </si>
  <si>
    <t>T-8297</t>
  </si>
  <si>
    <t>CHICO HYUNDAI</t>
  </si>
  <si>
    <t>T-13609</t>
  </si>
  <si>
    <t>RALPH SELLERS CHEVROLET</t>
  </si>
  <si>
    <t>T-8658</t>
  </si>
  <si>
    <t>BENNA FORD SUPERIOR</t>
  </si>
  <si>
    <t>T-14791</t>
  </si>
  <si>
    <t>Clear Lake Nissan</t>
  </si>
  <si>
    <t>T-7225</t>
  </si>
  <si>
    <t>MERCEDES-BENZ OF OXNARD</t>
  </si>
  <si>
    <t>T-6775</t>
  </si>
  <si>
    <t>ANCIRA VOLKSWAGEN</t>
  </si>
  <si>
    <t>T-16188</t>
  </si>
  <si>
    <t>ANCIRA VW OF LERADO</t>
  </si>
  <si>
    <t>T-16197</t>
  </si>
  <si>
    <t>HEALEY BROTHERS FORD LLC</t>
  </si>
  <si>
    <t>T-5932</t>
  </si>
  <si>
    <t>Jaguar Land Rover of Brooklyn</t>
  </si>
  <si>
    <t>T-4025</t>
  </si>
  <si>
    <t>MERCEDES-BENZ OF SELMA</t>
  </si>
  <si>
    <t>T-6781</t>
  </si>
  <si>
    <t>Land Rover Colorado Springs</t>
  </si>
  <si>
    <t>T-6811</t>
  </si>
  <si>
    <t>MODERN INFINITI OF WINSTON-SALEM</t>
  </si>
  <si>
    <t>T-7181</t>
  </si>
  <si>
    <t>MODERN NISSAN OF CONCORD</t>
  </si>
  <si>
    <t>T-7182</t>
  </si>
  <si>
    <t>HUTCHINSON KIA OF ALBANY</t>
  </si>
  <si>
    <t>T-8201</t>
  </si>
  <si>
    <t>Gurnee Chrysler Dodge Jeep</t>
  </si>
  <si>
    <t>T-14470</t>
  </si>
  <si>
    <t>GENGRAS FORD</t>
  </si>
  <si>
    <t>T-7869</t>
  </si>
  <si>
    <t>FENTON NISSAN OF MCALESTER</t>
  </si>
  <si>
    <t>T-10621</t>
  </si>
  <si>
    <t>LEXUS OF BRIDGEWATER</t>
  </si>
  <si>
    <t>T-6162</t>
  </si>
  <si>
    <t>LEXUS OF EDISON</t>
  </si>
  <si>
    <t>T-4102</t>
  </si>
  <si>
    <t>GERMAIN JAGUAR LAND ROVER OF EASTON</t>
  </si>
  <si>
    <t>T-10598</t>
  </si>
  <si>
    <t>Mercedes-Benz of College Station</t>
  </si>
  <si>
    <t>T-7217</t>
  </si>
  <si>
    <t>ERIC VON SCHLEDORN CHEVROLET BUICK CADILLAC</t>
  </si>
  <si>
    <t>T-3922</t>
  </si>
  <si>
    <t>MAX CURNOW CHEVROLET GMC</t>
  </si>
  <si>
    <t>T-13580</t>
  </si>
  <si>
    <t>BOWSER CHEVROLET</t>
  </si>
  <si>
    <t>T-14489</t>
  </si>
  <si>
    <t>BANNER FORD OF MONROE</t>
  </si>
  <si>
    <t>T-3831</t>
  </si>
  <si>
    <t>PAPIK MOTORS INC</t>
  </si>
  <si>
    <t>T-13383</t>
  </si>
  <si>
    <t>STERNBERG CHEVROLET</t>
  </si>
  <si>
    <t>T-14136</t>
  </si>
  <si>
    <t>FREEDOM CHEVROLET BUICK GMC</t>
  </si>
  <si>
    <t>T-11237</t>
  </si>
  <si>
    <t>Hugh White CDJR Honda</t>
  </si>
  <si>
    <t>T-9787</t>
  </si>
  <si>
    <t>Hugh White CDJR Honda.2</t>
  </si>
  <si>
    <t>T-14523</t>
  </si>
  <si>
    <t>Hugh White Nissan</t>
  </si>
  <si>
    <t>T-9788</t>
  </si>
  <si>
    <t>Hugh White Chevrolet Buick</t>
  </si>
  <si>
    <t>T-9786</t>
  </si>
  <si>
    <t>Ajax Mazda</t>
  </si>
  <si>
    <t>T-9272</t>
  </si>
  <si>
    <t>INFINITI OF LEXINGTON</t>
  </si>
  <si>
    <t>T-9121</t>
  </si>
  <si>
    <t>TOYOTA OF ASHLAND</t>
  </si>
  <si>
    <t>T-9120</t>
  </si>
  <si>
    <t>BOW MITSUBISHI</t>
  </si>
  <si>
    <t>T-14469</t>
  </si>
  <si>
    <t>JOHNSON VOLVO CARS DURHAM</t>
  </si>
  <si>
    <t>T-4073</t>
  </si>
  <si>
    <t>MULLINAX FORD OF VERO BEACH</t>
  </si>
  <si>
    <t>T-13312</t>
  </si>
  <si>
    <t>BOWSER CHEVROLET MONROEVILLE</t>
  </si>
  <si>
    <t>T-14488</t>
  </si>
  <si>
    <t>GENESIS OF CARY</t>
  </si>
  <si>
    <t>T-3971</t>
  </si>
  <si>
    <t>BMW of College Station</t>
  </si>
  <si>
    <t>T-7218</t>
  </si>
  <si>
    <t>College Station Hyundai</t>
  </si>
  <si>
    <t>T-7220</t>
  </si>
  <si>
    <t>Genesis of Freehold</t>
  </si>
  <si>
    <t>T-8088</t>
  </si>
  <si>
    <t>HUTCHINSON FORD OF FORSYTH</t>
  </si>
  <si>
    <t>T-8200</t>
  </si>
  <si>
    <t>GREENWAY FORD</t>
  </si>
  <si>
    <t>T-14799</t>
  </si>
  <si>
    <t>LORENZO NISSAN OF FT LAUDERDALE</t>
  </si>
  <si>
    <t>T-13826</t>
  </si>
  <si>
    <t>VOLKSWAGEN OF CLEAR LAKE</t>
  </si>
  <si>
    <t>T-8544</t>
  </si>
  <si>
    <t>VOLKSWAGEN CYPRESS</t>
  </si>
  <si>
    <t>T-8551</t>
  </si>
  <si>
    <t>LAMOILLE VALLEY CHEVROLET</t>
  </si>
  <si>
    <t>T-9796</t>
  </si>
  <si>
    <t>WASHINGTON HONDA</t>
  </si>
  <si>
    <t>T-7912</t>
  </si>
  <si>
    <t>NISSAN OF TORRANCE</t>
  </si>
  <si>
    <t>T-9472</t>
  </si>
  <si>
    <t>FLOW LEXUS OF WINSTON-SALEM</t>
  </si>
  <si>
    <t>T-3938</t>
  </si>
  <si>
    <t>FLOW LEXUS OF GREENSBORO</t>
  </si>
  <si>
    <t>T-3937</t>
  </si>
  <si>
    <t>Ricart Kia</t>
  </si>
  <si>
    <t>T-8967</t>
  </si>
  <si>
    <t>Ricart Mitsubishi</t>
  </si>
  <si>
    <t>T-8775</t>
  </si>
  <si>
    <t>GILBERT &amp; BAUGH FORD</t>
  </si>
  <si>
    <t>T-8822</t>
  </si>
  <si>
    <t>COFFMAN GMC - AURORA</t>
  </si>
  <si>
    <t>T-16173</t>
  </si>
  <si>
    <t>GARNET VOLKSWAGEN</t>
  </si>
  <si>
    <t>T-3968</t>
  </si>
  <si>
    <t>Garnet Volkswagen Reading</t>
  </si>
  <si>
    <t>T-7914</t>
  </si>
  <si>
    <t>ST CHARLES NISSAN</t>
  </si>
  <si>
    <t>T-11236</t>
  </si>
  <si>
    <t>ST. CHARLES HYUNDAI</t>
  </si>
  <si>
    <t>T-11235</t>
  </si>
  <si>
    <t>CMA's Williamsburg Ford</t>
  </si>
  <si>
    <t>T-9470</t>
  </si>
  <si>
    <t>FRESNO BUICK GMC</t>
  </si>
  <si>
    <t>T-14526</t>
  </si>
  <si>
    <t>JOYCE HONDA PARTS &amp; SERVICE/USED CARS</t>
  </si>
  <si>
    <t>T-9254</t>
  </si>
  <si>
    <t>Hudson Valley CDJR</t>
  </si>
  <si>
    <t>T-6801</t>
  </si>
  <si>
    <t>ROYAL BUICK GMC</t>
  </si>
  <si>
    <t>T-13311</t>
  </si>
  <si>
    <t>Volkswagen World of Newton</t>
  </si>
  <si>
    <t>T-7988</t>
  </si>
  <si>
    <t>RIHM KENWORTH MANKATO</t>
  </si>
  <si>
    <t>T-6031</t>
  </si>
  <si>
    <t>RUSS DARROW CHRYSLER DODGE JEEP RAM OF MILWAUKEE</t>
  </si>
  <si>
    <t>T-4567</t>
  </si>
  <si>
    <t>Flagship Ford Carolina</t>
  </si>
  <si>
    <t>T-15474</t>
  </si>
  <si>
    <t>St Charles Genesis</t>
  </si>
  <si>
    <t>T-11264</t>
  </si>
  <si>
    <t>ONTARIO PETERBILT, INC.</t>
  </si>
  <si>
    <t>T-9466</t>
  </si>
  <si>
    <t>JENNINGS VOLKSWAGEN</t>
  </si>
  <si>
    <t>T-8097</t>
  </si>
  <si>
    <t>SPURR CHEVROLET BUICK GMC</t>
  </si>
  <si>
    <t>T-13496</t>
  </si>
  <si>
    <t>Headquarter Mazda</t>
  </si>
  <si>
    <t>T-10659</t>
  </si>
  <si>
    <t>COMMONWEALTH HONDA</t>
  </si>
  <si>
    <t>T-15091</t>
  </si>
  <si>
    <t>CLAWSON HONDA OF FRESNO</t>
  </si>
  <si>
    <t>T-8793</t>
  </si>
  <si>
    <t>Jenkins Chevrolet of Venice</t>
  </si>
  <si>
    <t>T-10627</t>
  </si>
  <si>
    <t>HONDA OF SANTA MONICA - CA</t>
  </si>
  <si>
    <t>T-14821</t>
  </si>
  <si>
    <t>MVP Auto Toyota</t>
  </si>
  <si>
    <t>T-7450</t>
  </si>
  <si>
    <t>M.V.P. AUTO - BAIROA</t>
  </si>
  <si>
    <t>T-8798</t>
  </si>
  <si>
    <t>LAKE ELSINORE HONDA</t>
  </si>
  <si>
    <t>T-4095</t>
  </si>
  <si>
    <t>MERCEDES BENZ OF SMITHTOWN</t>
  </si>
  <si>
    <t>T-4150</t>
  </si>
  <si>
    <t>MERCEDES BENZ OF HUNTINGTON</t>
  </si>
  <si>
    <t>T-4147</t>
  </si>
  <si>
    <t>BMW MAZDA OF CRYSTAL LAKE</t>
  </si>
  <si>
    <t>T-3844</t>
  </si>
  <si>
    <t>PREMIER NISSAN OF MORGANTOWN</t>
  </si>
  <si>
    <t>T-15110</t>
  </si>
  <si>
    <t>MERCEDES-BENZ MONCTON</t>
  </si>
  <si>
    <t>T-9247</t>
  </si>
  <si>
    <t>NIPAWIN CHRYSLER DODGE</t>
  </si>
  <si>
    <t>T-9800</t>
  </si>
  <si>
    <t>CAPITOL CITY IMPORTS VW MAZDA</t>
  </si>
  <si>
    <t>T-3864</t>
  </si>
  <si>
    <t>BILL PAGE HONDA</t>
  </si>
  <si>
    <t>T-9432</t>
  </si>
  <si>
    <t>CAVENDER FORD</t>
  </si>
  <si>
    <t>T-3874</t>
  </si>
  <si>
    <t>Queensway Hyundai</t>
  </si>
  <si>
    <t>T-8124</t>
  </si>
  <si>
    <t>FERRARI OF BEVERLY HILLS BODYSHOP</t>
  </si>
  <si>
    <t>T-9452</t>
  </si>
  <si>
    <t>FERRARI OF LOS ANGELES SERVICE</t>
  </si>
  <si>
    <t>T-9451</t>
  </si>
  <si>
    <t>Shaker's Chrysler Dodge Jeep and Ram</t>
  </si>
  <si>
    <t>T-9616</t>
  </si>
  <si>
    <t>MAC HAIK FORD IN PASADENA</t>
  </si>
  <si>
    <t>T-4470</t>
  </si>
  <si>
    <t>COMMONWEALTH VOLKSWAGEN</t>
  </si>
  <si>
    <t>T-15090</t>
  </si>
  <si>
    <t>COMMONWEALTH KIA</t>
  </si>
  <si>
    <t>T-15089</t>
  </si>
  <si>
    <t>COMMONWEALTH NISSAN</t>
  </si>
  <si>
    <t>T-15088</t>
  </si>
  <si>
    <t>JIM SHORKEY MITSUBISHI NORTH HILLS</t>
  </si>
  <si>
    <t>T-14478</t>
  </si>
  <si>
    <t>PLATINUM HYUNDAI</t>
  </si>
  <si>
    <t>T-14527</t>
  </si>
  <si>
    <t>RUSS DARROW METRO HONDA</t>
  </si>
  <si>
    <t>T-4264</t>
  </si>
  <si>
    <t>Infiniti of South Bay</t>
  </si>
  <si>
    <t>T-15512</t>
  </si>
  <si>
    <t>CAVENDER AUTO COUNTRY CHEVROLET BUICK GMC</t>
  </si>
  <si>
    <t>T-3868</t>
  </si>
  <si>
    <t>TRACY CHEVROLET</t>
  </si>
  <si>
    <t>T-10595</t>
  </si>
  <si>
    <t>CAR PROS HONDA EL MONTE</t>
  </si>
  <si>
    <t>T-8984</t>
  </si>
  <si>
    <t>TLG PETERBILT - DUNN</t>
  </si>
  <si>
    <t>T-6186</t>
  </si>
  <si>
    <t>BUTTE CHRYSLER JEEP DODGE RAM</t>
  </si>
  <si>
    <t>T-8671</t>
  </si>
  <si>
    <t>FOWLER NISSAN</t>
  </si>
  <si>
    <t>T-9288</t>
  </si>
  <si>
    <t>WRIGHT NISSAN</t>
  </si>
  <si>
    <t>T-14142</t>
  </si>
  <si>
    <t>BANNISTER VENTURE LTD.</t>
  </si>
  <si>
    <t>T-15074</t>
  </si>
  <si>
    <t>BANNISTER NISSAN OF CHILLIWACK</t>
  </si>
  <si>
    <t>T-10892</t>
  </si>
  <si>
    <t>BANNISTER HYUNDAI CHILLIWACK</t>
  </si>
  <si>
    <t>T-13314</t>
  </si>
  <si>
    <t>SUBARU OF GALLATIN</t>
  </si>
  <si>
    <t>T-9579</t>
  </si>
  <si>
    <t>BRIGHTON HONDA</t>
  </si>
  <si>
    <t>T-14813</t>
  </si>
  <si>
    <t>BRIGHTON MAZDA</t>
  </si>
  <si>
    <t>T-14812</t>
  </si>
  <si>
    <t>Porsche of Southampton</t>
  </si>
  <si>
    <t>T-6026</t>
  </si>
  <si>
    <t>NORTH PARK CHEVROLET CASTROVILLE</t>
  </si>
  <si>
    <t>T-15070</t>
  </si>
  <si>
    <t>PORSCHE GRAPEVINE</t>
  </si>
  <si>
    <t>T-6481</t>
  </si>
  <si>
    <t>MCNEILL NISSAN</t>
  </si>
  <si>
    <t>T-11252</t>
  </si>
  <si>
    <t>GM OF BUTTE</t>
  </si>
  <si>
    <t>T-8785</t>
  </si>
  <si>
    <t>PORSCHE CARS NORTH AMERICA</t>
  </si>
  <si>
    <t>T-10675</t>
  </si>
  <si>
    <t>DEERY BROTHERS FORD LINCOLN</t>
  </si>
  <si>
    <t>T-14129</t>
  </si>
  <si>
    <t>TOCARS TOA BAJA LLC</t>
  </si>
  <si>
    <t>T-5705</t>
  </si>
  <si>
    <t>Spitzer Autoworld Dubois</t>
  </si>
  <si>
    <t>T-5730</t>
  </si>
  <si>
    <t>Spitzer Subaru Dubois</t>
  </si>
  <si>
    <t>T-5731</t>
  </si>
  <si>
    <t>C HARPER CHEVROLET EAST INC</t>
  </si>
  <si>
    <t>T-8995</t>
  </si>
  <si>
    <t>GOLLING BUICK GMC</t>
  </si>
  <si>
    <t>T-15116</t>
  </si>
  <si>
    <t>JACKIE COOPER IMPORTS</t>
  </si>
  <si>
    <t>T-15079</t>
  </si>
  <si>
    <t>LEXUS OF TULSA</t>
  </si>
  <si>
    <t>T-6178</t>
  </si>
  <si>
    <t>LINDSAY BUICK GMC</t>
  </si>
  <si>
    <t>T-8776</t>
  </si>
  <si>
    <t>VANDEVERE BUICK</t>
  </si>
  <si>
    <t>T-7981</t>
  </si>
  <si>
    <t>VANDEVERE CHEVROLET</t>
  </si>
  <si>
    <t>T-4356</t>
  </si>
  <si>
    <t>VANDEVERE KIA</t>
  </si>
  <si>
    <t>T-7980</t>
  </si>
  <si>
    <t>Nick Mayer Chevrolet Buick GMC</t>
  </si>
  <si>
    <t>T-13764</t>
  </si>
  <si>
    <t>JOHN THORNTON CADILLAC BUICK GMC</t>
  </si>
  <si>
    <t>T-14156</t>
  </si>
  <si>
    <t>AUTOLOI, LLC HYUNDAI BAYAMON</t>
  </si>
  <si>
    <t>T-4529</t>
  </si>
  <si>
    <t>VW OF NANUET</t>
  </si>
  <si>
    <t>T-6043</t>
  </si>
  <si>
    <t>College Station Nissan</t>
  </si>
  <si>
    <t>T-7219</t>
  </si>
  <si>
    <t>SOUTHERN GREENBRIER BUICK GMC</t>
  </si>
  <si>
    <t>T-8669</t>
  </si>
  <si>
    <t>SOUTHERN LYNNHAVEN BUICK GMC</t>
  </si>
  <si>
    <t>T-8668</t>
  </si>
  <si>
    <t>ORANGEVILLE TOYOTA</t>
  </si>
  <si>
    <t>T-8025</t>
  </si>
  <si>
    <t>WEIMER CHRYSLER DODGE JEEP RAM OF KEYSER</t>
  </si>
  <si>
    <t>T-15490</t>
  </si>
  <si>
    <t>WEIMER FORD</t>
  </si>
  <si>
    <t>T-15102</t>
  </si>
  <si>
    <t>FIRELANDS TOYOTA SCION</t>
  </si>
  <si>
    <t>T-3936</t>
  </si>
  <si>
    <t>FIRELANDS CHRYSLER DODGE JEEP RAM</t>
  </si>
  <si>
    <t>T-3935</t>
  </si>
  <si>
    <t>VOLVO CARS CAPE COD</t>
  </si>
  <si>
    <t>T-4361</t>
  </si>
  <si>
    <t>MAZDA CAPE COD</t>
  </si>
  <si>
    <t>T-4127</t>
  </si>
  <si>
    <t>BMW OF CAPE COD</t>
  </si>
  <si>
    <t>T-3846</t>
  </si>
  <si>
    <t>AUDI CAPE COD</t>
  </si>
  <si>
    <t>T-3812</t>
  </si>
  <si>
    <t>VOLVO CARS PLYMOUTH</t>
  </si>
  <si>
    <t>T-4363</t>
  </si>
  <si>
    <t>BADGER CHEVROLET BUICK</t>
  </si>
  <si>
    <t>T-9250</t>
  </si>
  <si>
    <t>CAR PROS KIA MORENO VALLEY</t>
  </si>
  <si>
    <t>T-8983</t>
  </si>
  <si>
    <t>YOKOMURO KIA</t>
  </si>
  <si>
    <t>T-5704</t>
  </si>
  <si>
    <t>YOKOMURO, LLC - NISSAN</t>
  </si>
  <si>
    <t>T-5703</t>
  </si>
  <si>
    <t>RON CARTER CHEVROLET BUICK GMC</t>
  </si>
  <si>
    <t>T-8521</t>
  </si>
  <si>
    <t>RON CARTER FORD</t>
  </si>
  <si>
    <t>T-8522</t>
  </si>
  <si>
    <t>CLASSIC VOLKSWAGEN OF GASTONIA</t>
  </si>
  <si>
    <t>T-9002</t>
  </si>
  <si>
    <t>LAMBORGHINI PHILADELPHIA</t>
  </si>
  <si>
    <t>T-7481</t>
  </si>
  <si>
    <t>JOHNSON HYUNDAI WAKE FOREST</t>
  </si>
  <si>
    <t>T-4068</t>
  </si>
  <si>
    <t>TOWBIN KIA</t>
  </si>
  <si>
    <t>T-13822</t>
  </si>
  <si>
    <t>Audi Newton</t>
  </si>
  <si>
    <t>T-7892</t>
  </si>
  <si>
    <t>JAGUAR LAND ROVER FORT WAYNE</t>
  </si>
  <si>
    <t>T-4023</t>
  </si>
  <si>
    <t>ST. JOHNSBURY BUICK GMC</t>
  </si>
  <si>
    <t>T-4565</t>
  </si>
  <si>
    <t>HYUNDAI DE CAGUAS</t>
  </si>
  <si>
    <t>T-5702</t>
  </si>
  <si>
    <t>PIAZZA HONDA OF POTTSTOWN</t>
  </si>
  <si>
    <t>T-4214</t>
  </si>
  <si>
    <t>PIAZZA HONDA OF PHILADELPHIA</t>
  </si>
  <si>
    <t>T-4213</t>
  </si>
  <si>
    <t>PORSCHE DELAWARE</t>
  </si>
  <si>
    <t>T-4478</t>
  </si>
  <si>
    <t>PIAZZA HONDA OF SPRINGFIELD</t>
  </si>
  <si>
    <t>T-4215</t>
  </si>
  <si>
    <t>MIKE PIAZZA HONDA OF LANGHORNE</t>
  </si>
  <si>
    <t>T-4161</t>
  </si>
  <si>
    <t>PIAZZA VOLKSWAGEN OF LANGHORNE</t>
  </si>
  <si>
    <t>T-4217</t>
  </si>
  <si>
    <t>JACKIE COOPER NISSAN</t>
  </si>
  <si>
    <t>T-15488</t>
  </si>
  <si>
    <t>JACKIE COOPER INFINITI</t>
  </si>
  <si>
    <t>T-15487</t>
  </si>
  <si>
    <t>STIVERS FORD OF BIRMINGHAM</t>
  </si>
  <si>
    <t>T-11246</t>
  </si>
  <si>
    <t>BLASIUS KIA</t>
  </si>
  <si>
    <t>T-9594</t>
  </si>
  <si>
    <t>GEAUX CHEVROLET, LLC</t>
  </si>
  <si>
    <t>T-9804</t>
  </si>
  <si>
    <t>LEXUS OF GREENVILLE</t>
  </si>
  <si>
    <t>T-16194</t>
  </si>
  <si>
    <t>UNITED NISSAN IMPERIAL</t>
  </si>
  <si>
    <t>T-4349</t>
  </si>
  <si>
    <t>UNITED TOYOTA IMPERIAL</t>
  </si>
  <si>
    <t>T-4350</t>
  </si>
  <si>
    <t>UNITED KIA</t>
  </si>
  <si>
    <t>T-4348</t>
  </si>
  <si>
    <t>LORENZO NISSAN  - FL</t>
  </si>
  <si>
    <t>T-13825</t>
  </si>
  <si>
    <t>Genesis Groveport</t>
  </si>
  <si>
    <t>T-8778</t>
  </si>
  <si>
    <t>TLG PETERBILT - GREENSBORO</t>
  </si>
  <si>
    <t>T-6470</t>
  </si>
  <si>
    <t>BMW RICHMOND HILL SERVICE</t>
  </si>
  <si>
    <t>T-13588</t>
  </si>
  <si>
    <t>LARRY DIMMITT LUXURY CARS</t>
  </si>
  <si>
    <t>T-8676</t>
  </si>
  <si>
    <t>DIMMITT CADILLAC-ST PETERSBURG</t>
  </si>
  <si>
    <t>T-3909</t>
  </si>
  <si>
    <t>COURTESY CHEVROLET BREAUX BRIDGE</t>
  </si>
  <si>
    <t>T-9429</t>
  </si>
  <si>
    <t>JIM SHORKEY MURRYSVILLE CHEVROLET</t>
  </si>
  <si>
    <t>T-9425</t>
  </si>
  <si>
    <t>JIM SHORKEY NORTH HILLS CHEVROLET</t>
  </si>
  <si>
    <t>T-9426</t>
  </si>
  <si>
    <t>Spitzer Hyundai Cleveland</t>
  </si>
  <si>
    <t>T-5726</t>
  </si>
  <si>
    <t>Spitzer Honda Euclid</t>
  </si>
  <si>
    <t>T-5729</t>
  </si>
  <si>
    <t>GREENWICH FORD</t>
  </si>
  <si>
    <t>T-6166</t>
  </si>
  <si>
    <t>EASTERNS AUTOMOTIVE GROUP LAUREL</t>
  </si>
  <si>
    <t>T-15476</t>
  </si>
  <si>
    <t>PRIORITY LEXUS NEWPORT NEWS</t>
  </si>
  <si>
    <t>T-7479</t>
  </si>
  <si>
    <t>PRIORITY LEXUS VIRGINIA BEACH</t>
  </si>
  <si>
    <t>T-7478</t>
  </si>
  <si>
    <t>GRIECO ACURA</t>
  </si>
  <si>
    <t>T-6489</t>
  </si>
  <si>
    <t>LEHMER'S</t>
  </si>
  <si>
    <t>T-14141</t>
  </si>
  <si>
    <t>FERRARI QUEBEC</t>
  </si>
  <si>
    <t>T-9608</t>
  </si>
  <si>
    <t>GENGRAS SUBARU</t>
  </si>
  <si>
    <t>T-4561</t>
  </si>
  <si>
    <t>SCHWORER VOLKSWAGEN</t>
  </si>
  <si>
    <t>T-14787</t>
  </si>
  <si>
    <t>TRI STAR CHEVROLET BUICK</t>
  </si>
  <si>
    <t>T-9592</t>
  </si>
  <si>
    <t>C. HARPER CDJR OF THE MON VALLEY</t>
  </si>
  <si>
    <t>T-8994</t>
  </si>
  <si>
    <t>MCCURRY-DECK CHEVROLET BUICK GMC</t>
  </si>
  <si>
    <t>T-4138</t>
  </si>
  <si>
    <t>Bob Valenti Chevrolet</t>
  </si>
  <si>
    <t>T-15069</t>
  </si>
  <si>
    <t>Kelly Hyundai of Hamburg</t>
  </si>
  <si>
    <t>T-5675</t>
  </si>
  <si>
    <t>KELLY TOYOTA OF HAMBURG</t>
  </si>
  <si>
    <t>T-6015</t>
  </si>
  <si>
    <t>WILLIAMS VOLKSWAGEN AUDI</t>
  </si>
  <si>
    <t>T-9832</t>
  </si>
  <si>
    <t>TOWBIN FIAT ALFA ROMEO</t>
  </si>
  <si>
    <t>T-4335</t>
  </si>
  <si>
    <t>Brinson Chevrolet</t>
  </si>
  <si>
    <t>T-9859</t>
  </si>
  <si>
    <t>CADILLAC OF JACKSON</t>
  </si>
  <si>
    <t>T-9838</t>
  </si>
  <si>
    <t>Hallmark Hyundai</t>
  </si>
  <si>
    <t>T-8825</t>
  </si>
  <si>
    <t>Bay Hyundai</t>
  </si>
  <si>
    <t>T-14127</t>
  </si>
  <si>
    <t>TOCARS TOYOTA VEGA BAJA</t>
  </si>
  <si>
    <t>T-5701</t>
  </si>
  <si>
    <t>WEIMER HYUNDAI</t>
  </si>
  <si>
    <t>T-13827</t>
  </si>
  <si>
    <t>JOHNSON CHEVROLET</t>
  </si>
  <si>
    <t>T-9256</t>
  </si>
  <si>
    <t>Premier Ford of Lamesa</t>
  </si>
  <si>
    <t>T-14461</t>
  </si>
  <si>
    <t>STEVENS CREEK LINCOLN</t>
  </si>
  <si>
    <t>T-7191</t>
  </si>
  <si>
    <t>PUENTE HILLS SUBARU</t>
  </si>
  <si>
    <t>T-6177</t>
  </si>
  <si>
    <t>STEVENS CREEK SUBARU</t>
  </si>
  <si>
    <t>T-6176</t>
  </si>
  <si>
    <t>STEVENS CREEK NISSAN</t>
  </si>
  <si>
    <t>T-6175</t>
  </si>
  <si>
    <t>JAGUAR LAND ROVER CHESTERFIELD</t>
  </si>
  <si>
    <t>T-9797</t>
  </si>
  <si>
    <t>HUNTINGTON BEACH FORD</t>
  </si>
  <si>
    <t>T-6174</t>
  </si>
  <si>
    <t>MASTROVITO HYUNDAI</t>
  </si>
  <si>
    <t>T-4125</t>
  </si>
  <si>
    <t>KIA OF STOCKTON</t>
  </si>
  <si>
    <t>T-9854</t>
  </si>
  <si>
    <t>COLVILLE TOYOTA</t>
  </si>
  <si>
    <t>T-13385</t>
  </si>
  <si>
    <t>CAVENDER GRANDE FORD</t>
  </si>
  <si>
    <t>T-3875</t>
  </si>
  <si>
    <t>CLASSIC NISSAN OF WILLIAMSBURG</t>
  </si>
  <si>
    <t>T-8821</t>
  </si>
  <si>
    <t>RICART HYUNDAI</t>
  </si>
  <si>
    <t>T-14528</t>
  </si>
  <si>
    <t>STEVE RAYMAN CHEVROLET LLC</t>
  </si>
  <si>
    <t>T-10622</t>
  </si>
  <si>
    <t>SUBARU WORLD OF HACKETTSTOWN</t>
  </si>
  <si>
    <t>T-7984</t>
  </si>
  <si>
    <t>Willis Chevrolet of Granger</t>
  </si>
  <si>
    <t>T-14454</t>
  </si>
  <si>
    <t>CLASSIC NISSAN NEWPORT NEWS</t>
  </si>
  <si>
    <t>T-8819</t>
  </si>
  <si>
    <t>MICHAEL'S TOYOTA OF BELLEVUE</t>
  </si>
  <si>
    <t>T-7910</t>
  </si>
  <si>
    <t>DIAMOND HILLS CHEVROLET BUICK GMC</t>
  </si>
  <si>
    <t>T-9842</t>
  </si>
  <si>
    <t>AUDI WYOMING VALLEY</t>
  </si>
  <si>
    <t>T-8111</t>
  </si>
  <si>
    <t>HOOVER TOYOTA</t>
  </si>
  <si>
    <t>T-4462</t>
  </si>
  <si>
    <t>JENKINS FORD LINCOLN OF CRYSTAL RIVER</t>
  </si>
  <si>
    <t>T-16171</t>
  </si>
  <si>
    <t>Audi Exchange St. Charles</t>
  </si>
  <si>
    <t>T-13317</t>
  </si>
  <si>
    <t>RUSH CHEVROLET</t>
  </si>
  <si>
    <t>T-9435</t>
  </si>
  <si>
    <t>KOEPPEL HYUNDAI</t>
  </si>
  <si>
    <t>T-9583</t>
  </si>
  <si>
    <t>NYLE MAXWELL CDJR KILLEEN</t>
  </si>
  <si>
    <t>T-9248</t>
  </si>
  <si>
    <t>PORSCHE OF CONSHOHOCKEN</t>
  </si>
  <si>
    <t>T-4225</t>
  </si>
  <si>
    <t>AUDI OF WYNNEWOOD</t>
  </si>
  <si>
    <t>T-3818</t>
  </si>
  <si>
    <t>AUDI WEST CHESTER</t>
  </si>
  <si>
    <t>T-3824</t>
  </si>
  <si>
    <t>THE WAREHOUSE CONSHOHOCKEN</t>
  </si>
  <si>
    <t>T-4324</t>
  </si>
  <si>
    <t>GENESIS SANTA MONICA</t>
  </si>
  <si>
    <t>T-14830</t>
  </si>
  <si>
    <t>Golden Circle Chevrolet</t>
  </si>
  <si>
    <t>T-14458</t>
  </si>
  <si>
    <t>KENOSHA SUBARU</t>
  </si>
  <si>
    <t>T-4080</t>
  </si>
  <si>
    <t>ZEIGLER HYUNDAI RACINE</t>
  </si>
  <si>
    <t>T-4387</t>
  </si>
  <si>
    <t>ZEIGLER HONDA OF RACINE</t>
  </si>
  <si>
    <t>T-4386</t>
  </si>
  <si>
    <t>KOEPPEL SUBARU PARTS &amp; SERVICE CENTER</t>
  </si>
  <si>
    <t>T-14521</t>
  </si>
  <si>
    <t>AUDI ROCKLIN</t>
  </si>
  <si>
    <t>T-3820</t>
  </si>
  <si>
    <t>FREEDOM BUICK GMC BY ED MORSE</t>
  </si>
  <si>
    <t>T-11232</t>
  </si>
  <si>
    <t>FULLERTON FORD</t>
  </si>
  <si>
    <t>T-8006</t>
  </si>
  <si>
    <t>LIBERTYVILLE HAPPY HYUNDAI - IL</t>
  </si>
  <si>
    <t>T-14811</t>
  </si>
  <si>
    <t>PORSCHE CLEARWATER</t>
  </si>
  <si>
    <t>T-9456</t>
  </si>
  <si>
    <t>MODERN TOYOTA OF ASHEBORO</t>
  </si>
  <si>
    <t>T-4163</t>
  </si>
  <si>
    <t>PETERBILT OF UTAH - SALEM</t>
  </si>
  <si>
    <t>T-15124</t>
  </si>
  <si>
    <t>COAST CHEVROLET</t>
  </si>
  <si>
    <t>T-9861</t>
  </si>
  <si>
    <t>SPITZER MOTORS OF DUBOIS LLC</t>
  </si>
  <si>
    <t>T-5728</t>
  </si>
  <si>
    <t>GRIECO CHEVROLET OF LAUDERHILL</t>
  </si>
  <si>
    <t>T-6774</t>
  </si>
  <si>
    <t>Bill Wells Chevrolet</t>
  </si>
  <si>
    <t>T-13334</t>
  </si>
  <si>
    <t>LAMARQUE CRESCENT CITY FORD</t>
  </si>
  <si>
    <t>T-14808</t>
  </si>
  <si>
    <t>Tincher-Williams Chevrolet Inc</t>
  </si>
  <si>
    <t>T-8527</t>
  </si>
  <si>
    <t>ELDER FORD OF TAMPA</t>
  </si>
  <si>
    <t>T-7461</t>
  </si>
  <si>
    <t>West Houston Hyundai</t>
  </si>
  <si>
    <t>T-7221</t>
  </si>
  <si>
    <t>NORTHWEST HYUNDAI</t>
  </si>
  <si>
    <t>T-4193</t>
  </si>
  <si>
    <t>NICK MAYER FORD WEST</t>
  </si>
  <si>
    <t>T-6464</t>
  </si>
  <si>
    <t>NICK MAYER CHEVROLET BUICK GMC OF DICKSON</t>
  </si>
  <si>
    <t>T-13761</t>
  </si>
  <si>
    <t>BRAVO CHRYSLER DODGE JEEP RAM OF ALHAMBRA</t>
  </si>
  <si>
    <t>T-15510</t>
  </si>
  <si>
    <t>Hazleton Honda</t>
  </si>
  <si>
    <t>T-9659</t>
  </si>
  <si>
    <t>GREENVILLE CHRYSLER</t>
  </si>
  <si>
    <t>T-15066</t>
  </si>
  <si>
    <t>GREENVILLE HYUNDAI</t>
  </si>
  <si>
    <t>T-15468</t>
  </si>
  <si>
    <t>EXOTICS OF NAPLES</t>
  </si>
  <si>
    <t>T-9460</t>
  </si>
  <si>
    <t>BRITISH IMPORTS OF BROWARD</t>
  </si>
  <si>
    <t>T-9459</t>
  </si>
  <si>
    <t>AGGIELAND CHEVROLET</t>
  </si>
  <si>
    <t>T-4542</t>
  </si>
  <si>
    <t>Honda of Hollywood</t>
  </si>
  <si>
    <t>T-6140</t>
  </si>
  <si>
    <t>SHERIDAN MOTORS GMC</t>
  </si>
  <si>
    <t>T-10917</t>
  </si>
  <si>
    <t>Sheridan Motors CDJR</t>
  </si>
  <si>
    <t>T-11263</t>
  </si>
  <si>
    <t>McCurley Subaru of Yakima</t>
  </si>
  <si>
    <t>T-13832</t>
  </si>
  <si>
    <t>Morrie's Grand Ledge Ford Lincoln</t>
  </si>
  <si>
    <t>T-4170</t>
  </si>
  <si>
    <t>Morrie's Okemos Ford</t>
  </si>
  <si>
    <t>T-4171</t>
  </si>
  <si>
    <t>County Line Automotive</t>
  </si>
  <si>
    <t>T-14175</t>
  </si>
  <si>
    <t>KILLEEN FORD</t>
  </si>
  <si>
    <t>T-4084</t>
  </si>
  <si>
    <t>KILLEEN HYUNDAI #1</t>
  </si>
  <si>
    <t>T-4085</t>
  </si>
  <si>
    <t>KILLEEN HYUNDAI #2</t>
  </si>
  <si>
    <t>T-4086</t>
  </si>
  <si>
    <t>SOUTH PARK NISSAN</t>
  </si>
  <si>
    <t>T-4293</t>
  </si>
  <si>
    <t>DENNY MENHOLT CHEVROLET CADILLAC</t>
  </si>
  <si>
    <t>T-13340</t>
  </si>
  <si>
    <t>BRAVO HONDA OF VICTORIA</t>
  </si>
  <si>
    <t>T-5941</t>
  </si>
  <si>
    <t>SERRAMONTE KIA</t>
  </si>
  <si>
    <t>T-4285</t>
  </si>
  <si>
    <t>SPARTANBURG TOYOTA</t>
  </si>
  <si>
    <t>T-7595</t>
  </si>
  <si>
    <t>T-4294</t>
  </si>
  <si>
    <t>HEALEY MITSUBISHI</t>
  </si>
  <si>
    <t>T-5688</t>
  </si>
  <si>
    <t>ALLEN CHEVROLET</t>
  </si>
  <si>
    <t>T-3806</t>
  </si>
  <si>
    <t>RICART BUICK GMC</t>
  </si>
  <si>
    <t>T-9137</t>
  </si>
  <si>
    <t>Ricart Chevrolet</t>
  </si>
  <si>
    <t>T-9601</t>
  </si>
  <si>
    <t>MERCEDES-BENZ OF LOUISVILLE</t>
  </si>
  <si>
    <t>T-4156</t>
  </si>
  <si>
    <t>VOLVO CARS DUBLIN</t>
  </si>
  <si>
    <t>T-8673</t>
  </si>
  <si>
    <t>VOLVO OF CHARLOTTE</t>
  </si>
  <si>
    <t>T-4364</t>
  </si>
  <si>
    <t>MERCEDES BENZ OF WEST CHESTER</t>
  </si>
  <si>
    <t>T-4151</t>
  </si>
  <si>
    <t>MAVERICK CHEVROLET</t>
  </si>
  <si>
    <t>T-4126</t>
  </si>
  <si>
    <t>MERCEDES BENZ MARKHAM</t>
  </si>
  <si>
    <t>T-13500</t>
  </si>
  <si>
    <t>MERCEDES BENZ GREEN LANE SERVICE</t>
  </si>
  <si>
    <t>T-13587</t>
  </si>
  <si>
    <t>MERCEDES BENZ - STEELES</t>
  </si>
  <si>
    <t>T-13586</t>
  </si>
  <si>
    <t>FOX CHRYSLER DODGE JEEP RAM</t>
  </si>
  <si>
    <t>T-7468</t>
  </si>
  <si>
    <t>Auburn Chevrolet NY</t>
  </si>
  <si>
    <t>T-7443</t>
  </si>
  <si>
    <t>FOX TOYOTA SUBARU</t>
  </si>
  <si>
    <t>T-6484</t>
  </si>
  <si>
    <t>FOX HONDA</t>
  </si>
  <si>
    <t>T-7467</t>
  </si>
  <si>
    <t>HYUNDAI DE HUMACAO</t>
  </si>
  <si>
    <t>T-7463</t>
  </si>
  <si>
    <t>ASTON MARTIN OF WASHINGTON DC</t>
  </si>
  <si>
    <t>T-13313</t>
  </si>
  <si>
    <t>FIRELANDS CHEVROLET OF VERMILION</t>
  </si>
  <si>
    <t>T-3934</t>
  </si>
  <si>
    <t>BILLION WORTHINGTON CHEVROLET</t>
  </si>
  <si>
    <t>T-10655</t>
  </si>
  <si>
    <t>DENNY MENHOLT TOYOTA</t>
  </si>
  <si>
    <t>T-15105</t>
  </si>
  <si>
    <t>Billion Ford of Worthington</t>
  </si>
  <si>
    <t>T-10667</t>
  </si>
  <si>
    <t>BILLION CDJR OF WORTHINGTON</t>
  </si>
  <si>
    <t>T-10644</t>
  </si>
  <si>
    <t>PERFORMANCE CHEVROLET</t>
  </si>
  <si>
    <t>T-14465</t>
  </si>
  <si>
    <t>HALLMARK HYUNDAI NORTH</t>
  </si>
  <si>
    <t>T-9261</t>
  </si>
  <si>
    <t>HALLMARK HYUNDAI FLOWOOD</t>
  </si>
  <si>
    <t>T-9260</t>
  </si>
  <si>
    <t>CLASSIC TOYOTA OF HENDERSON</t>
  </si>
  <si>
    <t>T-8999</t>
  </si>
  <si>
    <t>BMW AND MERCEDES-BENZ OF BOWLING GREEN</t>
  </si>
  <si>
    <t>T-8783</t>
  </si>
  <si>
    <t>FERRARI PHILADELPHIA</t>
  </si>
  <si>
    <t>T-4540</t>
  </si>
  <si>
    <t>CADILLAC MAZDA OF LAKE LANIER</t>
  </si>
  <si>
    <t>T-14477</t>
  </si>
  <si>
    <t>AUTOFAIR TOYOTA OF TEWKSBURY</t>
  </si>
  <si>
    <t>T-7477</t>
  </si>
  <si>
    <t>SERRA FORD FARMINGTON HILLS</t>
  </si>
  <si>
    <t>T-15111</t>
  </si>
  <si>
    <t>BRIDGETON CHEVROLET BUICK GMC CADILLAC</t>
  </si>
  <si>
    <t>T-9660</t>
  </si>
  <si>
    <t>FRONTIER MOTORS FORD</t>
  </si>
  <si>
    <t>T-10913</t>
  </si>
  <si>
    <t>LINCOLN OF RAMSEY</t>
  </si>
  <si>
    <t>T-10671</t>
  </si>
  <si>
    <t>TOYOTA OF GLADSTONE</t>
  </si>
  <si>
    <t>T-4342</t>
  </si>
  <si>
    <t>Tonkin Hillsboro Ford</t>
  </si>
  <si>
    <t>T-4333</t>
  </si>
  <si>
    <t>FINDLAY TOYOTA SPOKANE</t>
  </si>
  <si>
    <t>T-6784</t>
  </si>
  <si>
    <t>FINDLAY LEXUS OF SPOKANE</t>
  </si>
  <si>
    <t>T-13341</t>
  </si>
  <si>
    <t>REDONDO MITSUBISHI</t>
  </si>
  <si>
    <t>T-10603</t>
  </si>
  <si>
    <t>HONDA OF HARVEY</t>
  </si>
  <si>
    <t>T-8992</t>
  </si>
  <si>
    <t>FRIENDSHIP HYUNDAI OF PRINCETON</t>
  </si>
  <si>
    <t>T-4200</t>
  </si>
  <si>
    <t>FORD OF HOMEWOOD INC</t>
  </si>
  <si>
    <t>T-10641</t>
  </si>
  <si>
    <t>MANGINO CHEVROLET</t>
  </si>
  <si>
    <t>T-7872</t>
  </si>
  <si>
    <t>Mangino Buick GMC</t>
  </si>
  <si>
    <t>T-7866</t>
  </si>
  <si>
    <t>Express Brownsville Chevrolet GMC</t>
  </si>
  <si>
    <t>T-9865</t>
  </si>
  <si>
    <t>MERCEDES BENZ DOYLESTOWN</t>
  </si>
  <si>
    <t>T-9827</t>
  </si>
  <si>
    <t>FAULKNER HONDA DOYLESTOWN</t>
  </si>
  <si>
    <t>T-11248</t>
  </si>
  <si>
    <t>CURRAN VOLKSWAGEN</t>
  </si>
  <si>
    <t>T-1035</t>
  </si>
  <si>
    <t>VOLVO CARS WATERLOO</t>
  </si>
  <si>
    <t>T-9265</t>
  </si>
  <si>
    <t>JAGUAR LAND ROVER WATERLOO</t>
  </si>
  <si>
    <t>T-9264</t>
  </si>
  <si>
    <t>BENTLEY HIGH POINT</t>
  </si>
  <si>
    <t>T-15522</t>
  </si>
  <si>
    <t>VISION HYUNDAI OF HENRIETTA</t>
  </si>
  <si>
    <t>T-9837</t>
  </si>
  <si>
    <t>VISION BUICK GMC</t>
  </si>
  <si>
    <t>T-8817</t>
  </si>
  <si>
    <t>VISION HYUNDAI OF CANANDAIGUA</t>
  </si>
  <si>
    <t>T-9836</t>
  </si>
  <si>
    <t>VISION HYUNDAI OF WEBSTER</t>
  </si>
  <si>
    <t>T-9835</t>
  </si>
  <si>
    <t>Spitzer AutoWorld LLC</t>
  </si>
  <si>
    <t>T-5720</t>
  </si>
  <si>
    <t>ST. MARYS CHRYSLER DODGE JEEP RAM FIAT</t>
  </si>
  <si>
    <t>T-5922</t>
  </si>
  <si>
    <t>KNIGHT CLAREMONT CDJR</t>
  </si>
  <si>
    <t>T-10920</t>
  </si>
  <si>
    <t>JIM SHORKEY GAINESVILLE MITSUBISHI</t>
  </si>
  <si>
    <t>T-14476</t>
  </si>
  <si>
    <t>JIM SHORKEY GAINESVILLE KIA</t>
  </si>
  <si>
    <t>T-14475</t>
  </si>
  <si>
    <t>JIM SHORKEY GAINESVILLE NISSAN</t>
  </si>
  <si>
    <t>T-14474</t>
  </si>
  <si>
    <t>Forest Lake Chevrolet</t>
  </si>
  <si>
    <t>T-16202</t>
  </si>
  <si>
    <t>INFINITI OF EDISON (TRAILER)</t>
  </si>
  <si>
    <t>T-7987</t>
  </si>
  <si>
    <t>JAGUAR LAND ROVER CORAL GABLES</t>
  </si>
  <si>
    <t>T-6457</t>
  </si>
  <si>
    <t>STRATFORD KIA</t>
  </si>
  <si>
    <t>T-10633</t>
  </si>
  <si>
    <t>OAKVILLE MITSUBISHI</t>
  </si>
  <si>
    <t>T-15122</t>
  </si>
  <si>
    <t>MONROEVILLE KIA</t>
  </si>
  <si>
    <t>T-14789</t>
  </si>
  <si>
    <t>KIA OF ENGLEWOOD</t>
  </si>
  <si>
    <t>T-4083</t>
  </si>
  <si>
    <t>JERSEY CITY KIA</t>
  </si>
  <si>
    <t>T-4064</t>
  </si>
  <si>
    <t>LAND ROVER COLUMBIA</t>
  </si>
  <si>
    <t>T-10888</t>
  </si>
  <si>
    <t>BURLINGTON CHRYSLER DODGE JEEP RAM - NJ</t>
  </si>
  <si>
    <t>T-16231</t>
  </si>
  <si>
    <t>DICK HANNAH CHEVROLET</t>
  </si>
  <si>
    <t>T-8670</t>
  </si>
  <si>
    <t>DICK HANNAH FORD</t>
  </si>
  <si>
    <t>T-8666</t>
  </si>
  <si>
    <t>POHANKA FORD OF SALISBURY</t>
  </si>
  <si>
    <t>T-6150</t>
  </si>
  <si>
    <t>POHANKA KIA OF SALISBURY</t>
  </si>
  <si>
    <t>T-6462</t>
  </si>
  <si>
    <t>POHANKA CDJR OF SALISBURY</t>
  </si>
  <si>
    <t>T-6461</t>
  </si>
  <si>
    <t>Gator Motorsport</t>
  </si>
  <si>
    <t>T-9656</t>
  </si>
  <si>
    <t>CASTLE IMPORTS OF MCHENRY LLC</t>
  </si>
  <si>
    <t>T-11275</t>
  </si>
  <si>
    <t>CASTLE CHEVROLET BUICK GMC CADILLAC MCHENRY</t>
  </si>
  <si>
    <t>T-11274</t>
  </si>
  <si>
    <t>GENESIS OF CENTRAL FLORIDA</t>
  </si>
  <si>
    <t>T-15072</t>
  </si>
  <si>
    <t>Riverhead Bay Volkswagen</t>
  </si>
  <si>
    <t>T-7190</t>
  </si>
  <si>
    <t>Riverhead Bay Subaru</t>
  </si>
  <si>
    <t>T-7189</t>
  </si>
  <si>
    <t>JOHNSON KIA ANNAPOLIS</t>
  </si>
  <si>
    <t>T-4466</t>
  </si>
  <si>
    <t>LODI TOYOTA</t>
  </si>
  <si>
    <t>T-9853</t>
  </si>
  <si>
    <t>Express Dyersburg Chevrolet Buick GMC</t>
  </si>
  <si>
    <t>T-9806</t>
  </si>
  <si>
    <t>WELLS RIVER CHEVROLET</t>
  </si>
  <si>
    <t>T-4566</t>
  </si>
  <si>
    <t>TWO RIVERS FORD LLC</t>
  </si>
  <si>
    <t>T-9833</t>
  </si>
  <si>
    <t>WALTER JACKSON CHEVROLET, INC.</t>
  </si>
  <si>
    <t>T-14166</t>
  </si>
  <si>
    <t>TLG PETERBILT - SOUTH BEND</t>
  </si>
  <si>
    <t>T-6469</t>
  </si>
  <si>
    <t>JOHNSON MASERATI OF CARY</t>
  </si>
  <si>
    <t>T-4071</t>
  </si>
  <si>
    <t>MERCEDES BENZ OF ARROWHEAD</t>
  </si>
  <si>
    <t>T-11245</t>
  </si>
  <si>
    <t>ELK GROVE ACURA</t>
  </si>
  <si>
    <t>T-4455</t>
  </si>
  <si>
    <t>ELK GROVE DODGE CHRYSLER JEEP RAM</t>
  </si>
  <si>
    <t>T-10919</t>
  </si>
  <si>
    <t>ELK GROVE VW</t>
  </si>
  <si>
    <t>T-4458</t>
  </si>
  <si>
    <t>ELK GROVE AUDI</t>
  </si>
  <si>
    <t>T-4456</t>
  </si>
  <si>
    <t>Fred Anderson Acura</t>
  </si>
  <si>
    <t>T-6791</t>
  </si>
  <si>
    <t>FRED ANDERSON CHEVROLET BUICK GMC CADILLAC</t>
  </si>
  <si>
    <t>T-6790</t>
  </si>
  <si>
    <t>Fred Anderson Honda</t>
  </si>
  <si>
    <t>T-6789</t>
  </si>
  <si>
    <t>Webb Chevrolet of Cortez</t>
  </si>
  <si>
    <t>T-10669</t>
  </si>
  <si>
    <t>LEWISTON MOTOR COMPANY</t>
  </si>
  <si>
    <t>T-15513</t>
  </si>
  <si>
    <t>VALLEY FORD OF COLUMBUS</t>
  </si>
  <si>
    <t>T-7194</t>
  </si>
  <si>
    <t>DANBURY PORSCHE</t>
  </si>
  <si>
    <t>T-14464</t>
  </si>
  <si>
    <t>DANBURY AUDI</t>
  </si>
  <si>
    <t>T-14463</t>
  </si>
  <si>
    <t>DANBURY VOLKSWAGEN</t>
  </si>
  <si>
    <t>T-14462</t>
  </si>
  <si>
    <t>MERCEDES BENZ OF ATLANTIC CITY</t>
  </si>
  <si>
    <t>T-6023</t>
  </si>
  <si>
    <t>DUNN COUNTRY MOTORS LLC</t>
  </si>
  <si>
    <t>T-15083</t>
  </si>
  <si>
    <t>TLG PETERBILT - WILMINGTON</t>
  </si>
  <si>
    <t>T-6468</t>
  </si>
  <si>
    <t>HYUNDAI SANTA MONICA</t>
  </si>
  <si>
    <t>T-15120</t>
  </si>
  <si>
    <t>Murdock Ford</t>
  </si>
  <si>
    <t>T-10887</t>
  </si>
  <si>
    <t>FORD OF HARVEY</t>
  </si>
  <si>
    <t>T-9825</t>
  </si>
  <si>
    <t>REDDING SUBARU</t>
  </si>
  <si>
    <t>T-4246</t>
  </si>
  <si>
    <t>HUNTER FORD</t>
  </si>
  <si>
    <t>T-16181</t>
  </si>
  <si>
    <t>SPITZER NISSAN</t>
  </si>
  <si>
    <t>T-5689</t>
  </si>
  <si>
    <t>SPITZER BUICK GMC BODYSHOP</t>
  </si>
  <si>
    <t>T-5690</t>
  </si>
  <si>
    <t>TASCA FORD LINCOLN MAZDA SUBARU</t>
  </si>
  <si>
    <t>T-4314</t>
  </si>
  <si>
    <t>POUGHKEEPSIE NISSAN INC.</t>
  </si>
  <si>
    <t>T-13818</t>
  </si>
  <si>
    <t>PIAZZA JAGUAR LAND ROVER HARRISBURG</t>
  </si>
  <si>
    <t>T-4216</t>
  </si>
  <si>
    <t>FRIENDSHIP HYUNDAI OF BECKLEY</t>
  </si>
  <si>
    <t>T-3957</t>
  </si>
  <si>
    <t>CELEBRITY FORD</t>
  </si>
  <si>
    <t>T-5649</t>
  </si>
  <si>
    <t>Blasius GMC</t>
  </si>
  <si>
    <t>T-6451</t>
  </si>
  <si>
    <t>Morrie's Little Falls Chrysler Dodge Jeep RAM</t>
  </si>
  <si>
    <t>T-5890</t>
  </si>
  <si>
    <t>INFINITI OF CHARLOTTE</t>
  </si>
  <si>
    <t>T-8818</t>
  </si>
  <si>
    <t>SUBARU OF SYRACUSE</t>
  </si>
  <si>
    <t>T-7466</t>
  </si>
  <si>
    <t>BUICK GMC OF SYRACUSE</t>
  </si>
  <si>
    <t>T-7465</t>
  </si>
  <si>
    <t>SOUTHGATE HONDA</t>
  </si>
  <si>
    <t>T-13498</t>
  </si>
  <si>
    <t>FRIENDSHIP KIA</t>
  </si>
  <si>
    <t>T-3960</t>
  </si>
  <si>
    <t>FRIENDSHIP SUBARU</t>
  </si>
  <si>
    <t>T-3963</t>
  </si>
  <si>
    <t>LAKE COUNTY NISSAN</t>
  </si>
  <si>
    <t>T-4468</t>
  </si>
  <si>
    <t>MISTLIN HONDA</t>
  </si>
  <si>
    <t>T-14509</t>
  </si>
  <si>
    <t>AutoNation Mazda Carlsbad</t>
  </si>
  <si>
    <t>T-6052</t>
  </si>
  <si>
    <t>GRIECO NISSAN</t>
  </si>
  <si>
    <t>T-6488</t>
  </si>
  <si>
    <t>Garnet of Leesport</t>
  </si>
  <si>
    <t>T-4527</t>
  </si>
  <si>
    <t>Bay Lincoln</t>
  </si>
  <si>
    <t>T-11269</t>
  </si>
  <si>
    <t>KIA OF PORTLAND</t>
  </si>
  <si>
    <t>T-15099</t>
  </si>
  <si>
    <t>BRAVO CADILLAC HUMMER</t>
  </si>
  <si>
    <t>T-5940</t>
  </si>
  <si>
    <t>BRAVO CHEVROLET CADILLAC</t>
  </si>
  <si>
    <t>T-5939</t>
  </si>
  <si>
    <t>WADE FORD</t>
  </si>
  <si>
    <t>T-7195</t>
  </si>
  <si>
    <t>#1 COCHRAN HONDA SOUTH HILLS</t>
  </si>
  <si>
    <t>T-13571</t>
  </si>
  <si>
    <t>Spitzer Buick Chevrolet GMC</t>
  </si>
  <si>
    <t>T-6039</t>
  </si>
  <si>
    <t>Classic Chevrolet</t>
  </si>
  <si>
    <t>T-8299</t>
  </si>
  <si>
    <t>MARBURGER CHEVROLET</t>
  </si>
  <si>
    <t>T-8020</t>
  </si>
  <si>
    <t>CLASSIC TOYOTA HAMPTON</t>
  </si>
  <si>
    <t>T-5637</t>
  </si>
  <si>
    <t>CHEVROLET CHESAPEAKE</t>
  </si>
  <si>
    <t>T-8000</t>
  </si>
  <si>
    <t>FRED ANDERSON KIA OF GREENVILLE</t>
  </si>
  <si>
    <t>T-5894</t>
  </si>
  <si>
    <t>FRED ANDERSON KIA OF GREER</t>
  </si>
  <si>
    <t>T-5891</t>
  </si>
  <si>
    <t>FRED ANDERSON GENESIS</t>
  </si>
  <si>
    <t>T-5927</t>
  </si>
  <si>
    <t>FRED ANDERSON TOYOTA OF GREER</t>
  </si>
  <si>
    <t>T-5679</t>
  </si>
  <si>
    <t>FRED ANDERSON HYUNDAI</t>
  </si>
  <si>
    <t>T-5926</t>
  </si>
  <si>
    <t>COASTAL CHEVROLET</t>
  </si>
  <si>
    <t>T-9465</t>
  </si>
  <si>
    <t>HENDERSON NISSAN</t>
  </si>
  <si>
    <t>T-6013</t>
  </si>
  <si>
    <t>FERRARI SOUTH BAY</t>
  </si>
  <si>
    <t>T-13575</t>
  </si>
  <si>
    <t>AUDI LEXINGTON</t>
  </si>
  <si>
    <t>T-5686</t>
  </si>
  <si>
    <t>Gengras Chevrolet</t>
  </si>
  <si>
    <t>T-6144</t>
  </si>
  <si>
    <t>PIAZZA MAS MAIN LINE CORP.</t>
  </si>
  <si>
    <t>T-6055</t>
  </si>
  <si>
    <t>WEST EDMONTON HYUNDAI</t>
  </si>
  <si>
    <t>T-8792</t>
  </si>
  <si>
    <t>INFINITI OF GREENVILLE</t>
  </si>
  <si>
    <t>T-15112</t>
  </si>
  <si>
    <t>Nissan of White Marsh</t>
  </si>
  <si>
    <t>T-6148</t>
  </si>
  <si>
    <t>FIRELANDS HONDA</t>
  </si>
  <si>
    <t>T-6179</t>
  </si>
  <si>
    <t>GLOBAL AUTOMALL</t>
  </si>
  <si>
    <t>T-9015</t>
  </si>
  <si>
    <t>HONDA OF VALLEJO</t>
  </si>
  <si>
    <t>T-8552</t>
  </si>
  <si>
    <t>BOWSER GENESIS OF MONROEVILLE</t>
  </si>
  <si>
    <t>T-14487</t>
  </si>
  <si>
    <t>KNAUZ INEOS GRENADIER</t>
  </si>
  <si>
    <t>T-6018</t>
  </si>
  <si>
    <t>Waco Hyundai</t>
  </si>
  <si>
    <t>T-7213</t>
  </si>
  <si>
    <t>GENESIS OF ENGLEWOOD SERVICE</t>
  </si>
  <si>
    <t>T-6173</t>
  </si>
  <si>
    <t>MORRIE'S CHIPPEWA FALLS CHRYSLER DODGE JEEP RAM</t>
  </si>
  <si>
    <t>T-6821</t>
  </si>
  <si>
    <t>MORRIE'S EAU CLAIRE SUBARU</t>
  </si>
  <si>
    <t>T-6820</t>
  </si>
  <si>
    <t>ACTION HYUNDAI</t>
  </si>
  <si>
    <t>T-6171</t>
  </si>
  <si>
    <t>Global Kia</t>
  </si>
  <si>
    <t>T-9014</t>
  </si>
  <si>
    <t>LAND ROVER SHREVEPORT.2</t>
  </si>
  <si>
    <t>T-6454</t>
  </si>
  <si>
    <t>KEATING CHEVROLET</t>
  </si>
  <si>
    <t>T-8971</t>
  </si>
  <si>
    <t>Genesis of Waukesha</t>
  </si>
  <si>
    <t>T-8087</t>
  </si>
  <si>
    <t>SUBARU OF SPARTANBURG</t>
  </si>
  <si>
    <t>T-7472</t>
  </si>
  <si>
    <t>TUSTIN KIA</t>
  </si>
  <si>
    <t>T-13816</t>
  </si>
  <si>
    <t>MIRACLE NISSAN OF AUGUSTA</t>
  </si>
  <si>
    <t>T-7972</t>
  </si>
  <si>
    <t>Miracle Nissan of North Augusta</t>
  </si>
  <si>
    <t>T-7902</t>
  </si>
  <si>
    <t>Miracle Toyota</t>
  </si>
  <si>
    <t>T-7904</t>
  </si>
  <si>
    <t>MIRACLE TOYOTA OF NORTH AUGUSTA</t>
  </si>
  <si>
    <t>T-7973</t>
  </si>
  <si>
    <t>Miracle INFINITI of Augusta</t>
  </si>
  <si>
    <t>T-7903</t>
  </si>
  <si>
    <t>MERCEDES-BENZ OF NORTHERN ARIZONA</t>
  </si>
  <si>
    <t>T-15458</t>
  </si>
  <si>
    <t>ROGER BEASLEY MAZDA LEANDER</t>
  </si>
  <si>
    <t>T-15524</t>
  </si>
  <si>
    <t>MERCEDES-BENZ VAN CENTER - ATLANTA SOUTH</t>
  </si>
  <si>
    <t>T-13813</t>
  </si>
  <si>
    <t>Greencastle Chevrolet</t>
  </si>
  <si>
    <t>T-9658</t>
  </si>
  <si>
    <t>PREMIER NISSAN OF UNIONTOWN</t>
  </si>
  <si>
    <t>T-15109</t>
  </si>
  <si>
    <t>FRED BEANS MAZDA OF ABINGTON</t>
  </si>
  <si>
    <t>T-8206</t>
  </si>
  <si>
    <t>GREENWAY TOYOTA OF THE SHOALS</t>
  </si>
  <si>
    <t>T-8128</t>
  </si>
  <si>
    <t>GREENWAY HONDA OF FLORENCE</t>
  </si>
  <si>
    <t>T-8009</t>
  </si>
  <si>
    <t>GREENWAY CHRYSLER DODGE JEEP RAM OF FLORENCE</t>
  </si>
  <si>
    <t>T-8008</t>
  </si>
  <si>
    <t>GREENWAY NISSAN OF FLORENCE</t>
  </si>
  <si>
    <t>T-8010</t>
  </si>
  <si>
    <t>MCCURLEY INTEGRITY MAZDA</t>
  </si>
  <si>
    <t>T-13831</t>
  </si>
  <si>
    <t>TOYOTA OF KENNER</t>
  </si>
  <si>
    <t>T-7473</t>
  </si>
  <si>
    <t>THE COLLECTION AUDI</t>
  </si>
  <si>
    <t>T-8663</t>
  </si>
  <si>
    <t>LAMBORGHINI CUTLER BAY</t>
  </si>
  <si>
    <t>T-7886</t>
  </si>
  <si>
    <t>KEELER MOTOR CAR- GENESIS</t>
  </si>
  <si>
    <t>T-7976</t>
  </si>
  <si>
    <t>GRIECO CHRYSLER DODGE JEEP RAM</t>
  </si>
  <si>
    <t>T-13309</t>
  </si>
  <si>
    <t>KATE FAUPEL FORD</t>
  </si>
  <si>
    <t>T-14502</t>
  </si>
  <si>
    <t>Express Terry Chevrolet</t>
  </si>
  <si>
    <t>T-9805</t>
  </si>
  <si>
    <t>VANDEVERE CADILLAC</t>
  </si>
  <si>
    <t>T-8543</t>
  </si>
  <si>
    <t>GENESIS OF ONTARIO</t>
  </si>
  <si>
    <t>T-8007</t>
  </si>
  <si>
    <t>GEAUX CHRYSLER DODGE JEEP RAM</t>
  </si>
  <si>
    <t>T-9803</t>
  </si>
  <si>
    <t>VADEN CHRYSLER DODGE JEEP RAM SAVANNAH</t>
  </si>
  <si>
    <t>T-8032</t>
  </si>
  <si>
    <t>ALL STAR CHEVROLET</t>
  </si>
  <si>
    <t>T-13830</t>
  </si>
  <si>
    <t>ROCKWALL VOLKSWAGEN</t>
  </si>
  <si>
    <t>T-9791</t>
  </si>
  <si>
    <t>RC CJDR</t>
  </si>
  <si>
    <t>T-9270</t>
  </si>
  <si>
    <t>GRIECO FORD OF BRANFORD</t>
  </si>
  <si>
    <t>T-8554</t>
  </si>
  <si>
    <t>WAPAKONETA FORD</t>
  </si>
  <si>
    <t>T-8980</t>
  </si>
  <si>
    <t>CLASSIC KIA OF SMITHFIELD</t>
  </si>
  <si>
    <t>T-8290</t>
  </si>
  <si>
    <t>CLASSIC CJDR OF LANCASTER</t>
  </si>
  <si>
    <t>T-8301</t>
  </si>
  <si>
    <t>PORSCHE NORTHLAKE</t>
  </si>
  <si>
    <t>T-9666</t>
  </si>
  <si>
    <t>JIM SHORKEY MAZDA GAINESVILLE</t>
  </si>
  <si>
    <t>T-14473</t>
  </si>
  <si>
    <t>FRIENDSHIP HYUNDAI OF KINGSPORT</t>
  </si>
  <si>
    <t>T-15115</t>
  </si>
  <si>
    <t>KIA SANTA MONICA</t>
  </si>
  <si>
    <t>T-14825</t>
  </si>
  <si>
    <t>WAGNER AUTO SALES</t>
  </si>
  <si>
    <t>T-9593</t>
  </si>
  <si>
    <t>CONCORD NISSAN</t>
  </si>
  <si>
    <t>T-9006</t>
  </si>
  <si>
    <t>VINELAND DODGE CHRYSLER JEEP</t>
  </si>
  <si>
    <t>T-9135</t>
  </si>
  <si>
    <t>Rusnak INEOS Grenadier</t>
  </si>
  <si>
    <t>T-8553</t>
  </si>
  <si>
    <t>FINDLAY HONDA SPOKANE</t>
  </si>
  <si>
    <t>T-8782</t>
  </si>
  <si>
    <t>DEMAROIS BUICK GMC MERCEDES-BENZ</t>
  </si>
  <si>
    <t>T-10864</t>
  </si>
  <si>
    <t>BMW OF DOWNTOWN LOS ANGELES</t>
  </si>
  <si>
    <t>T-8982</t>
  </si>
  <si>
    <t>NICK MAYER FORD EAST</t>
  </si>
  <si>
    <t>T-13760</t>
  </si>
  <si>
    <t>WINNER CHEVROLET LLC</t>
  </si>
  <si>
    <t>T-9129</t>
  </si>
  <si>
    <t>David McDermott Lexus of New Haven</t>
  </si>
  <si>
    <t>T-8979</t>
  </si>
  <si>
    <t>CRABTREE LEXUS &amp; CRABTREE CHEVROLET</t>
  </si>
  <si>
    <t>T-8978</t>
  </si>
  <si>
    <t>RIVDERSIDE NISSAN OF ROME</t>
  </si>
  <si>
    <t>T-8781</t>
  </si>
  <si>
    <t>LUMOS HONDA</t>
  </si>
  <si>
    <t>T-9131</t>
  </si>
  <si>
    <t>MISSISSAUGA CHRYSLER DODGE JEEP RAM</t>
  </si>
  <si>
    <t>T-10895</t>
  </si>
  <si>
    <t>FRED BEANS HYUNDAI OF MECHANICSBURG</t>
  </si>
  <si>
    <t>T-8993</t>
  </si>
  <si>
    <t>VOLKSWAGEN BRANDON</t>
  </si>
  <si>
    <t>T-8988</t>
  </si>
  <si>
    <t>AUDI OF LAKELAND</t>
  </si>
  <si>
    <t>T-8987</t>
  </si>
  <si>
    <t>FERRARI RANCHO MIRAGE</t>
  </si>
  <si>
    <t>T-14155</t>
  </si>
  <si>
    <t>ZOOK MOTORS</t>
  </si>
  <si>
    <t>T-10650</t>
  </si>
  <si>
    <t>Blaise Alexander Mazda of Hazelton</t>
  </si>
  <si>
    <t>T-9142</t>
  </si>
  <si>
    <t>HAZLETON HYUNDAI</t>
  </si>
  <si>
    <t>T-9244</t>
  </si>
  <si>
    <t>PRIORITY MITSUBISHI</t>
  </si>
  <si>
    <t>T-9133</t>
  </si>
  <si>
    <t>TOMBALL HYUNDAI</t>
  </si>
  <si>
    <t>T-8788</t>
  </si>
  <si>
    <t>Jack Carroll's Skagit Hyundai</t>
  </si>
  <si>
    <t>T-9823</t>
  </si>
  <si>
    <t>GEAUX CHEVROLET WEST</t>
  </si>
  <si>
    <t>T-9267</t>
  </si>
  <si>
    <t>Fairway Ford Service Center</t>
  </si>
  <si>
    <t>T-10636</t>
  </si>
  <si>
    <t>MINI OF DOWNTOWN LOS ANGELES</t>
  </si>
  <si>
    <t>T-8973</t>
  </si>
  <si>
    <t>Jimmy Gray Chevrolet</t>
  </si>
  <si>
    <t>T-10657</t>
  </si>
  <si>
    <t>MASERATI / ALFA OF MONMOUTH</t>
  </si>
  <si>
    <t>T-9291</t>
  </si>
  <si>
    <t>NISSAN OF OMAHA</t>
  </si>
  <si>
    <t>T-11261</t>
  </si>
  <si>
    <t>Buddy Chevrolet</t>
  </si>
  <si>
    <t>BILL KOLB SUBARU-ORANGEBURG S LLC</t>
  </si>
  <si>
    <t>T-9284</t>
  </si>
  <si>
    <t>MAGIC GMC CADILLAC</t>
  </si>
  <si>
    <t>T-9449</t>
  </si>
  <si>
    <t>Gallatin Ford - TN</t>
  </si>
  <si>
    <t>T-14128</t>
  </si>
  <si>
    <t>GENESIS OF TAMPA</t>
  </si>
  <si>
    <t>T-9122</t>
  </si>
  <si>
    <t>HONDA OF RUTLAND</t>
  </si>
  <si>
    <t>T-9446</t>
  </si>
  <si>
    <t>CASTLE HYUNDAI OF OAK LAWN</t>
  </si>
  <si>
    <t>T-13817</t>
  </si>
  <si>
    <t>SMYTHE VOLVO</t>
  </si>
  <si>
    <t>T-9589</t>
  </si>
  <si>
    <t>MT. KISCO CADILLAC</t>
  </si>
  <si>
    <t>T-14500</t>
  </si>
  <si>
    <t>WOODBINE CHRYSLER</t>
  </si>
  <si>
    <t>T-9444</t>
  </si>
  <si>
    <t>Toyota of Bellingham</t>
  </si>
  <si>
    <t>T-9424</t>
  </si>
  <si>
    <t>TOYOTA AND MERCEDES-BENZ OF BELLINGHAM</t>
  </si>
  <si>
    <t>T-9441</t>
  </si>
  <si>
    <t>MASTRIA HYUNDAI OF PLYMOUTH</t>
  </si>
  <si>
    <t>T-9798</t>
  </si>
  <si>
    <t>Mazda of Elk Grove</t>
  </si>
  <si>
    <t>T-13607</t>
  </si>
  <si>
    <t>SWEIS INFINITI MERRILLVILLE</t>
  </si>
  <si>
    <t>T-10608</t>
  </si>
  <si>
    <t>BLASIUS FEDERAL ROAD</t>
  </si>
  <si>
    <t>T-9609</t>
  </si>
  <si>
    <t>GENESIS OF LAKE NORMAN</t>
  </si>
  <si>
    <t>T-10678</t>
  </si>
  <si>
    <t>Camion Isuzu Saguenay</t>
  </si>
  <si>
    <t>T-11267</t>
  </si>
  <si>
    <t>Autonation Mazda Arapahoe</t>
  </si>
  <si>
    <t>T-9606</t>
  </si>
  <si>
    <t>JOURNEY NISSAN</t>
  </si>
  <si>
    <t>T-9841</t>
  </si>
  <si>
    <t>Orange Buick GMC</t>
  </si>
  <si>
    <t>T-14504</t>
  </si>
  <si>
    <t>CARIBBEAN VEHICLE ALLIANCE - VOLVO</t>
  </si>
  <si>
    <t>T-10893</t>
  </si>
  <si>
    <t>LAND ROVER WEST NYACK</t>
  </si>
  <si>
    <t>T-10649</t>
  </si>
  <si>
    <t>Auburn Hyundai</t>
  </si>
  <si>
    <t>T-10668</t>
  </si>
  <si>
    <t>HYUNDAI LAKE COUNTRY</t>
  </si>
  <si>
    <t>T-10866</t>
  </si>
  <si>
    <t>SWEDISH MOTORS</t>
  </si>
  <si>
    <t>T-13599</t>
  </si>
  <si>
    <t>Happy Hyundai of Rochester</t>
  </si>
  <si>
    <t>T-14484</t>
  </si>
  <si>
    <t>KEATING HYUNDAI</t>
  </si>
  <si>
    <t>T-10894</t>
  </si>
  <si>
    <t>John Megel Chevrolet</t>
  </si>
  <si>
    <t>T-15523</t>
  </si>
  <si>
    <t>TNT FORD</t>
  </si>
  <si>
    <t>T-11255</t>
  </si>
  <si>
    <t>TOYOTA OF CORONA</t>
  </si>
  <si>
    <t>T-15493</t>
  </si>
  <si>
    <t>Nissan of Gilroy</t>
  </si>
  <si>
    <t>T-14522</t>
  </si>
  <si>
    <t>COLUMBUS SERVICE CENTER</t>
  </si>
  <si>
    <t>T-13315</t>
  </si>
  <si>
    <t>Mustang Country</t>
  </si>
  <si>
    <t>T-13333</t>
  </si>
  <si>
    <t>PERFORMANCE VOLVO CARS</t>
  </si>
  <si>
    <t>T-14167</t>
  </si>
  <si>
    <t>PERFORMANCE TOYOTA</t>
  </si>
  <si>
    <t>T-14165</t>
  </si>
  <si>
    <t>FINDLAY INEOS</t>
  </si>
  <si>
    <t>T-13836</t>
  </si>
  <si>
    <t>HEALEY BROTHERS CADILLAC LLC</t>
  </si>
  <si>
    <t>T-13578</t>
  </si>
  <si>
    <t>KIA OF MECHANICSVILLE</t>
  </si>
  <si>
    <t>T-13499</t>
  </si>
  <si>
    <t>ANCIRA BUICK GMC</t>
  </si>
  <si>
    <t>T-13605</t>
  </si>
  <si>
    <t>SEELYE CERTIFIED PREOWNED</t>
  </si>
  <si>
    <t>T-13329</t>
  </si>
  <si>
    <t>OWEN FORD</t>
  </si>
  <si>
    <t>T-14161</t>
  </si>
  <si>
    <t>Castle Kia of McHenry</t>
  </si>
  <si>
    <t>T-15463</t>
  </si>
  <si>
    <t>MVP CDJR 65TH</t>
  </si>
  <si>
    <t>T-14519</t>
  </si>
  <si>
    <t>MODEL 1 FORD OF WARSAW</t>
  </si>
  <si>
    <t>T-15121</t>
  </si>
  <si>
    <t>Go Sunrise Ford North Hollywood</t>
  </si>
  <si>
    <t>T-15123</t>
  </si>
  <si>
    <t>JIM SHORKEY TOYOTA OF GREENSBURG</t>
  </si>
  <si>
    <t>T-14810</t>
  </si>
  <si>
    <t>ANTELOPE VALLEY GMC CADILLAC</t>
  </si>
  <si>
    <t>T-15119</t>
  </si>
  <si>
    <t>Nissan of Yorktown Heights</t>
  </si>
  <si>
    <t>T-14126</t>
  </si>
  <si>
    <t>WAYNESBORO HYUNDAI</t>
  </si>
  <si>
    <t>T-13759</t>
  </si>
  <si>
    <t>BROOKVILLE CHEVROLET</t>
  </si>
  <si>
    <t>T-13756</t>
  </si>
  <si>
    <t>SOUTHERN CHEVROLET OF NEWPORT NEWS</t>
  </si>
  <si>
    <t>T-14135</t>
  </si>
  <si>
    <t>Acura of Fremont</t>
  </si>
  <si>
    <t>T-16196</t>
  </si>
  <si>
    <t>JIM VREELAND FORD</t>
  </si>
  <si>
    <t>T-14515</t>
  </si>
  <si>
    <t>BMW OF FAIRFIELD</t>
  </si>
  <si>
    <t>T-14144</t>
  </si>
  <si>
    <t>LB SMITH FORD COMMERCIAL SERVICE CENTER</t>
  </si>
  <si>
    <t>T-14517</t>
  </si>
  <si>
    <t>KERRY HYUNDAI</t>
  </si>
  <si>
    <t>T-15514</t>
  </si>
  <si>
    <t>Charlotte INEOS Grenadier</t>
  </si>
  <si>
    <t>T-14456</t>
  </si>
  <si>
    <t>APPLE HONDA</t>
  </si>
  <si>
    <t>T-14448</t>
  </si>
  <si>
    <t>VETERAN CHEVROLET</t>
  </si>
  <si>
    <t>T-15117</t>
  </si>
  <si>
    <t>PALM SPRINGS HYUNDAI</t>
  </si>
  <si>
    <t>T-14134</t>
  </si>
  <si>
    <t>Fred Anderson of Toyota of Cape Coral</t>
  </si>
  <si>
    <t>T-15459</t>
  </si>
  <si>
    <t>GOLDEN CIRCLE CHEVROLET COVINGTON</t>
  </si>
  <si>
    <t>T-14493</t>
  </si>
  <si>
    <t>GEAUX FORD</t>
  </si>
  <si>
    <t>T-15113</t>
  </si>
  <si>
    <t>CDJR OF WOODSTOCK</t>
  </si>
  <si>
    <t>T-14807</t>
  </si>
  <si>
    <t>WEIMER FORD OF CUMBERLAND</t>
  </si>
  <si>
    <t>T-15511</t>
  </si>
  <si>
    <t>The Arlington Automotive Group Inc</t>
  </si>
  <si>
    <t>T-14453</t>
  </si>
  <si>
    <t>TESCO TRUCK EQUIPMENT AND SERVICE COMPANY LTD.</t>
  </si>
  <si>
    <t>T-15519</t>
  </si>
  <si>
    <t>VICTOR CHEVROLET</t>
  </si>
  <si>
    <t>T-15485</t>
  </si>
  <si>
    <t>DC NA GREENVILLE</t>
  </si>
  <si>
    <t>T-15471</t>
  </si>
  <si>
    <t>DC LRA Land Rover GREENVILLE</t>
  </si>
  <si>
    <t>T-15470</t>
  </si>
  <si>
    <t>Livermore Audi</t>
  </si>
  <si>
    <t>T-15460</t>
  </si>
  <si>
    <t>Land Rover Livermore</t>
  </si>
  <si>
    <t>T-15462</t>
  </si>
  <si>
    <t>LIVERMORE HONDA</t>
  </si>
  <si>
    <t>T-15473</t>
  </si>
  <si>
    <t>PORSCHE OF LIVERMORE</t>
  </si>
  <si>
    <t>T-15477</t>
  </si>
  <si>
    <t>DC LRA Porsche GREENVILLE</t>
  </si>
  <si>
    <t>T-15469</t>
  </si>
  <si>
    <t>JACKIE COOPER PORSCHE</t>
  </si>
  <si>
    <t>T-15464</t>
  </si>
  <si>
    <t>BLG</t>
  </si>
  <si>
    <t>CDK Reseller - Set Up Fee</t>
  </si>
  <si>
    <t>Total - 69 New Customers</t>
  </si>
  <si>
    <t>Total - 1787 Customers</t>
  </si>
  <si>
    <t>Billed by TV by CMF</t>
  </si>
  <si>
    <t>Billed by TV by Name</t>
  </si>
  <si>
    <t>01012401</t>
  </si>
  <si>
    <t>64239719SW03</t>
  </si>
  <si>
    <t>SOLOMON CHEVROLET CADILLAC</t>
  </si>
  <si>
    <t>01013001</t>
  </si>
  <si>
    <t>64237387SW59</t>
  </si>
  <si>
    <t>TAMERON HONDA</t>
  </si>
  <si>
    <t>TAMERON</t>
  </si>
  <si>
    <t>01017901</t>
  </si>
  <si>
    <t>68242168SW04</t>
  </si>
  <si>
    <t>JOHN THORNTON</t>
  </si>
  <si>
    <t>01023201</t>
  </si>
  <si>
    <t>68233291SW04</t>
  </si>
  <si>
    <t>DICK SMITH NISSAN OF COLUMBIA</t>
  </si>
  <si>
    <t>DICK SMITH</t>
  </si>
  <si>
    <t>01027202</t>
  </si>
  <si>
    <t>68233069SW13</t>
  </si>
  <si>
    <t>CMA'S COLONIAL HONDA</t>
  </si>
  <si>
    <t>01027210</t>
  </si>
  <si>
    <t>68233075SW04</t>
  </si>
  <si>
    <t>CMA'S COLONIAL AUTO CENTER</t>
  </si>
  <si>
    <t>01028106</t>
  </si>
  <si>
    <t>68193827SW74</t>
  </si>
  <si>
    <t>BERGLUND</t>
  </si>
  <si>
    <t>01029201</t>
  </si>
  <si>
    <t>68240865SW60</t>
  </si>
  <si>
    <t>MORGAN-MCCLURE CHEVROLET BUICK CADILLAC, INC.</t>
  </si>
  <si>
    <t>MORGAN-MCCLURE</t>
  </si>
  <si>
    <t>01029202</t>
  </si>
  <si>
    <t>68240865SW82</t>
  </si>
  <si>
    <t>MORGAN-MCCLURE CHEVROLET GMC INC.</t>
  </si>
  <si>
    <t>01029901</t>
  </si>
  <si>
    <t>68232269SW54</t>
  </si>
  <si>
    <t>THE PAGE AUTO GROUP</t>
  </si>
  <si>
    <t>01029905</t>
  </si>
  <si>
    <t>68232269SW72</t>
  </si>
  <si>
    <t>01029906</t>
  </si>
  <si>
    <t>68232269SW90</t>
  </si>
  <si>
    <t>01046402</t>
  </si>
  <si>
    <t>64236672SW51</t>
  </si>
  <si>
    <t>HOWARD BENTLEY BUICK GMC, INC.</t>
  </si>
  <si>
    <t>HOWARD BENTLEY AUTOMOTIVE</t>
  </si>
  <si>
    <t>01046701</t>
  </si>
  <si>
    <t>68233488SW48</t>
  </si>
  <si>
    <t>TRI STATE NISSAN</t>
  </si>
  <si>
    <t>MARLOW MOTOR COMPANY GROUP</t>
  </si>
  <si>
    <t>01071601</t>
  </si>
  <si>
    <t>64236550SW56</t>
  </si>
  <si>
    <t>R.E.YRAUSQUIN &amp; SONS (ARUBA ) N.V.</t>
  </si>
  <si>
    <t>R.E. YRAUSQUIN &amp; SONS N.V.</t>
  </si>
  <si>
    <t>01154301</t>
  </si>
  <si>
    <t>68243724SW45</t>
  </si>
  <si>
    <t>JIM ARMSTRONG SUBARU INC</t>
  </si>
  <si>
    <t>01188402</t>
  </si>
  <si>
    <t>64234372SW04</t>
  </si>
  <si>
    <t>WARREN HENRY INFINITI</t>
  </si>
  <si>
    <t>W ZINN</t>
  </si>
  <si>
    <t>01214101</t>
  </si>
  <si>
    <t>64234375SW03</t>
  </si>
  <si>
    <t>AUTOS VEGA INC</t>
  </si>
  <si>
    <t>RAMON VEGA</t>
  </si>
  <si>
    <t>01214106</t>
  </si>
  <si>
    <t>64234376SW03</t>
  </si>
  <si>
    <t>VOLKSWAGEN KENNEDY</t>
  </si>
  <si>
    <t>01247501</t>
  </si>
  <si>
    <t>68233079SW04</t>
  </si>
  <si>
    <t>RICE BUICK GMC</t>
  </si>
  <si>
    <t>RICE GROUP</t>
  </si>
  <si>
    <t>01262401</t>
  </si>
  <si>
    <t>64238564SW51</t>
  </si>
  <si>
    <t>HEADQUARTER AUTOMOTIVE GROUP LTD</t>
  </si>
  <si>
    <t>01275801</t>
  </si>
  <si>
    <t>68233077SW08</t>
  </si>
  <si>
    <t>68239538SW03</t>
  </si>
  <si>
    <t>01312701</t>
  </si>
  <si>
    <t>68240290SW04</t>
  </si>
  <si>
    <t>MARCH HODGE AUTOMOTIVE</t>
  </si>
  <si>
    <t>68240290SW35</t>
  </si>
  <si>
    <t>01322901</t>
  </si>
  <si>
    <t>68242860SW67</t>
  </si>
  <si>
    <t>DUNCAN FORD MAZDA</t>
  </si>
  <si>
    <t>DUNCAN AUTOMOTIVE GROUP</t>
  </si>
  <si>
    <t>01325654</t>
  </si>
  <si>
    <t>64240101SW04</t>
  </si>
  <si>
    <t>ALAN JAY CHEVROLET GMC CADILLAC</t>
  </si>
  <si>
    <t>ALAN JAY AUTO NETWORK</t>
  </si>
  <si>
    <t>01325667</t>
  </si>
  <si>
    <t>68251342SW59</t>
  </si>
  <si>
    <t>KEVIN WHITAKER</t>
  </si>
  <si>
    <t>01326209</t>
  </si>
  <si>
    <t>68232273SW02</t>
  </si>
  <si>
    <t>01326302</t>
  </si>
  <si>
    <t>68233291SW11</t>
  </si>
  <si>
    <t>DICK SMITH NISSAN OF LEXINGTON</t>
  </si>
  <si>
    <t>01326328</t>
  </si>
  <si>
    <t>68233291SW18</t>
  </si>
  <si>
    <t>DICK SMITH NISSAN OF ST. ANDREWS</t>
  </si>
  <si>
    <t>01326343</t>
  </si>
  <si>
    <t>64246126SW65</t>
  </si>
  <si>
    <t>01326450</t>
  </si>
  <si>
    <t>98048960SW85</t>
  </si>
  <si>
    <t>PIEDMONT TRUCKS</t>
  </si>
  <si>
    <t>CDK SERVICEVIEW PLUS FOR TRUCK (STANDALONE WITHOUT CDK SERVICE)</t>
  </si>
  <si>
    <t>01326689</t>
  </si>
  <si>
    <t>64203124SW01</t>
  </si>
  <si>
    <t>VILLAGE CADILLAC TOYOTA</t>
  </si>
  <si>
    <t>DIMMITT</t>
  </si>
  <si>
    <t>01326804</t>
  </si>
  <si>
    <t>68233377SW81</t>
  </si>
  <si>
    <t>SCENIC</t>
  </si>
  <si>
    <t>68247541SW01</t>
  </si>
  <si>
    <t>01326917</t>
  </si>
  <si>
    <t>64234372SW44</t>
  </si>
  <si>
    <t>LAND ROVER NORTH DADE</t>
  </si>
  <si>
    <t>01327435</t>
  </si>
  <si>
    <t>64246858SW77</t>
  </si>
  <si>
    <t>CENTRO DE SERVICIO ACURA</t>
  </si>
  <si>
    <t>BELLA INT'L</t>
  </si>
  <si>
    <t>01327499</t>
  </si>
  <si>
    <t>68247078SW15</t>
  </si>
  <si>
    <t>HARRY'S BUICK GMC</t>
  </si>
  <si>
    <t>HARRY'S BUICK GMC CADILLAC</t>
  </si>
  <si>
    <t>05021101</t>
  </si>
  <si>
    <t>62188207SW03</t>
  </si>
  <si>
    <t>VOLVO CARS SAN FRANCISCO</t>
  </si>
  <si>
    <t>05120806</t>
  </si>
  <si>
    <t>62162230SW01</t>
  </si>
  <si>
    <t>ZAMORA AUTOMOTIVE GROUP</t>
  </si>
  <si>
    <t>05157307</t>
  </si>
  <si>
    <t>62188246SW03</t>
  </si>
  <si>
    <t>TORIAN</t>
  </si>
  <si>
    <t>05163201</t>
  </si>
  <si>
    <t>62172097SW95</t>
  </si>
  <si>
    <t>MANLY</t>
  </si>
  <si>
    <t>05163202</t>
  </si>
  <si>
    <t>62188247SW03</t>
  </si>
  <si>
    <t>05172601</t>
  </si>
  <si>
    <t>62158183SW03</t>
  </si>
  <si>
    <t>TEAM VOLKSWAGEN</t>
  </si>
  <si>
    <t>TEAM</t>
  </si>
  <si>
    <t>05172603</t>
  </si>
  <si>
    <t>62158183SW06</t>
  </si>
  <si>
    <t>05228101</t>
  </si>
  <si>
    <t>62191752SW43</t>
  </si>
  <si>
    <t>CYPRESS COAST MAZDA SUBARU</t>
  </si>
  <si>
    <t>CYPRESS COAST</t>
  </si>
  <si>
    <t>05228102</t>
  </si>
  <si>
    <t>62191752SW65</t>
  </si>
  <si>
    <t>CYPRESS COAST FORD/L/M</t>
  </si>
  <si>
    <t>05228501</t>
  </si>
  <si>
    <t>62185955SW60</t>
  </si>
  <si>
    <t>05236216</t>
  </si>
  <si>
    <t>62188255SW04</t>
  </si>
  <si>
    <t>05236425</t>
  </si>
  <si>
    <t>62190432SW59</t>
  </si>
  <si>
    <t>CRESTVIEW CADILLAC</t>
  </si>
  <si>
    <t>CRESTVIEW CADILLAC GROUP</t>
  </si>
  <si>
    <t>05236492</t>
  </si>
  <si>
    <t>62162230SW03</t>
  </si>
  <si>
    <t>05236645</t>
  </si>
  <si>
    <t>62191752SW84</t>
  </si>
  <si>
    <t>05236759</t>
  </si>
  <si>
    <t>62196901SW60</t>
  </si>
  <si>
    <t>STEAD</t>
  </si>
  <si>
    <t>05236822</t>
  </si>
  <si>
    <t>62193092SW59</t>
  </si>
  <si>
    <t>05237164</t>
  </si>
  <si>
    <t>62193466SW58</t>
  </si>
  <si>
    <t>BONANDER GMC</t>
  </si>
  <si>
    <t>BONANDER</t>
  </si>
  <si>
    <t>05237677</t>
  </si>
  <si>
    <t>62188358SW51</t>
  </si>
  <si>
    <t>CHAMPION CHEVROLET</t>
  </si>
  <si>
    <t>05400118</t>
  </si>
  <si>
    <t>64236678SW01</t>
  </si>
  <si>
    <t>COURTESY BUICK GMC</t>
  </si>
  <si>
    <t>COURTESY AUTOMOTIVE GROUP - LA</t>
  </si>
  <si>
    <t>05400192</t>
  </si>
  <si>
    <t>64235049SW18</t>
  </si>
  <si>
    <t>WALKER VOLKSWAGEN</t>
  </si>
  <si>
    <t>WALKER - NEW ORLEANS</t>
  </si>
  <si>
    <t>05700077</t>
  </si>
  <si>
    <t>62188269SW04</t>
  </si>
  <si>
    <t>CARLSEN SUBARU</t>
  </si>
  <si>
    <t>CARLSEN</t>
  </si>
  <si>
    <t>05700078</t>
  </si>
  <si>
    <t>64234453SW04</t>
  </si>
  <si>
    <t>RALPH SELLERS CHRYSLER</t>
  </si>
  <si>
    <t>RALPH SELLERS</t>
  </si>
  <si>
    <t>05700175</t>
  </si>
  <si>
    <t>62188275SW04</t>
  </si>
  <si>
    <t>RIO MOTOR COMPANY</t>
  </si>
  <si>
    <t>RIO MOTOR COMPANY INC.</t>
  </si>
  <si>
    <t>05710031</t>
  </si>
  <si>
    <t>62190444SW03</t>
  </si>
  <si>
    <t>05710042</t>
  </si>
  <si>
    <t>62197095SW63</t>
  </si>
  <si>
    <t>05710177</t>
  </si>
  <si>
    <t>62191005SW03</t>
  </si>
  <si>
    <t>WHEELER AUTO CENTER</t>
  </si>
  <si>
    <t>05720026</t>
  </si>
  <si>
    <t>64242674SW58</t>
  </si>
  <si>
    <t>DAVIS MOORE</t>
  </si>
  <si>
    <t>05720064</t>
  </si>
  <si>
    <t>62162229SW03</t>
  </si>
  <si>
    <t>06600066</t>
  </si>
  <si>
    <t>64207972SW52</t>
  </si>
  <si>
    <t>CAROUSEL</t>
  </si>
  <si>
    <t>06600309</t>
  </si>
  <si>
    <t>64229043SW21</t>
  </si>
  <si>
    <t>O'DANIEL AUTOMART INC</t>
  </si>
  <si>
    <t>O'DANIEL</t>
  </si>
  <si>
    <t>06610123</t>
  </si>
  <si>
    <t>64241102SW62</t>
  </si>
  <si>
    <t>GRIEGER'S MOTOR SALES INC.</t>
  </si>
  <si>
    <t>08300012</t>
  </si>
  <si>
    <t>68233210SW08</t>
  </si>
  <si>
    <t>HERITAGE VOLKSWAGEN</t>
  </si>
  <si>
    <t>68240290SW11</t>
  </si>
  <si>
    <t>08300016</t>
  </si>
  <si>
    <t>68192954SW65</t>
  </si>
  <si>
    <t>CDK SERVICEVIEW (PROMO - NADA 2022 - REQUIRES INSPECT)</t>
  </si>
  <si>
    <t>MONTGOMERYVILLE</t>
  </si>
  <si>
    <t>08300034</t>
  </si>
  <si>
    <t>68248114SW03</t>
  </si>
  <si>
    <t>ALL AMERICAN</t>
  </si>
  <si>
    <t>08300046</t>
  </si>
  <si>
    <t>68235214SW10</t>
  </si>
  <si>
    <t>TASCA FORD SEEKONK</t>
  </si>
  <si>
    <t>08300105</t>
  </si>
  <si>
    <t>68236704SW06</t>
  </si>
  <si>
    <t>TOYOTA WORLD OF LAKEWOOD</t>
  </si>
  <si>
    <t>WORLD AUTO GROUP</t>
  </si>
  <si>
    <t>08300163</t>
  </si>
  <si>
    <t>68226653SW97</t>
  </si>
  <si>
    <t>SPRINGFIELD CADILLAC GMC</t>
  </si>
  <si>
    <t>AUTOSAVER</t>
  </si>
  <si>
    <t>08300287</t>
  </si>
  <si>
    <t>68233218SW04</t>
  </si>
  <si>
    <t>08300299</t>
  </si>
  <si>
    <t>68233221SW03</t>
  </si>
  <si>
    <t>PRESTON AUTO GROUP- NEW CASTLE</t>
  </si>
  <si>
    <t>08310011</t>
  </si>
  <si>
    <t>68245031SW66</t>
  </si>
  <si>
    <t>CHRYSLER DODGE JEEP RAM OF PARAMUS</t>
  </si>
  <si>
    <t>GROUP 4 AUTO GROUP</t>
  </si>
  <si>
    <t>08310108</t>
  </si>
  <si>
    <t>68236704SW59</t>
  </si>
  <si>
    <t>AUDI OF MENDHAM</t>
  </si>
  <si>
    <t>08310123</t>
  </si>
  <si>
    <t>68244866SW04</t>
  </si>
  <si>
    <t>HERITAGE JAGUAR</t>
  </si>
  <si>
    <t>WEIDINGER</t>
  </si>
  <si>
    <t>08320047</t>
  </si>
  <si>
    <t>68244079SW03</t>
  </si>
  <si>
    <t>08320062</t>
  </si>
  <si>
    <t>64234514SW03</t>
  </si>
  <si>
    <t>VAMPT MOTORS LTD</t>
  </si>
  <si>
    <t>VAMPT</t>
  </si>
  <si>
    <t>08320151</t>
  </si>
  <si>
    <t>64234372SW45</t>
  </si>
  <si>
    <t>JAGUAR LAND ROVER SOUTH DADE</t>
  </si>
  <si>
    <t>09014501</t>
  </si>
  <si>
    <t>03175371SW44</t>
  </si>
  <si>
    <t>HICKMAN CHEVROLET CADILLAC</t>
  </si>
  <si>
    <t>HICKMAN</t>
  </si>
  <si>
    <t>09082601</t>
  </si>
  <si>
    <t>03175678SW04</t>
  </si>
  <si>
    <t>MACDONALD BUICK (MONCTON)</t>
  </si>
  <si>
    <t>09086501</t>
  </si>
  <si>
    <t>03175250SW01</t>
  </si>
  <si>
    <t>DECARIE MOTORS INC</t>
  </si>
  <si>
    <t>DECARIE MOTORS</t>
  </si>
  <si>
    <t>09187704</t>
  </si>
  <si>
    <t>03171855SW01</t>
  </si>
  <si>
    <t>OAKVILLE TOYOTA</t>
  </si>
  <si>
    <t>HUMBERVIEW</t>
  </si>
  <si>
    <t>09700114</t>
  </si>
  <si>
    <t>64233756SW71</t>
  </si>
  <si>
    <t>COCONUT CREEK AUTOMOTIVE LLC</t>
  </si>
  <si>
    <t>KING MOTOR CO OF FT LAUD-GROUP</t>
  </si>
  <si>
    <t>09700250</t>
  </si>
  <si>
    <t>64250861SW05</t>
  </si>
  <si>
    <t>GANLEY CHEVROLET</t>
  </si>
  <si>
    <t>GANLEY CORPORATION</t>
  </si>
  <si>
    <t>09800181</t>
  </si>
  <si>
    <t>98052321SW81</t>
  </si>
  <si>
    <t>RIHM</t>
  </si>
  <si>
    <t>64246559SW03</t>
  </si>
  <si>
    <t>PARKS MOTOR SALES, INC.</t>
  </si>
  <si>
    <t>PARKS MOTOR - TN</t>
  </si>
  <si>
    <t>64246119SW19</t>
  </si>
  <si>
    <t>VALLEY IMPORTS</t>
  </si>
  <si>
    <t>64238619SW51</t>
  </si>
  <si>
    <t>64238276SW51</t>
  </si>
  <si>
    <t>BILLION BUICK GMC INC</t>
  </si>
  <si>
    <t>64246175SW60</t>
  </si>
  <si>
    <t>MINNESOTA MOTOR COMPANY</t>
  </si>
  <si>
    <t>64209510SW01</t>
  </si>
  <si>
    <t>CONTINENTAL GROUP AKA J&amp;J PARTNERSHIP</t>
  </si>
  <si>
    <t>64243749SW04</t>
  </si>
  <si>
    <t>JOHN AMATO HYUNDAI MENOMONEE FALLS</t>
  </si>
  <si>
    <t>AMATO</t>
  </si>
  <si>
    <t>64243233SW08</t>
  </si>
  <si>
    <t>JERRY ACKERMAN TOYOTA INC.</t>
  </si>
  <si>
    <t>64240259SW03</t>
  </si>
  <si>
    <t>VAESSEN BROS.</t>
  </si>
  <si>
    <t>64234828SW53</t>
  </si>
  <si>
    <t>64234828SW32</t>
  </si>
  <si>
    <t>RUSS DARROW KIA OF MADISON</t>
  </si>
  <si>
    <t>64234834SW03</t>
  </si>
  <si>
    <t>RUSS DARROW TOYOTA-W.BEND</t>
  </si>
  <si>
    <t>64234882SW04</t>
  </si>
  <si>
    <t>RIVER FRONT CHRYSLER JEEP</t>
  </si>
  <si>
    <t>RIVER FRONT GROUP</t>
  </si>
  <si>
    <t>64214619SW67</t>
  </si>
  <si>
    <t>BOUCHER INC</t>
  </si>
  <si>
    <t>64234816SW18</t>
  </si>
  <si>
    <t>64234836SW32</t>
  </si>
  <si>
    <t>FRANK BOUCHER CHEVROLET INC.</t>
  </si>
  <si>
    <t>64234836SW18</t>
  </si>
  <si>
    <t>BOUCHER IMPORTS INC</t>
  </si>
  <si>
    <t>68201565SW89</t>
  </si>
  <si>
    <t>BRUNSWICK AUTO MART INC</t>
  </si>
  <si>
    <t>BRUNSWICK</t>
  </si>
  <si>
    <t>64234836SW39</t>
  </si>
  <si>
    <t>64238287SW42</t>
  </si>
  <si>
    <t>64245197SW59</t>
  </si>
  <si>
    <t>KERRY GROUP</t>
  </si>
  <si>
    <t>64242340SW23</t>
  </si>
  <si>
    <t>64237470SW04</t>
  </si>
  <si>
    <t>UPTOWN CHRYSLER DODGE JEEP</t>
  </si>
  <si>
    <t>UPTOWN</t>
  </si>
  <si>
    <t>64242268SW04</t>
  </si>
  <si>
    <t>64214740SW03</t>
  </si>
  <si>
    <t>64236296SW66</t>
  </si>
  <si>
    <t>KINGS TOYOTA USED CARS</t>
  </si>
  <si>
    <t>KENWOOD DEALER GROUP</t>
  </si>
  <si>
    <t>68234299SW53</t>
  </si>
  <si>
    <t>DAVE ARBOGAST BUICK PONTIAC GMC</t>
  </si>
  <si>
    <t>64237751SW03</t>
  </si>
  <si>
    <t>64243468SW79</t>
  </si>
  <si>
    <t>MATHEWS</t>
  </si>
  <si>
    <t>64242886SW64</t>
  </si>
  <si>
    <t>BERGER</t>
  </si>
  <si>
    <t>64238720SW01</t>
  </si>
  <si>
    <t>WILLIAMS LANSING</t>
  </si>
  <si>
    <t>64227078SW83</t>
  </si>
  <si>
    <t>ERIC VON SCHLEDORN</t>
  </si>
  <si>
    <t>68226976SW01</t>
  </si>
  <si>
    <t>CLIFF HARRIS AUTO GROUP</t>
  </si>
  <si>
    <t>68230210SW56</t>
  </si>
  <si>
    <t>PRESTON CHEVROLET KIA</t>
  </si>
  <si>
    <t>PRESTON - OH</t>
  </si>
  <si>
    <t>68233671SW04</t>
  </si>
  <si>
    <t>VALLEY AUTOWORLD, INC</t>
  </si>
  <si>
    <t>JW WYATT</t>
  </si>
  <si>
    <t>03175603SW01</t>
  </si>
  <si>
    <t>MCKINSTRY LTD</t>
  </si>
  <si>
    <t>03175114SW04</t>
  </si>
  <si>
    <t>64245754SW03</t>
  </si>
  <si>
    <t>BARKER</t>
  </si>
  <si>
    <t>64234845SW04</t>
  </si>
  <si>
    <t>BARKER KIA</t>
  </si>
  <si>
    <t>64234343SW02</t>
  </si>
  <si>
    <t>SERVICE CHEVROLET</t>
  </si>
  <si>
    <t>64244094SW52</t>
  </si>
  <si>
    <t>ROYAL NISSAN LLC.</t>
  </si>
  <si>
    <t>ROYAL ATLANTIC CORPORATION</t>
  </si>
  <si>
    <t>62191682SW01</t>
  </si>
  <si>
    <t>TIPOTEX CHEVROLET</t>
  </si>
  <si>
    <t>64235049SW04</t>
  </si>
  <si>
    <t>WALKER ACURA</t>
  </si>
  <si>
    <t>64199129SW01</t>
  </si>
  <si>
    <t>BATES NISSAN INC</t>
  </si>
  <si>
    <t>64245641SW86</t>
  </si>
  <si>
    <t>BANNER AUTOMOTIVE GROUP</t>
  </si>
  <si>
    <t>62196652SW04</t>
  </si>
  <si>
    <t>DAVIS CHEVROLET INC.</t>
  </si>
  <si>
    <t>DAVIS CHEVROLET</t>
  </si>
  <si>
    <t>64194759SW01</t>
  </si>
  <si>
    <t>CDK SERVICEVIEW PLUS (SMALL DEALER)</t>
  </si>
  <si>
    <t>TONY GULLO AUTO GROUP</t>
  </si>
  <si>
    <t>64239833SW03</t>
  </si>
  <si>
    <t>62178545SW52</t>
  </si>
  <si>
    <t>ROGER BEASLEY MAZDA SOUTH</t>
  </si>
  <si>
    <t>64241671SW78</t>
  </si>
  <si>
    <t>PEAKE</t>
  </si>
  <si>
    <t>64205945SW01</t>
  </si>
  <si>
    <t>FREEMAN TOYOTA</t>
  </si>
  <si>
    <t>FREEMAN/HILEY</t>
  </si>
  <si>
    <t>98049594SW88</t>
  </si>
  <si>
    <t>68198360SW02</t>
  </si>
  <si>
    <t>MONACO &amp; SONS MOTOR SALES, INC.</t>
  </si>
  <si>
    <t>MONACO AUTO GROUP</t>
  </si>
  <si>
    <t>68228882SW56</t>
  </si>
  <si>
    <t>68233766SW04</t>
  </si>
  <si>
    <t>TEAM NISSAN</t>
  </si>
  <si>
    <t>TEAM NISSAN GROUP</t>
  </si>
  <si>
    <t>68235873SW04</t>
  </si>
  <si>
    <t>FAULKNER CHEVROLET CADILLAC BETHLEHAM</t>
  </si>
  <si>
    <t>FAULKNER</t>
  </si>
  <si>
    <t>68235873SW08</t>
  </si>
  <si>
    <t>FAULKNER CADILLAC TREVOSE</t>
  </si>
  <si>
    <t>68233752SW04</t>
  </si>
  <si>
    <t>ACME MOTORS INC</t>
  </si>
  <si>
    <t>68233768SW03</t>
  </si>
  <si>
    <t>BENZEL BUSCH MOTOR CAR CO</t>
  </si>
  <si>
    <t>BENZEL</t>
  </si>
  <si>
    <t>68192954SW95</t>
  </si>
  <si>
    <t>68229220SW56</t>
  </si>
  <si>
    <t>O'NEIL BUICK</t>
  </si>
  <si>
    <t>O'NEIL</t>
  </si>
  <si>
    <t>68235873SW12</t>
  </si>
  <si>
    <t>FAULKNER BUICK GMC TREVOSE</t>
  </si>
  <si>
    <t>68233747SW04</t>
  </si>
  <si>
    <t>BRYNER CHEVROLET</t>
  </si>
  <si>
    <t>68233763SW03</t>
  </si>
  <si>
    <t>BALISE</t>
  </si>
  <si>
    <t>68233749SW03</t>
  </si>
  <si>
    <t>DOWNEAST TOYOTA</t>
  </si>
  <si>
    <t>DOWNEAST TOYOTA GROUP</t>
  </si>
  <si>
    <t>68245169SW58</t>
  </si>
  <si>
    <t>BARLOW CHEVROLET INC.</t>
  </si>
  <si>
    <t>BARLOW</t>
  </si>
  <si>
    <t>68233760SW03</t>
  </si>
  <si>
    <t>WOBURN</t>
  </si>
  <si>
    <t>68235302SW04</t>
  </si>
  <si>
    <t>LORENSEN</t>
  </si>
  <si>
    <t>68226360SW03</t>
  </si>
  <si>
    <t>BAY RIDGE AUTOMOTIVE MANAGEMENT</t>
  </si>
  <si>
    <t>68239214SW01</t>
  </si>
  <si>
    <t>68245191SW04</t>
  </si>
  <si>
    <t>PAUL CONTE</t>
  </si>
  <si>
    <t>68228470SW82</t>
  </si>
  <si>
    <t>BOB BELL CHEV OF BELAIR</t>
  </si>
  <si>
    <t>BOB BELL</t>
  </si>
  <si>
    <t>68245031SW83</t>
  </si>
  <si>
    <t>68229847SW03</t>
  </si>
  <si>
    <t>JOE BASIL CHEVROLET</t>
  </si>
  <si>
    <t>BASIL</t>
  </si>
  <si>
    <t>68237411SW03</t>
  </si>
  <si>
    <t>COURTESY</t>
  </si>
  <si>
    <t>68228120SW53</t>
  </si>
  <si>
    <t>HILLTOP NISSAN INC.</t>
  </si>
  <si>
    <t>68239121SW06</t>
  </si>
  <si>
    <t>HERITAGE - VT</t>
  </si>
  <si>
    <t>68237394SW39</t>
  </si>
  <si>
    <t>68239121SW13</t>
  </si>
  <si>
    <t>HERITAGE TOYOTA</t>
  </si>
  <si>
    <t>68239980SW03</t>
  </si>
  <si>
    <t>REEDMAN TOLL AUTO GROUP</t>
  </si>
  <si>
    <t>68233720SW03</t>
  </si>
  <si>
    <t>HYANNIS HONDA GROUP</t>
  </si>
  <si>
    <t>68226656SW09</t>
  </si>
  <si>
    <t>LITTLETON CHEVROLET</t>
  </si>
  <si>
    <t>68229194SW72</t>
  </si>
  <si>
    <t>C. HARPER</t>
  </si>
  <si>
    <t>68240446SW53</t>
  </si>
  <si>
    <t>PINE BELT AUTOMOTIVE GROUP</t>
  </si>
  <si>
    <t>68240446SW65</t>
  </si>
  <si>
    <t>68236723SW73</t>
  </si>
  <si>
    <t>TOWNE MAZDA</t>
  </si>
  <si>
    <t>TOWNE</t>
  </si>
  <si>
    <t>68247374SW04</t>
  </si>
  <si>
    <t>POHANKA AUTOMOTIVE GROUP</t>
  </si>
  <si>
    <t>68232203SW56</t>
  </si>
  <si>
    <t>GRIECO HONDA OF JOHNSTON</t>
  </si>
  <si>
    <t>68232203SW63</t>
  </si>
  <si>
    <t>68192270SW57</t>
  </si>
  <si>
    <t>TOMMY CAR</t>
  </si>
  <si>
    <t>68247604SW57</t>
  </si>
  <si>
    <t>NORTH PENN MAZDA</t>
  </si>
  <si>
    <t>NORTH PENN</t>
  </si>
  <si>
    <t>68234524SW11</t>
  </si>
  <si>
    <t>BURLINGTON VOLKSWAGEN</t>
  </si>
  <si>
    <t>BURLINGTON AUTO GROUP</t>
  </si>
  <si>
    <t>68233746SW03</t>
  </si>
  <si>
    <t>RALLYE LEXUS</t>
  </si>
  <si>
    <t>RALLYE</t>
  </si>
  <si>
    <t>68236726SW97</t>
  </si>
  <si>
    <t>TOWNE CHRYSLER DODGE JEEP RAM</t>
  </si>
  <si>
    <t>68225881SW03</t>
  </si>
  <si>
    <t>01355128SW03</t>
  </si>
  <si>
    <t>YACHIMEC AUTO GROUP</t>
  </si>
  <si>
    <t>01353905SW01</t>
  </si>
  <si>
    <t>SILVERHILL MOTORS LTD.</t>
  </si>
  <si>
    <t>SILVERHILL</t>
  </si>
  <si>
    <t>01355987SW01</t>
  </si>
  <si>
    <t>DISCOVERY HONDA</t>
  </si>
  <si>
    <t>01354341SW26</t>
  </si>
  <si>
    <t>SOUTH 20 DODGE CHRYSLER LTD.</t>
  </si>
  <si>
    <t>FFUN</t>
  </si>
  <si>
    <t>01355027SW07</t>
  </si>
  <si>
    <t>64246155SW63</t>
  </si>
  <si>
    <t>68247376SW04</t>
  </si>
  <si>
    <t>68247413SW08</t>
  </si>
  <si>
    <t>POHANKA HONDA OF CAPITOL HEIGHTS</t>
  </si>
  <si>
    <t>64237735SW04</t>
  </si>
  <si>
    <t>KOOL</t>
  </si>
  <si>
    <t>64228985SW98</t>
  </si>
  <si>
    <t>RICART</t>
  </si>
  <si>
    <t>64228981SW74</t>
  </si>
  <si>
    <t>RICART NISSAN</t>
  </si>
  <si>
    <t>68229671SW03</t>
  </si>
  <si>
    <t>HAMILTON NISSAN INC.</t>
  </si>
  <si>
    <t>HAMILTON</t>
  </si>
  <si>
    <t>64247904SW56</t>
  </si>
  <si>
    <t>LARICHE CHEV-CADILLAC</t>
  </si>
  <si>
    <t>LARICHE CHEVY CADILLAC INC.</t>
  </si>
  <si>
    <t>68233714SW04</t>
  </si>
  <si>
    <t>68233730SW04</t>
  </si>
  <si>
    <t>BUSAM MOTORS</t>
  </si>
  <si>
    <t>68225411SW42</t>
  </si>
  <si>
    <t>COURTESY MOTOR SALES</t>
  </si>
  <si>
    <t>68245308SW61</t>
  </si>
  <si>
    <t>BOWSER</t>
  </si>
  <si>
    <t>68239011SW03</t>
  </si>
  <si>
    <t>DAVE GILL CHEVROLET</t>
  </si>
  <si>
    <t>GILL</t>
  </si>
  <si>
    <t>62186748SW57</t>
  </si>
  <si>
    <t>RICKENBAUGH CADILLAC</t>
  </si>
  <si>
    <t>62188529SW04</t>
  </si>
  <si>
    <t>62188369SW70</t>
  </si>
  <si>
    <t>DENNIS DILLON KIA MAZDA</t>
  </si>
  <si>
    <t>DENNIS DILLON</t>
  </si>
  <si>
    <t>62193076SW55</t>
  </si>
  <si>
    <t>MCCURLEY CHEVROLET CADILLAC</t>
  </si>
  <si>
    <t>MCCURLEY AUTO</t>
  </si>
  <si>
    <t>62194208SW53</t>
  </si>
  <si>
    <t>CASCADE AUTO CENTER</t>
  </si>
  <si>
    <t>62194208SW60</t>
  </si>
  <si>
    <t>62188506SW04</t>
  </si>
  <si>
    <t>MOREHART CHEVROLET CO</t>
  </si>
  <si>
    <t>MOREHART MURPHY</t>
  </si>
  <si>
    <t>62189361SW46</t>
  </si>
  <si>
    <t>MAUI TOYOTA</t>
  </si>
  <si>
    <t>62192526SW03</t>
  </si>
  <si>
    <t>WESTERN SLOPE AUTO CO</t>
  </si>
  <si>
    <t>62188647SW04</t>
  </si>
  <si>
    <t>MIKE HALE</t>
  </si>
  <si>
    <t>62195617SW04</t>
  </si>
  <si>
    <t>RED NOLAND</t>
  </si>
  <si>
    <t>62189764SW03</t>
  </si>
  <si>
    <t>YOUNG BUICK GMC</t>
  </si>
  <si>
    <t>YOUNG</t>
  </si>
  <si>
    <t>62190896SW04</t>
  </si>
  <si>
    <t>CUTTER FORD GROUP</t>
  </si>
  <si>
    <t>62186815SW54</t>
  </si>
  <si>
    <t>AL COURTER</t>
  </si>
  <si>
    <t>62186815SW72</t>
  </si>
  <si>
    <t>64243044SW03</t>
  </si>
  <si>
    <t>SOUTHEAST AUTOMOTIVE MANAGEMENT, INC.</t>
  </si>
  <si>
    <t>64235595SW64</t>
  </si>
  <si>
    <t>CENTURY BUICK</t>
  </si>
  <si>
    <t>CENTURY-GHIOTO</t>
  </si>
  <si>
    <t>68240446SW79</t>
  </si>
  <si>
    <t>68238646SW79</t>
  </si>
  <si>
    <t>FAIRWAY AUTOMOTIVE GROUP</t>
  </si>
  <si>
    <t>03175784SW52</t>
  </si>
  <si>
    <t>PERFORMANCE AUTO GROUP</t>
  </si>
  <si>
    <t>98051114SW03</t>
  </si>
  <si>
    <t>O'CONNOR GMC BUICK</t>
  </si>
  <si>
    <t>O'CONNOR MOTOR GROUP</t>
  </si>
  <si>
    <t>64242675SW86</t>
  </si>
  <si>
    <t>DAVIS-MOORE AUTOMOTIVE</t>
  </si>
  <si>
    <t>64244658SW03</t>
  </si>
  <si>
    <t>WESTLIE GROUP</t>
  </si>
  <si>
    <t>64242989SW55</t>
  </si>
  <si>
    <t>64245229SW03</t>
  </si>
  <si>
    <t>SYVERSON FORD LINCOLN VW</t>
  </si>
  <si>
    <t>SYVERSON</t>
  </si>
  <si>
    <t>68230203SW54</t>
  </si>
  <si>
    <t>64239855SW04</t>
  </si>
  <si>
    <t>64239855SW11</t>
  </si>
  <si>
    <t>64239855SW39</t>
  </si>
  <si>
    <t>68233850SW04</t>
  </si>
  <si>
    <t>JOE HOLLAND</t>
  </si>
  <si>
    <t>62197912SW03</t>
  </si>
  <si>
    <t>TOMBALL FORD INC.</t>
  </si>
  <si>
    <t>62191494SW03</t>
  </si>
  <si>
    <t>JOHNSON-SEWELL FORD</t>
  </si>
  <si>
    <t>JOHNSON-SEWELL</t>
  </si>
  <si>
    <t>62184614SW54</t>
  </si>
  <si>
    <t>68234073SW04</t>
  </si>
  <si>
    <t>WOODALL AUTOMOTIVE GROUP</t>
  </si>
  <si>
    <t>68244198SW03</t>
  </si>
  <si>
    <t>64202336SW01</t>
  </si>
  <si>
    <t>DIMMITT CADILLAC CLEARWATER</t>
  </si>
  <si>
    <t>64245577SW88</t>
  </si>
  <si>
    <t>RIZZA</t>
  </si>
  <si>
    <t>64248154SW03</t>
  </si>
  <si>
    <t>68234048SW08</t>
  </si>
  <si>
    <t>ROUTE 46 NISSAN AUTOMALL</t>
  </si>
  <si>
    <t>ESPOSITO</t>
  </si>
  <si>
    <t>68239540SW03</t>
  </si>
  <si>
    <t>NICK CHEV</t>
  </si>
  <si>
    <t>68247007SW03</t>
  </si>
  <si>
    <t>62181792SW80</t>
  </si>
  <si>
    <t>BILL ALEXANDER YUMA</t>
  </si>
  <si>
    <t>64239959SW04</t>
  </si>
  <si>
    <t>POYNTER CHEVROLET BUICK GMC TRUCK</t>
  </si>
  <si>
    <t>BOB POYNTER FAMILY OF DEALERSHIPS</t>
  </si>
  <si>
    <t>62188807SW04</t>
  </si>
  <si>
    <t>WILCOXSON GMC</t>
  </si>
  <si>
    <t>64233173SW58</t>
  </si>
  <si>
    <t>DAVE KEHL CHEVROLET, INC.</t>
  </si>
  <si>
    <t>62194027SW03</t>
  </si>
  <si>
    <t>COURTESY BOYER</t>
  </si>
  <si>
    <t>01354100SW88</t>
  </si>
  <si>
    <t>FOWLER</t>
  </si>
  <si>
    <t>68227312SW51</t>
  </si>
  <si>
    <t>LEE CHEVROLET</t>
  </si>
  <si>
    <t>64246647SW03</t>
  </si>
  <si>
    <t>WICKSTROM AUTO GROUP</t>
  </si>
  <si>
    <t>64237227SW04</t>
  </si>
  <si>
    <t>DEWEY BARBER CHEVROLET</t>
  </si>
  <si>
    <t>68215894SW01</t>
  </si>
  <si>
    <t>BALISE NISSAN OF WEST SPRINGFIELD</t>
  </si>
  <si>
    <t>68234401SW04</t>
  </si>
  <si>
    <t>NORTH STAR AUTOMOTIVE GROUP</t>
  </si>
  <si>
    <t>68231886SW53</t>
  </si>
  <si>
    <t>PACIFICO HYUNDAI</t>
  </si>
  <si>
    <t>PACIFICO PHILADELPHIA</t>
  </si>
  <si>
    <t>62197072SW04</t>
  </si>
  <si>
    <t>GRANGER INC</t>
  </si>
  <si>
    <t>GRANGER AUTO GROUP</t>
  </si>
  <si>
    <t>68211584SW21</t>
  </si>
  <si>
    <t>NAPOLI</t>
  </si>
  <si>
    <t>03175213SW05</t>
  </si>
  <si>
    <t>MARKHAM MAZDA</t>
  </si>
  <si>
    <t>SCARBOROUGH NISSAN</t>
  </si>
  <si>
    <t>68233642SW11</t>
  </si>
  <si>
    <t>RIVERSIDE CHEVROLET</t>
  </si>
  <si>
    <t>RIVERSIDE AUTO GROUP</t>
  </si>
  <si>
    <t>64248107SW01</t>
  </si>
  <si>
    <t>MULLINAX</t>
  </si>
  <si>
    <t>68211584SW27</t>
  </si>
  <si>
    <t>62193797SW04</t>
  </si>
  <si>
    <t>PACIFIC VW</t>
  </si>
  <si>
    <t>SULLIVAN AUTOMOTIVE WEST</t>
  </si>
  <si>
    <t>62193784SW06</t>
  </si>
  <si>
    <t>TOYOTA OF HOLLYWOOD</t>
  </si>
  <si>
    <t>64246047SW45</t>
  </si>
  <si>
    <t>DEEL SALES VW</t>
  </si>
  <si>
    <t>DEEL SALES AUTO GROUP</t>
  </si>
  <si>
    <t>68238295SW22</t>
  </si>
  <si>
    <t>RICK CASE HYUNDAI #9</t>
  </si>
  <si>
    <t>RICK CASE</t>
  </si>
  <si>
    <t>64247789SW03</t>
  </si>
  <si>
    <t>62188542SW03</t>
  </si>
  <si>
    <t>BIGHORN MOTORS INC TOYOTA</t>
  </si>
  <si>
    <t>64243618SW04</t>
  </si>
  <si>
    <t>SCHUMACHER AUTO - WEST PALM BEACH</t>
  </si>
  <si>
    <t>SCHUMACHER GROUP</t>
  </si>
  <si>
    <t>68246282SW48</t>
  </si>
  <si>
    <t>PATKINS</t>
  </si>
  <si>
    <t>68233723SW04</t>
  </si>
  <si>
    <t>KERBECK</t>
  </si>
  <si>
    <t>03175685SW01</t>
  </si>
  <si>
    <t>MACDONALD AUTO GROUP</t>
  </si>
  <si>
    <t>68247410SW04</t>
  </si>
  <si>
    <t>POHANKA HONDA OF SALISBURY</t>
  </si>
  <si>
    <t>64238922SW22</t>
  </si>
  <si>
    <t>RICK CASE HYUNDAI #5</t>
  </si>
  <si>
    <t>62188543SW11</t>
  </si>
  <si>
    <t>DELANO CHEVROLET GMC</t>
  </si>
  <si>
    <t>FAMILY MOTORS WEST</t>
  </si>
  <si>
    <t>68237295SW03</t>
  </si>
  <si>
    <t>MODERN</t>
  </si>
  <si>
    <t>68217934SW10</t>
  </si>
  <si>
    <t>MODERN NISSAN</t>
  </si>
  <si>
    <t>68251716SW04</t>
  </si>
  <si>
    <t>68239578SW04</t>
  </si>
  <si>
    <t>WILSON CHEVROLET</t>
  </si>
  <si>
    <t>FREDDIE WILSON.</t>
  </si>
  <si>
    <t>62191397SW53</t>
  </si>
  <si>
    <t>WEBB CHEVROLET</t>
  </si>
  <si>
    <t>WEBB</t>
  </si>
  <si>
    <t>64240296SW01</t>
  </si>
  <si>
    <t>CDK SERVICEVIEW W/ESTIMATOR (STANDALONE WITHOUT CDK SERVICE INSPECT)</t>
  </si>
  <si>
    <t>SUNTRUP</t>
  </si>
  <si>
    <t>68233753SW03</t>
  </si>
  <si>
    <t>68191713SW01</t>
  </si>
  <si>
    <t>NORTHTOWN</t>
  </si>
  <si>
    <t>68232689SW02</t>
  </si>
  <si>
    <t>JR GROUP</t>
  </si>
  <si>
    <t>68232689SW95</t>
  </si>
  <si>
    <t>68253489SW03</t>
  </si>
  <si>
    <t>MIDDLETOWN TOYOTA</t>
  </si>
  <si>
    <t>MIDDLETOWN TOYOTA GROUP</t>
  </si>
  <si>
    <t>68230213SW51</t>
  </si>
  <si>
    <t>PRESTON FORD</t>
  </si>
  <si>
    <t>68232273SW83</t>
  </si>
  <si>
    <t>WEST BROAD VOLKSWAGEN KIA</t>
  </si>
  <si>
    <t>68233216SW04</t>
  </si>
  <si>
    <t>FREEHOLD SUBARU LLC</t>
  </si>
  <si>
    <t>03174024SW03</t>
  </si>
  <si>
    <t>64246803SW04</t>
  </si>
  <si>
    <t>DYER MAZDA SUBARU</t>
  </si>
  <si>
    <t>AUTO PARTNERS III-DYER</t>
  </si>
  <si>
    <t>64246418SW23</t>
  </si>
  <si>
    <t>AUDI EXCHANGE</t>
  </si>
  <si>
    <t>SEMERSKY ENTERPRISES</t>
  </si>
  <si>
    <t>64246418SW77</t>
  </si>
  <si>
    <t>64245801SW03</t>
  </si>
  <si>
    <t>62186456SW11</t>
  </si>
  <si>
    <t>GLENDALE KIA</t>
  </si>
  <si>
    <t>CAR PROS</t>
  </si>
  <si>
    <t>68233029SW04</t>
  </si>
  <si>
    <t>JIM RIEHLS FRIENDLY AUTOMOTIVE GROUP INC.</t>
  </si>
  <si>
    <t>JIM RIEHL'S FRIENDLY AUTOMOTIVE</t>
  </si>
  <si>
    <t>68237880SW19</t>
  </si>
  <si>
    <t>68217848SW13</t>
  </si>
  <si>
    <t>MODERN CHEVROLET - WINSTON</t>
  </si>
  <si>
    <t>64245247SW17</t>
  </si>
  <si>
    <t>CAVENAUGH HYUNDAI</t>
  </si>
  <si>
    <t>CAVENAUGH AUTO GROUP</t>
  </si>
  <si>
    <t>64245247SW23</t>
  </si>
  <si>
    <t>64246695SW04</t>
  </si>
  <si>
    <t>64237470SW11</t>
  </si>
  <si>
    <t>64214740SW52</t>
  </si>
  <si>
    <t>64234816SW11</t>
  </si>
  <si>
    <t>BOUCHER VOLKSWAGEN INC.</t>
  </si>
  <si>
    <t>64237947SW03</t>
  </si>
  <si>
    <t>BEAN AUTO GROUP</t>
  </si>
  <si>
    <t>64244277SW47</t>
  </si>
  <si>
    <t>64246571SW04</t>
  </si>
  <si>
    <t>WOLFE AUTO GROUP</t>
  </si>
  <si>
    <t>68242967SW04</t>
  </si>
  <si>
    <t>68236704SW68</t>
  </si>
  <si>
    <t>TOYOTA WORLD OF NEWTON</t>
  </si>
  <si>
    <t>03175784SW70</t>
  </si>
  <si>
    <t>DON VALLEY VOLKSWAGEN LTD.</t>
  </si>
  <si>
    <t>64240555SW04</t>
  </si>
  <si>
    <t>RICK CASE HONDA #1</t>
  </si>
  <si>
    <t>64243633SW04</t>
  </si>
  <si>
    <t>64233758SW51</t>
  </si>
  <si>
    <t>68245169SW78</t>
  </si>
  <si>
    <t>64232370SW51</t>
  </si>
  <si>
    <t>HAROLD GWATNEY</t>
  </si>
  <si>
    <t>64238922SW92</t>
  </si>
  <si>
    <t>RICK CASE ACURA #7</t>
  </si>
  <si>
    <t>62193784SW14</t>
  </si>
  <si>
    <t>64238657SW04</t>
  </si>
  <si>
    <t>RAINBOW NORTHSHORE PONTIAC BUICK GMC, LLC</t>
  </si>
  <si>
    <t>RAINBOW AUTOMOTIVE</t>
  </si>
  <si>
    <t>64234828SW46</t>
  </si>
  <si>
    <t>RUSS DARROW GREENFIELD-MAZDA/SUZUKI</t>
  </si>
  <si>
    <t>64246571SW18</t>
  </si>
  <si>
    <t>JAY WOLFE TOYOTA</t>
  </si>
  <si>
    <t>62182232SW01</t>
  </si>
  <si>
    <t>PORT LAVACA FORD INC</t>
  </si>
  <si>
    <t>01355562SW01</t>
  </si>
  <si>
    <t>IRWIN GROUP</t>
  </si>
  <si>
    <t>68243952SW04</t>
  </si>
  <si>
    <t>TOWNE CHEVROLET BUICK CADILLAC</t>
  </si>
  <si>
    <t>64245643SW24</t>
  </si>
  <si>
    <t>68246037SW04</t>
  </si>
  <si>
    <t>KEN POLLOCK VOLVO</t>
  </si>
  <si>
    <t>POLLOCK</t>
  </si>
  <si>
    <t>68224588SW53</t>
  </si>
  <si>
    <t>TIM MARBURGER GROUP</t>
  </si>
  <si>
    <t>62196540SW49</t>
  </si>
  <si>
    <t>TOYOTA OF BERKELEY GROUP</t>
  </si>
  <si>
    <t>64229786SW03</t>
  </si>
  <si>
    <t>CLASSIC CHEVROLET OF TEXOMA</t>
  </si>
  <si>
    <t>CLASSIC CHEVROLET CADILLAC OF DENISON</t>
  </si>
  <si>
    <t>03173875SW04</t>
  </si>
  <si>
    <t>ERIN MILLS MAZDA(1994)</t>
  </si>
  <si>
    <t>QUEENSWAY AUTO GROUP</t>
  </si>
  <si>
    <t>68235123SW01</t>
  </si>
  <si>
    <t>LIBERTY CHEVROLET</t>
  </si>
  <si>
    <t>68238295SW38</t>
  </si>
  <si>
    <t>RICK CASE MAZDA #10</t>
  </si>
  <si>
    <t>68240713SW51</t>
  </si>
  <si>
    <t>68204180SW85</t>
  </si>
  <si>
    <t>BRIAN HOSKINS FORD INC.</t>
  </si>
  <si>
    <t>62188709SW04</t>
  </si>
  <si>
    <t>PORT LAVACA DODGE CHRYSLER JEEP</t>
  </si>
  <si>
    <t>64222255SW70</t>
  </si>
  <si>
    <t>LEGACY AUTOMOTIVE NETWORK</t>
  </si>
  <si>
    <t>64218094SW49</t>
  </si>
  <si>
    <t>BOB BOAST VOLKSWAGEN</t>
  </si>
  <si>
    <t>68233750SW03</t>
  </si>
  <si>
    <t>01355693SW85</t>
  </si>
  <si>
    <t>SOUTHSIDE GROUP</t>
  </si>
  <si>
    <t>03175788SW84</t>
  </si>
  <si>
    <t>PERFORMANCE CARS (ST. CATHARINES) LTD. O/A PERFORM</t>
  </si>
  <si>
    <t>64234553SW04</t>
  </si>
  <si>
    <t>ROPER</t>
  </si>
  <si>
    <t>62188704SW04</t>
  </si>
  <si>
    <t>VOLKSWAGEN SOUTHTOWNE</t>
  </si>
  <si>
    <t>FEEL GOOD AUTO GROUP</t>
  </si>
  <si>
    <t>62193784SW23</t>
  </si>
  <si>
    <t>68233291SW25</t>
  </si>
  <si>
    <t>DICK SMITH INFINITI</t>
  </si>
  <si>
    <t>68240093SW04</t>
  </si>
  <si>
    <t>68238295SW70</t>
  </si>
  <si>
    <t>RICK CASE HYUNDAI #16</t>
  </si>
  <si>
    <t>68233215SW04</t>
  </si>
  <si>
    <t>DUTCHESS CHRYSLER DODGE JEEP</t>
  </si>
  <si>
    <t>HUDSON VALLEY</t>
  </si>
  <si>
    <t>62177489SW91</t>
  </si>
  <si>
    <t>NOARUS GROUP</t>
  </si>
  <si>
    <t>68234267SW62</t>
  </si>
  <si>
    <t>BUD SMAIL MAZDA</t>
  </si>
  <si>
    <t>68236577SW04</t>
  </si>
  <si>
    <t>RACEWAY CHEVROLET</t>
  </si>
  <si>
    <t>62164543SW05</t>
  </si>
  <si>
    <t>EUROMOTORS AUTO GROUP</t>
  </si>
  <si>
    <t>68244405SW60</t>
  </si>
  <si>
    <t>68244866SW11</t>
  </si>
  <si>
    <t>NORTH BAY CADILLAC GMC CERTIFIED SERVICE CENTER</t>
  </si>
  <si>
    <t>64243633SW11</t>
  </si>
  <si>
    <t>SCHUMACHER VOLVO VW WEST PALM BEACH</t>
  </si>
  <si>
    <t>64243633SW18</t>
  </si>
  <si>
    <t>64238281SW43</t>
  </si>
  <si>
    <t>64240478SW43</t>
  </si>
  <si>
    <t>FAJARDO FORD INC</t>
  </si>
  <si>
    <t>ROLANDO FALGUERAS</t>
  </si>
  <si>
    <t>68237337SW03</t>
  </si>
  <si>
    <t>HALDEMAN</t>
  </si>
  <si>
    <t>68233269SW03</t>
  </si>
  <si>
    <t>YOUNGER</t>
  </si>
  <si>
    <t>68232926SW03</t>
  </si>
  <si>
    <t>64243749SW11</t>
  </si>
  <si>
    <t>68232083SW11</t>
  </si>
  <si>
    <t>FRIENDSHIP HYUNDAI BRISTOL</t>
  </si>
  <si>
    <t>68192955SW21</t>
  </si>
  <si>
    <t>68236487SW98</t>
  </si>
  <si>
    <t>TWIN CITY MAZDA</t>
  </si>
  <si>
    <t>TWIN CITY AUTO GROUP</t>
  </si>
  <si>
    <t>64235049SW11</t>
  </si>
  <si>
    <t>VOLKSWAGEN OF MANDEVILLE</t>
  </si>
  <si>
    <t>68234116SW04</t>
  </si>
  <si>
    <t>HELMS MERCEDES PARTS &amp; SER</t>
  </si>
  <si>
    <t>CALLAHAN</t>
  </si>
  <si>
    <t>64216735SW63</t>
  </si>
  <si>
    <t>64245247SW31</t>
  </si>
  <si>
    <t>CAVENAUGH HYUNDAI HOT SPRINGS</t>
  </si>
  <si>
    <t>64246130SW04</t>
  </si>
  <si>
    <t>FELDMAN CHEVROLET OF LANSING</t>
  </si>
  <si>
    <t>FELDMAN AUTOMOTIVE GROUP</t>
  </si>
  <si>
    <t>68233355SW51</t>
  </si>
  <si>
    <t>SCHONER CHEVROLET INC</t>
  </si>
  <si>
    <t>SCHONER CHEVROLET INC.</t>
  </si>
  <si>
    <t>64239371SW58</t>
  </si>
  <si>
    <t>WILLIAMSON SOUTHEAST</t>
  </si>
  <si>
    <t>64234464SW04</t>
  </si>
  <si>
    <t>HOOLEY FAMILY MANAGEMENT</t>
  </si>
  <si>
    <t>68237295SW10</t>
  </si>
  <si>
    <t>68233228SW03</t>
  </si>
  <si>
    <t>62188253SW04</t>
  </si>
  <si>
    <t>SANDS CHEVROLET PRASADA</t>
  </si>
  <si>
    <t>68233238SW04</t>
  </si>
  <si>
    <t>LOEHMANN BLASIUS CHEVROLET</t>
  </si>
  <si>
    <t>LOEHMANN BLASIUS</t>
  </si>
  <si>
    <t>68228474SW82</t>
  </si>
  <si>
    <t>BOB BELL CHEVROLET</t>
  </si>
  <si>
    <t>68243368SW15</t>
  </si>
  <si>
    <t>CAUSEWAY FORD</t>
  </si>
  <si>
    <t>CAUSEWAY</t>
  </si>
  <si>
    <t>62191328SW43</t>
  </si>
  <si>
    <t>NOTBOHM MOTORS INC</t>
  </si>
  <si>
    <t>NOTBOHM AUTO GROUP</t>
  </si>
  <si>
    <t>64238290SW51</t>
  </si>
  <si>
    <t>CASTRUCCI</t>
  </si>
  <si>
    <t>62188709SW11</t>
  </si>
  <si>
    <t>PORT LAVACA CHEVROLET</t>
  </si>
  <si>
    <t>68233075SW11</t>
  </si>
  <si>
    <t>CMA'S VOLVO CARS OF CHARLOTTESVILLE</t>
  </si>
  <si>
    <t>68233069SW20</t>
  </si>
  <si>
    <t>CMA'S COLONIAL CHEVROLET</t>
  </si>
  <si>
    <t>68234401SW11</t>
  </si>
  <si>
    <t>68244872SW03</t>
  </si>
  <si>
    <t>PACIFICO FORD INC.</t>
  </si>
  <si>
    <t>68231651SW24</t>
  </si>
  <si>
    <t>JACK DANIELS</t>
  </si>
  <si>
    <t>68231652SW21</t>
  </si>
  <si>
    <t>62196454SW60</t>
  </si>
  <si>
    <t>BRIGHTON FORD, INC.</t>
  </si>
  <si>
    <t>68238971SW63</t>
  </si>
  <si>
    <t>GENTILINI FORD INC</t>
  </si>
  <si>
    <t>GENTILINI</t>
  </si>
  <si>
    <t>68243697SW53</t>
  </si>
  <si>
    <t>WRIGHT BUICK GMC OF WEXFORD</t>
  </si>
  <si>
    <t>WRIGHT</t>
  </si>
  <si>
    <t>64245787SW66</t>
  </si>
  <si>
    <t>STEVENS FORD</t>
  </si>
  <si>
    <t>STEVENS FORD GROUP</t>
  </si>
  <si>
    <t>64245787SW91</t>
  </si>
  <si>
    <t>68238330SW03</t>
  </si>
  <si>
    <t>HEALEY CHRYSLER DODGE JEEP RAM</t>
  </si>
  <si>
    <t>HEALEY GROUP</t>
  </si>
  <si>
    <t>68210424SW98</t>
  </si>
  <si>
    <t>62193076SW76</t>
  </si>
  <si>
    <t>MERCEDES-BENZ OF TRI-CITIES</t>
  </si>
  <si>
    <t>03176017SW04</t>
  </si>
  <si>
    <t>ROUTES GROUP</t>
  </si>
  <si>
    <t>64234828SW04</t>
  </si>
  <si>
    <t>RUSS DARROW KIA OF WAUWATOSA</t>
  </si>
  <si>
    <t>64214637SW04</t>
  </si>
  <si>
    <t>68232927SW03</t>
  </si>
  <si>
    <t>64214637SW54</t>
  </si>
  <si>
    <t>GORDIE BOUCHER FORD</t>
  </si>
  <si>
    <t>62162230SW07</t>
  </si>
  <si>
    <t>68237870SW01</t>
  </si>
  <si>
    <t>LOW COUNTRY VW LLC</t>
  </si>
  <si>
    <t>DONALD AUTOMOTIVE GROUP</t>
  </si>
  <si>
    <t>03175642SW09</t>
  </si>
  <si>
    <t>68248022SW01</t>
  </si>
  <si>
    <t>68237764SW62</t>
  </si>
  <si>
    <t>TERRY REID AUTO GROUP</t>
  </si>
  <si>
    <t>64238282SW04</t>
  </si>
  <si>
    <t>62187583SW62</t>
  </si>
  <si>
    <t>FINNEGAN SOUTH CHRYSLER</t>
  </si>
  <si>
    <t>FINNEGAN</t>
  </si>
  <si>
    <t>68224591SW03</t>
  </si>
  <si>
    <t>64240048SW04</t>
  </si>
  <si>
    <t>COURTESY AUTOMOTIVE INC</t>
  </si>
  <si>
    <t>64238932SW61</t>
  </si>
  <si>
    <t>RICK CASE HYUNDAI #3</t>
  </si>
  <si>
    <t>68197395SW02</t>
  </si>
  <si>
    <t>GRAPPONE HONDA INC</t>
  </si>
  <si>
    <t>GRAPPONE</t>
  </si>
  <si>
    <t>68202139SW01</t>
  </si>
  <si>
    <t>GRAPPONE FORD INC</t>
  </si>
  <si>
    <t>68233239SW03</t>
  </si>
  <si>
    <t>GRAPPONE MAZDA</t>
  </si>
  <si>
    <t>64245247SW38</t>
  </si>
  <si>
    <t>68236725SW82</t>
  </si>
  <si>
    <t>TOWNE HYUNDAI</t>
  </si>
  <si>
    <t>68246307SW06</t>
  </si>
  <si>
    <t>BIONDI MOTOR COMPANY INC</t>
  </si>
  <si>
    <t>CDK SERVICEVIEW (IN PKG TRUVIDEO CONVERSION)</t>
  </si>
  <si>
    <t>64228081SW61</t>
  </si>
  <si>
    <t>BOB BRADY</t>
  </si>
  <si>
    <t>68229663SW51</t>
  </si>
  <si>
    <t>MARCHANT</t>
  </si>
  <si>
    <t>68238759SW04</t>
  </si>
  <si>
    <t>GREAT LAKES</t>
  </si>
  <si>
    <t>64214638SW09</t>
  </si>
  <si>
    <t>FRANK BOUCHER CHRYSLER DODGE JEEP OF JANESVILLE</t>
  </si>
  <si>
    <t>68225881SW08</t>
  </si>
  <si>
    <t>FAULKNER SUBARU OF EASTON</t>
  </si>
  <si>
    <t>62197414SW04</t>
  </si>
  <si>
    <t>SHORTLINE</t>
  </si>
  <si>
    <t>62190506SW50</t>
  </si>
  <si>
    <t>EMPIRE NISSAN OF SANTA ROSA GROUP</t>
  </si>
  <si>
    <t>64234546SW03</t>
  </si>
  <si>
    <t>CLASSIC BUICK</t>
  </si>
  <si>
    <t>CLASSIC OF ARLINGTON</t>
  </si>
  <si>
    <t>64217618SW61</t>
  </si>
  <si>
    <t>64217477SW94</t>
  </si>
  <si>
    <t>BOB SIGHT AUTO GROUP</t>
  </si>
  <si>
    <t>68233348SW51</t>
  </si>
  <si>
    <t>LAND ROVER PRINCETON SERVICE</t>
  </si>
  <si>
    <t>FLEMINGTON CORPORATION</t>
  </si>
  <si>
    <t>68239743SW43</t>
  </si>
  <si>
    <t>CROSS CREEK SUBARU, INC.</t>
  </si>
  <si>
    <t>SAM JOHNSON</t>
  </si>
  <si>
    <t>68231652SW67</t>
  </si>
  <si>
    <t>62187664SW11</t>
  </si>
  <si>
    <t>68246365SW03</t>
  </si>
  <si>
    <t>APPLE FORD LINCOLN</t>
  </si>
  <si>
    <t>APPLE FORD GROUP</t>
  </si>
  <si>
    <t>64244470SW04</t>
  </si>
  <si>
    <t>LIBERTYVILLE CHEVROLET</t>
  </si>
  <si>
    <t>62191159SW66</t>
  </si>
  <si>
    <t>TETON TOYOTA</t>
  </si>
  <si>
    <t>TETON MOTOR GROUP</t>
  </si>
  <si>
    <t>64235009SW51</t>
  </si>
  <si>
    <t>BOB BROWN GMC</t>
  </si>
  <si>
    <t>BOB BROWN</t>
  </si>
  <si>
    <t>68237435SW04</t>
  </si>
  <si>
    <t>BUZZ CHEW CHEVROLET CADILLAC</t>
  </si>
  <si>
    <t>62198242SW20</t>
  </si>
  <si>
    <t>BROWN CHEVROLET BUICK GMC OF EAGLE PASS</t>
  </si>
  <si>
    <t>BROWN AUTO STORES</t>
  </si>
  <si>
    <t>68248114SW10</t>
  </si>
  <si>
    <t>68234251SW04</t>
  </si>
  <si>
    <t>M3 AUTO GROUP</t>
  </si>
  <si>
    <t>64231709SW04</t>
  </si>
  <si>
    <t>MAZDA OF NORTH MIAMI</t>
  </si>
  <si>
    <t>NORTH MIAMI AUTO GROUP</t>
  </si>
  <si>
    <t>68245308SW82</t>
  </si>
  <si>
    <t>BOWSER HYUNDAI OF CHIPPEWA</t>
  </si>
  <si>
    <t>68245308SW89</t>
  </si>
  <si>
    <t>62194336SW57</t>
  </si>
  <si>
    <t>HELLMAN CHEVROLET</t>
  </si>
  <si>
    <t>68246037SW11</t>
  </si>
  <si>
    <t>64239417SW67</t>
  </si>
  <si>
    <t>WACONIA GROUP</t>
  </si>
  <si>
    <t>64226857SW95</t>
  </si>
  <si>
    <t>METROCORP</t>
  </si>
  <si>
    <t>68233314SW03</t>
  </si>
  <si>
    <t>BOB CIASULLI AUTO GROUP</t>
  </si>
  <si>
    <t>62178592SW58</t>
  </si>
  <si>
    <t>HANSEL BMW</t>
  </si>
  <si>
    <t>HANSEL</t>
  </si>
  <si>
    <t>68233222SW03</t>
  </si>
  <si>
    <t>PRESTON TOYOTA OF BOARDMAN</t>
  </si>
  <si>
    <t>68232083SW53</t>
  </si>
  <si>
    <t>64234836SW04</t>
  </si>
  <si>
    <t>BOUCHER NISSAN OF WAUKESHA, INC.</t>
  </si>
  <si>
    <t>68245216SW53</t>
  </si>
  <si>
    <t>PREMIER CHEVROLET GMC</t>
  </si>
  <si>
    <t>PREMIER WV GROUP</t>
  </si>
  <si>
    <t>68210762SW16</t>
  </si>
  <si>
    <t>64234869SW04</t>
  </si>
  <si>
    <t>BUSAM FAIRFIELD LLC</t>
  </si>
  <si>
    <t>68240749SW71</t>
  </si>
  <si>
    <t>DAYTON TOYOTA</t>
  </si>
  <si>
    <t>NAPPA</t>
  </si>
  <si>
    <t>98052321SW92</t>
  </si>
  <si>
    <t>RIHM KENWORTH ALBERT LEA</t>
  </si>
  <si>
    <t>68247058SW03</t>
  </si>
  <si>
    <t>WYNNE FORD GROUP</t>
  </si>
  <si>
    <t>62188508SW70</t>
  </si>
  <si>
    <t>BILL BRANDT</t>
  </si>
  <si>
    <t>64241966SW94</t>
  </si>
  <si>
    <t>AUTOBARN MAZDA OF EVANSTON</t>
  </si>
  <si>
    <t>THE AUTOBARN COLLECTION</t>
  </si>
  <si>
    <t>68243789SW03</t>
  </si>
  <si>
    <t>LICCARDI FORD INC.</t>
  </si>
  <si>
    <t>LICCARDI</t>
  </si>
  <si>
    <t>62200182SW48</t>
  </si>
  <si>
    <t>CHAMPION WEST</t>
  </si>
  <si>
    <t>62192904SW55</t>
  </si>
  <si>
    <t>CAPISTRANO VW</t>
  </si>
  <si>
    <t>64240292SW03</t>
  </si>
  <si>
    <t>64237387SW87</t>
  </si>
  <si>
    <t>TAMERON HYUNDAI</t>
  </si>
  <si>
    <t>68249162SW04</t>
  </si>
  <si>
    <t>68217687SW12</t>
  </si>
  <si>
    <t>62164543SW08</t>
  </si>
  <si>
    <t>62187702SW11</t>
  </si>
  <si>
    <t>64241625SW03</t>
  </si>
  <si>
    <t>GRIFFIN AUTOMOTIVE GROUP</t>
  </si>
  <si>
    <t>64246092SW03</t>
  </si>
  <si>
    <t>MIKE CASTRUCCI FORD SALES</t>
  </si>
  <si>
    <t>64234503SW04</t>
  </si>
  <si>
    <t>SUBURBAN CHEVROLET</t>
  </si>
  <si>
    <t>62190944SW03</t>
  </si>
  <si>
    <t>68247410SW11</t>
  </si>
  <si>
    <t>POHANKA NISSAN OF SALISBURY</t>
  </si>
  <si>
    <t>68247433SW04</t>
  </si>
  <si>
    <t>POHANKA TOYOTA OF SALISBURY</t>
  </si>
  <si>
    <t>68247433SW11</t>
  </si>
  <si>
    <t>POHANKA HYUNDAI SALISBURY</t>
  </si>
  <si>
    <t>64238282SW50</t>
  </si>
  <si>
    <t>BILLION KIA</t>
  </si>
  <si>
    <t>68232083SW78</t>
  </si>
  <si>
    <t>VOLTAR INVESTMENTS DBA FRIENDSHIP HONDA OF BOONE</t>
  </si>
  <si>
    <t>62179812SW49</t>
  </si>
  <si>
    <t>MERCEDES-BENZ OF EL PASO</t>
  </si>
  <si>
    <t>68205480SW01</t>
  </si>
  <si>
    <t>64243633SW25</t>
  </si>
  <si>
    <t>64243633SW37</t>
  </si>
  <si>
    <t>64243633SW43</t>
  </si>
  <si>
    <t>62195016SW66</t>
  </si>
  <si>
    <t>AUSTIN INFINITI</t>
  </si>
  <si>
    <t>68239981SW51</t>
  </si>
  <si>
    <t>LAVERY AUTOMOTIVE</t>
  </si>
  <si>
    <t>62176899SW50</t>
  </si>
  <si>
    <t>HUNTINGTON BEACH MAZDA</t>
  </si>
  <si>
    <t>68226656SW37</t>
  </si>
  <si>
    <t>CAPITOL CITY GMC</t>
  </si>
  <si>
    <t>67061648SW60</t>
  </si>
  <si>
    <t>KNAUZ</t>
  </si>
  <si>
    <t>67061648SW77</t>
  </si>
  <si>
    <t>67061648SW97</t>
  </si>
  <si>
    <t>67061649SW15</t>
  </si>
  <si>
    <t>64243537SW53</t>
  </si>
  <si>
    <t>KATE FAUPEL CHEVROLET GMC</t>
  </si>
  <si>
    <t>HENDERSON GROUP</t>
  </si>
  <si>
    <t>68244942SW65</t>
  </si>
  <si>
    <t>68240290SW22</t>
  </si>
  <si>
    <t>68201567SW42</t>
  </si>
  <si>
    <t>MEDINA AUTO MALL INC.</t>
  </si>
  <si>
    <t>64244363SW62</t>
  </si>
  <si>
    <t>BRIGHTON FORD</t>
  </si>
  <si>
    <t>68233287SW04</t>
  </si>
  <si>
    <t>GENGRAS</t>
  </si>
  <si>
    <t>64243469SW45</t>
  </si>
  <si>
    <t>64238283SW04</t>
  </si>
  <si>
    <t>68234267SW92</t>
  </si>
  <si>
    <t>SMAIL HONDA</t>
  </si>
  <si>
    <t>68234269SW67</t>
  </si>
  <si>
    <t>68234281SW17</t>
  </si>
  <si>
    <t>SMAIL GMC CADILLAC</t>
  </si>
  <si>
    <t>68234281SW75</t>
  </si>
  <si>
    <t>64236632SW03</t>
  </si>
  <si>
    <t>MAGGIO BUICK GMC</t>
  </si>
  <si>
    <t>68246455SW03</t>
  </si>
  <si>
    <t>PORSCHE MAIN LINE</t>
  </si>
  <si>
    <t>68236577SW11</t>
  </si>
  <si>
    <t>64247728SW03</t>
  </si>
  <si>
    <t>THOROUGHBRED FORD</t>
  </si>
  <si>
    <t>THOROUGHBRED</t>
  </si>
  <si>
    <t>62191785SW45</t>
  </si>
  <si>
    <t>VENTURA TOYOTA/VENTURA SCION BOPELL-WINTRINGHAM IN</t>
  </si>
  <si>
    <t>VENTURA</t>
  </si>
  <si>
    <t>68233314SW08</t>
  </si>
  <si>
    <t>68233314SW13</t>
  </si>
  <si>
    <t>GALAXY TOYOTA</t>
  </si>
  <si>
    <t>68233314SW18</t>
  </si>
  <si>
    <t>68244005SW03</t>
  </si>
  <si>
    <t>68234464SW03</t>
  </si>
  <si>
    <t>68217969SW55</t>
  </si>
  <si>
    <t>68245309SW91</t>
  </si>
  <si>
    <t>BOWSER NISSAN BUILDING</t>
  </si>
  <si>
    <t>68247434SW04</t>
  </si>
  <si>
    <t>MERCEDES BENZ OF SALISBURY</t>
  </si>
  <si>
    <t>62187583SW77</t>
  </si>
  <si>
    <t>FINNEGAN GM</t>
  </si>
  <si>
    <t>68244948SW74</t>
  </si>
  <si>
    <t>68238359SW54</t>
  </si>
  <si>
    <t>KUNDERT</t>
  </si>
  <si>
    <t>68192270SW79</t>
  </si>
  <si>
    <t>COUNTRY HYUNDAI AND GENESIS OF NORTHAMPTON</t>
  </si>
  <si>
    <t>68233374SW03</t>
  </si>
  <si>
    <t>TUFANKJIAN TOYOTA OF BRAINTREE</t>
  </si>
  <si>
    <t>TUFANKJIAN</t>
  </si>
  <si>
    <t>62188369SW84</t>
  </si>
  <si>
    <t>DENNIS DILLON CHRYSLER JEEP DODGE</t>
  </si>
  <si>
    <t>68197026SW24</t>
  </si>
  <si>
    <t>CAVALIER AUTO GROUP</t>
  </si>
  <si>
    <t>68234283SW82</t>
  </si>
  <si>
    <t>68238701SW58</t>
  </si>
  <si>
    <t>64240791SW03</t>
  </si>
  <si>
    <t>POZOS</t>
  </si>
  <si>
    <t>68210762SW38</t>
  </si>
  <si>
    <t>68233244SW04</t>
  </si>
  <si>
    <t>68243368SW05</t>
  </si>
  <si>
    <t>68243994SW54</t>
  </si>
  <si>
    <t>LOVERING VOLVO CARS NASHUA</t>
  </si>
  <si>
    <t>LOVERING</t>
  </si>
  <si>
    <t>68243994SW70</t>
  </si>
  <si>
    <t>LOVERING VOLVO CARS MEREDITH</t>
  </si>
  <si>
    <t>68247604SW75</t>
  </si>
  <si>
    <t>68231886SW89</t>
  </si>
  <si>
    <t>64240540SW51</t>
  </si>
  <si>
    <t>RANDY CURNOW BUICK PONTIAC</t>
  </si>
  <si>
    <t>RANDY CURNOW</t>
  </si>
  <si>
    <t>62184756SW54</t>
  </si>
  <si>
    <t>98048828SW50</t>
  </si>
  <si>
    <t>68246883SW04</t>
  </si>
  <si>
    <t>LEGACY KIA OF WEST MIFFLIN</t>
  </si>
  <si>
    <t>AUFFENBERG PA</t>
  </si>
  <si>
    <t>64237358SW02</t>
  </si>
  <si>
    <t>WHITE FAMILY COS. INC.</t>
  </si>
  <si>
    <t>64226859SW21</t>
  </si>
  <si>
    <t>64234503SW11</t>
  </si>
  <si>
    <t>ROSEDALE CHEVROLET</t>
  </si>
  <si>
    <t>64226859SW51</t>
  </si>
  <si>
    <t>SUPERIOR /BROOKDALE FORD</t>
  </si>
  <si>
    <t>64226380SW01</t>
  </si>
  <si>
    <t>67057294SW01</t>
  </si>
  <si>
    <t>64237264SW01</t>
  </si>
  <si>
    <t>62191216SW01</t>
  </si>
  <si>
    <t>WHITES MOUNTAIN MOTORS</t>
  </si>
  <si>
    <t>68217661SW77</t>
  </si>
  <si>
    <t>STAMFORD FORD LINCOLN LLC</t>
  </si>
  <si>
    <t>64246715SW03</t>
  </si>
  <si>
    <t>WHITES QUEEN CITY MOTOR</t>
  </si>
  <si>
    <t>68238971SW84</t>
  </si>
  <si>
    <t>64234507SW11</t>
  </si>
  <si>
    <t>62184433SW48</t>
  </si>
  <si>
    <t>RUSTOM NISSAN OF PORTLAND</t>
  </si>
  <si>
    <t>BROADWAY WEST</t>
  </si>
  <si>
    <t>62157747SW03</t>
  </si>
  <si>
    <t>68249841SW03</t>
  </si>
  <si>
    <t>64238317SW51</t>
  </si>
  <si>
    <t>62184577SW01</t>
  </si>
  <si>
    <t>CARLSBAD VOLVO</t>
  </si>
  <si>
    <t>VOLVO ESCONDIDO AUTO GROUP</t>
  </si>
  <si>
    <t>68232086SW62</t>
  </si>
  <si>
    <t>68243994SW86</t>
  </si>
  <si>
    <t>LOVERING VOLVO CARS CONCORD</t>
  </si>
  <si>
    <t>64243937SW55</t>
  </si>
  <si>
    <t>68242146SW04</t>
  </si>
  <si>
    <t>KELLY BUICK GMC JEEP</t>
  </si>
  <si>
    <t>KELLY - PA</t>
  </si>
  <si>
    <t>68238533SW04</t>
  </si>
  <si>
    <t>KELLY CADILLAC INC.</t>
  </si>
  <si>
    <t>64235371SW01</t>
  </si>
  <si>
    <t>KELLY FORD INC.</t>
  </si>
  <si>
    <t>68231652SW86</t>
  </si>
  <si>
    <t>64236678SW04</t>
  </si>
  <si>
    <t>COURTESY CHEVROLET CADILLAC</t>
  </si>
  <si>
    <t>64239387SW04</t>
  </si>
  <si>
    <t>BALLAS</t>
  </si>
  <si>
    <t>64243469SW67</t>
  </si>
  <si>
    <t>MATHEWS FORD - MARION</t>
  </si>
  <si>
    <t>64235595SW81</t>
  </si>
  <si>
    <t>62178546SW03</t>
  </si>
  <si>
    <t>ROGER BEASLEY MAZDA OF GEORGETOWN</t>
  </si>
  <si>
    <t>62178546SW57</t>
  </si>
  <si>
    <t>ROGER BEASLEY MAZDA INC</t>
  </si>
  <si>
    <t>64244859SW11</t>
  </si>
  <si>
    <t>FRIESEN CHEVROLET</t>
  </si>
  <si>
    <t>FRIESEN CHEVROLET INC</t>
  </si>
  <si>
    <t>68203707SW36</t>
  </si>
  <si>
    <t>64227503SW01</t>
  </si>
  <si>
    <t>ERDMAN AUTOMOTIVE GROUP</t>
  </si>
  <si>
    <t>62188253SW11</t>
  </si>
  <si>
    <t>68225462SW03</t>
  </si>
  <si>
    <t>HYUNDAI OF NEW BERN</t>
  </si>
  <si>
    <t>68242987SW04</t>
  </si>
  <si>
    <t>PIAZZA HYUNDAI OF POTTSTOWN</t>
  </si>
  <si>
    <t>PIAZZA AUTO GROUP</t>
  </si>
  <si>
    <t>62193418SW03</t>
  </si>
  <si>
    <t>64248227SW01</t>
  </si>
  <si>
    <t>LANDERS MCLARTY CHEVROLET</t>
  </si>
  <si>
    <t>RML AUTO</t>
  </si>
  <si>
    <t>62193081SW82</t>
  </si>
  <si>
    <t>MCCURLEY HONDA</t>
  </si>
  <si>
    <t>68223085SW01</t>
  </si>
  <si>
    <t>HOFFMAN FORD SALES INC</t>
  </si>
  <si>
    <t>HOFFMAN FORD SALES INC.</t>
  </si>
  <si>
    <t>68246518SW73</t>
  </si>
  <si>
    <t>RICK GERMAIN</t>
  </si>
  <si>
    <t>68205341SW73</t>
  </si>
  <si>
    <t>03173866SW43</t>
  </si>
  <si>
    <t>STEELE AUTO GROUP</t>
  </si>
  <si>
    <t>64216737SW51</t>
  </si>
  <si>
    <t>RUSS DARROW CHRYSLER JEEP MADISON</t>
  </si>
  <si>
    <t>64240151SW81</t>
  </si>
  <si>
    <t>GANLEY CHEVROLET OF AURORA,LLC</t>
  </si>
  <si>
    <t>64231728SW92</t>
  </si>
  <si>
    <t>JENKINS AUTOMOTIVE GROUP</t>
  </si>
  <si>
    <t>64191278SW01</t>
  </si>
  <si>
    <t>68242308SW59</t>
  </si>
  <si>
    <t>THE NICK MAYER AUTO GROUP</t>
  </si>
  <si>
    <t>62187623SW59</t>
  </si>
  <si>
    <t>68240726SW03</t>
  </si>
  <si>
    <t>TIFFIN FORD LINCOLN</t>
  </si>
  <si>
    <t>REINEKE FAMILY DEALERSHIPS</t>
  </si>
  <si>
    <t>68240726SW10</t>
  </si>
  <si>
    <t>64238932SW77</t>
  </si>
  <si>
    <t>RICK CASE FIAT #15</t>
  </si>
  <si>
    <t>68246343SW69</t>
  </si>
  <si>
    <t>PACIFICO MARPLE FORD</t>
  </si>
  <si>
    <t>PACIFICO MARPLE</t>
  </si>
  <si>
    <t>68233287SW11</t>
  </si>
  <si>
    <t>BMW OF WEST SPRINGFIELD</t>
  </si>
  <si>
    <t>68203029SW01</t>
  </si>
  <si>
    <t>MAPLECREST FORD LINCOLN</t>
  </si>
  <si>
    <t>GIORDANO-MAPLECREST</t>
  </si>
  <si>
    <t>68232168SW57</t>
  </si>
  <si>
    <t>64240491SW03</t>
  </si>
  <si>
    <t>64240491SW08</t>
  </si>
  <si>
    <t>ED MORSE CADILLAC BRANDON</t>
  </si>
  <si>
    <t>64240491SW13</t>
  </si>
  <si>
    <t>ED MORSE CADILLAC DELRAY</t>
  </si>
  <si>
    <t>64240491SW18</t>
  </si>
  <si>
    <t>ED MORSE CADILLAC</t>
  </si>
  <si>
    <t>64243025SW01</t>
  </si>
  <si>
    <t>ED MORSE HONDA</t>
  </si>
  <si>
    <t>64240491SW23</t>
  </si>
  <si>
    <t>68236769SW58</t>
  </si>
  <si>
    <t>LILLISTON</t>
  </si>
  <si>
    <t>68243853SW04</t>
  </si>
  <si>
    <t>LILLISTON CHRYSLER DODGE JEEP RAM</t>
  </si>
  <si>
    <t>62188857SW03</t>
  </si>
  <si>
    <t>NYLE MAXWELL OF TAYLOR</t>
  </si>
  <si>
    <t>NYLE MAXWELL</t>
  </si>
  <si>
    <t>62187702SW18</t>
  </si>
  <si>
    <t>62187702SW25</t>
  </si>
  <si>
    <t>FINDLAY CHEVROLET</t>
  </si>
  <si>
    <t>62199758SW03</t>
  </si>
  <si>
    <t>LEE JOHNSON</t>
  </si>
  <si>
    <t>64234567SW56</t>
  </si>
  <si>
    <t>JILL GREEN AUTO GROUP</t>
  </si>
  <si>
    <t>64234567SW76</t>
  </si>
  <si>
    <t>GREEN FAMILY CHEVROLET</t>
  </si>
  <si>
    <t>68245298SW94</t>
  </si>
  <si>
    <t>SIMMONS ROCKWELL HYUNDAI OF ELMIRA</t>
  </si>
  <si>
    <t>68236396SW56</t>
  </si>
  <si>
    <t>TARRYTOWN HONDA GROUP</t>
  </si>
  <si>
    <t>64226870SW52</t>
  </si>
  <si>
    <t>68246277SW04</t>
  </si>
  <si>
    <t>WEIMER AUTO</t>
  </si>
  <si>
    <t>68244942SW94</t>
  </si>
  <si>
    <t>64235009SW68</t>
  </si>
  <si>
    <t>BOB BROWN CHEVROLET</t>
  </si>
  <si>
    <t>64238564SW73</t>
  </si>
  <si>
    <t>68244790SW50</t>
  </si>
  <si>
    <t>BILL MUSGRAVE</t>
  </si>
  <si>
    <t>64240061SW03</t>
  </si>
  <si>
    <t>68190049SW57</t>
  </si>
  <si>
    <t>PRESTON MD</t>
  </si>
  <si>
    <t>64234453SW11</t>
  </si>
  <si>
    <t>RALPH SELLERS HYUNDAI</t>
  </si>
  <si>
    <t>64234836SW46</t>
  </si>
  <si>
    <t>64241014SW66</t>
  </si>
  <si>
    <t>STIVERS AUTOMOTIVE GROUP</t>
  </si>
  <si>
    <t>64228163SW68</t>
  </si>
  <si>
    <t>62183041SW01</t>
  </si>
  <si>
    <t>SANTOS FORD INC.</t>
  </si>
  <si>
    <t>98053321SW23</t>
  </si>
  <si>
    <t>TRANS-WEST,INC</t>
  </si>
  <si>
    <t>TRANSWEST TRUCK</t>
  </si>
  <si>
    <t>64238319SW43</t>
  </si>
  <si>
    <t>64238320SW04</t>
  </si>
  <si>
    <t>68233287SW18</t>
  </si>
  <si>
    <t>GENGRAS VOLVO CARS NORTH HAVEN</t>
  </si>
  <si>
    <t>64246181SW53</t>
  </si>
  <si>
    <t>BOB MCCOSH CHEVROLET BUICK GMC CADILLAC</t>
  </si>
  <si>
    <t>64194239SW03</t>
  </si>
  <si>
    <t>PREMIER AUTOMOTIVE GROUP</t>
  </si>
  <si>
    <t>64239179SW04</t>
  </si>
  <si>
    <t>MIAMI LAKES CHEVROLET INC</t>
  </si>
  <si>
    <t>ATLANTIC COAST AUTOMOTIVE</t>
  </si>
  <si>
    <t>68235873SW16</t>
  </si>
  <si>
    <t>64231155SW01</t>
  </si>
  <si>
    <t>GREG BALASCO - LAKELAND AUTOMALL</t>
  </si>
  <si>
    <t>62191578SW01</t>
  </si>
  <si>
    <t>WHITES FAMILY ACQUISITION, LLC DBA WHITES FRONTIER</t>
  </si>
  <si>
    <t>68244793SW04</t>
  </si>
  <si>
    <t>68239561SW11</t>
  </si>
  <si>
    <t>MCNEILL CHEVROLET OF WILKESBORO</t>
  </si>
  <si>
    <t>CAROLINA AUTO GROUP</t>
  </si>
  <si>
    <t>68247215SW77</t>
  </si>
  <si>
    <t>64234229SW03</t>
  </si>
  <si>
    <t>64234690SW71</t>
  </si>
  <si>
    <t>DEMAAGD GROUP</t>
  </si>
  <si>
    <t>64234690SW77</t>
  </si>
  <si>
    <t>62186456SW84</t>
  </si>
  <si>
    <t>CAR PROS KIA HUNTINGTON BEACH</t>
  </si>
  <si>
    <t>64220596SW02</t>
  </si>
  <si>
    <t>DOTHAN MARINE</t>
  </si>
  <si>
    <t>MIKE SCHMITZ AUTO GROUP</t>
  </si>
  <si>
    <t>64241827SW04</t>
  </si>
  <si>
    <t>ACADIANA DODGE CHRYSLER JEEP</t>
  </si>
  <si>
    <t>VEGA</t>
  </si>
  <si>
    <t>62197261SW60</t>
  </si>
  <si>
    <t>FIRST CHOICE</t>
  </si>
  <si>
    <t>64191768SW01</t>
  </si>
  <si>
    <t>SUPERIOR AUTO GROUP - AR</t>
  </si>
  <si>
    <t>62193706SW73</t>
  </si>
  <si>
    <t>98052490SW03</t>
  </si>
  <si>
    <t>STERNBERG FORD, INC</t>
  </si>
  <si>
    <t>STERNBERG INTERNATIONAL TRUCK</t>
  </si>
  <si>
    <t>62196543SW47</t>
  </si>
  <si>
    <t>01355259SW03</t>
  </si>
  <si>
    <t>VICKAR AUTO GROUP</t>
  </si>
  <si>
    <t>64247675SW04</t>
  </si>
  <si>
    <t>WILLIS AUTO CAMPUS</t>
  </si>
  <si>
    <t>64239362SW03</t>
  </si>
  <si>
    <t>RHINELANDER GM</t>
  </si>
  <si>
    <t>RHINELANDER CHEVROLET CADILLAC BUICK GMC</t>
  </si>
  <si>
    <t>64234816SW04</t>
  </si>
  <si>
    <t>BOUCHER CADILLAC GMC OF WAUKESHA</t>
  </si>
  <si>
    <t>62196520SW04</t>
  </si>
  <si>
    <t>DEWEY GRIFFIN SUBARU</t>
  </si>
  <si>
    <t>62188194SW04</t>
  </si>
  <si>
    <t>UNIVERSITY AUTO GROUP</t>
  </si>
  <si>
    <t>62188196SW04</t>
  </si>
  <si>
    <t>AUDI SEATTLE</t>
  </si>
  <si>
    <t>62188194SW11</t>
  </si>
  <si>
    <t>64247498SW01</t>
  </si>
  <si>
    <t>68233075SW18</t>
  </si>
  <si>
    <t>68233075SW25</t>
  </si>
  <si>
    <t>64241768SW52</t>
  </si>
  <si>
    <t>GEORGE NAHAS</t>
  </si>
  <si>
    <t>62188707SW03</t>
  </si>
  <si>
    <t>NORTH PARK LEXUS</t>
  </si>
  <si>
    <t>KAHLIG AUTO GROUP</t>
  </si>
  <si>
    <t>68243087SW45</t>
  </si>
  <si>
    <t>COMPETITION AUTOMOTIVE</t>
  </si>
  <si>
    <t>64228614SW70</t>
  </si>
  <si>
    <t>RITCHEY JACKSON LLC</t>
  </si>
  <si>
    <t>LANDERS AUTO GROUP MEMPHIS</t>
  </si>
  <si>
    <t>64246092SW10</t>
  </si>
  <si>
    <t>68245171SW86</t>
  </si>
  <si>
    <t>68244954SW66</t>
  </si>
  <si>
    <t>CLASSIC CHRYSLER JEEP DODGE RAM FIAT OF GOLDSBORO</t>
  </si>
  <si>
    <t>68210426SW18</t>
  </si>
  <si>
    <t>68238306SW11</t>
  </si>
  <si>
    <t>RICK CASE KIA #18</t>
  </si>
  <si>
    <t>62189541SW56</t>
  </si>
  <si>
    <t>64243527SW44</t>
  </si>
  <si>
    <t>CHAMPION FORD LINCOLN</t>
  </si>
  <si>
    <t>CHAMPION AUTO</t>
  </si>
  <si>
    <t>68236704SW75</t>
  </si>
  <si>
    <t>SUBARU WORLD OF NEWTON</t>
  </si>
  <si>
    <t>68245383SW55</t>
  </si>
  <si>
    <t>JIM SHORKEY KIA NORTH HUNTINGDON</t>
  </si>
  <si>
    <t>SHORKEY</t>
  </si>
  <si>
    <t>68245386SW57</t>
  </si>
  <si>
    <t>JIM SHORKEY MITSUBISHI NORTH HUNTINGDON</t>
  </si>
  <si>
    <t>68245387SW64</t>
  </si>
  <si>
    <t>JIM SHORKEY CDJR NORTH HUNTINGDON</t>
  </si>
  <si>
    <t>64205409SW01</t>
  </si>
  <si>
    <t>BRAMAN HYUNDAI</t>
  </si>
  <si>
    <t>BRAMAN AUTOMOTIVE CORP</t>
  </si>
  <si>
    <t>62187694SW04</t>
  </si>
  <si>
    <t>64243377SW04</t>
  </si>
  <si>
    <t>ED KOEHN CHEVROLET, INC</t>
  </si>
  <si>
    <t>ED KOEHN</t>
  </si>
  <si>
    <t>68233169SW03</t>
  </si>
  <si>
    <t>WASHINGTON AUTOMALL</t>
  </si>
  <si>
    <t>62190506SW64</t>
  </si>
  <si>
    <t>KIA OF SANTA ROSA</t>
  </si>
  <si>
    <t>62188373SW04</t>
  </si>
  <si>
    <t>DENNIS DILLON NISSAN</t>
  </si>
  <si>
    <t>68242090SW81</t>
  </si>
  <si>
    <t>JOHN HIESTER CHEVROLET</t>
  </si>
  <si>
    <t>JOHN HIESTER</t>
  </si>
  <si>
    <t>68233368SW11</t>
  </si>
  <si>
    <t>68242908SW08</t>
  </si>
  <si>
    <t>PAUL MILLER</t>
  </si>
  <si>
    <t>68226303SW02</t>
  </si>
  <si>
    <t>68244039SW03</t>
  </si>
  <si>
    <t>VIP AUTO GROUP</t>
  </si>
  <si>
    <t>68245387SW81</t>
  </si>
  <si>
    <t>64237947SW10</t>
  </si>
  <si>
    <t>68244673SW48</t>
  </si>
  <si>
    <t>68243254SW04</t>
  </si>
  <si>
    <t>SUNNYSIDE CORPORATION</t>
  </si>
  <si>
    <t>62198586SW01</t>
  </si>
  <si>
    <t>JONES BUICK GMC CASA GRANDE</t>
  </si>
  <si>
    <t>TOM JONES</t>
  </si>
  <si>
    <t>68240736SW10</t>
  </si>
  <si>
    <t>REINEKE LINCOLN INC DBA REINEKE FORD LINCOLN</t>
  </si>
  <si>
    <t>68238631SW01</t>
  </si>
  <si>
    <t>WAYNE MOTORS INC</t>
  </si>
  <si>
    <t>64232062SW01</t>
  </si>
  <si>
    <t>62176899SW71</t>
  </si>
  <si>
    <t>TUSTIN HYUNDAI</t>
  </si>
  <si>
    <t>62176899SW85</t>
  </si>
  <si>
    <t>TUSTIN MAZDA</t>
  </si>
  <si>
    <t>98052323SW85</t>
  </si>
  <si>
    <t>RIHM KENWORTH SAUK CENTRE</t>
  </si>
  <si>
    <t>68244954SW80</t>
  </si>
  <si>
    <t>MAMCO SANFORD, LLC DBA CLASSIC NISSAN OF SANFORD</t>
  </si>
  <si>
    <t>62193784SW31</t>
  </si>
  <si>
    <t>62191286SW89</t>
  </si>
  <si>
    <t>RUSNAK BENTLEY ROLLS ROYCE MASERATI</t>
  </si>
  <si>
    <t>RUSNAK AUTOGROUP</t>
  </si>
  <si>
    <t>62191310SW88</t>
  </si>
  <si>
    <t>RUSNAK VOLVO CARS</t>
  </si>
  <si>
    <t>68242910SW04</t>
  </si>
  <si>
    <t>64234445SW04</t>
  </si>
  <si>
    <t>KELLEY AUTOMOTIVE</t>
  </si>
  <si>
    <t>64232253SW64</t>
  </si>
  <si>
    <t>ROYAL AUTOMOTIVE INC</t>
  </si>
  <si>
    <t>68192281SW82</t>
  </si>
  <si>
    <t>62191159SW84</t>
  </si>
  <si>
    <t>68233316SW03</t>
  </si>
  <si>
    <t>KIA OF BEDFORD GROUP</t>
  </si>
  <si>
    <t>64244579SW04</t>
  </si>
  <si>
    <t>DAKOTA AUTO INVESTMENTS LLC DBA RUSHMORE HONDA</t>
  </si>
  <si>
    <t>DENNY MENHOLT</t>
  </si>
  <si>
    <t>68229197SW83</t>
  </si>
  <si>
    <t>68210436SW64</t>
  </si>
  <si>
    <t>W S HEALEY CHEVROLET</t>
  </si>
  <si>
    <t>62158183SW09</t>
  </si>
  <si>
    <t>64238320SW89</t>
  </si>
  <si>
    <t>03176017SW11</t>
  </si>
  <si>
    <t>64234828SW25</t>
  </si>
  <si>
    <t>62191159SW91</t>
  </si>
  <si>
    <t>64233302SW84</t>
  </si>
  <si>
    <t>GREEN - LEXINGTON</t>
  </si>
  <si>
    <t>64238321SW95</t>
  </si>
  <si>
    <t>BILLION GMC CADILLAC NISSAN OF SIOUX CITY</t>
  </si>
  <si>
    <t>62188712SW04</t>
  </si>
  <si>
    <t>TOYOTA OF VICTORIA</t>
  </si>
  <si>
    <t>64241747SW08</t>
  </si>
  <si>
    <t>HOLLINGSWORTH RICHARDS</t>
  </si>
  <si>
    <t>68233754SW04</t>
  </si>
  <si>
    <t>VITI VOLVO CARS TIVERTON</t>
  </si>
  <si>
    <t>98052964SW13</t>
  </si>
  <si>
    <t>ACTION TRUCK CENTER</t>
  </si>
  <si>
    <t>68246277SW11</t>
  </si>
  <si>
    <t>WEIMER CHRYSLER DODGE JEEP, INC</t>
  </si>
  <si>
    <t>68246277SW18</t>
  </si>
  <si>
    <t>WEIMER CHEVROLET GMC</t>
  </si>
  <si>
    <t>62195172SW03</t>
  </si>
  <si>
    <t>68237705SW11</t>
  </si>
  <si>
    <t>GERMAIN</t>
  </si>
  <si>
    <t>68237705SW78</t>
  </si>
  <si>
    <t>68237705SW85</t>
  </si>
  <si>
    <t>68245145SW64</t>
  </si>
  <si>
    <t>SERRA AUTOMOTIVE INCORPORATED</t>
  </si>
  <si>
    <t>68245145SW82</t>
  </si>
  <si>
    <t>68245154SW86</t>
  </si>
  <si>
    <t>SERRA MAZDA SUBARU</t>
  </si>
  <si>
    <t>68247009SW50</t>
  </si>
  <si>
    <t>CHARLES BARKER GROUP</t>
  </si>
  <si>
    <t>68242091SW84</t>
  </si>
  <si>
    <t>JOHN HIESTER CHEVROLET OF LILLINGTON LLC</t>
  </si>
  <si>
    <t>62191162SW95</t>
  </si>
  <si>
    <t>TETON IMPORTS INC. DBA TETON VOLKSWGEN</t>
  </si>
  <si>
    <t>64234569SW04</t>
  </si>
  <si>
    <t>GREEN FAMILY HYUNDAI, INC.</t>
  </si>
  <si>
    <t>64244486SW04</t>
  </si>
  <si>
    <t>GARBER MANAGEMENT</t>
  </si>
  <si>
    <t>64239036SW04</t>
  </si>
  <si>
    <t>FIELDS CADILLAC, LLC</t>
  </si>
  <si>
    <t>JOHN FIELDS</t>
  </si>
  <si>
    <t>62158183SW12</t>
  </si>
  <si>
    <t>64239115SW59</t>
  </si>
  <si>
    <t>COMMUNITY HONDA</t>
  </si>
  <si>
    <t>64246130SW39</t>
  </si>
  <si>
    <t>64233323SW43</t>
  </si>
  <si>
    <t>TOCARS LLC</t>
  </si>
  <si>
    <t>YOKOMURO</t>
  </si>
  <si>
    <t>68239794SW04</t>
  </si>
  <si>
    <t>MBB AUTO LLC DBA MERCEDES BENZ OF BROOKLYN</t>
  </si>
  <si>
    <t>64234828SW39</t>
  </si>
  <si>
    <t>RUSS DARROW MAZDA OF MADISON</t>
  </si>
  <si>
    <t>68247508SW55</t>
  </si>
  <si>
    <t>COMMONWEALTH</t>
  </si>
  <si>
    <t>68250039SW54</t>
  </si>
  <si>
    <t>NATIONWIDE</t>
  </si>
  <si>
    <t>68238306SW27</t>
  </si>
  <si>
    <t>RICK CASE CARS DBA GWINNETT AUDI #17</t>
  </si>
  <si>
    <t>64238564SW91</t>
  </si>
  <si>
    <t>62188334SW04</t>
  </si>
  <si>
    <t>62190948SW03</t>
  </si>
  <si>
    <t>TOYOTA PLACE</t>
  </si>
  <si>
    <t>62188253SW18</t>
  </si>
  <si>
    <t>62193932SW81</t>
  </si>
  <si>
    <t>NEW CENTURY AUTOGROUP</t>
  </si>
  <si>
    <t>64239055SW04</t>
  </si>
  <si>
    <t>FIELDS CADILLAC OF JACKSONVILLE</t>
  </si>
  <si>
    <t>64240231SW03</t>
  </si>
  <si>
    <t>03175461SW03</t>
  </si>
  <si>
    <t>62186748SW64</t>
  </si>
  <si>
    <t>62187743SW04</t>
  </si>
  <si>
    <t>68191849SW04</t>
  </si>
  <si>
    <t>PRESTIGE MANAGEMENT SERVICES</t>
  </si>
  <si>
    <t>68231652SW93</t>
  </si>
  <si>
    <t>62189121SW04</t>
  </si>
  <si>
    <t>68233753SW08</t>
  </si>
  <si>
    <t>68217363SW01</t>
  </si>
  <si>
    <t>BERGLUND LUXURY LYNCHBURG</t>
  </si>
  <si>
    <t>62189121SW11</t>
  </si>
  <si>
    <t>DENNY MENHOLT CHEVROLET GMC</t>
  </si>
  <si>
    <t>64230092SW44</t>
  </si>
  <si>
    <t>62193932SW88</t>
  </si>
  <si>
    <t>AIRSTREAM OF ORANGE COUNTY</t>
  </si>
  <si>
    <t>68247434SW11</t>
  </si>
  <si>
    <t>68247393SW04</t>
  </si>
  <si>
    <t>POHANKA VOLKSWAGEN OF SALISBURY</t>
  </si>
  <si>
    <t>68233718SW03</t>
  </si>
  <si>
    <t>68235873SW20</t>
  </si>
  <si>
    <t>FAULKNER CADILLAC MECHANICSBURG</t>
  </si>
  <si>
    <t>68197866SW03</t>
  </si>
  <si>
    <t>64238934SW90</t>
  </si>
  <si>
    <t>RICK CASE VW OF WESTON #19</t>
  </si>
  <si>
    <t>64234836SW25</t>
  </si>
  <si>
    <t>68217934SW64</t>
  </si>
  <si>
    <t>68217934SW77</t>
  </si>
  <si>
    <t>68217969SW70</t>
  </si>
  <si>
    <t>68246141SW01</t>
  </si>
  <si>
    <t>HUDSON AUTOMOTIVE</t>
  </si>
  <si>
    <t>64243908SW11</t>
  </si>
  <si>
    <t>68233273SW04</t>
  </si>
  <si>
    <t>62158183SW15</t>
  </si>
  <si>
    <t>62181795SW29</t>
  </si>
  <si>
    <t>FLIGHTLINE MAZDA MITSUBISHI</t>
  </si>
  <si>
    <t>62191889SW66</t>
  </si>
  <si>
    <t>SUNROAD</t>
  </si>
  <si>
    <t>98053034SW12</t>
  </si>
  <si>
    <t>MID AMERICA PETERBILT</t>
  </si>
  <si>
    <t>98053034SW35</t>
  </si>
  <si>
    <t>98053034SW60</t>
  </si>
  <si>
    <t>PETERBILT OF LOUISVILLE</t>
  </si>
  <si>
    <t>98053034SW86</t>
  </si>
  <si>
    <t>98053034SW97</t>
  </si>
  <si>
    <t>98053035SW26</t>
  </si>
  <si>
    <t>PETERBILT OF ST. LOUIS</t>
  </si>
  <si>
    <t>98053035SW62</t>
  </si>
  <si>
    <t>98053038SW96</t>
  </si>
  <si>
    <t>98053040SW81</t>
  </si>
  <si>
    <t>PETERBILT OF NW ARKANSAS</t>
  </si>
  <si>
    <t>98053041SW83</t>
  </si>
  <si>
    <t>03173875SW11</t>
  </si>
  <si>
    <t>GEORGETOWN VOLKSWAGEN</t>
  </si>
  <si>
    <t>03175826SW84</t>
  </si>
  <si>
    <t>03174974SW21</t>
  </si>
  <si>
    <t>HSC HOLDINGS CORPORATION</t>
  </si>
  <si>
    <t>64229224SW03</t>
  </si>
  <si>
    <t>68242308SW82</t>
  </si>
  <si>
    <t>MAYFIELD AUTO GROUP</t>
  </si>
  <si>
    <t>01354704SW71</t>
  </si>
  <si>
    <t>MORREY INFINITI</t>
  </si>
  <si>
    <t>68225881SW13</t>
  </si>
  <si>
    <t>62196923SW03</t>
  </si>
  <si>
    <t>TS&amp;S FORD</t>
  </si>
  <si>
    <t>TS&amp;S AUTO GROUP</t>
  </si>
  <si>
    <t>62188706SW03</t>
  </si>
  <si>
    <t>NORTH PARK LEXUS AT DOMINION</t>
  </si>
  <si>
    <t>62194321SW04</t>
  </si>
  <si>
    <t>MIDDLEKAUFF FORD LINCOLN</t>
  </si>
  <si>
    <t>MIDDLEKAUFF</t>
  </si>
  <si>
    <t>58041319SW58</t>
  </si>
  <si>
    <t>LITHIA MOTORS</t>
  </si>
  <si>
    <t>68232083SW88</t>
  </si>
  <si>
    <t>98053041SW95</t>
  </si>
  <si>
    <t>PETERBILT OF WILLOW SPRINGS</t>
  </si>
  <si>
    <t>68236704SW89</t>
  </si>
  <si>
    <t>AUDI OF BRIDGEWATER</t>
  </si>
  <si>
    <t>64234332SW04</t>
  </si>
  <si>
    <t>VOLVO OF NORTH MIAMI</t>
  </si>
  <si>
    <t>VOLVO AND FIAT NORTH MIAMI GROUP</t>
  </si>
  <si>
    <t>68233075SW32</t>
  </si>
  <si>
    <t>68233076SW04</t>
  </si>
  <si>
    <t>CMA'S VALLEY SUBARU</t>
  </si>
  <si>
    <t>64236468SW04</t>
  </si>
  <si>
    <t>JERRYS CHEVROLET OF BERESFORD</t>
  </si>
  <si>
    <t>JERRYS CHEVROLET</t>
  </si>
  <si>
    <t>64236468SW11</t>
  </si>
  <si>
    <t>JERRYS CHEVROLET GMC</t>
  </si>
  <si>
    <t>68234495SW91</t>
  </si>
  <si>
    <t>GARNET FORD INC.</t>
  </si>
  <si>
    <t>GARNET AUTO GROUP</t>
  </si>
  <si>
    <t>64234828SW11</t>
  </si>
  <si>
    <t>RUSS DARROW METRO MAZDA</t>
  </si>
  <si>
    <t>62182232SW02</t>
  </si>
  <si>
    <t>68233820SW03</t>
  </si>
  <si>
    <t>BALISE TOYOTA OF SMITHFIELD</t>
  </si>
  <si>
    <t>98053044SW07</t>
  </si>
  <si>
    <t>TLG INC DBA GREAT LAKES PETERBILT</t>
  </si>
  <si>
    <t>68234071SW03</t>
  </si>
  <si>
    <t>68226393SW03</t>
  </si>
  <si>
    <t>GEORGICA AUTO HOLDINGS</t>
  </si>
  <si>
    <t>64247079SW01</t>
  </si>
  <si>
    <t>FIVE STAR CHEVROLET - CARROLTON</t>
  </si>
  <si>
    <t>SAM PACK AUTOMOTIVE</t>
  </si>
  <si>
    <t>64234333SW04</t>
  </si>
  <si>
    <t>JENNINGS GROUP</t>
  </si>
  <si>
    <t>64242778SW03</t>
  </si>
  <si>
    <t>ZT AUTOMOTIVE</t>
  </si>
  <si>
    <t>64235109SW76</t>
  </si>
  <si>
    <t>64235109SW83</t>
  </si>
  <si>
    <t>64235111SW82</t>
  </si>
  <si>
    <t>64238304SW43</t>
  </si>
  <si>
    <t>68245409SW21</t>
  </si>
  <si>
    <t>JIM SHORKEY FORD WHITE OAK</t>
  </si>
  <si>
    <t>68239794SW11</t>
  </si>
  <si>
    <t>MERCEDES BENZ OF CALDWELL</t>
  </si>
  <si>
    <t>68239814SW04</t>
  </si>
  <si>
    <t>LAND ROVER HUNTINGTON</t>
  </si>
  <si>
    <t>68239814SW11</t>
  </si>
  <si>
    <t>68239814SW18</t>
  </si>
  <si>
    <t>LAND ROVER SOUTHAMPTON</t>
  </si>
  <si>
    <t>64238935SW55</t>
  </si>
  <si>
    <t>RICK CASE KIA #20</t>
  </si>
  <si>
    <t>68250929SW04</t>
  </si>
  <si>
    <t>62191163SW93</t>
  </si>
  <si>
    <t>62193784SW40</t>
  </si>
  <si>
    <t>64228081SW89</t>
  </si>
  <si>
    <t>68229405SW06</t>
  </si>
  <si>
    <t>FRED ANDERSON TOYOTA OF CHARLESTON</t>
  </si>
  <si>
    <t>ANDERSON AUTOMOTIVE ENTERPRISES, LLC GROUP</t>
  </si>
  <si>
    <t>68233172SW03</t>
  </si>
  <si>
    <t>64234836SW11</t>
  </si>
  <si>
    <t>BOUCHER NISSAN OF WAUKESHA INC. DBA BOUCHER HYUNDA</t>
  </si>
  <si>
    <t>62169530SW01</t>
  </si>
  <si>
    <t>AUBURN TOYOTA</t>
  </si>
  <si>
    <t>68240290SW29</t>
  </si>
  <si>
    <t>68248114SW17</t>
  </si>
  <si>
    <t>WEISLEDER INC. DBA ALL AMERICAN FORD IN POINT PLEA</t>
  </si>
  <si>
    <t>68231994SW01</t>
  </si>
  <si>
    <t>68232192SW09</t>
  </si>
  <si>
    <t>68229728SW83</t>
  </si>
  <si>
    <t>SPITZER CHEVROLET LORDSTOWN</t>
  </si>
  <si>
    <t>SPITZER</t>
  </si>
  <si>
    <t>68229730SW82</t>
  </si>
  <si>
    <t>SPITZER VOLKSWAGEN</t>
  </si>
  <si>
    <t>68233769SW03</t>
  </si>
  <si>
    <t>68242908SW14</t>
  </si>
  <si>
    <t>PAUL MILLER IMPORTS</t>
  </si>
  <si>
    <t>68247734SW45</t>
  </si>
  <si>
    <t>98053044SW40</t>
  </si>
  <si>
    <t>62192904SW69</t>
  </si>
  <si>
    <t>64234372SW47</t>
  </si>
  <si>
    <t>WEST BROWARD IMPORTS</t>
  </si>
  <si>
    <t>64229204SW61</t>
  </si>
  <si>
    <t>64229204SW95</t>
  </si>
  <si>
    <t>64240540SW66</t>
  </si>
  <si>
    <t>RANDY CURNOW CHEVROLET BUICK GMC</t>
  </si>
  <si>
    <t>68234560SW11</t>
  </si>
  <si>
    <t>68217934SW88</t>
  </si>
  <si>
    <t>68236774SW03</t>
  </si>
  <si>
    <t>BILL HOLT CHEVROLET OF BLUE RIDGE INC.</t>
  </si>
  <si>
    <t>BILL HOLT</t>
  </si>
  <si>
    <t>64243658SW62</t>
  </si>
  <si>
    <t>LANDERS MCLARTY SUBARU HUNTSVILLE</t>
  </si>
  <si>
    <t>64238584SW72</t>
  </si>
  <si>
    <t>68233820SW08</t>
  </si>
  <si>
    <t>BALISE KIA</t>
  </si>
  <si>
    <t>64237948SW03</t>
  </si>
  <si>
    <t>64237948SW10</t>
  </si>
  <si>
    <t>64238492SW04</t>
  </si>
  <si>
    <t>68244954SW89</t>
  </si>
  <si>
    <t>CLASSIC CHRYSLER DODGE JEEP RAM OF SOUTH CHARLOTTE</t>
  </si>
  <si>
    <t>62193082SW49</t>
  </si>
  <si>
    <t>68230055SW56</t>
  </si>
  <si>
    <t>CAPITAL CHEVROLET, INC.</t>
  </si>
  <si>
    <t>PARKS-MICHAEL AUTOMOTIVE GROUP CORPORATION</t>
  </si>
  <si>
    <t>64220611SW01</t>
  </si>
  <si>
    <t>64236160SW01</t>
  </si>
  <si>
    <t>62188373SW74</t>
  </si>
  <si>
    <t>DENNIS DILLON GMC FIAT</t>
  </si>
  <si>
    <t>64243588SW03</t>
  </si>
  <si>
    <t>68245310SW50</t>
  </si>
  <si>
    <t>BOWSER SUBARU</t>
  </si>
  <si>
    <t>68245326SW50</t>
  </si>
  <si>
    <t>64238546SW03</t>
  </si>
  <si>
    <t>PRESTIGE FORD, INC.</t>
  </si>
  <si>
    <t>MATTHEWS AUTOMOTIVE GROUP</t>
  </si>
  <si>
    <t>98053044SW62</t>
  </si>
  <si>
    <t>98053044SW79</t>
  </si>
  <si>
    <t>PETERBILT OF FLORENCE</t>
  </si>
  <si>
    <t>98053044SW87</t>
  </si>
  <si>
    <t>64227504SW01</t>
  </si>
  <si>
    <t>68243943SW84</t>
  </si>
  <si>
    <t>62191399SW04</t>
  </si>
  <si>
    <t>64214657SW33</t>
  </si>
  <si>
    <t>GORDIE BOUCHER FORD OF THIENSVILLE, INC.</t>
  </si>
  <si>
    <t>68233069SW27</t>
  </si>
  <si>
    <t>CMA'S VALLEY CHRYSLER DODGE JEEP RAM</t>
  </si>
  <si>
    <t>68233076SW11</t>
  </si>
  <si>
    <t>68245387SW95</t>
  </si>
  <si>
    <t>JIM SHORKEY CDJR NORTH HILLS</t>
  </si>
  <si>
    <t>98053045SW29</t>
  </si>
  <si>
    <t>64238287SW35</t>
  </si>
  <si>
    <t>BILLION CLINTON AUTO</t>
  </si>
  <si>
    <t>64246721SW01</t>
  </si>
  <si>
    <t>HYUNDAI OF CENTRAL FLORIDA</t>
  </si>
  <si>
    <t>62183810SW03</t>
  </si>
  <si>
    <t>REDWOOD CITY AUTOMOTIVE</t>
  </si>
  <si>
    <t>64243818SW03</t>
  </si>
  <si>
    <t>LORENZO FORD</t>
  </si>
  <si>
    <t>LORENZO GROUP</t>
  </si>
  <si>
    <t>68243368SW10</t>
  </si>
  <si>
    <t>68217961SW52</t>
  </si>
  <si>
    <t>MODERN FORD OF BOONE, LLC</t>
  </si>
  <si>
    <t>68210764SW01</t>
  </si>
  <si>
    <t>B&amp;Z AUTO ENTERPRISES</t>
  </si>
  <si>
    <t>62193932SW92</t>
  </si>
  <si>
    <t>68240301SW04</t>
  </si>
  <si>
    <t>68238608SW18</t>
  </si>
  <si>
    <t>62162230SW10</t>
  </si>
  <si>
    <t>64233491SW43</t>
  </si>
  <si>
    <t>GRIECO CHEVROLET OF FORT LAUDERDALE</t>
  </si>
  <si>
    <t>64233491SW50</t>
  </si>
  <si>
    <t>64233454SW62</t>
  </si>
  <si>
    <t>64233425SW84</t>
  </si>
  <si>
    <t>62188493SW04</t>
  </si>
  <si>
    <t>62188709SW18</t>
  </si>
  <si>
    <t>KEATING NISSAN</t>
  </si>
  <si>
    <t>68250039SW66</t>
  </si>
  <si>
    <t>68250039SW73</t>
  </si>
  <si>
    <t>68233154SW03</t>
  </si>
  <si>
    <t>FRED ANDERSON TOYOTA OF ASHEVILLE</t>
  </si>
  <si>
    <t>58041024SW94</t>
  </si>
  <si>
    <t>68210166SW01</t>
  </si>
  <si>
    <t>MERCEDES BENZ OF GOLDENS BRIDGE</t>
  </si>
  <si>
    <t>CELEBRITY</t>
  </si>
  <si>
    <t>68242987SW11</t>
  </si>
  <si>
    <t>62188318SW04</t>
  </si>
  <si>
    <t>BUTTE AUTO GROUP</t>
  </si>
  <si>
    <t>68242999SW25</t>
  </si>
  <si>
    <t>ALFA ROMEO MASERATI OF WILMINGTON PIKE</t>
  </si>
  <si>
    <t>68244959SW45</t>
  </si>
  <si>
    <t>64242550SW50</t>
  </si>
  <si>
    <t>CADILLAC OF NEW ORLEANS</t>
  </si>
  <si>
    <t>BENSON AUTO GROUP (LA)</t>
  </si>
  <si>
    <t>98052314SW87</t>
  </si>
  <si>
    <t>RIHM KENWORTH WINONA</t>
  </si>
  <si>
    <t>98052315SW41</t>
  </si>
  <si>
    <t>62193932SW95</t>
  </si>
  <si>
    <t>68240301SW11</t>
  </si>
  <si>
    <t>68240736SW29</t>
  </si>
  <si>
    <t>98052315SW68</t>
  </si>
  <si>
    <t>58041288SW84</t>
  </si>
  <si>
    <t>68233287SW25</t>
  </si>
  <si>
    <t>68239805SW11</t>
  </si>
  <si>
    <t>64191385SW03</t>
  </si>
  <si>
    <t>64216726SW82</t>
  </si>
  <si>
    <t>RUSS DARROW NISSAN WEST BEND</t>
  </si>
  <si>
    <t>68229197SW98</t>
  </si>
  <si>
    <t>C.HARPER BUICK GMC</t>
  </si>
  <si>
    <t>64242261SW03</t>
  </si>
  <si>
    <t>68242999SW11</t>
  </si>
  <si>
    <t>68229198SW91</t>
  </si>
  <si>
    <t>C. HARPER CHRYSLER DODGE JEEP RAM</t>
  </si>
  <si>
    <t>68232274SW76</t>
  </si>
  <si>
    <t>64242818SW11</t>
  </si>
  <si>
    <t>LORENZO BUICK GMC</t>
  </si>
  <si>
    <t>68233642SW04</t>
  </si>
  <si>
    <t>RIVERSIDE GMC</t>
  </si>
  <si>
    <t>64233460SW63</t>
  </si>
  <si>
    <t>GRIECO FORD OF FORT LAUDERDALE</t>
  </si>
  <si>
    <t>64250564SW06</t>
  </si>
  <si>
    <t>62187743SW11</t>
  </si>
  <si>
    <t>68245031SW92</t>
  </si>
  <si>
    <t>CHRYSLER DODGE JEEP RAM OF ENGLEWOOD CLIFFS</t>
  </si>
  <si>
    <t>68225180SW01</t>
  </si>
  <si>
    <t>68240104SW03</t>
  </si>
  <si>
    <t>68225180SW02</t>
  </si>
  <si>
    <t>HUTCHINSON BUICK GMC CADILLAC SERVICE BUILDING</t>
  </si>
  <si>
    <t>68240104SW08</t>
  </si>
  <si>
    <t>62186643SW06</t>
  </si>
  <si>
    <t>NORTH PARK LEXUS RIO GRANDE VALLEY</t>
  </si>
  <si>
    <t>68245155SW86</t>
  </si>
  <si>
    <t>SERRA CHEVROLET AKRON</t>
  </si>
  <si>
    <t>68238645SW04</t>
  </si>
  <si>
    <t>SUBARU OF GREENVILLE</t>
  </si>
  <si>
    <t>58041046SW72</t>
  </si>
  <si>
    <t>58041048SW90</t>
  </si>
  <si>
    <t>01355094SW03</t>
  </si>
  <si>
    <t>KAIZEN AUTO GROUP</t>
  </si>
  <si>
    <t>68229731SW43</t>
  </si>
  <si>
    <t>SPITZER CHEVROLET NORTH CANTON</t>
  </si>
  <si>
    <t>68237715SW62</t>
  </si>
  <si>
    <t>GERMAIN HONDA OF ANN ARBOR</t>
  </si>
  <si>
    <t>68210775SW91</t>
  </si>
  <si>
    <t>JOHNSON ALFA ROMEO OF CARY</t>
  </si>
  <si>
    <t>68236632SW03</t>
  </si>
  <si>
    <t>58041034SW94</t>
  </si>
  <si>
    <t>SUBARU OF UTICA</t>
  </si>
  <si>
    <t>62188318SW11</t>
  </si>
  <si>
    <t>68217972SW90</t>
  </si>
  <si>
    <t>68217960SW59</t>
  </si>
  <si>
    <t>98051185SW01</t>
  </si>
  <si>
    <t>VALLEY FORD TRUCK SALES</t>
  </si>
  <si>
    <t>64236135SW01</t>
  </si>
  <si>
    <t>WHITE-ALLEN VOLKSWAGEN</t>
  </si>
  <si>
    <t>68244959SW60</t>
  </si>
  <si>
    <t>01354341SW36</t>
  </si>
  <si>
    <t>ACURA CENTRE OF SASKATOON</t>
  </si>
  <si>
    <t>01354341SW51</t>
  </si>
  <si>
    <t>COUNTRY FORD INC.</t>
  </si>
  <si>
    <t>01356321SW04</t>
  </si>
  <si>
    <t>SASKATOON NORTH HYUNDAI</t>
  </si>
  <si>
    <t>01354350SW27</t>
  </si>
  <si>
    <t>SASKATOON VOLKSWAGEN</t>
  </si>
  <si>
    <t>01354350SW41</t>
  </si>
  <si>
    <t>KIA OF SASKATOON</t>
  </si>
  <si>
    <t>68236706SW82</t>
  </si>
  <si>
    <t>TOYOTA WORLD OF CLINTON</t>
  </si>
  <si>
    <t>68234401SW18</t>
  </si>
  <si>
    <t>62187136SW79</t>
  </si>
  <si>
    <t>68245409SW76</t>
  </si>
  <si>
    <t>JIM SHORKEY YOUNGSTOWN CHRYSLER DODGE JEEP RAM FIA</t>
  </si>
  <si>
    <t>68234048SW03</t>
  </si>
  <si>
    <t>62189704SW93</t>
  </si>
  <si>
    <t>SOUTH TACOMA HONDA</t>
  </si>
  <si>
    <t>GEORGE GEE</t>
  </si>
  <si>
    <t>68248968SW01</t>
  </si>
  <si>
    <t>68229731SW89</t>
  </si>
  <si>
    <t>SPITZER ACURA MCMURRAY</t>
  </si>
  <si>
    <t>68229733SW62</t>
  </si>
  <si>
    <t>SPITZER CHRYSLER DODGE JEEP RAM CLEVELAND</t>
  </si>
  <si>
    <t>68229747SW12</t>
  </si>
  <si>
    <t>SPITZER KIA OF MANSFIELD</t>
  </si>
  <si>
    <t>68229747SW77</t>
  </si>
  <si>
    <t>SPITZER CHRYSLER DODGE JEEP RAM MANSFIELD</t>
  </si>
  <si>
    <t>68229747SW92</t>
  </si>
  <si>
    <t>SPITZER AUTO WORLD CHEVROLET VOLKSWAGEN</t>
  </si>
  <si>
    <t>68229749SW90</t>
  </si>
  <si>
    <t>SPITZER CHEVROLET NORTHFIELD</t>
  </si>
  <si>
    <t>64232278SW23</t>
  </si>
  <si>
    <t>SPITZER CHRYSLER DODGE JEEP RAM OF HOMESTEAD</t>
  </si>
  <si>
    <t>68229751SW44</t>
  </si>
  <si>
    <t>SPITZER TOYOTA MONROEVILLE</t>
  </si>
  <si>
    <t>68229758SW14</t>
  </si>
  <si>
    <t>SPITZER KIA CLEVELAND</t>
  </si>
  <si>
    <t>68245411SW04</t>
  </si>
  <si>
    <t>68224720SW42</t>
  </si>
  <si>
    <t>CONDOR HOLDINGS</t>
  </si>
  <si>
    <t>62193063SW04</t>
  </si>
  <si>
    <t>CHICO NISSAN HYUNDAI GROUP</t>
  </si>
  <si>
    <t>64234455SW04</t>
  </si>
  <si>
    <t>64245448SW03</t>
  </si>
  <si>
    <t>BENNA FORD SUPERIOR LLC</t>
  </si>
  <si>
    <t>EVERGREEN LTD  AUTO GROUP</t>
  </si>
  <si>
    <t>62188493SW18</t>
  </si>
  <si>
    <t>CLEAR LAKE NISSAN</t>
  </si>
  <si>
    <t>62187469SW48</t>
  </si>
  <si>
    <t>62185927SW43</t>
  </si>
  <si>
    <t>62185910SW65</t>
  </si>
  <si>
    <t>ANCIRA VOLKSWAGEN OF LAREDO</t>
  </si>
  <si>
    <t>62185914SW90</t>
  </si>
  <si>
    <t>68210436SW90</t>
  </si>
  <si>
    <t>68239805SW18</t>
  </si>
  <si>
    <t>LAND ROVER BROOKLYN</t>
  </si>
  <si>
    <t>62192501SW04</t>
  </si>
  <si>
    <t>MERCEDES BENZ OF SELMA</t>
  </si>
  <si>
    <t>62188514SW04</t>
  </si>
  <si>
    <t>LAND ROVER COLORADO SPRINGS</t>
  </si>
  <si>
    <t>68225180SW03</t>
  </si>
  <si>
    <t>68240104SW13</t>
  </si>
  <si>
    <t>64244470SW18</t>
  </si>
  <si>
    <t>GURNEE CHRYSLER DODGE JEEP</t>
  </si>
  <si>
    <t>68243986SW03</t>
  </si>
  <si>
    <t>64232978SW04</t>
  </si>
  <si>
    <t>FENTON NISSAN</t>
  </si>
  <si>
    <t>CARR PIKE LLC</t>
  </si>
  <si>
    <t>68239803SW88</t>
  </si>
  <si>
    <t>68245277SW11</t>
  </si>
  <si>
    <t>68239794SW21</t>
  </si>
  <si>
    <t>68237715SW79</t>
  </si>
  <si>
    <t>GERMAIN LAND ROVER OF EASTON</t>
  </si>
  <si>
    <t>62188709SW46</t>
  </si>
  <si>
    <t>MERCEDES BENZ OF COLLEGE STATION</t>
  </si>
  <si>
    <t>64237129SW04</t>
  </si>
  <si>
    <t>64240543SW82</t>
  </si>
  <si>
    <t>MAX CURNOW CHEVROLET BUICK GMC</t>
  </si>
  <si>
    <t>68245328SW58</t>
  </si>
  <si>
    <t>64245643SW30</t>
  </si>
  <si>
    <t>64241069SW70</t>
  </si>
  <si>
    <t>PAPIK</t>
  </si>
  <si>
    <t>98052490SW16</t>
  </si>
  <si>
    <t>STERNBERG DIXIE CHEVROLET - LOUISVILLE</t>
  </si>
  <si>
    <t>64240491SW28</t>
  </si>
  <si>
    <t>FREEDOM CHEVY BGMC</t>
  </si>
  <si>
    <t>68237326SW01</t>
  </si>
  <si>
    <t>HUGH WHITE CHRYSLER DODGE JEEP RAM HONDA</t>
  </si>
  <si>
    <t>68237326SW02</t>
  </si>
  <si>
    <t>64237939SW01</t>
  </si>
  <si>
    <t>HUGH WHITE NISSAN</t>
  </si>
  <si>
    <t>64237939SW03</t>
  </si>
  <si>
    <t>HUGH WHITE CHEVROLET BUICK</t>
  </si>
  <si>
    <t>03173875SW25</t>
  </si>
  <si>
    <t>AJAX MAZDA</t>
  </si>
  <si>
    <t>64233305SW04</t>
  </si>
  <si>
    <t>64233308SW06</t>
  </si>
  <si>
    <t>01355693SW77</t>
  </si>
  <si>
    <t>68195749SW37</t>
  </si>
  <si>
    <t>64241810SW01</t>
  </si>
  <si>
    <t>68245328SW78</t>
  </si>
  <si>
    <t>68232925SW03</t>
  </si>
  <si>
    <t>JOHNSON GENESIS OF CARY</t>
  </si>
  <si>
    <t>62188709SW67</t>
  </si>
  <si>
    <t>BMW OF COLLEGE STATION</t>
  </si>
  <si>
    <t>62188709SW39</t>
  </si>
  <si>
    <t>CSH KEATING, LLC</t>
  </si>
  <si>
    <t>68226360SW08</t>
  </si>
  <si>
    <t>GENESIS OF FREEHOLD</t>
  </si>
  <si>
    <t>68225180SW05</t>
  </si>
  <si>
    <t>64245961SW02</t>
  </si>
  <si>
    <t>GREENWAY AUTOMOTIVE GROUP</t>
  </si>
  <si>
    <t>64242818SW18</t>
  </si>
  <si>
    <t>62188704SW11</t>
  </si>
  <si>
    <t>CLEAR LAKE DEALERSHIP DBA VOLKSWAGEN OF CLEAR LAKE</t>
  </si>
  <si>
    <t>62188704SW18</t>
  </si>
  <si>
    <t>JERSEY VILLAGE DEALERSHIP DBA VOLKSWAGEN JERSEY VI</t>
  </si>
  <si>
    <t>68244490SW53</t>
  </si>
  <si>
    <t>68233172SW08</t>
  </si>
  <si>
    <t>62187710SW50</t>
  </si>
  <si>
    <t>COASTAL AUTOMOTIVE MANAGEMENT</t>
  </si>
  <si>
    <t>68233178SW03</t>
  </si>
  <si>
    <t>FLOW LEXUS</t>
  </si>
  <si>
    <t>68233177SW03</t>
  </si>
  <si>
    <t>64228982SW92</t>
  </si>
  <si>
    <t>RICART KIA</t>
  </si>
  <si>
    <t>64234866SW18</t>
  </si>
  <si>
    <t>RICART MITSUBISHI</t>
  </si>
  <si>
    <t>64228643SW67</t>
  </si>
  <si>
    <t>98053278SW04</t>
  </si>
  <si>
    <t>COFFMAN TRUCK</t>
  </si>
  <si>
    <t>68234491SW90</t>
  </si>
  <si>
    <t>GARNET VOLKSWAGEN OF WEST CHESTER</t>
  </si>
  <si>
    <t>64240206SW10</t>
  </si>
  <si>
    <t>64240206SW11</t>
  </si>
  <si>
    <t>ST CHARLES HYUNDAI</t>
  </si>
  <si>
    <t>68236663SW01</t>
  </si>
  <si>
    <t>CMA'S WILLIAMSBURG FORD</t>
  </si>
  <si>
    <t>62188543SW04</t>
  </si>
  <si>
    <t>68231870SW93</t>
  </si>
  <si>
    <t>JOYCE HONDA SERVICE</t>
  </si>
  <si>
    <t>JOYCE GROUP</t>
  </si>
  <si>
    <t>68233217SW04</t>
  </si>
  <si>
    <t>HUDSON VALLEY CHRYSLER DODGE JEEP RAM</t>
  </si>
  <si>
    <t>64244094SW69</t>
  </si>
  <si>
    <t>68236707SW82</t>
  </si>
  <si>
    <t>VOLKSWAGEN WORLD OF NEWTON</t>
  </si>
  <si>
    <t>98052325SW08</t>
  </si>
  <si>
    <t>64216728SW23</t>
  </si>
  <si>
    <t>RUSS DARROW METRO CHRYSLER JEEP DODGE</t>
  </si>
  <si>
    <t>64246875SW62</t>
  </si>
  <si>
    <t>FLAGSHIP FORD CAROLINA</t>
  </si>
  <si>
    <t>64241717SW01</t>
  </si>
  <si>
    <t>ST CHARLES GENESIS</t>
  </si>
  <si>
    <t>98053014SW87</t>
  </si>
  <si>
    <t>64234333SW11</t>
  </si>
  <si>
    <t>68241911SW04</t>
  </si>
  <si>
    <t>SPURR GROUP</t>
  </si>
  <si>
    <t>64238567SW89</t>
  </si>
  <si>
    <t>HEADQUARTER MAZDA</t>
  </si>
  <si>
    <t>68247508SW75</t>
  </si>
  <si>
    <t>62195050SW56</t>
  </si>
  <si>
    <t>CLAWSON HONDA</t>
  </si>
  <si>
    <t>64238210SW04</t>
  </si>
  <si>
    <t>JENKINS CHEVROLET OF VENICE</t>
  </si>
  <si>
    <t>62193797SW18</t>
  </si>
  <si>
    <t>HONDA OF SANTA MONICA</t>
  </si>
  <si>
    <t>64237290SW43</t>
  </si>
  <si>
    <t>MVP AUTO CORP</t>
  </si>
  <si>
    <t>MVP AUTO</t>
  </si>
  <si>
    <t>64237290SW71</t>
  </si>
  <si>
    <t>M.V.P. AUTO - BAIROA USED CARS</t>
  </si>
  <si>
    <t>62162229SW06</t>
  </si>
  <si>
    <t>68243089SW42</t>
  </si>
  <si>
    <t>68243089SW57</t>
  </si>
  <si>
    <t>67053398SW01</t>
  </si>
  <si>
    <t>ANDERSON MOTORS OF CRYSTAL LAKE</t>
  </si>
  <si>
    <t>ANDERSON GROUP - MIDWEST</t>
  </si>
  <si>
    <t>68245216SW65</t>
  </si>
  <si>
    <t>03173866SW89</t>
  </si>
  <si>
    <t>MERCEDES-BENZ OF MONCTON</t>
  </si>
  <si>
    <t>01354350SW67</t>
  </si>
  <si>
    <t>68226665SW79</t>
  </si>
  <si>
    <t>68226665SW80</t>
  </si>
  <si>
    <t>68235070SW04</t>
  </si>
  <si>
    <t>BILL PAGE AUTO GROUP</t>
  </si>
  <si>
    <t>64192216SW01</t>
  </si>
  <si>
    <t>CAVENDER CORPORATION</t>
  </si>
  <si>
    <t>03176007SW49</t>
  </si>
  <si>
    <t>QUEENSWAY HYUNDAI</t>
  </si>
  <si>
    <t>MAZDA TORONTO GROUP</t>
  </si>
  <si>
    <t>62187521SW82</t>
  </si>
  <si>
    <t>FERRARI OF BEVERLY HILLS SERVICE</t>
  </si>
  <si>
    <t>MATTIOLI GROUP</t>
  </si>
  <si>
    <t>62187521SW89</t>
  </si>
  <si>
    <t>68234194SW04</t>
  </si>
  <si>
    <t>SHAKER CHRYSLER DODGE JEEP RAM</t>
  </si>
  <si>
    <t>SHAKER</t>
  </si>
  <si>
    <t>62184422SW01</t>
  </si>
  <si>
    <t>MAC HAIK FORD PASADENA</t>
  </si>
  <si>
    <t>68247508SW91</t>
  </si>
  <si>
    <t>68247512SW93</t>
  </si>
  <si>
    <t>68247513SW93</t>
  </si>
  <si>
    <t>68245411SW67</t>
  </si>
  <si>
    <t>62188221SW04</t>
  </si>
  <si>
    <t>PLATINUM HYUNDAI OF TRACY</t>
  </si>
  <si>
    <t>64234828SW18</t>
  </si>
  <si>
    <t>62196892SW04</t>
  </si>
  <si>
    <t>INFINITI OF SOUTH BAY</t>
  </si>
  <si>
    <t>KKS AUTOMOTIVE GROUP</t>
  </si>
  <si>
    <t>62188286SW03</t>
  </si>
  <si>
    <t>CAVENDER AUTO COUNTRY CHEVROLET, BUICK, GMC</t>
  </si>
  <si>
    <t>62191064SW51</t>
  </si>
  <si>
    <t>62186468SW17</t>
  </si>
  <si>
    <t>98053077SW87</t>
  </si>
  <si>
    <t>PETERBILT OF DUNN</t>
  </si>
  <si>
    <t>62188318SW18</t>
  </si>
  <si>
    <t>01354100SW90</t>
  </si>
  <si>
    <t>68243697SW65</t>
  </si>
  <si>
    <t>WRIGHT NISSAN OF WEXFORD</t>
  </si>
  <si>
    <t>01355955SW01</t>
  </si>
  <si>
    <t>BANNISTER VENTURES LTD. DBA CHILLIWACK KIA</t>
  </si>
  <si>
    <t>BANNISTER AUTOMOTIVE GROUP</t>
  </si>
  <si>
    <t>01355132SW45</t>
  </si>
  <si>
    <t>01355378SW01</t>
  </si>
  <si>
    <t>64243676SW86</t>
  </si>
  <si>
    <t>68245155SW93</t>
  </si>
  <si>
    <t>SERRA BRIGHTON</t>
  </si>
  <si>
    <t>68245156SW63</t>
  </si>
  <si>
    <t>SERRA MAZDA BRIGHTON</t>
  </si>
  <si>
    <t>68233163SW03</t>
  </si>
  <si>
    <t>PORSCHE OF SOUTHAMPTON</t>
  </si>
  <si>
    <t>62197529SW01</t>
  </si>
  <si>
    <t>NORTH PARK CHEVROLET OF CASTROVILLE</t>
  </si>
  <si>
    <t>64219956SW01</t>
  </si>
  <si>
    <t>AVONDALE GROUP</t>
  </si>
  <si>
    <t>68239561SW25</t>
  </si>
  <si>
    <t>62188318SW25</t>
  </si>
  <si>
    <t>BUTTE GM AUTO CENTER</t>
  </si>
  <si>
    <t>68237954SW45</t>
  </si>
  <si>
    <t>PORSCHE CARS NA</t>
  </si>
  <si>
    <t>64244378SW01</t>
  </si>
  <si>
    <t>64233323SW89</t>
  </si>
  <si>
    <t>TOCARS TOA BAJA, LLC</t>
  </si>
  <si>
    <t>68229758SW68</t>
  </si>
  <si>
    <t>SPITZER CHEVROLET GMC DUBOIS</t>
  </si>
  <si>
    <t>68229758SW75</t>
  </si>
  <si>
    <t>SPITZER SUBARU OF DU BOIS</t>
  </si>
  <si>
    <t>68229198SW98</t>
  </si>
  <si>
    <t>C HARPER CHEVROLET EAST</t>
  </si>
  <si>
    <t>68244616SW04</t>
  </si>
  <si>
    <t>GOLLING</t>
  </si>
  <si>
    <t>64246029SW45</t>
  </si>
  <si>
    <t>JACKIE COOPER</t>
  </si>
  <si>
    <t>64250686SW09</t>
  </si>
  <si>
    <t>DON THORNTON AUTOMOTIVE GROUP</t>
  </si>
  <si>
    <t>68233615SW03</t>
  </si>
  <si>
    <t>68240590SW45</t>
  </si>
  <si>
    <t>VANDEVERE INC</t>
  </si>
  <si>
    <t>68240592SW04</t>
  </si>
  <si>
    <t>68240592SW57</t>
  </si>
  <si>
    <t>64241997SW52</t>
  </si>
  <si>
    <t>NICK MAYER CHEVROLET BUICK GMC, LLC.</t>
  </si>
  <si>
    <t>68242168SW11</t>
  </si>
  <si>
    <t>64233325SW43</t>
  </si>
  <si>
    <t>68210764SW03</t>
  </si>
  <si>
    <t>VOLKSWAGEN OF NANUET</t>
  </si>
  <si>
    <t>62188709SW25</t>
  </si>
  <si>
    <t>COLLEGE STATION NISSAN</t>
  </si>
  <si>
    <t>68228584SW04</t>
  </si>
  <si>
    <t>68228584SW11</t>
  </si>
  <si>
    <t>03171855SW03</t>
  </si>
  <si>
    <t>68246277SW25</t>
  </si>
  <si>
    <t>68246277SW31</t>
  </si>
  <si>
    <t>WEIMER FORD INC</t>
  </si>
  <si>
    <t>67055478SW10</t>
  </si>
  <si>
    <t>FIRELANDS TOYOTA</t>
  </si>
  <si>
    <t>FIRELANDS AUTO GROUP</t>
  </si>
  <si>
    <t>68233128SW03</t>
  </si>
  <si>
    <t>FIRELANDS CHRYSLER JEEP DODGE RAM</t>
  </si>
  <si>
    <t>68192074SW01</t>
  </si>
  <si>
    <t>PREMIER AUTO GROUP</t>
  </si>
  <si>
    <t>68188603SW01</t>
  </si>
  <si>
    <t>68192074SW02</t>
  </si>
  <si>
    <t>68192074SW03</t>
  </si>
  <si>
    <t>PREMIER AUDI CAPE COD</t>
  </si>
  <si>
    <t>68192074SW04</t>
  </si>
  <si>
    <t>64234894SW50</t>
  </si>
  <si>
    <t>BADGER CHEVROLET</t>
  </si>
  <si>
    <t>BADGER AUTO GROUP</t>
  </si>
  <si>
    <t>62186468SW73</t>
  </si>
  <si>
    <t>64233325SW71</t>
  </si>
  <si>
    <t>64233325SW78</t>
  </si>
  <si>
    <t>64235112SW41</t>
  </si>
  <si>
    <t>RON CARTER CHEV-BUICK-GMC</t>
  </si>
  <si>
    <t>64235113SW24</t>
  </si>
  <si>
    <t>RON CARTER CJDR</t>
  </si>
  <si>
    <t>68244959SW74</t>
  </si>
  <si>
    <t>68233368SW18</t>
  </si>
  <si>
    <t>68210776SW85</t>
  </si>
  <si>
    <t>JOHNSON HYUNDAI OF WAKE FOREST</t>
  </si>
  <si>
    <t>62195225SW01</t>
  </si>
  <si>
    <t>AUTOMALL AUTOMOTIVE</t>
  </si>
  <si>
    <t>68236708SW82</t>
  </si>
  <si>
    <t>AUDI NEWTON</t>
  </si>
  <si>
    <t>64234445SW18</t>
  </si>
  <si>
    <t>JAGUAR LAND ROVER OF FORT WAYNE</t>
  </si>
  <si>
    <t>68226665SW98</t>
  </si>
  <si>
    <t>ST. JOHNSBURY GMC</t>
  </si>
  <si>
    <t>64233325SW85</t>
  </si>
  <si>
    <t>68243031SW04</t>
  </si>
  <si>
    <t>68243031SW11</t>
  </si>
  <si>
    <t>68243031SW18</t>
  </si>
  <si>
    <t>PORSCHE OF DELAWARE</t>
  </si>
  <si>
    <t>68243031SW25</t>
  </si>
  <si>
    <t>68243013SW04</t>
  </si>
  <si>
    <t>68243013SW11</t>
  </si>
  <si>
    <t>64246016SW50</t>
  </si>
  <si>
    <t>64246018SW04</t>
  </si>
  <si>
    <t>64241017SW64</t>
  </si>
  <si>
    <t>STIVERS FORD OF BIRMINGHAM, INC.</t>
  </si>
  <si>
    <t>68235967SW04</t>
  </si>
  <si>
    <t>BLASIUS MOTORS, LLC DBA BLASIUS KIA</t>
  </si>
  <si>
    <t>64232884SW51</t>
  </si>
  <si>
    <t>GEAUX CHEVROLET</t>
  </si>
  <si>
    <t>GEAUX</t>
  </si>
  <si>
    <t>68246141SW05</t>
  </si>
  <si>
    <t>62188759SW04</t>
  </si>
  <si>
    <t>UNITED NISSAN</t>
  </si>
  <si>
    <t>62188759SW11</t>
  </si>
  <si>
    <t>62188708SW03</t>
  </si>
  <si>
    <t>UNITED KIA IMPERIAL</t>
  </si>
  <si>
    <t>62188759SW18</t>
  </si>
  <si>
    <t>64242818SW25</t>
  </si>
  <si>
    <t>LORENZO NISSAN OF HOMESTEAD</t>
  </si>
  <si>
    <t>64234866SW11</t>
  </si>
  <si>
    <t>RICART GENESIS</t>
  </si>
  <si>
    <t>98053078SW83</t>
  </si>
  <si>
    <t>03174974SW22</t>
  </si>
  <si>
    <t>64231010SW77</t>
  </si>
  <si>
    <t>LARRY DIMMITT LUXURY LAND ROVER JAGUAR</t>
  </si>
  <si>
    <t>64235048SW03</t>
  </si>
  <si>
    <t>DEW LUXURY MOTOR CARS.</t>
  </si>
  <si>
    <t>64236678SW07</t>
  </si>
  <si>
    <t>68245411SW91</t>
  </si>
  <si>
    <t>JIM SHORKEY CHEVROLET MURRYSVILLE</t>
  </si>
  <si>
    <t>68245420SW63</t>
  </si>
  <si>
    <t>JIM SHORKEY CHEVROLET NORTH HILLS</t>
  </si>
  <si>
    <t>68229760SW82</t>
  </si>
  <si>
    <t>SPITZER HYUNDAI CLEVELAND</t>
  </si>
  <si>
    <t>68229761SW43</t>
  </si>
  <si>
    <t>SPITZER HONDA EUCLID</t>
  </si>
  <si>
    <t>68214465SW01</t>
  </si>
  <si>
    <t>68248844SW03</t>
  </si>
  <si>
    <t>EASTERNS AUTOMOTIVE GROUP</t>
  </si>
  <si>
    <t>68243879SW11</t>
  </si>
  <si>
    <t>PRIORITY AUTO GROUP</t>
  </si>
  <si>
    <t>68243879SW65</t>
  </si>
  <si>
    <t>68232225SW77</t>
  </si>
  <si>
    <t>62195029SW45</t>
  </si>
  <si>
    <t>LEHMER'S CONCORD GMC</t>
  </si>
  <si>
    <t>03174036SW96</t>
  </si>
  <si>
    <t>FHB GENERAL PARTNERSHIP</t>
  </si>
  <si>
    <t>HOLAND AUTOMOTIVE GROUP</t>
  </si>
  <si>
    <t>68233287SW39</t>
  </si>
  <si>
    <t>GMST LLC, GENGRAS SUBARU</t>
  </si>
  <si>
    <t>64245995SW01</t>
  </si>
  <si>
    <t>68231369SW53</t>
  </si>
  <si>
    <t>TRI STAR CHEVROLET OF BLAIRSVILLE</t>
  </si>
  <si>
    <t>TRI STAR</t>
  </si>
  <si>
    <t>68229200SW04</t>
  </si>
  <si>
    <t>C. HARPER CHRYSLER DODGE JEEP RAM OF MON VALLEY</t>
  </si>
  <si>
    <t>68232096SW78</t>
  </si>
  <si>
    <t>FRIENDSHIP CHEVROLET-BUICK-GMC OF FOREST CITY</t>
  </si>
  <si>
    <t>68246721SW04</t>
  </si>
  <si>
    <t>VALENTI CHEVROLET</t>
  </si>
  <si>
    <t>BOB VALENTI</t>
  </si>
  <si>
    <t>68233533SW04</t>
  </si>
  <si>
    <t>KELLY HYUNDAI</t>
  </si>
  <si>
    <t>68233533SW10</t>
  </si>
  <si>
    <t>KELLY TOYOTA</t>
  </si>
  <si>
    <t>64238720SW02</t>
  </si>
  <si>
    <t>WILLIAMS OKEMOS</t>
  </si>
  <si>
    <t>62167400SW10</t>
  </si>
  <si>
    <t>TOWBIN OF LAS VEGAS DBA TOWBIN FIAT ALFA ROMEO</t>
  </si>
  <si>
    <t>64238753SW02</t>
  </si>
  <si>
    <t>BRINSON CHEVROLET</t>
  </si>
  <si>
    <t>BRINSON AUTO GROUP</t>
  </si>
  <si>
    <t>64238262SW03</t>
  </si>
  <si>
    <t>CHIEF AUTOMOTIVE GROUP, LLC</t>
  </si>
  <si>
    <t>64231629SW01</t>
  </si>
  <si>
    <t>HALLMARK HYUNDAI</t>
  </si>
  <si>
    <t>64236095SW01</t>
  </si>
  <si>
    <t>BAY HYUNDAI</t>
  </si>
  <si>
    <t>64233325SW92</t>
  </si>
  <si>
    <t>68243291SW04</t>
  </si>
  <si>
    <t>68233345SW04</t>
  </si>
  <si>
    <t>JOHNSON GROUP</t>
  </si>
  <si>
    <t>62180398SW01</t>
  </si>
  <si>
    <t>BAKHTIARI</t>
  </si>
  <si>
    <t>62175103SW01</t>
  </si>
  <si>
    <t>62175103SW02</t>
  </si>
  <si>
    <t>BAKHTIARI CORPORATION DBA STEVENS CREEK SUBARU</t>
  </si>
  <si>
    <t>62175103SW03</t>
  </si>
  <si>
    <t>64237214SW67</t>
  </si>
  <si>
    <t>IMPERIAL MOTORS OF ST. LOUIS, LLC</t>
  </si>
  <si>
    <t>IMPERIAL MOTORS AUTO GROUP</t>
  </si>
  <si>
    <t>62175103SW04</t>
  </si>
  <si>
    <t>HONDA OF HOLLYWOOD</t>
  </si>
  <si>
    <t>62175103SW05</t>
  </si>
  <si>
    <t>68226914SW65</t>
  </si>
  <si>
    <t>62190287SW04</t>
  </si>
  <si>
    <t>LAHHAM AUTO GROUP</t>
  </si>
  <si>
    <t>62191164SW82</t>
  </si>
  <si>
    <t>64199903SW01</t>
  </si>
  <si>
    <t>CAVENDER AUTO GROUP</t>
  </si>
  <si>
    <t>68244982SW55</t>
  </si>
  <si>
    <t>CLASSIC NISSAN WILLIAMSBURG</t>
  </si>
  <si>
    <t>68234064SW69</t>
  </si>
  <si>
    <t>STEVE RAYMAN CHEVROLET</t>
  </si>
  <si>
    <t>68236708SW89</t>
  </si>
  <si>
    <t>64247672SW92</t>
  </si>
  <si>
    <t>WILLIS CHEVROLET OF GRANGER</t>
  </si>
  <si>
    <t>68244982SW72</t>
  </si>
  <si>
    <t>58041099SW39</t>
  </si>
  <si>
    <t>62191204SW02</t>
  </si>
  <si>
    <t>DIAMOND</t>
  </si>
  <si>
    <t>68226444SW03</t>
  </si>
  <si>
    <t>64236490SW04</t>
  </si>
  <si>
    <t>64248124SW01</t>
  </si>
  <si>
    <t>64246418SW97</t>
  </si>
  <si>
    <t>AUDI EXCHANGE ST CHARLES</t>
  </si>
  <si>
    <t>62189608SW03</t>
  </si>
  <si>
    <t>68236904SW01</t>
  </si>
  <si>
    <t xml:space="preserve">KOEPPEL HYUNDAI	</t>
  </si>
  <si>
    <t>KOEPPEL</t>
  </si>
  <si>
    <t>62188857SW08</t>
  </si>
  <si>
    <t>NYLE MAXWELL OF KILLEEN, LLC</t>
  </si>
  <si>
    <t>68186423SW03</t>
  </si>
  <si>
    <t>68186423SW06</t>
  </si>
  <si>
    <t>68186423SW09</t>
  </si>
  <si>
    <t>68186423SW12</t>
  </si>
  <si>
    <t>62193784SW55</t>
  </si>
  <si>
    <t>64245070SW01</t>
  </si>
  <si>
    <t>GOLDEN CIRCLE CHEVROLET</t>
  </si>
  <si>
    <t>GOLDEN CIRCLE AUTO GROUP</t>
  </si>
  <si>
    <t>64234502SW03</t>
  </si>
  <si>
    <t>ZEIGLER KENOSHA I, LLC DBA ZEIGLER SUBARU OF KENOS</t>
  </si>
  <si>
    <t>ZEIGLER AUTO GROUP</t>
  </si>
  <si>
    <t>64234504SW03</t>
  </si>
  <si>
    <t>ZEIGLER RACINE III, LLC DBA ZEIGLER HYUNDAI OF RAC</t>
  </si>
  <si>
    <t>64234504SW08</t>
  </si>
  <si>
    <t>ZEIGLER RACINE I, LLC DBA ZEIGLER HONDA OF RACINE</t>
  </si>
  <si>
    <t>68240271SW03</t>
  </si>
  <si>
    <t>62164543SW12</t>
  </si>
  <si>
    <t>64240491SW33</t>
  </si>
  <si>
    <t>64244470SW25</t>
  </si>
  <si>
    <t>HAPPY HYUNDAI</t>
  </si>
  <si>
    <t>64229208SW56</t>
  </si>
  <si>
    <t>68237299SW03</t>
  </si>
  <si>
    <t>98053064SW96</t>
  </si>
  <si>
    <t>SALEM PETERBILT, INC.</t>
  </si>
  <si>
    <t>64238262SW06</t>
  </si>
  <si>
    <t>68229740SW15</t>
  </si>
  <si>
    <t>64233458SW87</t>
  </si>
  <si>
    <t>64233458SW94</t>
  </si>
  <si>
    <t>62192228SW03</t>
  </si>
  <si>
    <t>BILL WELLS CHEVROLET</t>
  </si>
  <si>
    <t>BILL WELLS GROUP</t>
  </si>
  <si>
    <t>98052741SW03</t>
  </si>
  <si>
    <t>LAMARQUE</t>
  </si>
  <si>
    <t>64238833SW04</t>
  </si>
  <si>
    <t>TINCHER WILLIAMS CHEVROLET</t>
  </si>
  <si>
    <t>58036200SW01</t>
  </si>
  <si>
    <t>68242308SW89</t>
  </si>
  <si>
    <t>64241997SW67</t>
  </si>
  <si>
    <t>62196945SW64</t>
  </si>
  <si>
    <t>BRAVO AUTOMOTIVE</t>
  </si>
  <si>
    <t>68237234SW01</t>
  </si>
  <si>
    <t>HAZLETON HONDA</t>
  </si>
  <si>
    <t>TIMBROOK AUTOMOTIVE</t>
  </si>
  <si>
    <t>55013920SW01</t>
  </si>
  <si>
    <t>SONIC AUTOMOTIVE</t>
  </si>
  <si>
    <t>55013962SW01</t>
  </si>
  <si>
    <t>GREENVILLE HYUNDAI LLC</t>
  </si>
  <si>
    <t>64234372SW50</t>
  </si>
  <si>
    <t>EXOTICS OF NAPLES, LLC DBA LAMBORGHINI NAPLES</t>
  </si>
  <si>
    <t>64234372SW51</t>
  </si>
  <si>
    <t>62188709SW60</t>
  </si>
  <si>
    <t>62191141SW03</t>
  </si>
  <si>
    <t>SHERIDAN MOTOR INC</t>
  </si>
  <si>
    <t>62191141SW08</t>
  </si>
  <si>
    <t>SHERIDAN MOTORS CHRYSLER DODGE RAM AND JEEP</t>
  </si>
  <si>
    <t>62193082SW68</t>
  </si>
  <si>
    <t>MCCURLEY SUBARU OF YAKIMA</t>
  </si>
  <si>
    <t>64206908SW40</t>
  </si>
  <si>
    <t>MAG GLF, LLC DBA MORRIE'S GRAND LEDGE FORD</t>
  </si>
  <si>
    <t>MORRIE'S</t>
  </si>
  <si>
    <t>64206908SW41</t>
  </si>
  <si>
    <t>MAG OKF, LLC DBA MORRIE'S OKEMOS FORD</t>
  </si>
  <si>
    <t>68229962SW66</t>
  </si>
  <si>
    <t>CRABTREE NISSAN</t>
  </si>
  <si>
    <t>CRABTREE MOTOR GROUP</t>
  </si>
  <si>
    <t>62177787SW67</t>
  </si>
  <si>
    <t>62188493SW11</t>
  </si>
  <si>
    <t>KILLEEN VOLKSWAGEN</t>
  </si>
  <si>
    <t>62185915SW82</t>
  </si>
  <si>
    <t>64235627SW04</t>
  </si>
  <si>
    <t>62171168SW89</t>
  </si>
  <si>
    <t>BRAVO IMPORTS OF VICTORIA, LLC DBA BRAVO HONDA</t>
  </si>
  <si>
    <t>62158183SW18</t>
  </si>
  <si>
    <t>68235540SW62</t>
  </si>
  <si>
    <t>68210435SW94</t>
  </si>
  <si>
    <t>68233252SW03</t>
  </si>
  <si>
    <t>ALLEN CHEV GROUP</t>
  </si>
  <si>
    <t>64234866SW04</t>
  </si>
  <si>
    <t>64234866SW25</t>
  </si>
  <si>
    <t>RICART CHEVROLET</t>
  </si>
  <si>
    <t>64240381SW03</t>
  </si>
  <si>
    <t>JEFF WYLER AUTOMOTIVE</t>
  </si>
  <si>
    <t>62188332SW04</t>
  </si>
  <si>
    <t>TRIVALLEY AUTO, LLC. DBA VOLVO CARS DUBLIN</t>
  </si>
  <si>
    <t>68195749SW52</t>
  </si>
  <si>
    <t>JOHNSON VOLVO CARS CHARLOTTE</t>
  </si>
  <si>
    <t>68244106SW04</t>
  </si>
  <si>
    <t>64192718SW39</t>
  </si>
  <si>
    <t>MARSHALL FORD TEXAS GROUP</t>
  </si>
  <si>
    <t>03174974SW23</t>
  </si>
  <si>
    <t>03174974SW24</t>
  </si>
  <si>
    <t>MERCEDES-BENZ GREEN LANE</t>
  </si>
  <si>
    <t>03174974SW25</t>
  </si>
  <si>
    <t>MERCEDES-BENZ STEELES</t>
  </si>
  <si>
    <t>68233189SW03</t>
  </si>
  <si>
    <t>68233195SW03</t>
  </si>
  <si>
    <t>AUBURN CHEVROLET BUICK GMC</t>
  </si>
  <si>
    <t>68233168SW03</t>
  </si>
  <si>
    <t>FOX TOYOTA</t>
  </si>
  <si>
    <t>68233195SW08</t>
  </si>
  <si>
    <t>64237293SW43</t>
  </si>
  <si>
    <t>68241852SW01</t>
  </si>
  <si>
    <t>ASTON MARTIN OF WASHINGTON DC, LLC</t>
  </si>
  <si>
    <t>EXCLUSIVE AUTOMOTIVE GROUP</t>
  </si>
  <si>
    <t>68233128SW08</t>
  </si>
  <si>
    <t>FIRELANDS CHEVY OF VERMILION</t>
  </si>
  <si>
    <t>64238306SW70</t>
  </si>
  <si>
    <t>64244553SW03</t>
  </si>
  <si>
    <t>64238310SW03</t>
  </si>
  <si>
    <t>BILLION WORTHINGTON FORD</t>
  </si>
  <si>
    <t>64238306SW93</t>
  </si>
  <si>
    <t>BILLION WORTHINGTON CHRYSLER JEEP DODGE RAM</t>
  </si>
  <si>
    <t>68246103SW01</t>
  </si>
  <si>
    <t>64233926SW02</t>
  </si>
  <si>
    <t>64233926SW04</t>
  </si>
  <si>
    <t>68244970SW47</t>
  </si>
  <si>
    <t>64244205SW51</t>
  </si>
  <si>
    <t>68233368SW25</t>
  </si>
  <si>
    <t>RDS ENTERPRISES XV FERRARI PHILADELPHIA</t>
  </si>
  <si>
    <t>68245420SW94</t>
  </si>
  <si>
    <t>JIM SHORKEY CADILLAC GAINESVILLE</t>
  </si>
  <si>
    <t>58038561SW03</t>
  </si>
  <si>
    <t>AMSI, INC.</t>
  </si>
  <si>
    <t>68245145SW99</t>
  </si>
  <si>
    <t>68240216SW70</t>
  </si>
  <si>
    <t>BRIDGETON AUTO MALL</t>
  </si>
  <si>
    <t>BRIDGETON GROUP</t>
  </si>
  <si>
    <t>64240320SW03</t>
  </si>
  <si>
    <t>68238631SW02</t>
  </si>
  <si>
    <t>62168741SW01</t>
  </si>
  <si>
    <t>62189687SW47</t>
  </si>
  <si>
    <t>TONKIN FORD</t>
  </si>
  <si>
    <t>62187724SW46</t>
  </si>
  <si>
    <t>62187727SW11</t>
  </si>
  <si>
    <t>62190654SW51</t>
  </si>
  <si>
    <t>64244160SW71</t>
  </si>
  <si>
    <t>68232104SW18</t>
  </si>
  <si>
    <t>64237845SW03</t>
  </si>
  <si>
    <t>FORD OF HOMEWOOD, INC.</t>
  </si>
  <si>
    <t>HOMEWOOD</t>
  </si>
  <si>
    <t>68224098SW01</t>
  </si>
  <si>
    <t>MANGINO</t>
  </si>
  <si>
    <t>68224098SW02</t>
  </si>
  <si>
    <t>MANGINO BUICK GMC</t>
  </si>
  <si>
    <t>64232886SW82</t>
  </si>
  <si>
    <t>EXPRESS BROWNSVILLE CHEVROLET GMC</t>
  </si>
  <si>
    <t>68238516SW01</t>
  </si>
  <si>
    <t>MERCEDES-BENZ OF DOYLESTOWN</t>
  </si>
  <si>
    <t>68240436SW01</t>
  </si>
  <si>
    <t>68192336SW86</t>
  </si>
  <si>
    <t>CURRAN</t>
  </si>
  <si>
    <t>03173428SW04</t>
  </si>
  <si>
    <t>VOLVO CARS OF WATERLOO</t>
  </si>
  <si>
    <t>POLICARO AUTO GROUP</t>
  </si>
  <si>
    <t>03173428SW11</t>
  </si>
  <si>
    <t>JAGUAR LANDROVER WATERLOO</t>
  </si>
  <si>
    <t>68244973SW04</t>
  </si>
  <si>
    <t>68237800SW04</t>
  </si>
  <si>
    <t>VISION HYUNDAI HENRIETTA</t>
  </si>
  <si>
    <t>68227066SW21</t>
  </si>
  <si>
    <t>68237800SW11</t>
  </si>
  <si>
    <t>68237800SW18</t>
  </si>
  <si>
    <t>68229740SW69</t>
  </si>
  <si>
    <t>SPITZER AUTOWORLD ST MARYS LLC</t>
  </si>
  <si>
    <t>68229740SW95</t>
  </si>
  <si>
    <t>62187652SW82</t>
  </si>
  <si>
    <t>KNIGHT AUTOMOTIVE GROUP</t>
  </si>
  <si>
    <t>68245422SW62</t>
  </si>
  <si>
    <t>JIM SHORKEY MITSUBISHI GAINESVILLE</t>
  </si>
  <si>
    <t>68245400SW14</t>
  </si>
  <si>
    <t>JIM SHORKEY KIA GAINESVILLE</t>
  </si>
  <si>
    <t>68245422SW83</t>
  </si>
  <si>
    <t>64248640SW01</t>
  </si>
  <si>
    <t>MAG FLCH LLC, DBA FOREST LAKE CHEVROLET</t>
  </si>
  <si>
    <t>68226303SW07</t>
  </si>
  <si>
    <t>EDISON INFINITI</t>
  </si>
  <si>
    <t>64218423SW01</t>
  </si>
  <si>
    <t>THE COLLECTION</t>
  </si>
  <si>
    <t>03174815SW49</t>
  </si>
  <si>
    <t>03174815SW66</t>
  </si>
  <si>
    <t>68246883SW11</t>
  </si>
  <si>
    <t>68194873SW17</t>
  </si>
  <si>
    <t>NIRVANA AUTO GROUP</t>
  </si>
  <si>
    <t>68194873SW36</t>
  </si>
  <si>
    <t>68240331SW01</t>
  </si>
  <si>
    <t>68244973SW62</t>
  </si>
  <si>
    <t>68249091SW18</t>
  </si>
  <si>
    <t>BURLINGTON CHRYSLER DODGE JEEP RAM</t>
  </si>
  <si>
    <t>62190599SW77</t>
  </si>
  <si>
    <t>62190602SW90</t>
  </si>
  <si>
    <t>68247393SW10</t>
  </si>
  <si>
    <t>68247393SW18</t>
  </si>
  <si>
    <t>68247393SW25</t>
  </si>
  <si>
    <t>POHANKA CHRYSLER DODGE JEEP RAM OF SALISBURY</t>
  </si>
  <si>
    <t>64236454SW43</t>
  </si>
  <si>
    <t>GATOR MOTORSPORT</t>
  </si>
  <si>
    <t>64238396SW43</t>
  </si>
  <si>
    <t>CASTLE IMPORTS OF MCHENRY, LLC DBA CASTLE SUBARU,</t>
  </si>
  <si>
    <t>64238396SW78</t>
  </si>
  <si>
    <t>CASTLE CARS OF MCHENRY, LLC DBA CASTLE CHEVROLET G</t>
  </si>
  <si>
    <t>64246721SW02</t>
  </si>
  <si>
    <t>68220069SW01</t>
  </si>
  <si>
    <t>RIVERHEAD BAY VOLKSWAGEN</t>
  </si>
  <si>
    <t>RIVERHEAD BAY</t>
  </si>
  <si>
    <t>68220069SW02</t>
  </si>
  <si>
    <t>RIVERHEAD BAY SUBARU</t>
  </si>
  <si>
    <t>68206394SW05</t>
  </si>
  <si>
    <t>62190291SW04</t>
  </si>
  <si>
    <t>64232887SW43</t>
  </si>
  <si>
    <t>EXPRESS DYERSBURG CHEVROLET BUICK GMC</t>
  </si>
  <si>
    <t>68226667SW27</t>
  </si>
  <si>
    <t>62191330SW42</t>
  </si>
  <si>
    <t>68239847SW03</t>
  </si>
  <si>
    <t>98053078SW95</t>
  </si>
  <si>
    <t>68198039SW92</t>
  </si>
  <si>
    <t>62193108SW03</t>
  </si>
  <si>
    <t>CHUCK THIESEN</t>
  </si>
  <si>
    <t>62187650SW54</t>
  </si>
  <si>
    <t>62192546SW04</t>
  </si>
  <si>
    <t>ELK GROVE DODGE</t>
  </si>
  <si>
    <t>62187674SW75</t>
  </si>
  <si>
    <t>62187677SW82</t>
  </si>
  <si>
    <t>AUDI ELK GROVE</t>
  </si>
  <si>
    <t>68233152SW03</t>
  </si>
  <si>
    <t>FRED ANDERSON ACURA</t>
  </si>
  <si>
    <t>68233152SW08</t>
  </si>
  <si>
    <t>68233152SW13</t>
  </si>
  <si>
    <t>FRED ANDERSON HONDA</t>
  </si>
  <si>
    <t>62191399SW60</t>
  </si>
  <si>
    <t>WEBB CHEVROLET OF CORTEZ</t>
  </si>
  <si>
    <t>62196737SW53</t>
  </si>
  <si>
    <t>LEWISTON CHEVROLET GMC</t>
  </si>
  <si>
    <t>98049638SW31</t>
  </si>
  <si>
    <t>68246115SW03</t>
  </si>
  <si>
    <t>DANBURY P, LLC DBA DANBURY PORSCHE</t>
  </si>
  <si>
    <t>68246115SW15</t>
  </si>
  <si>
    <t>DANBURY A, LLC DBA DANBURY AUDI</t>
  </si>
  <si>
    <t>68246115SW20</t>
  </si>
  <si>
    <t>DANBURY, V, LLC DBA DANBURY VOLKSWAGEN</t>
  </si>
  <si>
    <t>68243052SW08</t>
  </si>
  <si>
    <t>64246199SW53</t>
  </si>
  <si>
    <t>DUNN GROUP</t>
  </si>
  <si>
    <t>98053080SW08</t>
  </si>
  <si>
    <t>62193784SW62</t>
  </si>
  <si>
    <t>62189618SW01</t>
  </si>
  <si>
    <t>MURDOCK FORD, INC.</t>
  </si>
  <si>
    <t>MURDOCK AUTO TEAM</t>
  </si>
  <si>
    <t>64244164SW34</t>
  </si>
  <si>
    <t>CLASSIC FORD OF HARVEY</t>
  </si>
  <si>
    <t>62188305SW03</t>
  </si>
  <si>
    <t>MCM AUTOMOTIVE</t>
  </si>
  <si>
    <t>64248153SW03</t>
  </si>
  <si>
    <t>64232273SW09</t>
  </si>
  <si>
    <t>64232273SW63</t>
  </si>
  <si>
    <t>SPITZER BUICK GMC OF FINDLAY</t>
  </si>
  <si>
    <t>68235279SW17</t>
  </si>
  <si>
    <t>TASCA FORD YONKERS</t>
  </si>
  <si>
    <t>68234002SW11</t>
  </si>
  <si>
    <t>POUGHKEEPSIE NISSAN</t>
  </si>
  <si>
    <t>MOBILE MANAGEMENT</t>
  </si>
  <si>
    <t>68243052SW15</t>
  </si>
  <si>
    <t>JAGUAR LAND ROVER HARRISBURG</t>
  </si>
  <si>
    <t>68232108SW85</t>
  </si>
  <si>
    <t>68249102SW03</t>
  </si>
  <si>
    <t>CELEBRITY FORD OF TOMS RIVER</t>
  </si>
  <si>
    <t>68233238SW11</t>
  </si>
  <si>
    <t>TREMONTE AUTO GROUP</t>
  </si>
  <si>
    <t>64215256SW01</t>
  </si>
  <si>
    <t>MAG, LFCDJ, LLC DBA MORRIE'S CDJR LITTLE FALLS</t>
  </si>
  <si>
    <t>68244973SW71</t>
  </si>
  <si>
    <t>68233189SW08</t>
  </si>
  <si>
    <t>68233189SW13</t>
  </si>
  <si>
    <t>68240736SW36</t>
  </si>
  <si>
    <t>68232108SW98</t>
  </si>
  <si>
    <t>68232109SW50</t>
  </si>
  <si>
    <t>64234816SW25</t>
  </si>
  <si>
    <t>NISSAN LAKE COUNTRY</t>
  </si>
  <si>
    <t>62194993SW03</t>
  </si>
  <si>
    <t>53019537SW32</t>
  </si>
  <si>
    <t>AUTONATION MAZDA OF CARLSBAD #2637</t>
  </si>
  <si>
    <t>AUTONATION CORPORATION</t>
  </si>
  <si>
    <t>64233456SW52</t>
  </si>
  <si>
    <t>68234494SW70</t>
  </si>
  <si>
    <t>GARNET AUDI READING</t>
  </si>
  <si>
    <t>68234494SW81</t>
  </si>
  <si>
    <t>GARNET VOLKSWAGEN READING</t>
  </si>
  <si>
    <t>64228985SW58</t>
  </si>
  <si>
    <t>64236095SW04</t>
  </si>
  <si>
    <t>BAY LINCOLN</t>
  </si>
  <si>
    <t>62196427SW60</t>
  </si>
  <si>
    <t>BOYLAND</t>
  </si>
  <si>
    <t>62171169SW14</t>
  </si>
  <si>
    <t>BRAVO CADILLAC</t>
  </si>
  <si>
    <t>62171172SW68</t>
  </si>
  <si>
    <t>58041226SW59</t>
  </si>
  <si>
    <t>68243540SW01</t>
  </si>
  <si>
    <t>COCHRAN AUTOMOTIVE</t>
  </si>
  <si>
    <t>68229743SW51</t>
  </si>
  <si>
    <t>SPITZER BUICK GMC</t>
  </si>
  <si>
    <t>64229051SW03</t>
  </si>
  <si>
    <t>CLASSIC CHEVROLET OKC</t>
  </si>
  <si>
    <t>CLASSIC CHEVROLET NW EXPY</t>
  </si>
  <si>
    <t>68224591SW64</t>
  </si>
  <si>
    <t>68244973SW82</t>
  </si>
  <si>
    <t>64246055SW47</t>
  </si>
  <si>
    <t>ESTEBAN SANTOS</t>
  </si>
  <si>
    <t>68238628SW04</t>
  </si>
  <si>
    <t>SOUTHERN CHEVROLET CHESAPEAKE</t>
  </si>
  <si>
    <t>68211040SW41</t>
  </si>
  <si>
    <t>68211049SW25</t>
  </si>
  <si>
    <t>68211049SW40</t>
  </si>
  <si>
    <t>68233156SW03</t>
  </si>
  <si>
    <t>68211049SW60</t>
  </si>
  <si>
    <t>62187710SW77</t>
  </si>
  <si>
    <t>62188261SW03</t>
  </si>
  <si>
    <t>62187727SW18</t>
  </si>
  <si>
    <t>FINDLAY NISSAN HENDERSON</t>
  </si>
  <si>
    <t>62193577SW43</t>
  </si>
  <si>
    <t>64234827SW03</t>
  </si>
  <si>
    <t>FARMER AUTOMOTIVE LLC DBA AUDI LEXINGTON</t>
  </si>
  <si>
    <t>OXMOOR AUTO GROUP</t>
  </si>
  <si>
    <t>68233254SW04</t>
  </si>
  <si>
    <t>EAST HARTFORD CHEVROLET</t>
  </si>
  <si>
    <t>WWFDC GROUP</t>
  </si>
  <si>
    <t>68243024SW10</t>
  </si>
  <si>
    <t>PIAZZA MASERATI MAIN LINE CORP</t>
  </si>
  <si>
    <t>01353935SW01</t>
  </si>
  <si>
    <t>LANDSPERG  AUTO</t>
  </si>
  <si>
    <t>68245000SW04</t>
  </si>
  <si>
    <t>68233256SW04</t>
  </si>
  <si>
    <t>WHITE MARSH AUTO, LLC DBA NISSAN OF WHITE MARSH</t>
  </si>
  <si>
    <t>WHITE MARSH GROUP</t>
  </si>
  <si>
    <t>68212542SW49</t>
  </si>
  <si>
    <t>68231754SW03</t>
  </si>
  <si>
    <t>GLOBAL KIA</t>
  </si>
  <si>
    <t>PSD AUTOMOTIVE GROUP</t>
  </si>
  <si>
    <t>62184424SW01</t>
  </si>
  <si>
    <t>HONDA OF VALLEJO /DPZ AUTOMOTIVE LLC</t>
  </si>
  <si>
    <t>68245330SW86</t>
  </si>
  <si>
    <t>BOWSER GENESIS MONROEVILLE</t>
  </si>
  <si>
    <t>64215621SW05</t>
  </si>
  <si>
    <t>62188709SW53</t>
  </si>
  <si>
    <t>WACO HYUNDAI</t>
  </si>
  <si>
    <t>68233770SW03</t>
  </si>
  <si>
    <t>64216803SW13</t>
  </si>
  <si>
    <t>MAG CFCJ, LLC DBA MORRIE'S CHIPPEWA FALLS CHRYSLER</t>
  </si>
  <si>
    <t>64216803SW40</t>
  </si>
  <si>
    <t>MAG ECSU, LLC DBA MORRIE'S EAU CLAIRE SUBARU</t>
  </si>
  <si>
    <t>68213698SW56</t>
  </si>
  <si>
    <t>VINELAND HYUNDAI</t>
  </si>
  <si>
    <t>68231754SW08</t>
  </si>
  <si>
    <t xml:space="preserve">GLOBAL AUTOMALL 22 LLC	</t>
  </si>
  <si>
    <t>64244169SW58</t>
  </si>
  <si>
    <t>RANGE ROVER VOLVO SHREVEPORT</t>
  </si>
  <si>
    <t>64234860SW04</t>
  </si>
  <si>
    <t>GENESIS OF MILWAUKEE</t>
  </si>
  <si>
    <t>68235641SW11</t>
  </si>
  <si>
    <t>62191553SW43</t>
  </si>
  <si>
    <t>68233257SW04</t>
  </si>
  <si>
    <t>MURPHY AUTO GROUP</t>
  </si>
  <si>
    <t>68233257SW11</t>
  </si>
  <si>
    <t>MIRACLE NISSAN OF NORTH AUGUSTA</t>
  </si>
  <si>
    <t>68233257SW18</t>
  </si>
  <si>
    <t>MIRACLE TOYOTA</t>
  </si>
  <si>
    <t>68233257SW25</t>
  </si>
  <si>
    <t>68233257SW32</t>
  </si>
  <si>
    <t>MIRACLE INFINITI OF AUGUSTA</t>
  </si>
  <si>
    <t>62197687SW04</t>
  </si>
  <si>
    <t>MERCEDES BENZ OF NORTHERN ARIZONA</t>
  </si>
  <si>
    <t>LAPIS AUTOMOTIVE</t>
  </si>
  <si>
    <t>62195651SW45</t>
  </si>
  <si>
    <t>68243070SW04</t>
  </si>
  <si>
    <t>MERCEDES BENZ ATLANTA SOUTH</t>
  </si>
  <si>
    <t>JIM ELLIS</t>
  </si>
  <si>
    <t>68237234SW02</t>
  </si>
  <si>
    <t>GREENCASTLE CHEVROLET</t>
  </si>
  <si>
    <t>68245216SW77</t>
  </si>
  <si>
    <t>68234351SW01</t>
  </si>
  <si>
    <t>FRED BEANS</t>
  </si>
  <si>
    <t>64235152SW02</t>
  </si>
  <si>
    <t>SINGING RIVER TOYOTA</t>
  </si>
  <si>
    <t>64235152SW60</t>
  </si>
  <si>
    <t>SINGING RIVER HONDA</t>
  </si>
  <si>
    <t>64235152SW85</t>
  </si>
  <si>
    <t>CHRYSLER DODGE JEEP RAM FIAT OF FLORENCE</t>
  </si>
  <si>
    <t>64235114SW55</t>
  </si>
  <si>
    <t>SINGING RIVER NISSAN</t>
  </si>
  <si>
    <t>62193080SW11</t>
  </si>
  <si>
    <t>64234465SW03</t>
  </si>
  <si>
    <t>64244169SW89</t>
  </si>
  <si>
    <t>64229143SW07</t>
  </si>
  <si>
    <t>AUDI MIAMI SOUTH</t>
  </si>
  <si>
    <t>64229143SW02</t>
  </si>
  <si>
    <t>LAMBORGHINI SOUTH DADE</t>
  </si>
  <si>
    <t>68233762SW04</t>
  </si>
  <si>
    <t>GENESIS OF RIDGEFIELD</t>
  </si>
  <si>
    <t>KEELER</t>
  </si>
  <si>
    <t>68242688SW04</t>
  </si>
  <si>
    <t>64243537SW75</t>
  </si>
  <si>
    <t>62188714SW04</t>
  </si>
  <si>
    <t>WEST HOUSTON HYUNDAI</t>
  </si>
  <si>
    <t>64232888SW04</t>
  </si>
  <si>
    <t>EXPRESS TERRY CHEVROLET GMC</t>
  </si>
  <si>
    <t>68240592SW74</t>
  </si>
  <si>
    <t>62188505SW04</t>
  </si>
  <si>
    <t>62191301SW12</t>
  </si>
  <si>
    <t>64232888SW50</t>
  </si>
  <si>
    <t>GEAUX PLAQUEMINE, LLC DBA GEAUX CHRYSLER DODGE JEE</t>
  </si>
  <si>
    <t>62188303SW03</t>
  </si>
  <si>
    <t>68233541SW04</t>
  </si>
  <si>
    <t>VADEN CDJR SAVANNAH</t>
  </si>
  <si>
    <t>DAN VADEN GROUP</t>
  </si>
  <si>
    <t>64241882SW44</t>
  </si>
  <si>
    <t>ALL STAR AUTO GROUP - MS</t>
  </si>
  <si>
    <t>62190706SW02</t>
  </si>
  <si>
    <t>ROCKWALL COUNTY VOLKSWAGEN</t>
  </si>
  <si>
    <t>68226829SW62</t>
  </si>
  <si>
    <t>RC CDJR</t>
  </si>
  <si>
    <t>68232208SW83</t>
  </si>
  <si>
    <t>68234886SW01</t>
  </si>
  <si>
    <t>68229928SW41</t>
  </si>
  <si>
    <t>LUXURY MOTOR CAR COMPANY</t>
  </si>
  <si>
    <t>68244997SW47</t>
  </si>
  <si>
    <t>68244997SW75</t>
  </si>
  <si>
    <t>CLASSIC CHRYSLER DODGE JEEP RAM OF LANCASTER</t>
  </si>
  <si>
    <t>68250410SW65</t>
  </si>
  <si>
    <t>MOTOR MILE HYUNDAI</t>
  </si>
  <si>
    <t>68244997SW84</t>
  </si>
  <si>
    <t>CLASSIC PORSCHE NORTHLAKE</t>
  </si>
  <si>
    <t>68247382SW04</t>
  </si>
  <si>
    <t>68244627SW55</t>
  </si>
  <si>
    <t>62193784SW69</t>
  </si>
  <si>
    <t>68226616SW42</t>
  </si>
  <si>
    <t>WAGNER SUBARU</t>
  </si>
  <si>
    <t>WAGNER AUTO SALES GROUP</t>
  </si>
  <si>
    <t>68226626SW47</t>
  </si>
  <si>
    <t>BOUCHER</t>
  </si>
  <si>
    <t>68233612SW03</t>
  </si>
  <si>
    <t>VINELAND DODGE CHRYSLER JEEP RAM</t>
  </si>
  <si>
    <t>62191301SW19</t>
  </si>
  <si>
    <t>RUSNAK INEOS GRENADIER</t>
  </si>
  <si>
    <t>62187727SW25</t>
  </si>
  <si>
    <t>62191268SW03</t>
  </si>
  <si>
    <t>DEMAROIS BUICK GMC</t>
  </si>
  <si>
    <t>62186473SW45</t>
  </si>
  <si>
    <t>68242311SW59</t>
  </si>
  <si>
    <t>68230239SW05</t>
  </si>
  <si>
    <t>WINNER CHEVROLET</t>
  </si>
  <si>
    <t>WINNER</t>
  </si>
  <si>
    <t>68231513SW03</t>
  </si>
  <si>
    <t>CRABTREE LEXUS OF NEW HAVEN</t>
  </si>
  <si>
    <t>68229943SW03</t>
  </si>
  <si>
    <t>BOBBY CRABTREE CHEVROLET</t>
  </si>
  <si>
    <t>68228634SW48</t>
  </si>
  <si>
    <t>RIVERSIDE NISSAN OF ROME</t>
  </si>
  <si>
    <t>62186688SW14</t>
  </si>
  <si>
    <t>GRUBBS AUTO GROUP</t>
  </si>
  <si>
    <t>03174816SW85</t>
  </si>
  <si>
    <t>68234351SW03</t>
  </si>
  <si>
    <t>FRED BEANS MAZDA OF MECHANICSBURG</t>
  </si>
  <si>
    <t>64232224SW52</t>
  </si>
  <si>
    <t>64232224SW68</t>
  </si>
  <si>
    <t>68237353SW01</t>
  </si>
  <si>
    <t>TA114 TIMBROOK AUTOMOTIVE 14.0 LLC DBA ZOOK MOTORS</t>
  </si>
  <si>
    <t>68233855SW01</t>
  </si>
  <si>
    <t>TA117 TIMBROOK AUTOMOTIVE 17.0 LLC DBA HAZLETON MA</t>
  </si>
  <si>
    <t>68234430SW01</t>
  </si>
  <si>
    <t>62187182SW12</t>
  </si>
  <si>
    <t>68243879SW86</t>
  </si>
  <si>
    <t>62186658SW43</t>
  </si>
  <si>
    <t>62191525SW01</t>
  </si>
  <si>
    <t>JACK CARROLL'S SKAGIT HYUNDAI</t>
  </si>
  <si>
    <t>64233090SW51</t>
  </si>
  <si>
    <t>68238957SW03</t>
  </si>
  <si>
    <t>FAIRWAY SERVICE CENTER</t>
  </si>
  <si>
    <t>62187010SW04</t>
  </si>
  <si>
    <t>64239261SW01</t>
  </si>
  <si>
    <t>JIMMY GRAY CHEVROLET</t>
  </si>
  <si>
    <t>68232000SW82</t>
  </si>
  <si>
    <t>D DIP AUTOMOTIVE GROUP</t>
  </si>
  <si>
    <t>64235553SW43</t>
  </si>
  <si>
    <t>68232176SW04</t>
  </si>
  <si>
    <t>BUDDY CHEVROLET</t>
  </si>
  <si>
    <t>68234803SW54</t>
  </si>
  <si>
    <t>62188163SW51</t>
  </si>
  <si>
    <t>ARANDA AUTOMOTIVE GROUP, INC</t>
  </si>
  <si>
    <t>64238779SW47</t>
  </si>
  <si>
    <t>GALLATIN FORD</t>
  </si>
  <si>
    <t>WE AUTO</t>
  </si>
  <si>
    <t>64234585SW43</t>
  </si>
  <si>
    <t xml:space="preserve">	GENESIS OF TAMPA</t>
  </si>
  <si>
    <t>68233954SW54</t>
  </si>
  <si>
    <t>68234109SW04</t>
  </si>
  <si>
    <t>AMHERST AUTOMOTIVE</t>
  </si>
  <si>
    <t>64238399SW12</t>
  </si>
  <si>
    <t>68234032SW43</t>
  </si>
  <si>
    <t>SMYTHE AUTOMOTIVE</t>
  </si>
  <si>
    <t>68244866SW18</t>
  </si>
  <si>
    <t>CADILLAC MT KISCO</t>
  </si>
  <si>
    <t>03173859SW43</t>
  </si>
  <si>
    <t>62189373SW43</t>
  </si>
  <si>
    <t>TOYOTA OF BELLINGHAM</t>
  </si>
  <si>
    <t>62189373SW89</t>
  </si>
  <si>
    <t>MERCEDES-BENZ OF BELLINGHAM</t>
  </si>
  <si>
    <t>68236194SW04</t>
  </si>
  <si>
    <t>MASTRIA HYUNDAI</t>
  </si>
  <si>
    <t>MASTRIA</t>
  </si>
  <si>
    <t>62194503SW01</t>
  </si>
  <si>
    <t>MAZDA OF ELK GROVE</t>
  </si>
  <si>
    <t>GILES</t>
  </si>
  <si>
    <t>64237206SW04</t>
  </si>
  <si>
    <t>68235765SW51</t>
  </si>
  <si>
    <t>BLASIUS MITSUBISHI</t>
  </si>
  <si>
    <t>68236626SW51</t>
  </si>
  <si>
    <t>98108396SW58</t>
  </si>
  <si>
    <t>CAMION ISUZU SAGUENAY</t>
  </si>
  <si>
    <t>53020236SW09</t>
  </si>
  <si>
    <t>AUTONATION MAZDA ARAPAHOE #2720</t>
  </si>
  <si>
    <t>64238466SW48</t>
  </si>
  <si>
    <t>JK NISSAN LLC DBA JOURNEY NISSAN</t>
  </si>
  <si>
    <t>64243479SW45</t>
  </si>
  <si>
    <t>ORANGE BUICK GMC</t>
  </si>
  <si>
    <t>64239678SW44</t>
  </si>
  <si>
    <t>TRIANGLE</t>
  </si>
  <si>
    <t>64238123SW04</t>
  </si>
  <si>
    <t>CHUCK HUTTON CHEVROLET</t>
  </si>
  <si>
    <t>YK AUTO GROUP</t>
  </si>
  <si>
    <t>68237498SW49</t>
  </si>
  <si>
    <t>68237471SW42</t>
  </si>
  <si>
    <t>AUBURN HYUNDAI</t>
  </si>
  <si>
    <t>64238089SW43</t>
  </si>
  <si>
    <t>64238507SW48</t>
  </si>
  <si>
    <t>64244470SW39</t>
  </si>
  <si>
    <t>HAPPY HYUNDAI OF ROCHESTER</t>
  </si>
  <si>
    <t>62191794SW43</t>
  </si>
  <si>
    <t>68245024SW45</t>
  </si>
  <si>
    <t>JOHN MEGEL CHEVROLET</t>
  </si>
  <si>
    <t>MEGEL AUTO</t>
  </si>
  <si>
    <t>64239638SW42</t>
  </si>
  <si>
    <t>TNT AUTO</t>
  </si>
  <si>
    <t>62197311SW04</t>
  </si>
  <si>
    <t>SOUTH BAY</t>
  </si>
  <si>
    <t>62192175SW61</t>
  </si>
  <si>
    <t>NISSAN OF GILROY</t>
  </si>
  <si>
    <t>98052151SW07</t>
  </si>
  <si>
    <t>62192274SW48</t>
  </si>
  <si>
    <t>MUSTANG COUNTRY CHEVROLET BUICK</t>
  </si>
  <si>
    <t>68239489SW04</t>
  </si>
  <si>
    <t>PERFORMANCE VOLVO</t>
  </si>
  <si>
    <t>PERFORMANCE GROUP</t>
  </si>
  <si>
    <t>68239489SW89</t>
  </si>
  <si>
    <t>62192468SW43</t>
  </si>
  <si>
    <t>68240544SW63</t>
  </si>
  <si>
    <t>HEALEY BROTHERS CHEVROLET CADILLAC LLC</t>
  </si>
  <si>
    <t>68240301SW18</t>
  </si>
  <si>
    <t>MECHANICSVILLE KIA</t>
  </si>
  <si>
    <t>62192765SW43</t>
  </si>
  <si>
    <t>ANCIRA BUICK GMC - KILLEEN</t>
  </si>
  <si>
    <t>64240728SW43</t>
  </si>
  <si>
    <t>SEELYE AUTO GROUP</t>
  </si>
  <si>
    <t>64240968SW04</t>
  </si>
  <si>
    <t>OWEN MOTOR GROUP</t>
  </si>
  <si>
    <t>64245544SW55</t>
  </si>
  <si>
    <t>CASTLE IMPORTS OF MCHENRY LLC DBA CASTLE KIA</t>
  </si>
  <si>
    <t>64242527SW64</t>
  </si>
  <si>
    <t>MVP CHRYSLER 65</t>
  </si>
  <si>
    <t>64241842SW04</t>
  </si>
  <si>
    <t>62196849SW10</t>
  </si>
  <si>
    <t>SUNRISE FORD NORTH HOLLYWOOD</t>
  </si>
  <si>
    <t>68245403SW03</t>
  </si>
  <si>
    <t>62193963SW52</t>
  </si>
  <si>
    <t>68242836SW11</t>
  </si>
  <si>
    <t>STELLY NISSAN OF YORKTOWN HEIGHTS</t>
  </si>
  <si>
    <t>JOHN STELLY AUTOMOTIVE</t>
  </si>
  <si>
    <t>68242544SW67</t>
  </si>
  <si>
    <t>68242475SW64</t>
  </si>
  <si>
    <t>68244890SW48</t>
  </si>
  <si>
    <t>62194478SW40</t>
  </si>
  <si>
    <t>ACURA OF FREMONT</t>
  </si>
  <si>
    <t>62194256SW44</t>
  </si>
  <si>
    <t>62194859SW08</t>
  </si>
  <si>
    <t>BMW OF NAPA VALLEY</t>
  </si>
  <si>
    <t>68243442SW03</t>
  </si>
  <si>
    <t>LB SMITH</t>
  </si>
  <si>
    <t>64245206SW66</t>
  </si>
  <si>
    <t>68246903SW04</t>
  </si>
  <si>
    <t>CHARLOTTE INEOS GRENADIER</t>
  </si>
  <si>
    <t>68246365SW11</t>
  </si>
  <si>
    <t>62195107SW45</t>
  </si>
  <si>
    <t>62196234SW62</t>
  </si>
  <si>
    <t>62196772SW03</t>
  </si>
  <si>
    <t>62195600SW59</t>
  </si>
  <si>
    <t>HYUNDAI OF PALM SPRINGS</t>
  </si>
  <si>
    <t>INDIGO</t>
  </si>
  <si>
    <t>64246768SW01</t>
  </si>
  <si>
    <t>FRED ANDERSON TOYOTA OF CAPE CORAL</t>
  </si>
  <si>
    <t>64247751SW03</t>
  </si>
  <si>
    <t>64244302SW53</t>
  </si>
  <si>
    <t>64244146SW63</t>
  </si>
  <si>
    <t>68246489SW45</t>
  </si>
  <si>
    <t>68247253SW03</t>
  </si>
  <si>
    <t>64245297SW49</t>
  </si>
  <si>
    <t>ARLINGTON TOYOTA</t>
  </si>
  <si>
    <t>MOHR</t>
  </si>
  <si>
    <t>98108572SW45</t>
  </si>
  <si>
    <t>TESCO TRUCK EQUIPMENT AND SERVICE COMPANY LTD</t>
  </si>
  <si>
    <t>TESCO TRUCK EQUIPMENT AND SERVICE COMPANY</t>
  </si>
  <si>
    <t>68247760SW53</t>
  </si>
  <si>
    <t>62197018SW46</t>
  </si>
  <si>
    <t>68249173SW04</t>
  </si>
  <si>
    <t>NISSAN GREENVILLE</t>
  </si>
  <si>
    <t>JOHN ELLIS GROUP OF ATLANTA</t>
  </si>
  <si>
    <t>68249173SW11</t>
  </si>
  <si>
    <t>DC LRA GREENVILLE</t>
  </si>
  <si>
    <t>64247196SW04</t>
  </si>
  <si>
    <t>WINNER CIRCLE AUTO GROUP</t>
  </si>
  <si>
    <t>62197728SW53</t>
  </si>
  <si>
    <t>LIVERMORE AUDI</t>
  </si>
  <si>
    <t>62197728SW76</t>
  </si>
  <si>
    <t>LAND ROVER LIVERMORE</t>
  </si>
  <si>
    <t>62197729SW88</t>
  </si>
  <si>
    <t>62197730SW46</t>
  </si>
  <si>
    <t>68249173SW18</t>
  </si>
  <si>
    <t>DC PORSCHE GREENVILLE</t>
  </si>
  <si>
    <t>64247251SW04</t>
  </si>
  <si>
    <t>PORSCHE - JACKIE COOPER IMPORTS</t>
  </si>
  <si>
    <t>62199345SW07</t>
  </si>
  <si>
    <t>PREMIER FORD OF LAMESA</t>
  </si>
  <si>
    <t>Grand Total</t>
  </si>
  <si>
    <t>64245745SW59</t>
  </si>
  <si>
    <t>LYNN LAYTON CHEVROLET</t>
  </si>
  <si>
    <t>LYNN LAYTON</t>
  </si>
  <si>
    <t>64245745SW85</t>
  </si>
  <si>
    <t>64246911SW03</t>
  </si>
  <si>
    <t>AL PACKER INC.</t>
  </si>
  <si>
    <t>AL PACKER</t>
  </si>
  <si>
    <t>64246911SW10</t>
  </si>
  <si>
    <t>AL PACKER FORD WEST</t>
  </si>
  <si>
    <t>68247270SW53</t>
  </si>
  <si>
    <t>HAMPTON CHEVROLET</t>
  </si>
  <si>
    <t>FIRST TEAM AUTO GROUP</t>
  </si>
  <si>
    <t>01192201</t>
  </si>
  <si>
    <t>64246144SW53</t>
  </si>
  <si>
    <t>CABRERA HNOS INC</t>
  </si>
  <si>
    <t>CABRERA</t>
  </si>
  <si>
    <t>68240854SW03</t>
  </si>
  <si>
    <t>SOUTHTOWNE AUTO GROUP</t>
  </si>
  <si>
    <t>64246858SW70</t>
  </si>
  <si>
    <t>HONDA DE SAN JUAN</t>
  </si>
  <si>
    <t>05400127</t>
  </si>
  <si>
    <t>64248879SW04</t>
  </si>
  <si>
    <t>BRIGGS KIA</t>
  </si>
  <si>
    <t>BRIGGS AUTOMOTIVE</t>
  </si>
  <si>
    <t>05400206</t>
  </si>
  <si>
    <t>64245577SW61</t>
  </si>
  <si>
    <t>JOE RIZZA ACURA</t>
  </si>
  <si>
    <t>05700227</t>
  </si>
  <si>
    <t>64244232SW52</t>
  </si>
  <si>
    <t>SOUTHPOINT VW</t>
  </si>
  <si>
    <t>SOUTHWEST VW GROUP</t>
  </si>
  <si>
    <t>08300388</t>
  </si>
  <si>
    <t>68249115SW04</t>
  </si>
  <si>
    <t>SIMMONS ROCKWELL FORD OF HORNELL</t>
  </si>
  <si>
    <t>64236822SW03</t>
  </si>
  <si>
    <t>BAHAMAS BUS &amp; TRUCK CO.</t>
  </si>
  <si>
    <t>FRIENDLY FORD GROUP</t>
  </si>
  <si>
    <t>08320100</t>
  </si>
  <si>
    <t>64247180SW03</t>
  </si>
  <si>
    <t>TOWN &amp; COUNTRY FORD, LLC</t>
  </si>
  <si>
    <t>03176199SW04</t>
  </si>
  <si>
    <t>BRANTFORD NISSAN INC</t>
  </si>
  <si>
    <t>09126701</t>
  </si>
  <si>
    <t>03176501SW04</t>
  </si>
  <si>
    <t>SCARBOROUGH NISSAN (1989) LIMITED</t>
  </si>
  <si>
    <t>09130701</t>
  </si>
  <si>
    <t>03176538SW04</t>
  </si>
  <si>
    <t>WOODCHESTER NISSAN LTD.</t>
  </si>
  <si>
    <t>09187655</t>
  </si>
  <si>
    <t>03176081SW44</t>
  </si>
  <si>
    <t>PLAZA CHEVROLET BUICK GMC</t>
  </si>
  <si>
    <t>64248879SW11</t>
  </si>
  <si>
    <t>BRIGGS NISSAN</t>
  </si>
  <si>
    <t>68253392SW55</t>
  </si>
  <si>
    <t>OXMOOR TOYOTA</t>
  </si>
  <si>
    <t>64248879SW18</t>
  </si>
  <si>
    <t>BRIGGS BUICK GMC</t>
  </si>
  <si>
    <t>64250958SW62</t>
  </si>
  <si>
    <t>OXMOOR FORD LINCOLN MERCURY</t>
  </si>
  <si>
    <t>64248125SW03</t>
  </si>
  <si>
    <t>BO BEUCKMAN FORD, INC.</t>
  </si>
  <si>
    <t>68249220SW03</t>
  </si>
  <si>
    <t>PAT MILLIKEN FORD INC</t>
  </si>
  <si>
    <t>64250467SW04</t>
  </si>
  <si>
    <t>62198242SW04</t>
  </si>
  <si>
    <t>BROWN CHEVROLET CO INC</t>
  </si>
  <si>
    <t>62198242SW11</t>
  </si>
  <si>
    <t>BROWN AUTOMOTIVE CENTER</t>
  </si>
  <si>
    <t>62198091SW04</t>
  </si>
  <si>
    <t>WESTSIDE CHEVROLET INC</t>
  </si>
  <si>
    <t>64246024SW65</t>
  </si>
  <si>
    <t>JOE COOPER YUKON FORD</t>
  </si>
  <si>
    <t>62199212SW03</t>
  </si>
  <si>
    <t>BRINSON FORD INC</t>
  </si>
  <si>
    <t>62197606SW04</t>
  </si>
  <si>
    <t>DOW AUTOPLEX</t>
  </si>
  <si>
    <t>DOW AUTO GROUP</t>
  </si>
  <si>
    <t>62200334SW04</t>
  </si>
  <si>
    <t>PETERS CHEVROLET CHRYSLER JEEP DODGE RAM</t>
  </si>
  <si>
    <t>PETERS CHEVROLET GROUP</t>
  </si>
  <si>
    <t>68253677SW04</t>
  </si>
  <si>
    <t>BODWELL CHRYSLER JEEP DODGE RAM</t>
  </si>
  <si>
    <t>68247494SW57</t>
  </si>
  <si>
    <t>RYE AUTO GROUP</t>
  </si>
  <si>
    <t>68253271SW04</t>
  </si>
  <si>
    <t>68253598SW04</t>
  </si>
  <si>
    <t>68253514SW04</t>
  </si>
  <si>
    <t>68253466SW03</t>
  </si>
  <si>
    <t>68240559SW50</t>
  </si>
  <si>
    <t>FALMOUTH TOYOTA, INC.</t>
  </si>
  <si>
    <t>FALMOUTH TOYOTA</t>
  </si>
  <si>
    <t>68249887SW03</t>
  </si>
  <si>
    <t>68239972SW04</t>
  </si>
  <si>
    <t>MERCEDES BENZ OF WHITE PLAINS</t>
  </si>
  <si>
    <t>PEPE</t>
  </si>
  <si>
    <t>68249070SW01</t>
  </si>
  <si>
    <t>TOWNE FORD INC.</t>
  </si>
  <si>
    <t>68244140SW58</t>
  </si>
  <si>
    <t>68249115SW11</t>
  </si>
  <si>
    <t>SIMMONS ROCKWELL CHEVROLET GMC OF BATH</t>
  </si>
  <si>
    <t>01356214SW38</t>
  </si>
  <si>
    <t>WHEATON PONT.BUICK.CAD.GM</t>
  </si>
  <si>
    <t>WHEATON</t>
  </si>
  <si>
    <t>64249529SW03</t>
  </si>
  <si>
    <t>KERRY FORD</t>
  </si>
  <si>
    <t>01355879SW51</t>
  </si>
  <si>
    <t>OKOTOKS CHEVROLET BUICK GMC LIMITED PARTNERSHIP</t>
  </si>
  <si>
    <t>68249574SW46</t>
  </si>
  <si>
    <t>JIM ELLIS VOLKSWAGEN OF ATLANTA</t>
  </si>
  <si>
    <t>64250838SW61</t>
  </si>
  <si>
    <t>WHITE BEAR LINCOLN-MERCUR</t>
  </si>
  <si>
    <t>WHITE BEAR LINCOLN</t>
  </si>
  <si>
    <t>64251232SW03</t>
  </si>
  <si>
    <t>UPTOWN LINCOLN</t>
  </si>
  <si>
    <t>68249839SW03</t>
  </si>
  <si>
    <t>MORRIS FORD INC.</t>
  </si>
  <si>
    <t>MORRIS</t>
  </si>
  <si>
    <t>64247612SW03</t>
  </si>
  <si>
    <t>MARK WILLIAMS AUTO GROUP</t>
  </si>
  <si>
    <t>01355880SW04</t>
  </si>
  <si>
    <t>CMP AUTOMOTIVE LIMITED PARTNERSHIP</t>
  </si>
  <si>
    <t>62198506SW03</t>
  </si>
  <si>
    <t>64251191SW49</t>
  </si>
  <si>
    <t>GOLDEN CIRCLE-FORD-L/M</t>
  </si>
  <si>
    <t>64250882SW03</t>
  </si>
  <si>
    <t>METRO FORD</t>
  </si>
  <si>
    <t>68248464SW03</t>
  </si>
  <si>
    <t>WHITE MARSH FORD</t>
  </si>
  <si>
    <t>03176526SW48</t>
  </si>
  <si>
    <t>68251572SW61</t>
  </si>
  <si>
    <t>PARK FORD OF MAHOPAC, INC.</t>
  </si>
  <si>
    <t>PARK FORD</t>
  </si>
  <si>
    <t>62198454SW46</t>
  </si>
  <si>
    <t>GIANT CHEVROLET</t>
  </si>
  <si>
    <t>64243633SW52</t>
  </si>
  <si>
    <t>SCHUMACHER AUTO - NPB</t>
  </si>
  <si>
    <t>98052980SW56</t>
  </si>
  <si>
    <t>64246418SW70</t>
  </si>
  <si>
    <t>68247289SW56</t>
  </si>
  <si>
    <t>62198640SW04</t>
  </si>
  <si>
    <t>PORSCHE REDWOOD CITY</t>
  </si>
  <si>
    <t>64246571SW11</t>
  </si>
  <si>
    <t>68249115SW18</t>
  </si>
  <si>
    <t>SIMMONS ROCKWELL DODGE CHRYSLER JEEP RAM OF BATH</t>
  </si>
  <si>
    <t>03175784SW88</t>
  </si>
  <si>
    <t>CLASSIC HONDA</t>
  </si>
  <si>
    <t>03175786SW84</t>
  </si>
  <si>
    <t>KIA OF BRAMPTON</t>
  </si>
  <si>
    <t>03175787SW84</t>
  </si>
  <si>
    <t>MAZDA OF BRAMPTON</t>
  </si>
  <si>
    <t>68247289SW65</t>
  </si>
  <si>
    <t>FIRST TEAM TOYOTA</t>
  </si>
  <si>
    <t>68249574SW53</t>
  </si>
  <si>
    <t>JIM ELLIS CHEVROLET OF ATLANTA</t>
  </si>
  <si>
    <t>62197955SW06</t>
  </si>
  <si>
    <t>MERCEDES-BENZ OF SUGAR LAND</t>
  </si>
  <si>
    <t>MERCEDES BENZ OF SUGAR LAND</t>
  </si>
  <si>
    <t>68253281SW03</t>
  </si>
  <si>
    <t>KING FORD</t>
  </si>
  <si>
    <t>64248879SW25</t>
  </si>
  <si>
    <t>BRIGGS DODGE RAM</t>
  </si>
  <si>
    <t>64246888SW76</t>
  </si>
  <si>
    <t>HONDA DE BAYAMON</t>
  </si>
  <si>
    <t>68249091SW04</t>
  </si>
  <si>
    <t>03175789SW84</t>
  </si>
  <si>
    <t>MOTION MAZDA</t>
  </si>
  <si>
    <t>98052980SW70</t>
  </si>
  <si>
    <t>64247437SW47</t>
  </si>
  <si>
    <t>64238402SW12</t>
  </si>
  <si>
    <t>64246803SW11</t>
  </si>
  <si>
    <t>DYER CHEVROLET</t>
  </si>
  <si>
    <t>64247273SW61</t>
  </si>
  <si>
    <t>STINGRAY CHEVROLET BARTOW</t>
  </si>
  <si>
    <t>DURANT - STINGRAY CHEVROLET</t>
  </si>
  <si>
    <t>64242581SW58</t>
  </si>
  <si>
    <t>EVERGREEN MOTORS INC</t>
  </si>
  <si>
    <t>EVERGREEN KIA</t>
  </si>
  <si>
    <t>03176514SW47</t>
  </si>
  <si>
    <t>PORSCHE DOWNTOWN</t>
  </si>
  <si>
    <t>DFC AUTO GROUP INC</t>
  </si>
  <si>
    <t>62196996SW03</t>
  </si>
  <si>
    <t>FRIENDLY AUTOMALL</t>
  </si>
  <si>
    <t>62200292SW03</t>
  </si>
  <si>
    <t>DENNY MENHOLT FORD</t>
  </si>
  <si>
    <t>64246888SW85</t>
  </si>
  <si>
    <t>FLAGSHIP MAZDA SAN JUAN</t>
  </si>
  <si>
    <t>62199212SW10</t>
  </si>
  <si>
    <t>BRINSON FORD LINCOLN MERCU</t>
  </si>
  <si>
    <t>68249115SW25</t>
  </si>
  <si>
    <t>SIMMONS ROCKWELL FORD OF HALLSTEAD</t>
  </si>
  <si>
    <t>68249574SW60</t>
  </si>
  <si>
    <t>JIM ELLIS PORSCHE OF ATLANTA</t>
  </si>
  <si>
    <t>64246024SW93</t>
  </si>
  <si>
    <t>JOE COOPER SHAWNEE FORD</t>
  </si>
  <si>
    <t>64246011SW45</t>
  </si>
  <si>
    <t>JACKIE COOPER BMW</t>
  </si>
  <si>
    <t>03175824SW54</t>
  </si>
  <si>
    <t>BRAMPTON NORTH NISSAN</t>
  </si>
  <si>
    <t>68253399SW53</t>
  </si>
  <si>
    <t>OXMOOR MAZDA</t>
  </si>
  <si>
    <t>68250228SW50</t>
  </si>
  <si>
    <t>BOCH LUXE F INC</t>
  </si>
  <si>
    <t>BOCH</t>
  </si>
  <si>
    <t>62197738SW03</t>
  </si>
  <si>
    <t>MARSHALL FORD</t>
  </si>
  <si>
    <t>64246213SW04</t>
  </si>
  <si>
    <t>VATLAND HONDA</t>
  </si>
  <si>
    <t>VATLAND GROUP</t>
  </si>
  <si>
    <t>62196115SW04</t>
  </si>
  <si>
    <t>MIDWAY HYUNDAI POST FALLS</t>
  </si>
  <si>
    <t>MIDWAY HYUNDAI</t>
  </si>
  <si>
    <t>64245217SW59</t>
  </si>
  <si>
    <t>03176514SW77</t>
  </si>
  <si>
    <t>AUDI UPTOWN</t>
  </si>
  <si>
    <t>01355880SW55</t>
  </si>
  <si>
    <t>SHAW GMC CHEVROLET BUICK LIMITED PARTNERSHIP</t>
  </si>
  <si>
    <t>68249854SW61</t>
  </si>
  <si>
    <t>GREENWOOD CHEVROLET INC.</t>
  </si>
  <si>
    <t>GREENWOOD</t>
  </si>
  <si>
    <t>68249854SW83</t>
  </si>
  <si>
    <t>GREENWOOD HUBBARD CHEVROLET</t>
  </si>
  <si>
    <t>64247499SW03</t>
  </si>
  <si>
    <t>HIGHLAND PARK FORD</t>
  </si>
  <si>
    <t>HIGHLAND PARK FORD LINCOLN INC.</t>
  </si>
  <si>
    <t>68250148SW03</t>
  </si>
  <si>
    <t>64246144SW76</t>
  </si>
  <si>
    <t>CABRERA AUTO GROUP, INC</t>
  </si>
  <si>
    <t>64248006SW46</t>
  </si>
  <si>
    <t>ROUTE 60</t>
  </si>
  <si>
    <t>64251085SW51</t>
  </si>
  <si>
    <t>64251088SW04</t>
  </si>
  <si>
    <t>64251088SW63</t>
  </si>
  <si>
    <t>62199208SW04</t>
  </si>
  <si>
    <t>VW OF GARDEN GROVE</t>
  </si>
  <si>
    <t>CIRCLE CORP</t>
  </si>
  <si>
    <t>64247778SW04</t>
  </si>
  <si>
    <t>CURRIE MOTORS CHEVROLET</t>
  </si>
  <si>
    <t>CURRIE MOTOR GROUP</t>
  </si>
  <si>
    <t>68246325SW03</t>
  </si>
  <si>
    <t>64251292SW57</t>
  </si>
  <si>
    <t>FRANK FLETCHER HYUNDAI</t>
  </si>
  <si>
    <t>FRANK FLETCHER</t>
  </si>
  <si>
    <t>98050956SW01</t>
  </si>
  <si>
    <t>VERNAL PETERBILT, INC.</t>
  </si>
  <si>
    <t>98052980SW86</t>
  </si>
  <si>
    <t>98052981SW74</t>
  </si>
  <si>
    <t>64243618SW11</t>
  </si>
  <si>
    <t>SUBARU OF WEST PALM BEACH</t>
  </si>
  <si>
    <t>64243618SW18</t>
  </si>
  <si>
    <t>VOLKSWAGEN OF NORTH PALM BEACH</t>
  </si>
  <si>
    <t>64246130SW11</t>
  </si>
  <si>
    <t>64246130SW18</t>
  </si>
  <si>
    <t>64246130SW25</t>
  </si>
  <si>
    <t>64246130SW32</t>
  </si>
  <si>
    <t>68249444SW65</t>
  </si>
  <si>
    <t>MIKE TOLER CHRYSLER DODGE JEEP RAM FIAT</t>
  </si>
  <si>
    <t>64246571SW25</t>
  </si>
  <si>
    <t>64245217SW86</t>
  </si>
  <si>
    <t>KERRY BUICK PONTIAC GMC</t>
  </si>
  <si>
    <t>64246882SW46</t>
  </si>
  <si>
    <t>ACURA DE PONCE</t>
  </si>
  <si>
    <t>64244232SW66</t>
  </si>
  <si>
    <t>SOUTHWEST VOLKSWAGEN</t>
  </si>
  <si>
    <t>64251068SW04</t>
  </si>
  <si>
    <t>C BAKER CHEVROLET BUICK INC</t>
  </si>
  <si>
    <t>BAKER</t>
  </si>
  <si>
    <t>62197750SW04</t>
  </si>
  <si>
    <t>JOHNSON AUTO PLAZA</t>
  </si>
  <si>
    <t>62197750SW11</t>
  </si>
  <si>
    <t>JOHNSON GMC BUICK PONTIAC</t>
  </si>
  <si>
    <t>68250403SW69</t>
  </si>
  <si>
    <t>SHELOR MOTOR MILE CHEVROLET</t>
  </si>
  <si>
    <t>68249574SW67</t>
  </si>
  <si>
    <t>JIM ELLIS BUICK GMC OF ATLANTA</t>
  </si>
  <si>
    <t>62197088SW03</t>
  </si>
  <si>
    <t>ROGERS FORD SALES INC</t>
  </si>
  <si>
    <t>ROGERS FORD</t>
  </si>
  <si>
    <t>64247273SW83</t>
  </si>
  <si>
    <t>STINGRAY CHEVROLET</t>
  </si>
  <si>
    <t>68250854SW04</t>
  </si>
  <si>
    <t>GENGRAS CHRYSLER DODGE JEEP RAM</t>
  </si>
  <si>
    <t>64246885SW04</t>
  </si>
  <si>
    <t>FLAGSHIP VOLKSWAGEN BAYAMON</t>
  </si>
  <si>
    <t>64251292SW74</t>
  </si>
  <si>
    <t>FRANK FLETCHER TOYOTA</t>
  </si>
  <si>
    <t>64247133SW03</t>
  </si>
  <si>
    <t>GEORGE NUNNALLY CHEVROLET</t>
  </si>
  <si>
    <t>64249887SW66</t>
  </si>
  <si>
    <t>SAPAUGH CHEVROLET BUICK GMC</t>
  </si>
  <si>
    <t>SAPAUGH GROUP</t>
  </si>
  <si>
    <t>64238381SW12</t>
  </si>
  <si>
    <t>CASTLE CHEVROLET</t>
  </si>
  <si>
    <t>64251270SW61</t>
  </si>
  <si>
    <t>FRANK FLETCHER FORD</t>
  </si>
  <si>
    <t>68251735SW03</t>
  </si>
  <si>
    <t>MIKE DORIAN FORD</t>
  </si>
  <si>
    <t>DORIAN</t>
  </si>
  <si>
    <t>62193747SW55</t>
  </si>
  <si>
    <t>TEXAN HYUNDAI</t>
  </si>
  <si>
    <t>64249336SW04</t>
  </si>
  <si>
    <t>PALMEN BUICK</t>
  </si>
  <si>
    <t>PALMEN</t>
  </si>
  <si>
    <t>68250793SW03</t>
  </si>
  <si>
    <t>BMW OF SOUTHHAMPTON</t>
  </si>
  <si>
    <t>68249115SW32</t>
  </si>
  <si>
    <t>SIMMONS ROCKWELL FORD OF BATH</t>
  </si>
  <si>
    <t>03175979SW44</t>
  </si>
  <si>
    <t>GYRO MOTORS LIMITED</t>
  </si>
  <si>
    <t>GYRO GROUP</t>
  </si>
  <si>
    <t>64251306SW82</t>
  </si>
  <si>
    <t>FLETCHER HONDA</t>
  </si>
  <si>
    <t>64251273SW65</t>
  </si>
  <si>
    <t>FRANK FLETCHER NISSAN</t>
  </si>
  <si>
    <t>64246131SW04</t>
  </si>
  <si>
    <t>FELDMAN M59 OFFROAD, LLC</t>
  </si>
  <si>
    <t>98052985SW04</t>
  </si>
  <si>
    <t>68248970SW03</t>
  </si>
  <si>
    <t>ACADEMY FORD</t>
  </si>
  <si>
    <t>64247180SW10</t>
  </si>
  <si>
    <t>68239972SW11</t>
  </si>
  <si>
    <t>PEPE CADILLAC</t>
  </si>
  <si>
    <t>64249383SW04</t>
  </si>
  <si>
    <t>ADA NISSAN INC.</t>
  </si>
  <si>
    <t>ADA NISSAN</t>
  </si>
  <si>
    <t>64248143SW03</t>
  </si>
  <si>
    <t>62196606SW60</t>
  </si>
  <si>
    <t>MADERA FORD</t>
  </si>
  <si>
    <t>98050956SW03</t>
  </si>
  <si>
    <t>CALDWELL PETERBILT, INC.</t>
  </si>
  <si>
    <t>98052981SW90</t>
  </si>
  <si>
    <t>64246011SW65</t>
  </si>
  <si>
    <t>JOE COOPER CHEVROLET CADILLAC OF SHAWNEE LLC</t>
  </si>
  <si>
    <t>62192760SW03</t>
  </si>
  <si>
    <t>CAVENDER CADILLAC</t>
  </si>
  <si>
    <t>62192760SW08</t>
  </si>
  <si>
    <t>CAVENDER CHEVROLET</t>
  </si>
  <si>
    <t>03174244SW03</t>
  </si>
  <si>
    <t>GUELPH NISSAN INFINITI</t>
  </si>
  <si>
    <t>QUEENSTON AUTOMOTIVE GROUP</t>
  </si>
  <si>
    <t>68240002SW04</t>
  </si>
  <si>
    <t>68249257SW03</t>
  </si>
  <si>
    <t>MILNES</t>
  </si>
  <si>
    <t>68249893SW03</t>
  </si>
  <si>
    <t>GENE LATTA FORD BUICK</t>
  </si>
  <si>
    <t>GENE LATTA</t>
  </si>
  <si>
    <t>64248879SW32</t>
  </si>
  <si>
    <t>BRIGGS FORT SCOTT</t>
  </si>
  <si>
    <t>68249574SW74</t>
  </si>
  <si>
    <t>JIM ELLIS AUDI OF ATLANTA</t>
  </si>
  <si>
    <t>68249674SW39</t>
  </si>
  <si>
    <t>JIM ELLIS AUDI OF MARIETTA</t>
  </si>
  <si>
    <t>68249674SW46</t>
  </si>
  <si>
    <t>JIM ELLIS BUICK GMC MALL OF GEORGIA</t>
  </si>
  <si>
    <t>68238321SW01</t>
  </si>
  <si>
    <t>JIM ELLIS HYUNDAI OF ATLANTA</t>
  </si>
  <si>
    <t>68249578SW46</t>
  </si>
  <si>
    <t>JIM ELLIS VOLVO OF MARIETTA</t>
  </si>
  <si>
    <t>68249558SW25</t>
  </si>
  <si>
    <t>JIM ELLIS MAZDA OF MARIETTA</t>
  </si>
  <si>
    <t>03175980SW04</t>
  </si>
  <si>
    <t>GYRO HYUNDAI</t>
  </si>
  <si>
    <t>64247528SW03</t>
  </si>
  <si>
    <t>62191162SW82</t>
  </si>
  <si>
    <t>COOS BAY TOYOTA</t>
  </si>
  <si>
    <t>64246886SW04</t>
  </si>
  <si>
    <t>HONDA DE PONCE</t>
  </si>
  <si>
    <t>64246886SW53</t>
  </si>
  <si>
    <t>HONDA DE CAYEY</t>
  </si>
  <si>
    <t>64248126SW03</t>
  </si>
  <si>
    <t>CANDY FORD</t>
  </si>
  <si>
    <t>62192760SW13</t>
  </si>
  <si>
    <t>LAND ROVER SAN ANTONIO</t>
  </si>
  <si>
    <t>98050956SW04</t>
  </si>
  <si>
    <t>MAGIC VALLEY PETERBILT, INC.</t>
  </si>
  <si>
    <t>98052981SW97</t>
  </si>
  <si>
    <t>98050956SW05</t>
  </si>
  <si>
    <t>ELKO PETERBILT, INC.</t>
  </si>
  <si>
    <t>98052982SW47</t>
  </si>
  <si>
    <t>64250670SW02</t>
  </si>
  <si>
    <t>JIM NORTON CHEVROLET</t>
  </si>
  <si>
    <t>JIM NORTON</t>
  </si>
  <si>
    <t>01355880SW85</t>
  </si>
  <si>
    <t>COUNTRY HILLS HYUNDAI</t>
  </si>
  <si>
    <t>62198525SW67</t>
  </si>
  <si>
    <t>MAITA SUBARU</t>
  </si>
  <si>
    <t>MAITA</t>
  </si>
  <si>
    <t>64251191SW74</t>
  </si>
  <si>
    <t>BOLIVAR FORD</t>
  </si>
  <si>
    <t>64248879SW39</t>
  </si>
  <si>
    <t>BSOT, INC DBA BRIGGS SUBARU OF TOPEKA</t>
  </si>
  <si>
    <t>68249674SW04</t>
  </si>
  <si>
    <t>JIM ELLIS MASERATI OF ATLANTA</t>
  </si>
  <si>
    <t>68249674SW11</t>
  </si>
  <si>
    <t>JIM ELLIS VOLKSWAGEN OF KENNESAW</t>
  </si>
  <si>
    <t>64238732SW01</t>
  </si>
  <si>
    <t>AUTO SOLUTIONS LIMITED</t>
  </si>
  <si>
    <t>68253124SW01</t>
  </si>
  <si>
    <t>GREENE</t>
  </si>
  <si>
    <t>64246803SW18</t>
  </si>
  <si>
    <t>DYER CHEVROLET OF LAKE WALES</t>
  </si>
  <si>
    <t>64246873SW90</t>
  </si>
  <si>
    <t>HONDA DE CAGUAS</t>
  </si>
  <si>
    <t>64246803SW25</t>
  </si>
  <si>
    <t>DYER CHEVROLET FT. PIERCE</t>
  </si>
  <si>
    <t>64242474SW66</t>
  </si>
  <si>
    <t>64248141SW03</t>
  </si>
  <si>
    <t>68247289SW80</t>
  </si>
  <si>
    <t>62192760SW18</t>
  </si>
  <si>
    <t>CAVENDER BUICK GMC NORTH</t>
  </si>
  <si>
    <t>64249405SW03</t>
  </si>
  <si>
    <t>ENGLEWOOD FORD</t>
  </si>
  <si>
    <t>BILL CURRIE</t>
  </si>
  <si>
    <t>64245748SW03</t>
  </si>
  <si>
    <t>LYNN LAYTON FORD</t>
  </si>
  <si>
    <t>64246544SW61</t>
  </si>
  <si>
    <t>DEKALB CHEVROLET GMC CADILLAC</t>
  </si>
  <si>
    <t>DEKALB SYCAMORE CHEVROLET GMC CADILLAC</t>
  </si>
  <si>
    <t>68247289SW87</t>
  </si>
  <si>
    <t>62200231SW51</t>
  </si>
  <si>
    <t>ROCK SPRINGS LLC DBA BROWER BROTHERS NISSAN</t>
  </si>
  <si>
    <t>BROWER BROTHERS</t>
  </si>
  <si>
    <t>01355881SW89</t>
  </si>
  <si>
    <t>STRATHMORE FORD</t>
  </si>
  <si>
    <t>98053015SW85</t>
  </si>
  <si>
    <t>98050956SW06</t>
  </si>
  <si>
    <t>SALINA PETERBILT, INC.</t>
  </si>
  <si>
    <t>98053015SW93</t>
  </si>
  <si>
    <t>01355561SW09</t>
  </si>
  <si>
    <t>EASTSIDE DODGE CHRYSLER JEEP</t>
  </si>
  <si>
    <t>MCMANES</t>
  </si>
  <si>
    <t>64244470SW11</t>
  </si>
  <si>
    <t>DUPAGE DODGE CHRYSLER JEEP RAM</t>
  </si>
  <si>
    <t>64244141SW49</t>
  </si>
  <si>
    <t>LAMBORGHINI OF PALM BEACH</t>
  </si>
  <si>
    <t>64247484SW03</t>
  </si>
  <si>
    <t>FRIESEN FORD</t>
  </si>
  <si>
    <t>62193784SW48</t>
  </si>
  <si>
    <t>SUBARU SANTA MONICA</t>
  </si>
  <si>
    <t>68247330SW03</t>
  </si>
  <si>
    <t>KEN POLLOCK FORD LINCOLN</t>
  </si>
  <si>
    <t>64242610SW05</t>
  </si>
  <si>
    <t>BENTLEY SARASOTA</t>
  </si>
  <si>
    <t>64249383SW11</t>
  </si>
  <si>
    <t>NISSAN OF LAWTON</t>
  </si>
  <si>
    <t>68250793SW08</t>
  </si>
  <si>
    <t>HOP OPERATING COMPANY LLC DBA HONDA OF PRINCETON</t>
  </si>
  <si>
    <t>01355882SW44</t>
  </si>
  <si>
    <t>SUMMIT CHEVROLET GMC BUICK CADILLAC LTD.</t>
  </si>
  <si>
    <t>03175844SW06</t>
  </si>
  <si>
    <t>PERFORMANCE HYUNDAI</t>
  </si>
  <si>
    <t>03175844SW58</t>
  </si>
  <si>
    <t>03175844SW78</t>
  </si>
  <si>
    <t>BRANTFORD TOYOTA</t>
  </si>
  <si>
    <t>98053324SW54</t>
  </si>
  <si>
    <t>TRANSWEST OF LIMON LLC</t>
  </si>
  <si>
    <t>64246803SW32</t>
  </si>
  <si>
    <t>DYER KIA LAKE WALES</t>
  </si>
  <si>
    <t>64247612SW10</t>
  </si>
  <si>
    <t>MOUNT ORAB FORD</t>
  </si>
  <si>
    <t>64248148SW03</t>
  </si>
  <si>
    <t>DON SEELYE FORD</t>
  </si>
  <si>
    <t>68250793SW13</t>
  </si>
  <si>
    <t>AUDI PRINCETON</t>
  </si>
  <si>
    <t>98053324SW76</t>
  </si>
  <si>
    <t>TRANSWEST STERLING</t>
  </si>
  <si>
    <t>68249922SW77</t>
  </si>
  <si>
    <t>MIKE BURCH FORD BLACKSHEAR</t>
  </si>
  <si>
    <t>MIKE BURCH</t>
  </si>
  <si>
    <t>64246024SW00</t>
  </si>
  <si>
    <t>JOE COOPER FORD OF EDMOND</t>
  </si>
  <si>
    <t>68245574SW03</t>
  </si>
  <si>
    <t>CLASSIC FORD LINCOLN OF SHELBY</t>
  </si>
  <si>
    <t>62192760SW23</t>
  </si>
  <si>
    <t>CAVENDER BUICK GMC WEST</t>
  </si>
  <si>
    <t>68253166SW73</t>
  </si>
  <si>
    <t>MERCEDES-BENZ OF CHARLESTON</t>
  </si>
  <si>
    <t>ASTORG VOLVO GROUP</t>
  </si>
  <si>
    <t>68249522SW21</t>
  </si>
  <si>
    <t>JIM ELLIS ALFA ROMEO OF ATLANTA</t>
  </si>
  <si>
    <t>62199181SW06</t>
  </si>
  <si>
    <t>68242999SW04</t>
  </si>
  <si>
    <t>MERCEDES BENZ OF WILMINGTON</t>
  </si>
  <si>
    <t>68249674SW18</t>
  </si>
  <si>
    <t>JIM ELLIS VOLVO CARS MALL OF GEORGIA</t>
  </si>
  <si>
    <t>62199132SW45</t>
  </si>
  <si>
    <t>TRANSWEST FORD, LLC</t>
  </si>
  <si>
    <t>64246166SW86</t>
  </si>
  <si>
    <t>HOMESTEAD HYUNDAI</t>
  </si>
  <si>
    <t>DADELAND</t>
  </si>
  <si>
    <t>64242059SW49</t>
  </si>
  <si>
    <t>ELEVATED AUTOMOTIVE</t>
  </si>
  <si>
    <t>64246030SW94</t>
  </si>
  <si>
    <t>JOE COOPER LINCOLN OF EDMOND</t>
  </si>
  <si>
    <t>62196976SW57</t>
  </si>
  <si>
    <t>IMPERIAL VALLEY CHEVROLET GMC</t>
  </si>
  <si>
    <t>62196976SW75</t>
  </si>
  <si>
    <t>IMPERIAL VALLEY HONDA</t>
  </si>
  <si>
    <t>62196976SW92</t>
  </si>
  <si>
    <t>IMPERIAL VALLEY HYUNDAI</t>
  </si>
  <si>
    <t>64245581SW93</t>
  </si>
  <si>
    <t>PORSCHE ORLAND PARK</t>
  </si>
  <si>
    <t>62199212SW17</t>
  </si>
  <si>
    <t>BRINSON CHRYSLER DODGE JEEP RAM</t>
  </si>
  <si>
    <t>01355882SW95</t>
  </si>
  <si>
    <t>64250719SW01</t>
  </si>
  <si>
    <t>LANDERS MCLARTY FORD OF FORT PAYNE</t>
  </si>
  <si>
    <t>68249674SW25</t>
  </si>
  <si>
    <t>JIM ELLIS KIA OF KENNESAW</t>
  </si>
  <si>
    <t>68249115SW39</t>
  </si>
  <si>
    <t>64246130SW46</t>
  </si>
  <si>
    <t>WF AUTOMOTIVE OF COLUMBUS LLC</t>
  </si>
  <si>
    <t>68240002SW11</t>
  </si>
  <si>
    <t>AUDI NYACK</t>
  </si>
  <si>
    <t>68249522SW28</t>
  </si>
  <si>
    <t>JIM ELLIS GENESIS OF ATLANTA</t>
  </si>
  <si>
    <t>64247587SW03</t>
  </si>
  <si>
    <t>03174244SW08</t>
  </si>
  <si>
    <t>GUELPH INFINITI</t>
  </si>
  <si>
    <t>68253466SW08</t>
  </si>
  <si>
    <t>68253275SW01</t>
  </si>
  <si>
    <t>SCENIC CHEVROLET GMC</t>
  </si>
  <si>
    <t>68247273SW04</t>
  </si>
  <si>
    <t>68247616SW45</t>
  </si>
  <si>
    <t>HESSERT CHEVROLET</t>
  </si>
  <si>
    <t>TJH AUTOMOTIVE</t>
  </si>
  <si>
    <t>64246130SW53</t>
  </si>
  <si>
    <t>FELDMAN OF WOODHAVEN LLC</t>
  </si>
  <si>
    <t>68253314SW03</t>
  </si>
  <si>
    <t>64251076SW04</t>
  </si>
  <si>
    <t>COURT STREET FORD INC</t>
  </si>
  <si>
    <t>COURT STREET FORD INC.</t>
  </si>
  <si>
    <t>68249674SW32</t>
  </si>
  <si>
    <t>JIM ELLIS TOYOTA OF MCDONOUGH</t>
  </si>
  <si>
    <t>64246571SW32</t>
  </si>
  <si>
    <t>ACURA OF OVERLAND PARK</t>
  </si>
  <si>
    <t>64246926SW03</t>
  </si>
  <si>
    <t>TROTTER FORD LINCOLN</t>
  </si>
  <si>
    <t>TROTTER FORD</t>
  </si>
  <si>
    <t>64247459SW03</t>
  </si>
  <si>
    <t>68249842SW03</t>
  </si>
  <si>
    <t>SARAT FORD SALES INC</t>
  </si>
  <si>
    <t>SARAT</t>
  </si>
  <si>
    <t>68249842SW10</t>
  </si>
  <si>
    <t>FAMILY FORD OF ENFIELD</t>
  </si>
  <si>
    <t>68249842SW17</t>
  </si>
  <si>
    <t>FORD OF NORTHAMPTON</t>
  </si>
  <si>
    <t>64235656SW45</t>
  </si>
  <si>
    <t>64246875SW69</t>
  </si>
  <si>
    <t>FLAGSHIP MAZDA BAYAMON</t>
  </si>
  <si>
    <t>68253377SW55</t>
  </si>
  <si>
    <t>DOMAIN AUTOMOTIVE, INC. DBA BREWER AIRPORT TOYOTA</t>
  </si>
  <si>
    <t>BREWER AIRPORT TOYOTA</t>
  </si>
  <si>
    <t>64246032SW92</t>
  </si>
  <si>
    <t>JOE COOPER DODGE CHRYSLER JEEP OF SHAWNEE</t>
  </si>
  <si>
    <t>01355884SW04</t>
  </si>
  <si>
    <t>UNIVERSAL FORD LINCOLN LIMITED PARTERSHIP</t>
  </si>
  <si>
    <t>64246130SW60</t>
  </si>
  <si>
    <t>FELDMAN KIA OF NOVI</t>
  </si>
  <si>
    <t>98050956SW08</t>
  </si>
  <si>
    <t>POCATELLO PETERBILT, INC.</t>
  </si>
  <si>
    <t>98053014SW93</t>
  </si>
  <si>
    <t>68250793SW18</t>
  </si>
  <si>
    <t>64246130SW67</t>
  </si>
  <si>
    <t>MARK WAHLBERG CHEVROLET OF WORTHINGTON</t>
  </si>
  <si>
    <t>64246130SW74</t>
  </si>
  <si>
    <t>64246875SW85</t>
  </si>
  <si>
    <t>FLAGSHIP MAZDA/VW DE PONCE</t>
  </si>
  <si>
    <t>64250686SW04</t>
  </si>
  <si>
    <t>AUDI TULSA</t>
  </si>
  <si>
    <t>64238381SW58</t>
  </si>
  <si>
    <t>64243742SW17</t>
  </si>
  <si>
    <t>CALIFORNIA CHRYSLER DODGE JEEP</t>
  </si>
  <si>
    <t>68247594SW03</t>
  </si>
  <si>
    <t>RUGES FORD</t>
  </si>
  <si>
    <t>68242999SW18</t>
  </si>
  <si>
    <t>PIAZZA ACURA OF WEST CHESTER</t>
  </si>
  <si>
    <t>98053016SW92</t>
  </si>
  <si>
    <t>MISSOULA PETERBILT, INC.</t>
  </si>
  <si>
    <t>98050956SW10</t>
  </si>
  <si>
    <t>COLUMBIA FALLS PETERBILT, INC.</t>
  </si>
  <si>
    <t>98053017SW52</t>
  </si>
  <si>
    <t>98053017SW70</t>
  </si>
  <si>
    <t>BILLINGS PETERBILT, INC.</t>
  </si>
  <si>
    <t>68238321SW02</t>
  </si>
  <si>
    <t>62197632SW56</t>
  </si>
  <si>
    <t>TRADITIONS CHEVROLET</t>
  </si>
  <si>
    <t>64246130SW81</t>
  </si>
  <si>
    <t>FELDMAN CDJR OF CLARKSTON</t>
  </si>
  <si>
    <t>03175524SW03</t>
  </si>
  <si>
    <t>BAYSIDE NISSAN</t>
  </si>
  <si>
    <t>BAYSIDE</t>
  </si>
  <si>
    <t>68252495SW03</t>
  </si>
  <si>
    <t>EASTERNS AUTOMOTIVE GROUP STERLING</t>
  </si>
  <si>
    <t>68252495SW18</t>
  </si>
  <si>
    <t>EASTERNS AUTOMOTIVE GROUP FREDERICK</t>
  </si>
  <si>
    <t>68252495SW33</t>
  </si>
  <si>
    <t>EASTERNS AUTOMOTIVE GROUP TEMPLE HILLS</t>
  </si>
  <si>
    <t>68234064SW43</t>
  </si>
  <si>
    <t>SOUTH ATLANTA CDJR</t>
  </si>
  <si>
    <t>98050956SW11</t>
  </si>
  <si>
    <t>MEDFORD PETERBILT, INC.</t>
  </si>
  <si>
    <t>98053063SW94</t>
  </si>
  <si>
    <t>98050956SW12</t>
  </si>
  <si>
    <t>WILLAMETTE PETERBILT</t>
  </si>
  <si>
    <t>98053064SW43</t>
  </si>
  <si>
    <t>98053064SW60</t>
  </si>
  <si>
    <t>PORTLAND PETERBILT, INC. LAGOON</t>
  </si>
  <si>
    <t>98050956SW13</t>
  </si>
  <si>
    <t>KELSO PETERBILT, INC.</t>
  </si>
  <si>
    <t>98053064SW70</t>
  </si>
  <si>
    <t>62196980SW86</t>
  </si>
  <si>
    <t>CHULA VISTA HONDA</t>
  </si>
  <si>
    <t>62199212SW22</t>
  </si>
  <si>
    <t>68249558SW04</t>
  </si>
  <si>
    <t>MERCEDES BENZ OF ATLANTA SOUTH</t>
  </si>
  <si>
    <t>62197105SW04</t>
  </si>
  <si>
    <t>WINDWARD</t>
  </si>
  <si>
    <t>68249558SW11</t>
  </si>
  <si>
    <t>JIM ELLIS CADILLAC</t>
  </si>
  <si>
    <t>64251068SW11</t>
  </si>
  <si>
    <t>BAKER BUICK GMC HUDSONVILLE</t>
  </si>
  <si>
    <t>64246017SW86</t>
  </si>
  <si>
    <t>COOPER CHRYSLER JEEP DODGE YUKON</t>
  </si>
  <si>
    <t>62192760SW28</t>
  </si>
  <si>
    <t>64235664SW53</t>
  </si>
  <si>
    <t>64235666SW04</t>
  </si>
  <si>
    <t>64246130SW88</t>
  </si>
  <si>
    <t>MARK WAHLBERG CHEVROLET</t>
  </si>
  <si>
    <t>64251191SW92</t>
  </si>
  <si>
    <t>64233608SW98</t>
  </si>
  <si>
    <t>64233610SW81</t>
  </si>
  <si>
    <t>64233612SW09</t>
  </si>
  <si>
    <t>62199117SW03</t>
  </si>
  <si>
    <t>CHULA VISTA FORD</t>
  </si>
  <si>
    <t>62196982SW52</t>
  </si>
  <si>
    <t>CHULA VISTA KIA</t>
  </si>
  <si>
    <t>64246864SW48</t>
  </si>
  <si>
    <t>RIO GRANDE AUTO MALL</t>
  </si>
  <si>
    <t>64249242SW04</t>
  </si>
  <si>
    <t>CASTLE BUICK CHRYSLER DODGE JEEP RAM</t>
  </si>
  <si>
    <t>98050956SW14</t>
  </si>
  <si>
    <t>CHEHALIS PETERBILT, INC.</t>
  </si>
  <si>
    <t>98053064SW86</t>
  </si>
  <si>
    <t>98050956SW16</t>
  </si>
  <si>
    <t>TROUTDALE PETERBILT, INC.</t>
  </si>
  <si>
    <t>98053067SW29</t>
  </si>
  <si>
    <t>98052997SW46</t>
  </si>
  <si>
    <t>UTAH VALLEY PETERBILT, INC.</t>
  </si>
  <si>
    <t>58041166SW65</t>
  </si>
  <si>
    <t>68253547SW58</t>
  </si>
  <si>
    <t>TIMBROOK KIA</t>
  </si>
  <si>
    <t>68253547SW85</t>
  </si>
  <si>
    <t>62191234SW82</t>
  </si>
  <si>
    <t>HELLO AUTO GROUP</t>
  </si>
  <si>
    <t>64238391SW11</t>
  </si>
  <si>
    <t>CASTLE CARS OF SCHAUMBURG LLC DBA CASTLE VOLKSWAGE</t>
  </si>
  <si>
    <t>68253548SW71</t>
  </si>
  <si>
    <t>ALTOONA HONDA</t>
  </si>
  <si>
    <t>68253566SW63</t>
  </si>
  <si>
    <t>68253571SW65</t>
  </si>
  <si>
    <t>TIMBROOK CHRYSLER DODGE JEEP RAM</t>
  </si>
  <si>
    <t>68253571SW84</t>
  </si>
  <si>
    <t>TIMBROOK NISSAN</t>
  </si>
  <si>
    <t>98050956SW17</t>
  </si>
  <si>
    <t>ROSEBURG PETERBILT, INC.</t>
  </si>
  <si>
    <t>98052996SW95</t>
  </si>
  <si>
    <t>03175077SW62</t>
  </si>
  <si>
    <t>LAURENTIAN CHRYSER</t>
  </si>
  <si>
    <t>POLLESEL AUTO GROUP</t>
  </si>
  <si>
    <t>68249417SW53</t>
  </si>
  <si>
    <t>MAZDA OF BEDFORD</t>
  </si>
  <si>
    <t>62197105SW11</t>
  </si>
  <si>
    <t>64245218SW81</t>
  </si>
  <si>
    <t>62196779SW03</t>
  </si>
  <si>
    <t>NORM REEVES FORD LINCOLN</t>
  </si>
  <si>
    <t>THE C.A.R. GROUP WEST</t>
  </si>
  <si>
    <t>68245400SW53</t>
  </si>
  <si>
    <t>JIM SHORKEY SERVICE CENTER</t>
  </si>
  <si>
    <t>68253572SW88</t>
  </si>
  <si>
    <t>CHAMBERSBURG HYUNDAI</t>
  </si>
  <si>
    <t>68249091SW11</t>
  </si>
  <si>
    <t>BURLINGTON HYUNDAI</t>
  </si>
  <si>
    <t>68239972SW18</t>
  </si>
  <si>
    <t>GENESIS OF WHITE PLAINS</t>
  </si>
  <si>
    <t>64249242SW11</t>
  </si>
  <si>
    <t>CASTLE CARS OF NAPERVILLE, LLC DBA CASTLE CHRYSLER</t>
  </si>
  <si>
    <t>64249150SW04</t>
  </si>
  <si>
    <t>KG WESTSIDE LLC</t>
  </si>
  <si>
    <t>62192760SW35</t>
  </si>
  <si>
    <t>CAVENDER NISSAN SAN MARCOS</t>
  </si>
  <si>
    <t>62192760SW40</t>
  </si>
  <si>
    <t>CAVENDER NISSAN OF ROCKWALL</t>
  </si>
  <si>
    <t>62197105SW18</t>
  </si>
  <si>
    <t>WINDWARD HYUNDAI</t>
  </si>
  <si>
    <t>68246826SW03</t>
  </si>
  <si>
    <t>CRABTREE TOYOTA</t>
  </si>
  <si>
    <t>62197107SW03</t>
  </si>
  <si>
    <t>PUENTE HILLS FORD</t>
  </si>
  <si>
    <t>64250980SW54</t>
  </si>
  <si>
    <t>CAR TOWN KIA</t>
  </si>
  <si>
    <t>68250854SW11</t>
  </si>
  <si>
    <t>GENGRAS CDJR OF FAIRFIELD</t>
  </si>
  <si>
    <t>64249205SW65</t>
  </si>
  <si>
    <t>AL CIONI FORD, INC.</t>
  </si>
  <si>
    <t>AL CIONI FORD</t>
  </si>
  <si>
    <t>62199863SW46</t>
  </si>
  <si>
    <t>MARK HARRIS AUTO GROUP</t>
  </si>
  <si>
    <t>68249231SW04</t>
  </si>
  <si>
    <t>PIAZZA VOLKSWAGEN OF ARDMORE</t>
  </si>
  <si>
    <t>64247778SW11</t>
  </si>
  <si>
    <t>CURRIE MOTORS BUICK GMC, INC.</t>
  </si>
  <si>
    <t>64250980SW82</t>
  </si>
  <si>
    <t>64244470SW32</t>
  </si>
  <si>
    <t>64251088SW70</t>
  </si>
  <si>
    <t>68249700SW61</t>
  </si>
  <si>
    <t>64246130SW94</t>
  </si>
  <si>
    <t>FELDMAN MUNCIE LLC DBA AS ALL AMERICAN CHEVROLET C</t>
  </si>
  <si>
    <t>64251195SW45</t>
  </si>
  <si>
    <t>GOLDEN CIRCLE FORD PARSONS</t>
  </si>
  <si>
    <t>68249289SW04</t>
  </si>
  <si>
    <t>CHRYSLER JEEP DODGE RAM OF PRINCETON</t>
  </si>
  <si>
    <t>PISCES HOLDINGS INC</t>
  </si>
  <si>
    <t>68249260SW03</t>
  </si>
  <si>
    <t>68252495SW48</t>
  </si>
  <si>
    <t>EASTERNS AUTOMOTIVE GROUP WEST BALTIMORE</t>
  </si>
  <si>
    <t>68253583SW63</t>
  </si>
  <si>
    <t>62196779SW68</t>
  </si>
  <si>
    <t>NORM REEVES GENESIS OF CERRITOS</t>
  </si>
  <si>
    <t>62196779SW83</t>
  </si>
  <si>
    <t>NORM REEVES HONDA IRVINE</t>
  </si>
  <si>
    <t>62196780SW86</t>
  </si>
  <si>
    <t>NORM REEVES HONDA SUPERSTORE HUNTINGTON BEACH</t>
  </si>
  <si>
    <t>62196780SW93</t>
  </si>
  <si>
    <t>NORM REEVES HONDA SUPERSTORE IN WEST COVINA</t>
  </si>
  <si>
    <t>62196817SW04</t>
  </si>
  <si>
    <t>NORM REEVES HONDA SUPERSTORE VISTA</t>
  </si>
  <si>
    <t>62196820SW04</t>
  </si>
  <si>
    <t>NORM REEVES HYUNDAI</t>
  </si>
  <si>
    <t>62196820SW60</t>
  </si>
  <si>
    <t>NORM REEVES VOLKSWAGEN SUPERSTORE</t>
  </si>
  <si>
    <t>03175809SW91</t>
  </si>
  <si>
    <t>BRAMPTON CHRYSLER DODGE</t>
  </si>
  <si>
    <t>68249302SW45</t>
  </si>
  <si>
    <t>68249558SW18</t>
  </si>
  <si>
    <t>64247107SW04</t>
  </si>
  <si>
    <t>LEGACY GOLF CARS</t>
  </si>
  <si>
    <t>64246033SW85</t>
  </si>
  <si>
    <t>JOE COOPER HYUNDAI OF MIDWEST CITY</t>
  </si>
  <si>
    <t>68247259SW04</t>
  </si>
  <si>
    <t>ROCKY MOUNT NISSAN</t>
  </si>
  <si>
    <t>64246132SW04</t>
  </si>
  <si>
    <t>FELDMAN LIVONIA - CJ</t>
  </si>
  <si>
    <t>03175975SW48</t>
  </si>
  <si>
    <t>WOODBINE CHEVROLET BUICK GMC</t>
  </si>
  <si>
    <t>64245846SW04</t>
  </si>
  <si>
    <t>NORM REEVES HONDA SUPERSTORE PORT CHARLOTTE</t>
  </si>
  <si>
    <t>64245762SW03</t>
  </si>
  <si>
    <t>DUTCH'S FORD</t>
  </si>
  <si>
    <t>DUTCH'S</t>
  </si>
  <si>
    <t>01355561SW10</t>
  </si>
  <si>
    <t>COUNTRY HILLS FORD</t>
  </si>
  <si>
    <t>01355891SW80</t>
  </si>
  <si>
    <t>SUMMIT RAM CHRYSLER DODGE JEEP</t>
  </si>
  <si>
    <t>01355891SW91</t>
  </si>
  <si>
    <t>AIRDRIE CHRYSLER DODGE JEEP</t>
  </si>
  <si>
    <t>62200050SW04</t>
  </si>
  <si>
    <t>NORM REEVES MAZDA</t>
  </si>
  <si>
    <t>62196803SW04</t>
  </si>
  <si>
    <t>NORM REEVES DALLAS TOYOTA</t>
  </si>
  <si>
    <t>62200050SW11</t>
  </si>
  <si>
    <t>NORM REEVES HYUNDAI OF IRVING</t>
  </si>
  <si>
    <t>68253583SW94</t>
  </si>
  <si>
    <t>68253587SW04</t>
  </si>
  <si>
    <t>68253587SW60</t>
  </si>
  <si>
    <t>68238796SW01</t>
  </si>
  <si>
    <t>64246864SW73</t>
  </si>
  <si>
    <t>FLAGSHIP FORD DEL SUR</t>
  </si>
  <si>
    <t>98052172SW01</t>
  </si>
  <si>
    <t>ROCK SPRINGS PETERBILT, INC.</t>
  </si>
  <si>
    <t>98053091SW03</t>
  </si>
  <si>
    <t>62196803SW54</t>
  </si>
  <si>
    <t>62196803SW72</t>
  </si>
  <si>
    <t>NORM REEVES SUBARU SUPERSTORE ROCKWALL</t>
  </si>
  <si>
    <t>98053080SW18</t>
  </si>
  <si>
    <t>TRP NE ARKANSAS</t>
  </si>
  <si>
    <t>62190565SW42</t>
  </si>
  <si>
    <t>SOLANA FORD AUTO GROUP, LLC</t>
  </si>
  <si>
    <t>68240002SW18</t>
  </si>
  <si>
    <t>PORSCHE OF WHITE PLAINS</t>
  </si>
  <si>
    <t>64250986SW12</t>
  </si>
  <si>
    <t>OXMOOR HYUNDAI</t>
  </si>
  <si>
    <t>62191393SW43</t>
  </si>
  <si>
    <t>KIA OF CERRITOS</t>
  </si>
  <si>
    <t>TROPHY AUTOMOTIVE DEALER GROUP</t>
  </si>
  <si>
    <t>62196807SW04</t>
  </si>
  <si>
    <t>NORM REEVES HONDA SUPERSTORE</t>
  </si>
  <si>
    <t>62196807SW78</t>
  </si>
  <si>
    <t>FORD PRO COMMERCIAL VEHICLE CENTER</t>
  </si>
  <si>
    <t>62196789SW04</t>
  </si>
  <si>
    <t>NORM REEVES GENESIS</t>
  </si>
  <si>
    <t>62196792SW04</t>
  </si>
  <si>
    <t>NORM REEVES TOYOTA SAN DIEGO</t>
  </si>
  <si>
    <t>62200050SW18</t>
  </si>
  <si>
    <t>NORM REEVES GENESIS OF IRVING</t>
  </si>
  <si>
    <t>64245849SW04</t>
  </si>
  <si>
    <t>NORM REEVES VOLKSWAGEN SUPERSTORE PORT CHARLOTTE</t>
  </si>
  <si>
    <t>64250985SW88</t>
  </si>
  <si>
    <t>GENESIS OF LOUISVILLE</t>
  </si>
  <si>
    <t>68242848SW61</t>
  </si>
  <si>
    <t>CALE YARBOROUGH MOTORS, LLC DBA CALE YARBOROUGH HO</t>
  </si>
  <si>
    <t>DICK BROOKS</t>
  </si>
  <si>
    <t>68247618SW45</t>
  </si>
  <si>
    <t>HESSERT CHEVROLET OF CHERRY HILL</t>
  </si>
  <si>
    <t>68242848SW68</t>
  </si>
  <si>
    <t>62196849SW03</t>
  </si>
  <si>
    <t>SUNRISE FORD OF FONTANA</t>
  </si>
  <si>
    <t>68253587SW92</t>
  </si>
  <si>
    <t>68253588SW63</t>
  </si>
  <si>
    <t>64245206SW52</t>
  </si>
  <si>
    <t>KERRY INFINITI N. KENTUCKY</t>
  </si>
  <si>
    <t>64245206SW86</t>
  </si>
  <si>
    <t>KERRY VOLKSWAGEN</t>
  </si>
  <si>
    <t>01355610SW66</t>
  </si>
  <si>
    <t>98053003SW12</t>
  </si>
  <si>
    <t>BOISE PETERBILT, INC.</t>
  </si>
  <si>
    <t>64251195SW74</t>
  </si>
  <si>
    <t>98053080SW36</t>
  </si>
  <si>
    <t>TLG PETERBILT - TALLAHASSEE</t>
  </si>
  <si>
    <t>98053080SW49</t>
  </si>
  <si>
    <t>TLG PETERBILT - HATTIESBURG</t>
  </si>
  <si>
    <t>98053080SW59</t>
  </si>
  <si>
    <t>TLG PETERBILT - ALBANY</t>
  </si>
  <si>
    <t>98053080SW70</t>
  </si>
  <si>
    <t>TLG PETERBILT - VALDOSTA</t>
  </si>
  <si>
    <t>98053081SW03</t>
  </si>
  <si>
    <t>TLG PETERBILT - TIFTON</t>
  </si>
  <si>
    <t>98053081SW14</t>
  </si>
  <si>
    <t>TLG PETERBILT - WEST FLORIDA</t>
  </si>
  <si>
    <t>64245106SW45</t>
  </si>
  <si>
    <t>MAUS NISSAN OF NORTH TAMPA</t>
  </si>
  <si>
    <t>68251645SW87</t>
  </si>
  <si>
    <t>JOHN MEGEL FORD</t>
  </si>
  <si>
    <t>64245106SW93</t>
  </si>
  <si>
    <t>MAUS ACURA OF NORTH TAMPA</t>
  </si>
  <si>
    <t>64245108SW45</t>
  </si>
  <si>
    <t>MAUS NISSAN OF BROOKSVILLE</t>
  </si>
  <si>
    <t>64245108SW93</t>
  </si>
  <si>
    <t>MAUS NISSAN OF NEW PORT RICHEY</t>
  </si>
  <si>
    <t>68246157SW05</t>
  </si>
  <si>
    <t>03175767SW57</t>
  </si>
  <si>
    <t>MISSISSAUGA TOYOTA</t>
  </si>
  <si>
    <t>68248527SW54</t>
  </si>
  <si>
    <t>EASTERNS NISSAN OF WHITE MARSH</t>
  </si>
  <si>
    <t>62196961SW49</t>
  </si>
  <si>
    <t>SUBARU OF VALENCIA</t>
  </si>
  <si>
    <t>GHREIWATI HOLDINGS</t>
  </si>
  <si>
    <t>68247558SW45</t>
  </si>
  <si>
    <t>HYUNDAI OF UNION COUNTY</t>
  </si>
  <si>
    <t>64246867SW64</t>
  </si>
  <si>
    <t>FLAGSHIP CAROLINA</t>
  </si>
  <si>
    <t>64246867SW85</t>
  </si>
  <si>
    <t>HYUNDAI DE ESCORIAL</t>
  </si>
  <si>
    <t>62197744SW57</t>
  </si>
  <si>
    <t>OXNARD MITSUBISHI</t>
  </si>
  <si>
    <t>PARTNERS AUTO GROUP</t>
  </si>
  <si>
    <t>68250408SW46</t>
  </si>
  <si>
    <t>MOTOR MILE CHEVROLET BUICK</t>
  </si>
  <si>
    <t>62197452SW45</t>
  </si>
  <si>
    <t>FORD OF UPLAND</t>
  </si>
  <si>
    <t>62197455SW03</t>
  </si>
  <si>
    <t>FORD PRO CENTER</t>
  </si>
  <si>
    <t>68251516SW46</t>
  </si>
  <si>
    <t>EXCLUSIVE MOTORCARS</t>
  </si>
  <si>
    <t>64247340SW25</t>
  </si>
  <si>
    <t>BOB BRADY HYUNDAI</t>
  </si>
  <si>
    <t>62199863SW72</t>
  </si>
  <si>
    <t>FLAGSTAFF CHEVROLET</t>
  </si>
  <si>
    <t>62197823SW63</t>
  </si>
  <si>
    <t>DILLON MITSUBISHI</t>
  </si>
  <si>
    <t>62198041SW46</t>
  </si>
  <si>
    <t>64247637SW46</t>
  </si>
  <si>
    <t>WINNER'S CIRCLE - AUDI GAINESVILLE</t>
  </si>
  <si>
    <t>68253470SW23</t>
  </si>
  <si>
    <t>EASTERNS CHRYSLER DODGE JEEP RAM OF TEMPLE HILLS</t>
  </si>
  <si>
    <t>64249303SW54</t>
  </si>
  <si>
    <t>VON HOLZEN CHEVROLET GMC</t>
  </si>
  <si>
    <t>VON HOLZEN CHEVROLET GMC INC</t>
  </si>
  <si>
    <t>68250408SW61</t>
  </si>
  <si>
    <t>MOTOR MILE S</t>
  </si>
  <si>
    <t>68250800SW80</t>
  </si>
  <si>
    <t>TACKETT</t>
  </si>
  <si>
    <t>68253088SW63</t>
  </si>
  <si>
    <t>BOB BELL FORD OF BEL AIR, LLC</t>
  </si>
  <si>
    <t>68250155SW05</t>
  </si>
  <si>
    <t>68250155SW14</t>
  </si>
  <si>
    <t>64249194SW04</t>
  </si>
  <si>
    <t>GARBER CHRYSLER DODGE JEEP RAM VALPARAISO</t>
  </si>
  <si>
    <t>68253352SW49</t>
  </si>
  <si>
    <t>ROUTE 46 AUTOMALL NISSAN</t>
  </si>
  <si>
    <t>ROUTE 46 AUTO GROUP</t>
  </si>
  <si>
    <t>68253353SW61</t>
  </si>
  <si>
    <t>68253353SW87</t>
  </si>
  <si>
    <t>68253353SW94</t>
  </si>
  <si>
    <t>68252991SW53</t>
  </si>
  <si>
    <t>FELDMAN SANDUSKY II, LLC DBA FIRELANDS HONDA OF SA</t>
  </si>
  <si>
    <t>68252991SW68</t>
  </si>
  <si>
    <t>FELDMAN SANDUSKY I, LLC DBA FIRELANDS TOYOTA OF SA</t>
  </si>
  <si>
    <t>68252992SW95</t>
  </si>
  <si>
    <t>FELDMAN SANDUSKY III, LLC DBA FIRELANDS CDJR OF SA</t>
  </si>
  <si>
    <t>68252993SW61</t>
  </si>
  <si>
    <t>FELDMAN OF VERMILION DBA FIRELANDS CHEVROLET OF VE</t>
  </si>
  <si>
    <t>68253289SW46</t>
  </si>
  <si>
    <t>GRIECO CHEVROLET BUICK GMC</t>
  </si>
  <si>
    <t>68251358SW53</t>
  </si>
  <si>
    <t>GENESIS OF SMITHTOWN</t>
  </si>
  <si>
    <t>62200198SW46</t>
  </si>
  <si>
    <t>SOUTH BAY JEEP CHRYSLER DODGE RAM</t>
  </si>
  <si>
    <t>64251046SW24</t>
  </si>
  <si>
    <t>HYUNDAI SOUTH NASHVILLE</t>
  </si>
  <si>
    <t>64247006SW03</t>
  </si>
  <si>
    <t>FULLER FORD INC</t>
  </si>
  <si>
    <t>FULLER FORD</t>
  </si>
  <si>
    <t>64245210SW45</t>
  </si>
  <si>
    <t>KERRY NISSAN</t>
  </si>
  <si>
    <t>Count of CDF ID</t>
  </si>
  <si>
    <t>Product Level 2 Description</t>
  </si>
  <si>
    <t>CORE SE MISC</t>
  </si>
  <si>
    <t>CMF Reformatted</t>
  </si>
  <si>
    <t>Service Code</t>
  </si>
  <si>
    <t>COASTAL MITSUBISHI HYUNDAI</t>
  </si>
  <si>
    <t>MAXIE PRICE CHEVROLET</t>
  </si>
  <si>
    <t>DUNCAN HONDA</t>
  </si>
  <si>
    <t>DUNCAN HYUNDAI</t>
  </si>
  <si>
    <t>LEXUS OF HUNTSVILLE</t>
  </si>
  <si>
    <t>MAGNUSSEN'S TOYOTA OF PALO ALTO</t>
  </si>
  <si>
    <t>WONDRIES TOYOTA</t>
  </si>
  <si>
    <t>MAITA CHEVROLET</t>
  </si>
  <si>
    <t>HARON MOTOR SALES</t>
  </si>
  <si>
    <t>MERCEDES BENZ OF PLEASANTON</t>
  </si>
  <si>
    <t>TOYOTA OF ESCONDIDO</t>
  </si>
  <si>
    <t>TOYOTA OF GLENDORA</t>
  </si>
  <si>
    <t>All Star Ford</t>
  </si>
  <si>
    <t>LITHIA NISSAN OF FRESNO</t>
  </si>
  <si>
    <t>HERMAN COOK VOLKSWAGEN</t>
  </si>
  <si>
    <t>TASCA AUTOMOTIVE GROUP, INC.</t>
  </si>
  <si>
    <t>MARIANNA TOYOTA</t>
  </si>
  <si>
    <t>LAND ROVER OF PARSIPPANY INC</t>
  </si>
  <si>
    <t>HALF WAY MOTORS (1989)</t>
  </si>
  <si>
    <t>VAN BUREN BUICK GMC</t>
  </si>
  <si>
    <t>MAPLE HILL AUTO GROUP</t>
  </si>
  <si>
    <t>METRO FORD INC.</t>
  </si>
  <si>
    <t>FREEMAN HYUNDAI</t>
  </si>
  <si>
    <t>ALL STAR DODGE CHRYSLER JEEP RAM OF DENHAM SPRINGS</t>
  </si>
  <si>
    <t>FOX TOYOTA LEXUS OF EL PASO #2</t>
  </si>
  <si>
    <t>GULLO TOYOTA OF CONROE</t>
  </si>
  <si>
    <t>SAMES MOTOR COMPANY</t>
  </si>
  <si>
    <t>ALL STAR CHEVROLET ISUZU</t>
  </si>
  <si>
    <t>SAMES HONDA</t>
  </si>
  <si>
    <t>Bob Bell Ford</t>
  </si>
  <si>
    <t>FREYSINGER INC.</t>
  </si>
  <si>
    <t>SENTRY FORD WEST</t>
  </si>
  <si>
    <t>MOON TWP. MAZDA HYUNDAI SUZUKI</t>
  </si>
  <si>
    <t>Audi Eugene</t>
  </si>
  <si>
    <t>Hyundai Eugene</t>
  </si>
  <si>
    <t>Volkswagen Eugene</t>
  </si>
  <si>
    <t>Jerry Seiner Chevy Kia</t>
  </si>
  <si>
    <t>Jerry Seiner North Salt Lake City</t>
  </si>
  <si>
    <t>YORK VOLKSWAGEN</t>
  </si>
  <si>
    <t>MIKE BARNEY NISSAN</t>
  </si>
  <si>
    <t>KELLEY CHEVROLET INC.</t>
  </si>
  <si>
    <t>Bayside Volkswagen</t>
  </si>
  <si>
    <t>ALL STAR NISSAN KIA EAST .2</t>
  </si>
  <si>
    <t>CLEVELAND FREIGHTLINER</t>
  </si>
  <si>
    <t>LOVE CHEVROLET</t>
  </si>
  <si>
    <t>PAUL MILLER BMW</t>
  </si>
  <si>
    <t>BMW OF WESTBROOK</t>
  </si>
  <si>
    <t>NORTHSHORE TOYOTA</t>
  </si>
  <si>
    <t>ALL STAR KIA OF BATON ROUGE</t>
  </si>
  <si>
    <t>COBOURG HONDA</t>
  </si>
  <si>
    <t>Ricart Automotive</t>
  </si>
  <si>
    <t>CALDWELL TOYOTA SCION</t>
  </si>
  <si>
    <t>JERRY'S TOYOTA SCION</t>
  </si>
  <si>
    <t>LANDERS MCLARTY DODGE CHRYSLER JEEP RAM</t>
  </si>
  <si>
    <t>SCHUMACHER BUICK GMC OF WEST PALM BEACH</t>
  </si>
  <si>
    <t>JM Lexus</t>
  </si>
  <si>
    <t>ANDERSON NISSAN MAZDA</t>
  </si>
  <si>
    <t>ALL STAR HYUNDAI OF BATON ROUGE</t>
  </si>
  <si>
    <t>PAUL MILLER BENTLEY</t>
  </si>
  <si>
    <t>Tom Hesser Nissan</t>
  </si>
  <si>
    <t>FINDLAY TOYOTA</t>
  </si>
  <si>
    <t>FINDLAY HONDA HENDERSON</t>
  </si>
  <si>
    <t>ALL STAR TOYOTA OF BATON ROUGE</t>
  </si>
  <si>
    <t>Grappone Toyota</t>
  </si>
  <si>
    <t>Dick Smith Hyundai of Greenville</t>
  </si>
  <si>
    <t>BEAVERTON HYUNDAI</t>
  </si>
  <si>
    <t>Cannon Motors - Oxford</t>
  </si>
  <si>
    <t>BUTCH OUSTALET MAZDA</t>
  </si>
  <si>
    <t>MEADE LEXUS OF SOUTHFIELD</t>
  </si>
  <si>
    <t>MEADE LEXUS OF LAKESIDE</t>
  </si>
  <si>
    <t>MARSHALL CHRYSLER JEEP DODGE LLC</t>
  </si>
  <si>
    <t>SAMES RED BARN MOTORS</t>
  </si>
  <si>
    <t>RIVERSIDE TOYOTA</t>
  </si>
  <si>
    <t>ADVENTURE SUBARU</t>
  </si>
  <si>
    <t>CHAPARRAL BUICK GMC</t>
  </si>
  <si>
    <t>MYRTLE BEACH CHEVROLET</t>
  </si>
  <si>
    <t>TOM KELLEY CADILLAC</t>
  </si>
  <si>
    <t>RUSSELL &amp; SMITH FORD MAZDA</t>
  </si>
  <si>
    <t>MAG VOLVO CARS DUBLIN</t>
  </si>
  <si>
    <t>RANCHO GRANDE MOTORS</t>
  </si>
  <si>
    <t>MOSS BMW</t>
  </si>
  <si>
    <t>MERCEDES BENZ OF LAFAYETTE</t>
  </si>
  <si>
    <t>SESI MOTORS</t>
  </si>
  <si>
    <t>DAVIS MOTORS</t>
  </si>
  <si>
    <t>MAG BMW &amp; MINI OF DUBLIN</t>
  </si>
  <si>
    <t>LITHIA FORD LINCOLN OF ROSEBURG</t>
  </si>
  <si>
    <t>KELLY GRIMSLEY HONDA</t>
  </si>
  <si>
    <t>VOLVO CARS PIONEER VALLEY</t>
  </si>
  <si>
    <t>HUBERT VESTER CHEVROLET</t>
  </si>
  <si>
    <t>HUBERT VESTER HONDA</t>
  </si>
  <si>
    <t>SPORT MITSUBISHI</t>
  </si>
  <si>
    <t>FIVE STAR FORD DAL681:788LAS</t>
  </si>
  <si>
    <t>CASTLE CHEVROLET OF VILLA PARK</t>
  </si>
  <si>
    <t>CASTLE BUICK GMC</t>
  </si>
  <si>
    <t>ALL STAR CHEVROLET NORTH</t>
  </si>
  <si>
    <t>CRITZ BUICK GMC</t>
  </si>
  <si>
    <t>GEBHARDT BMW</t>
  </si>
  <si>
    <t>ALL STAR NISSAN KIA EAST</t>
  </si>
  <si>
    <t>Hallada Auto Group</t>
  </si>
  <si>
    <t>LEXINGTON TOYOTA INC.</t>
  </si>
  <si>
    <t>HYUNDAI INLAND EMPIRE</t>
  </si>
  <si>
    <t>ALL STAR VOLVO CARS OF BATON ROUGE</t>
  </si>
  <si>
    <t>JAMES MOTOR COMPANY</t>
  </si>
  <si>
    <t>Jeff Schmitt Nissan</t>
  </si>
  <si>
    <t>ROSEBURG HONDA</t>
  </si>
  <si>
    <t>SAMES KIA</t>
  </si>
  <si>
    <t>CLEBURNE FORD</t>
  </si>
  <si>
    <t>TAMAROFF AUTOMOTIVE GROUP</t>
  </si>
  <si>
    <t>JEFFREY ACURA</t>
  </si>
  <si>
    <t>AUDI OF MARIETTA</t>
  </si>
  <si>
    <t>VOLVO OF MARIETTA</t>
  </si>
  <si>
    <t>RODLAND TOYOTA</t>
  </si>
  <si>
    <t>Cobourg Mazda</t>
  </si>
  <si>
    <t>Toyota of Del Rio</t>
  </si>
  <si>
    <t>Stockton Hyundai</t>
  </si>
  <si>
    <t>Hyundai of Bedford</t>
  </si>
  <si>
    <t>YOUNG TOYOTA SCION</t>
  </si>
  <si>
    <t>MERCEDES BENZ OF COLLIERVILLE</t>
  </si>
  <si>
    <t>PETERBILT OF SPRINGFIELD</t>
  </si>
  <si>
    <t>CLASSIC CHEVROLET OF HOUSTON</t>
  </si>
  <si>
    <t>SAN LEANDRO CHRYSLER JEEP DODGE</t>
  </si>
  <si>
    <t>PAUL MILLER PORSCHE</t>
  </si>
  <si>
    <t>EDWARDS STORM LAKE</t>
  </si>
  <si>
    <t>HAWK CHEVROLET CADILLAC OF JOLIET</t>
  </si>
  <si>
    <t>MAC HAIK TOYOTA SCION</t>
  </si>
  <si>
    <t>Garlyn Shelton Mazda</t>
  </si>
  <si>
    <t>#1 Cochran Audi Pittsburgh</t>
  </si>
  <si>
    <t>KELLY CDJR</t>
  </si>
  <si>
    <t>LARSON VW</t>
  </si>
  <si>
    <t>LARSON HYUNDAI</t>
  </si>
  <si>
    <t>MAGNA MOTORS DEALERSHIP LTD SHOWROOM</t>
  </si>
  <si>
    <t>MERCEDES BENZ OF JACKSON</t>
  </si>
  <si>
    <t>Volvo Cars of Queens</t>
  </si>
  <si>
    <t>HORNE MAZDA OF TEMPE</t>
  </si>
  <si>
    <t>Mac Haik Chrysler Dodge Jeep Ram</t>
  </si>
  <si>
    <t>Midway Nissan</t>
  </si>
  <si>
    <t>KEN POLLOCK ALFA ROMEO</t>
  </si>
  <si>
    <t>SCHUMACHER SUBARU</t>
  </si>
  <si>
    <t>RON TONKIN HONDA</t>
  </si>
  <si>
    <t>MAZDA OF PALM BEACH</t>
  </si>
  <si>
    <t>VOLVO OF BURLINGAME</t>
  </si>
  <si>
    <t>VOLVO CARS MALL OF GEORGIA</t>
  </si>
  <si>
    <t># 1 Cochran Audi Washington</t>
  </si>
  <si>
    <t>Team Mazda Baton Rouge</t>
  </si>
  <si>
    <t>HONDA MORRISTOWN</t>
  </si>
  <si>
    <t>JOHNSON CITY TOYOTA SCION</t>
  </si>
  <si>
    <t>RELIANCE CHEVROLET BUICK GMC</t>
  </si>
  <si>
    <t>PORSCHE OF TACOMA</t>
  </si>
  <si>
    <t>LEBANON FORD</t>
  </si>
  <si>
    <t>Prescott Valley Kia</t>
  </si>
  <si>
    <t>Red Noland INFINITI</t>
  </si>
  <si>
    <t>GENESIS OF ATLANTA</t>
  </si>
  <si>
    <t>ROYAL HONDA</t>
  </si>
  <si>
    <t>CIOCCA TOYOTA OF WILLIAMSPORT</t>
  </si>
  <si>
    <t>Morningside Nissan</t>
  </si>
  <si>
    <t>ANDERSON FORD</t>
  </si>
  <si>
    <t>HONDA OF KINGSPORT</t>
  </si>
  <si>
    <t>ASHEVILLE FORD LINCOLN</t>
  </si>
  <si>
    <t>HUSTON CADILLAC BUICK GMC</t>
  </si>
  <si>
    <t>HUNTERSVILLE FORD - NC</t>
  </si>
  <si>
    <t>WINTER HAVEN HONDA</t>
  </si>
  <si>
    <t>MOTORWORLD AUTOGROUP</t>
  </si>
  <si>
    <t>PINNACLE FORD</t>
  </si>
  <si>
    <t>GREEN COVE AUTO SALES</t>
  </si>
  <si>
    <t>HODGES FORD</t>
  </si>
  <si>
    <t>VALOR AUTOMOTIVE GROUP</t>
  </si>
  <si>
    <t>HONDA OF INDIAN TRAIL</t>
  </si>
  <si>
    <t>KIA OF COATESVILLE</t>
  </si>
  <si>
    <t>KIA OF WEST CHESTER</t>
  </si>
  <si>
    <t>Village Nissan</t>
  </si>
  <si>
    <t>Johnson Ford Pittsfield</t>
  </si>
  <si>
    <t>STONECREST HONDA</t>
  </si>
  <si>
    <t>CLEVELAND FORD</t>
  </si>
  <si>
    <t>FOX TOYOTA LEXUS OF EL PASO</t>
  </si>
  <si>
    <t>Jerry Seiner Chevrolet Casa Grande</t>
  </si>
  <si>
    <t>Woodland Ford</t>
  </si>
  <si>
    <t>NISSAN OF NEW BRAUNFELS</t>
  </si>
  <si>
    <t>BMW OF STERLING</t>
  </si>
  <si>
    <t>HYUNDAI OF CUMMING</t>
  </si>
  <si>
    <t>EVANSTON PETERBILT, INC.</t>
  </si>
  <si>
    <t>BEAMAN BUICK GMC</t>
  </si>
  <si>
    <t>BEAMAN TOYOTA</t>
  </si>
  <si>
    <t>GENESIS OF BATON ROUGE</t>
  </si>
  <si>
    <t>Mercedes-Benz Of Atlanta South</t>
  </si>
  <si>
    <t>MAZDA OF AMARILLO</t>
  </si>
  <si>
    <t>RUSSELL &amp; SMITH HONDA</t>
  </si>
  <si>
    <t>JAGUAR LAND ROVER TROY</t>
  </si>
  <si>
    <t>HARDIN CHEVROLET</t>
  </si>
  <si>
    <t>Brooklyn Volkswagen</t>
  </si>
  <si>
    <t>HONDA SAN CARLOS</t>
  </si>
  <si>
    <t>AUDI LUBBOCK</t>
  </si>
  <si>
    <t>AUDI DOMINION</t>
  </si>
  <si>
    <t>CAVENDER CADILLAC OF LUBBOCK</t>
  </si>
  <si>
    <t>CAVENDER CADILLAC SA</t>
  </si>
  <si>
    <t>Mercedes-Benz of West Chester OH</t>
  </si>
  <si>
    <t>MERCEDES BENZ OF CINCINNATI</t>
  </si>
  <si>
    <t>CORPUS CHRISTI MITSUBISHI</t>
  </si>
  <si>
    <t>MAZDA CORPUS CHRISTI</t>
  </si>
  <si>
    <t>Jerry Seiner Buick GMC South Jordan</t>
  </si>
  <si>
    <t>ROCK HILL FORD</t>
  </si>
  <si>
    <t>CONFIDENCE CHEVROLET</t>
  </si>
  <si>
    <t>CONFIDENCE BUICK GMC</t>
  </si>
  <si>
    <t>HYUNDAI OF NORTH CHARLESTON</t>
  </si>
  <si>
    <t>HYUNDAI OF CHARLESTON</t>
  </si>
  <si>
    <t>ATASCOSA CHRYSLER DODGE JEEP</t>
  </si>
  <si>
    <t>GAINESVILLE HYUNDAI</t>
  </si>
  <si>
    <t>GENESIS OF GREENSBORO</t>
  </si>
  <si>
    <t>INFINITI CITY OF QUEENS</t>
  </si>
  <si>
    <t>FORD OF SPARTANBURG</t>
  </si>
  <si>
    <t>PAUL MILLER SPORTSCARS INC</t>
  </si>
  <si>
    <t>FORT MYERS GENESIS</t>
  </si>
  <si>
    <t>VADEN NISSAN OF STATESBORO</t>
  </si>
  <si>
    <t>Eagle Chevrolet Buick GMC</t>
  </si>
  <si>
    <t>MIDWESTERN AUTO GROUP</t>
  </si>
  <si>
    <t>found in CDK INS by CMF</t>
  </si>
  <si>
    <t>found in CDK INS by Name if not found by CMF</t>
  </si>
  <si>
    <t>Found in CDK BLG  by CMF if not found  in CKD INS</t>
  </si>
  <si>
    <t>Found in CDK BLG  by Name if not found  in CKD INS</t>
  </si>
  <si>
    <t>CDK CAT (BLG)</t>
  </si>
  <si>
    <t>CDF Status</t>
  </si>
  <si>
    <t>Date of Status</t>
  </si>
  <si>
    <t>Type</t>
  </si>
  <si>
    <t>EID</t>
  </si>
  <si>
    <t>Hold</t>
  </si>
  <si>
    <t>DMS</t>
  </si>
  <si>
    <t>Researched by</t>
  </si>
  <si>
    <t>Loss Month</t>
  </si>
  <si>
    <t>Loss Year</t>
  </si>
  <si>
    <t>No of Month to 26-Feb (ServiceView base charge)</t>
  </si>
  <si>
    <t>No of Month to 26-Feb (AI Suite charge))</t>
  </si>
  <si>
    <t>Est. OverPay $</t>
  </si>
  <si>
    <t>Cancel Sent to TV</t>
  </si>
  <si>
    <t>01196701</t>
  </si>
  <si>
    <t>LSS</t>
  </si>
  <si>
    <t>Standalone</t>
  </si>
  <si>
    <t>SD</t>
  </si>
  <si>
    <t>01325978</t>
  </si>
  <si>
    <t>Suite</t>
  </si>
  <si>
    <t>01326415</t>
  </si>
  <si>
    <t>01326417</t>
  </si>
  <si>
    <t>01327159</t>
  </si>
  <si>
    <t>05013303</t>
  </si>
  <si>
    <t>05120802</t>
  </si>
  <si>
    <t>05139104</t>
  </si>
  <si>
    <t>05154801</t>
  </si>
  <si>
    <t>MM</t>
  </si>
  <si>
    <t>05159501</t>
  </si>
  <si>
    <t>ANS</t>
  </si>
  <si>
    <t>05197701</t>
  </si>
  <si>
    <t>05236621</t>
  </si>
  <si>
    <t>05400070</t>
  </si>
  <si>
    <t>No data in DW?</t>
  </si>
  <si>
    <t>05400098</t>
  </si>
  <si>
    <t>05710175</t>
  </si>
  <si>
    <t>Cancelled FOS Due to Product</t>
  </si>
  <si>
    <t>DS</t>
  </si>
  <si>
    <t>08300045</t>
  </si>
  <si>
    <t>08300268</t>
  </si>
  <si>
    <t>08300301</t>
  </si>
  <si>
    <t>09022701</t>
  </si>
  <si>
    <t>09800035</t>
  </si>
  <si>
    <t>Entire DMS loss</t>
  </si>
  <si>
    <t>Ownership Change</t>
  </si>
  <si>
    <t>Renwal Says new but existing Service View</t>
  </si>
  <si>
    <t>I see Service Pricing, no Inspect or CDKS</t>
  </si>
  <si>
    <t>Entire DMS Loss</t>
  </si>
  <si>
    <t>Rest of suite seems operational</t>
  </si>
  <si>
    <t>No Serviceview or FO, Service pricing</t>
  </si>
  <si>
    <t>Suite was LSS 08/2025</t>
  </si>
  <si>
    <t>Truck</t>
  </si>
  <si>
    <t>NADA 2022 Promo w/ INPSECT</t>
  </si>
  <si>
    <t>Pending Loss of DMS ?</t>
  </si>
  <si>
    <t>Only with Inspect</t>
  </si>
  <si>
    <t>Also has an AWA status line?</t>
  </si>
  <si>
    <t>Whole FO Suite ANS</t>
  </si>
  <si>
    <t xml:space="preserve"> Entire DMS loss</t>
  </si>
  <si>
    <t>Rest of suite INS</t>
  </si>
  <si>
    <t>Entire DMS loss *except dealertrack econtracting int.*</t>
  </si>
  <si>
    <t>ATN Status</t>
  </si>
  <si>
    <t>HC</t>
  </si>
  <si>
    <t>"Per sales (Dan Gemeund) working through some items regarding SV" (should be HP then?)</t>
  </si>
  <si>
    <t xml:space="preserve">With Inspect, no suite. </t>
  </si>
  <si>
    <t>Conversion line</t>
  </si>
  <si>
    <t>No Serviceview in DW.</t>
  </si>
  <si>
    <t>Conversion from standalone to in FO Suite</t>
  </si>
  <si>
    <t>Conversion lines</t>
  </si>
  <si>
    <t>Full DMS Loss</t>
  </si>
  <si>
    <t>Standalone w/ Inspect</t>
  </si>
  <si>
    <t>Conversion</t>
  </si>
  <si>
    <t>Conversion LSS</t>
  </si>
  <si>
    <t>Conversion ANS</t>
  </si>
  <si>
    <t>Whole suite LSS</t>
  </si>
  <si>
    <t>Entire Suite LSS</t>
  </si>
  <si>
    <t>No SV on contract - DMS loss</t>
  </si>
  <si>
    <t>w/ Service Inspect</t>
  </si>
  <si>
    <t>w/ service Inspect</t>
  </si>
  <si>
    <t>LSS lines converted from a previous ANS</t>
  </si>
  <si>
    <t>Only GM SAVI and CV were installed in pkg</t>
  </si>
  <si>
    <t>Also has an AWA line</t>
  </si>
  <si>
    <t>DMS Loss</t>
  </si>
  <si>
    <t>NADA Promo - requires inspect</t>
  </si>
  <si>
    <t>LSS in 2023, then CDK Service Inspect with ServiceView (GM Promo wAppointment) INS in 6/25</t>
  </si>
  <si>
    <t>In ATN Status. "Per Dan Gemeund, working through some items regarding Serviceview"</t>
  </si>
  <si>
    <t xml:space="preserve">Rest of suite INS - customer declined </t>
  </si>
  <si>
    <t>KT</t>
  </si>
  <si>
    <t>whole suite LSS</t>
  </si>
  <si>
    <t>Essentially all software lost, entire contract lost</t>
  </si>
  <si>
    <t>Looks like this was on the incorrect CMF, so this was LSS'd and then moved to correct CMF</t>
  </si>
  <si>
    <t>Verification email uploaded?</t>
  </si>
  <si>
    <t>Whole suite and most software loss</t>
  </si>
  <si>
    <t>Suite LSS</t>
  </si>
  <si>
    <t>Conversion standalone line</t>
  </si>
  <si>
    <t>Low or No Utilization</t>
  </si>
  <si>
    <t>everything ANS or LSS</t>
  </si>
  <si>
    <t>SUITE INS</t>
  </si>
  <si>
    <t>SUITE ANS</t>
  </si>
  <si>
    <t>OWNERSHIP CHANGE</t>
  </si>
  <si>
    <t>CDKS ANS</t>
  </si>
  <si>
    <t>EVERYTHING ANS OR LSS</t>
  </si>
  <si>
    <t xml:space="preserve">KT </t>
  </si>
  <si>
    <t xml:space="preserve">SUITE ANS </t>
  </si>
  <si>
    <t>CDK ServiceView for TRUCK</t>
  </si>
  <si>
    <t>SUITE IS INS</t>
  </si>
  <si>
    <t>CDK SERVICE LSS</t>
  </si>
  <si>
    <t>SUITE LSS</t>
  </si>
  <si>
    <t>Product Incompatibility Issue</t>
  </si>
  <si>
    <t>Price/Value Proposition</t>
  </si>
  <si>
    <t>LOW OR NO UTILIZATION</t>
  </si>
  <si>
    <t>Promo - NADA 2022</t>
  </si>
  <si>
    <t>CDK ServiceView Plus for TRUCK -Low or No Utilization</t>
  </si>
  <si>
    <t>SV NOT ON CONTRACT</t>
  </si>
  <si>
    <t>CDKS -LSS</t>
  </si>
  <si>
    <t>Everything ANS or LSS</t>
  </si>
  <si>
    <t>CDKS - LSS</t>
  </si>
  <si>
    <t>CDK CONVERSION</t>
  </si>
  <si>
    <t>CDK CONVERSION - SYS GENERATED</t>
  </si>
  <si>
    <t>Suite INS</t>
  </si>
  <si>
    <t xml:space="preserve">LSS </t>
  </si>
  <si>
    <t xml:space="preserve">error correction </t>
  </si>
  <si>
    <t>Dealership Operation Changes</t>
  </si>
  <si>
    <t>Out of business</t>
  </si>
  <si>
    <t>ownership change</t>
  </si>
  <si>
    <t>Ford Smartt inspect pkg INS</t>
  </si>
  <si>
    <t>SV ATN - SUITE INS</t>
  </si>
  <si>
    <t>CDK ServiceView Plus (Small Dealer)</t>
  </si>
  <si>
    <t>SUITE - LSS , Low or No Utilization</t>
  </si>
  <si>
    <t>SUITE -ANS</t>
  </si>
  <si>
    <t>CDKS- LSS</t>
  </si>
  <si>
    <t>ERROR CORRECTION</t>
  </si>
  <si>
    <t xml:space="preserve">Suite LSS </t>
  </si>
  <si>
    <t>SV FOR TRUCK , Everything else ANS / LSS</t>
  </si>
  <si>
    <t>reason unknown</t>
  </si>
  <si>
    <t>Promo - NADA 2022 - REQUIRES Inspect)</t>
  </si>
  <si>
    <t>FOS ANS</t>
  </si>
  <si>
    <t>Ownership Change /  FOS ANS</t>
  </si>
  <si>
    <t>UNKNOWN</t>
  </si>
  <si>
    <t xml:space="preserve">CDK CONVERSION </t>
  </si>
  <si>
    <t>ATN</t>
  </si>
  <si>
    <t>CLEANUP</t>
  </si>
  <si>
    <t>CDKS LSS</t>
  </si>
  <si>
    <t xml:space="preserve">cdk conversion </t>
  </si>
  <si>
    <t>suite ANS</t>
  </si>
  <si>
    <t xml:space="preserve">Cleanup </t>
  </si>
  <si>
    <t xml:space="preserve">Low or No utilization </t>
  </si>
  <si>
    <t>Manufacturer Driven Out of Business</t>
  </si>
  <si>
    <t>ENTIRE ANS</t>
  </si>
  <si>
    <t xml:space="preserve">CDK CONVERSION  </t>
  </si>
  <si>
    <t>SUITE</t>
  </si>
  <si>
    <t>rest of suite INS</t>
  </si>
  <si>
    <t>CDK conversion</t>
  </si>
  <si>
    <t xml:space="preserve">CDK conversion </t>
  </si>
  <si>
    <t xml:space="preserve">PRODUCT INCOMPATIBILITY ISSUE </t>
  </si>
  <si>
    <t xml:space="preserve">REASON UNKOWN </t>
  </si>
  <si>
    <t>DMS ANS</t>
  </si>
  <si>
    <t>DMS LOSS</t>
  </si>
  <si>
    <t>Save TruVideo Month -1 Prorated Invoice and Month 0 monthly invoice</t>
  </si>
  <si>
    <t>Download  Contract Details Report for ServiceView on Day 2 each month</t>
  </si>
  <si>
    <t xml:space="preserve">Sort TruVideo ServiceView INS and BLG sites </t>
  </si>
  <si>
    <t>Compare Invoice to CDK INS sites, if not find, compare to BLG sites</t>
  </si>
  <si>
    <t xml:space="preserve">Identify the BLG sites are billed.  </t>
  </si>
  <si>
    <t>Identify the sites that are billed not on BLG or INS</t>
  </si>
  <si>
    <t>Identify the overbilled amount for item 5 and item 6</t>
  </si>
  <si>
    <t>Summarize the audit result for item 5 and item 6 and make clean site list</t>
  </si>
  <si>
    <t>Compare CDK INS site to invoice to identify the site list</t>
  </si>
  <si>
    <t xml:space="preserve">Make clean list of item 9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</si>
</sst>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0000"/>
      <name val="Aptos Narrow"/>
      <family val="2"/>
    </font>
    <font>
      <sz val="10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C00000"/>
      <name val="Calibri"/>
      <family val="2"/>
      <scheme val="minor"/>
    </font>
    <font>
      <b/>
      <sz val="11"/>
      <color rgb="FF333333"/>
      <name val="Helvetica Neue"/>
      <charset val="1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6" borderId="0" applyNumberFormat="0" applyBorder="0" applyAlignment="0" applyProtection="0"/>
    <xf numFmtId="0" fontId="20" fillId="7" borderId="0" applyNumberFormat="0" applyBorder="0" applyAlignment="0" applyProtection="0"/>
    <xf numFmtId="0" fontId="21" fillId="8" borderId="0" applyNumberFormat="0" applyBorder="0" applyAlignment="0" applyProtection="0"/>
    <xf numFmtId="0" fontId="22" fillId="9" borderId="6" applyNumberFormat="0" applyAlignment="0" applyProtection="0"/>
    <xf numFmtId="0" fontId="23" fillId="10" borderId="7" applyNumberFormat="0" applyAlignment="0" applyProtection="0"/>
    <xf numFmtId="0" fontId="24" fillId="10" borderId="6" applyNumberFormat="0" applyAlignment="0" applyProtection="0"/>
    <xf numFmtId="0" fontId="25" fillId="0" borderId="8" applyNumberFormat="0" applyFill="0" applyAlignment="0" applyProtection="0"/>
    <xf numFmtId="0" fontId="26" fillId="11" borderId="9" applyNumberFormat="0" applyAlignment="0" applyProtection="0"/>
    <xf numFmtId="0" fontId="2" fillId="0" borderId="0" applyNumberFormat="0" applyFill="0" applyBorder="0" applyAlignment="0" applyProtection="0"/>
    <xf numFmtId="0" fontId="1" fillId="12" borderId="10" applyNumberFormat="0" applyFont="0" applyAlignment="0" applyProtection="0"/>
    <xf numFmtId="0" fontId="27" fillId="0" borderId="0" applyNumberFormat="0" applyFill="0" applyBorder="0" applyAlignment="0" applyProtection="0"/>
    <xf numFmtId="0" fontId="3" fillId="0" borderId="11" applyNumberFormat="0" applyFill="0" applyAlignment="0" applyProtection="0"/>
    <xf numFmtId="0" fontId="2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8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</cellStyleXfs>
  <cellXfs count="48">
    <xf numFmtId="0" fontId="0" fillId="0" borderId="0" xfId="0"/>
    <xf numFmtId="0" fontId="3" fillId="0" borderId="0" xfId="0" applyFont="1"/>
    <xf numFmtId="44" fontId="3" fillId="0" borderId="0" xfId="2" applyFont="1"/>
    <xf numFmtId="0" fontId="1" fillId="0" borderId="0" xfId="3"/>
    <xf numFmtId="0" fontId="1" fillId="0" borderId="0" xfId="4"/>
    <xf numFmtId="44" fontId="0" fillId="0" borderId="0" xfId="2" applyFont="1"/>
    <xf numFmtId="44" fontId="0" fillId="0" borderId="1" xfId="2" applyFont="1" applyBorder="1"/>
    <xf numFmtId="0" fontId="1" fillId="0" borderId="0" xfId="5"/>
    <xf numFmtId="0" fontId="4" fillId="2" borderId="0" xfId="0" applyFont="1" applyFill="1"/>
    <xf numFmtId="44" fontId="4" fillId="2" borderId="0" xfId="2" applyFont="1" applyFill="1"/>
    <xf numFmtId="0" fontId="0" fillId="2" borderId="0" xfId="0" applyFill="1"/>
    <xf numFmtId="44" fontId="3" fillId="2" borderId="0" xfId="2" applyFont="1" applyFill="1"/>
    <xf numFmtId="14" fontId="0" fillId="0" borderId="0" xfId="0" applyNumberFormat="1"/>
    <xf numFmtId="43" fontId="0" fillId="0" borderId="0" xfId="1" applyFont="1"/>
    <xf numFmtId="0" fontId="0" fillId="3" borderId="0" xfId="0" applyFill="1"/>
    <xf numFmtId="164" fontId="0" fillId="0" borderId="0" xfId="1" applyNumberFormat="1" applyFont="1"/>
    <xf numFmtId="43" fontId="0" fillId="0" borderId="0" xfId="0" applyNumberFormat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0" xfId="1" applyNumberFormat="1" applyFont="1" applyFill="1"/>
    <xf numFmtId="0" fontId="5" fillId="0" borderId="0" xfId="0" applyFont="1"/>
    <xf numFmtId="0" fontId="6" fillId="3" borderId="0" xfId="0" applyFont="1" applyFill="1"/>
    <xf numFmtId="0" fontId="6" fillId="0" borderId="0" xfId="0" applyFont="1"/>
    <xf numFmtId="0" fontId="2" fillId="0" borderId="0" xfId="0" applyFont="1"/>
    <xf numFmtId="0" fontId="2" fillId="3" borderId="0" xfId="0" applyFont="1" applyFill="1"/>
    <xf numFmtId="0" fontId="7" fillId="0" borderId="0" xfId="0" applyFont="1"/>
    <xf numFmtId="0" fontId="8" fillId="0" borderId="0" xfId="0" applyFont="1" applyAlignment="1">
      <alignment vertical="center"/>
    </xf>
    <xf numFmtId="14" fontId="3" fillId="0" borderId="0" xfId="0" applyNumberFormat="1" applyFont="1"/>
    <xf numFmtId="0" fontId="0" fillId="4" borderId="0" xfId="0" applyFill="1"/>
    <xf numFmtId="17" fontId="0" fillId="0" borderId="0" xfId="0" applyNumberForma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9" fillId="0" borderId="0" xfId="0" applyFont="1" applyAlignment="1">
      <alignment wrapText="1"/>
    </xf>
    <xf numFmtId="0" fontId="13" fillId="0" borderId="0" xfId="0" applyFont="1"/>
    <xf numFmtId="14" fontId="0" fillId="3" borderId="0" xfId="0" applyNumberFormat="1" applyFill="1"/>
    <xf numFmtId="43" fontId="0" fillId="3" borderId="0" xfId="1" applyFont="1" applyFill="1"/>
    <xf numFmtId="14" fontId="0" fillId="3" borderId="0" xfId="1" applyNumberFormat="1" applyFont="1" applyFill="1"/>
    <xf numFmtId="0" fontId="0" fillId="0" borderId="0" xfId="0" quotePrefix="1"/>
    <xf numFmtId="164" fontId="0" fillId="0" borderId="0" xfId="0" applyNumberFormat="1"/>
    <xf numFmtId="0" fontId="14" fillId="0" borderId="0" xfId="0" applyFont="1"/>
    <xf numFmtId="1" fontId="14" fillId="0" borderId="0" xfId="0" applyNumberFormat="1" applyFont="1"/>
    <xf numFmtId="0" fontId="14" fillId="5" borderId="0" xfId="0" applyFont="1" applyFill="1" applyAlignment="1">
      <alignment wrapText="1"/>
    </xf>
    <xf numFmtId="0" fontId="0" fillId="0" borderId="0" xfId="0" applyAlignment="1">
      <alignment horizontal="right"/>
    </xf>
    <xf numFmtId="165" fontId="0" fillId="0" borderId="2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3" borderId="2" xfId="0" applyFill="1" applyBorder="1" applyAlignment="1">
      <alignment horizontal="center"/>
    </xf>
  </cellXfs>
  <cellStyles count="47">
    <cellStyle name="20% - Accent1" xfId="24" builtinId="30" customBuiltin="1"/>
    <cellStyle name="20% - Accent2" xfId="28" builtinId="34" customBuiltin="1"/>
    <cellStyle name="20% - Accent3" xfId="32" builtinId="38" customBuiltin="1"/>
    <cellStyle name="20% - Accent4" xfId="36" builtinId="42" customBuiltin="1"/>
    <cellStyle name="20% - Accent5" xfId="40" builtinId="46" customBuiltin="1"/>
    <cellStyle name="20% - Accent6" xfId="44" builtinId="50" customBuiltin="1"/>
    <cellStyle name="40% - Accent1" xfId="25" builtinId="31" customBuiltin="1"/>
    <cellStyle name="40% - Accent2" xfId="29" builtinId="35" customBuiltin="1"/>
    <cellStyle name="40% - Accent3" xfId="33" builtinId="39" customBuiltin="1"/>
    <cellStyle name="40% - Accent4" xfId="37" builtinId="43" customBuiltin="1"/>
    <cellStyle name="40% - Accent5" xfId="41" builtinId="47" customBuiltin="1"/>
    <cellStyle name="40% - Accent6" xfId="45" builtinId="51" customBuiltin="1"/>
    <cellStyle name="60% - Accent1" xfId="26" builtinId="32" customBuiltin="1"/>
    <cellStyle name="60% - Accent2" xfId="30" builtinId="36" customBuiltin="1"/>
    <cellStyle name="60% - Accent3" xfId="34" builtinId="40" customBuiltin="1"/>
    <cellStyle name="60% - Accent4" xfId="38" builtinId="44" customBuiltin="1"/>
    <cellStyle name="60% - Accent5" xfId="42" builtinId="48" customBuiltin="1"/>
    <cellStyle name="60% - Accent6" xfId="46" builtinId="52" customBuiltin="1"/>
    <cellStyle name="Accent1" xfId="23" builtinId="29" customBuiltin="1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2" builtinId="27" customBuiltin="1"/>
    <cellStyle name="Calculation" xfId="16" builtinId="22" customBuiltin="1"/>
    <cellStyle name="Check Cell" xfId="18" builtinId="23" customBuiltin="1"/>
    <cellStyle name="Comma" xfId="1" builtinId="3"/>
    <cellStyle name="Currency" xfId="2" builtinId="4"/>
    <cellStyle name="Explanatory Text" xfId="21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" xfId="14" builtinId="20" customBuiltin="1"/>
    <cellStyle name="Linked Cell" xfId="17" builtinId="24" customBuiltin="1"/>
    <cellStyle name="Neutral" xfId="13" builtinId="28" customBuiltin="1"/>
    <cellStyle name="Normal" xfId="0" builtinId="0"/>
    <cellStyle name="Normal 3" xfId="3" xr:uid="{2EA45BAA-C529-481E-B175-8B00C63AA65E}"/>
    <cellStyle name="Normal 5" xfId="5" xr:uid="{37907D54-B2CC-4B57-8B0B-777510EAAA8D}"/>
    <cellStyle name="Normal 6" xfId="4" xr:uid="{C9CB4F97-9DFB-42F1-AA53-88E588841AD6}"/>
    <cellStyle name="Note" xfId="20" builtinId="10" customBuiltin="1"/>
    <cellStyle name="Output" xfId="15" builtinId="21" customBuiltin="1"/>
    <cellStyle name="Title" xfId="6" builtinId="15" customBuiltin="1"/>
    <cellStyle name="Total" xfId="22" builtinId="25" customBuiltin="1"/>
    <cellStyle name="Warning Text" xfId="19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42" Type="http://schemas.openxmlformats.org/officeDocument/2006/relationships/externalLink" Target="externalLinks/externalLink24.xml"/><Relationship Id="rId47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externalLink" Target="externalLinks/externalLink19.xml"/><Relationship Id="rId40" Type="http://schemas.openxmlformats.org/officeDocument/2006/relationships/externalLink" Target="externalLinks/externalLink22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Relationship Id="rId43" Type="http://schemas.openxmlformats.org/officeDocument/2006/relationships/externalLink" Target="externalLinks/externalLink25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externalLink" Target="externalLinks/externalLink20.xml"/><Relationship Id="rId46" Type="http://schemas.openxmlformats.org/officeDocument/2006/relationships/sharedStrings" Target="sharedStrings.xml"/><Relationship Id="rId20" Type="http://schemas.openxmlformats.org/officeDocument/2006/relationships/externalLink" Target="externalLinks/externalLink2.xml"/><Relationship Id="rId41" Type="http://schemas.openxmlformats.org/officeDocument/2006/relationships/externalLink" Target="externalLinks/externalLink2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trium.ds.ad.adp.com\groups\Fy00\Monthend\Cons%20Pack\US%20T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dpdscfo.ds.ad.adp.com/123/Plan2001/FSSEP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dpdscfo.ds.ad.adp.com/123/FORECAST/2001/WeeklyCashFlo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s-mgmt1.lasisi01a.las.san.dsghost.net\Associate\WINDOWS\TEMP\egrrdp99.xlw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AAAA\Plan%2006\Strat%20Rev%20Mode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egrrdp99.xlw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AAAA\Plan%2006\Strat%20Rev%20Mode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Startup" Target="Midwest_Div/GTrenerr/My%20Documents/CERs%20FY02/Opryland/Opryland%20CER%2001140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trium.ds.ad.adp.com\groups\AAAAA\Plan%2006\Strat%20Rev%20Mode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dpdscfo.ds.ad.adp.com/123/Plan2001/BUDG20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rlink.ms.com/eqr/rlink/webapp/Research?action=streamFile&amp;docId=356197&amp;headline=ADP.N+Model:+Quarterly+Update&amp;docFileType=8&amp;linksrc=rl-res-site&amp;lastParam=/adp.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trium.ds.ad.adp.com\groups\CORPACCT\STKOPT\FY'02\Stk0599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uskij\AppData\Local\Microsoft\Windows\INetCache\Content.Outlook\AJW9PD8H\606%20Adjustments%20by%20Product%20bh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dpdscfo.ds.ad.adp.com/Res/Transfer/Schneider/PVF/Economic%20&amp;%20Industry%20Data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dpdscfo.ds.ad.adp.com/Documents%20and%20Settings/jkaplan/Local%20Settings/Temporary%20Internet%20Files/OLKC7/CB%20Consumer%20Confidenc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trium.ds.ad.adp.com\groups\finance\NA%20FP&amp;A\FY19\Finance%20Calendars\New%20Calendar\!Finance%20Calendar%20-%20Jul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fs01.global.cdk.com\Corporate_FP_A\Users\ezrolj\AppData\Roaming\Microsoft\Excel\LOC_ESSB_RSNA-Function%20(version%202)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microsoft.com/office/2019/04/relationships/externalLinkLongPath" Target="file:///\\financefs01.global.cdk.com\Project_Aurora_Ezrol\finance\Consolidation\Aurora%20ERP\Conversions\Dev3\June-Reconciliations-HFM-vs-EDMCS\Earlier%20files%20-%2005-20\FY20-JUN-D3-IncStmt-CS-HFM-Retr-wAUS--05.25.2021-pm-w-2-brdg.xlsx?C7468434" TargetMode="External"/><Relationship Id="rId1" Type="http://schemas.openxmlformats.org/officeDocument/2006/relationships/externalLinkPath" Target="file:///\\C7468434\FY20-JUN-D3-IncStmt-CS-HFM-Retr-wAUS--05.25.2021-pm-w-2-brdg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s-mgmt1.lasisi01a.las.san.dsghost.net\Associate\Users\garners\Desktop\ARB-06B-FLEET%20BILLING%20JULY%20'FY'14%20Executive%20Service%20Charge%20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fs01.global.cdk.com\Corporate_FP_A\Users\daileym\Desktop\2020-06-18_BD14_Management%20Reporting%20Master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trium\groups\finance\Corporate%20FP&amp;A\FP&amp;A%20Consolidations\11.%20Management%20Reporting\FY%202021\02%20Aug%20FY21\2020-09-09_BD6_Management%20Reporting%20Master%20(MM)_Adhoc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s-mgmt1.lasisi01a.las.san.dsghost.net\Associate\slc\DOCUME~1\earnhajx\LOCALS~1\Temp\FY'03%20AOP%20USRDP\EuroDough\RAULET%20ONL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761%20Depreciation%20Expense%20(RBR)%20-%20Reconciliation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7150%20FAS%20123%20Calculation" TargetMode="External"/></Relationships>
</file>

<file path=xl/externalLinks/_rels/externalLink2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lei_huang_cdk_com/Documents/Desktop/Feb%20Close%20Temp%20Folder/TruVideo/Jan%20Count%20Reconciliation/TruVideo%20Jan%20counts%20with%20feedback%20from%20Implementation.xlsx" TargetMode="External"/><Relationship Id="rId2" Type="http://schemas.openxmlformats.org/officeDocument/2006/relationships/externalLinkPath" Target="https://globalcdk-my.sharepoint.com/personal/lei_huang_cdk_com/Documents/Desktop/Feb%20Close%20Temp%20Folder/TruVideo/Jan%20Count%20Reconciliation/TruVideo%20Jan%20counts%20with%20feedback%20from%20Implementation.xlsx" TargetMode="External"/><Relationship Id="rId1" Type="http://schemas.openxmlformats.org/officeDocument/2006/relationships/externalLinkPath" Target="/personal/lei_huang_cdk_com/Documents/Desktop/Feb%20Close%20Temp%20Folder/TruVideo/Jan%20Count%20Reconciliation/TruVideo%20Jan%20counts%20with%20feedback%20from%20Implement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 JUL"/>
      <sheetName val="BS_JUL"/>
      <sheetName val="Model Adjustments"/>
      <sheetName val="Sheet1"/>
      <sheetName val="US TB"/>
      <sheetName val="Lookup"/>
      <sheetName val="Admin"/>
      <sheetName val="Admin for POV"/>
      <sheetName val="Validation Lists"/>
      <sheetName val="Values"/>
      <sheetName val="List"/>
      <sheetName val="Lists"/>
      <sheetName val="BBD - Event Driven"/>
      <sheetName val="Data"/>
      <sheetName val="Listing leases"/>
      <sheetName val="Validations"/>
      <sheetName val="Expense Drop Downs"/>
      <sheetName val="GTO Admin"/>
      <sheetName val="Summaries"/>
      <sheetName val="Listing"/>
      <sheetName val="Info"/>
      <sheetName val="Data Validation Lists"/>
      <sheetName val="TM1"/>
      <sheetName val="Asset Category"/>
      <sheetName val="Sheet9"/>
      <sheetName val="Validations "/>
      <sheetName val="CAUSTIC"/>
      <sheetName val="JAN"/>
      <sheetName val="Ref"/>
      <sheetName val="Sheet2"/>
      <sheetName val="AP June'17"/>
      <sheetName val="VLOOKUPS (DO NOT CHANGE)"/>
      <sheetName val="TM1 Pull"/>
      <sheetName val="Reference"/>
      <sheetName val="ICS Segment Q2 Analyst Call "/>
      <sheetName val="BRCC Drivers"/>
      <sheetName val="SBU Client Mapping Table"/>
      <sheetName val="Maping"/>
      <sheetName val="Maping "/>
      <sheetName val="Hide"/>
      <sheetName val="Assumption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. MENU"/>
      <sheetName val="TECH AID"/>
      <sheetName val="TAC STAFFING SERVICES"/>
      <sheetName val="TAC AUTO"/>
      <sheetName val="EDP TEMPS"/>
      <sheetName val="TAC ENGIN. RES."/>
      <sheetName val="THIRD PARTY"/>
      <sheetName val="TAC NATIONWIDE"/>
      <sheetName val="TAC ENTERT."/>
      <sheetName val="INTL"/>
      <sheetName val="SMD"/>
      <sheetName val="TOTAL CORP."/>
      <sheetName val="PAV"/>
      <sheetName val="AREA SALES"/>
      <sheetName val="TOTAL FEE (2)"/>
      <sheetName val="SMD FEE (2)"/>
      <sheetName val="Module3"/>
      <sheetName val="Lists"/>
      <sheetName val="Region"/>
      <sheetName val="Company"/>
      <sheetName val="Market"/>
      <sheetName val="BU"/>
      <sheetName val="SEC"/>
      <sheetName val="CMlisting"/>
      <sheetName val="Tier"/>
      <sheetName val="Product"/>
      <sheetName val="CM lis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 (2)"/>
      <sheetName val="Sheet1"/>
      <sheetName val="Fleet Debits"/>
      <sheetName val="wells fargo"/>
      <sheetName val="Wires"/>
      <sheetName val="Interrest"/>
      <sheetName val="ORIG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00000000000"/>
      <sheetName val="0000000000000000000000000"/>
      <sheetName val="R13 Comparison"/>
      <sheetName val="New Look Sales Detail"/>
      <sheetName val="COVER"/>
      <sheetName val="As Reported"/>
      <sheetName val="FY99 Bgt"/>
      <sheetName val="vs. FY99 Bgt"/>
      <sheetName val="vs. Prior Yr"/>
      <sheetName val="Main Summaries"/>
      <sheetName val="Key Elements vs. Bgt"/>
      <sheetName val="Key Elements Prior Yr"/>
      <sheetName val="Mfg Variances"/>
      <sheetName val="Mfg Ops Summary"/>
      <sheetName val="COGS Recap"/>
      <sheetName val="99 SG&amp;A Recap"/>
      <sheetName val="Admin Recap"/>
      <sheetName val="PYE Summary"/>
      <sheetName val="Contingencies List"/>
      <sheetName val="PERIOD MIX"/>
      <sheetName val="SALES DETAIL"/>
      <sheetName val="YTD MIX"/>
      <sheetName val="PVM Bgt Summary"/>
      <sheetName val="PVM 98 Summary"/>
      <sheetName val="Chart 1"/>
      <sheetName val="Chart 2"/>
      <sheetName val="Chart 3"/>
      <sheetName val="Chart 4"/>
      <sheetName val="PYE Statement"/>
      <sheetName val="PYE Graph"/>
      <sheetName val="SLIDES"/>
      <sheetName val="KPI's"/>
      <sheetName val="BAL SHEET"/>
      <sheetName val="Scrapped FG"/>
      <sheetName val="PKG EXPOSURE"/>
      <sheetName val="PKG GRAPH"/>
      <sheetName val="Sales forecast"/>
      <sheetName val="SIS by Week"/>
      <sheetName val="ASSET TURNOVER"/>
      <sheetName val="CAPEX FIXED ASSETS"/>
      <sheetName val="GTS to NS"/>
      <sheetName val="Coy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season"/>
      <sheetName val="Lookup"/>
      <sheetName val="Reg_Dialog"/>
      <sheetName val="Inputs"/>
      <sheetName val="Documentation"/>
      <sheetName val="CALCS TD"/>
      <sheetName val="CALCS WIN"/>
      <sheetName val="CALCS NET"/>
      <sheetName val="Model Adjustments"/>
      <sheetName val="Model Analysis"/>
      <sheetName val="Sales Plan Analysis"/>
      <sheetName val="Actual Retrieve"/>
      <sheetName val="Sales Plan Retrieve"/>
      <sheetName val="EXP_MOD"/>
      <sheetName val="CALCS_TD"/>
      <sheetName val="CALCS_WIN"/>
      <sheetName val="CALCS_NET"/>
      <sheetName val="Model_Adjustments"/>
      <sheetName val="Model_Analysis"/>
      <sheetName val="Sales_Plan_Analysis"/>
      <sheetName val="Actual_Retrieve"/>
      <sheetName val="Sales_Plan_Retrieve"/>
      <sheetName val="CALCS_TD1"/>
      <sheetName val="CALCS_WIN1"/>
      <sheetName val="CALCS_NET1"/>
      <sheetName val="Model_Adjustments1"/>
      <sheetName val="Model_Analysis1"/>
      <sheetName val="Sales_Plan_Analysis1"/>
      <sheetName val="Actual_Retrieve1"/>
      <sheetName val="Sales_Plan_Retrieve1"/>
      <sheetName val="Satellite Info"/>
      <sheetName val="Total Reven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00000000000"/>
      <sheetName val="0000000000000000000000000"/>
      <sheetName val="R13 Comparison"/>
      <sheetName val="New Look Sales Detail"/>
      <sheetName val="COVER"/>
      <sheetName val="As Reported"/>
      <sheetName val="FY99 Bgt"/>
      <sheetName val="vs. FY99 Bgt"/>
      <sheetName val="vs. Prior Yr"/>
      <sheetName val="Main Summaries"/>
      <sheetName val="Key Elements vs. Bgt"/>
      <sheetName val="Key Elements Prior Yr"/>
      <sheetName val="Mfg Variances"/>
      <sheetName val="Mfg Ops Summary"/>
      <sheetName val="COGS Recap"/>
      <sheetName val="99 SG&amp;A Recap"/>
      <sheetName val="Admin Recap"/>
      <sheetName val="PYE Summary"/>
      <sheetName val="Contingencies List"/>
      <sheetName val="PERIOD MIX"/>
      <sheetName val="SALES DETAIL"/>
      <sheetName val="YTD MIX"/>
      <sheetName val="PVM Bgt Summary"/>
      <sheetName val="PVM 98 Summary"/>
      <sheetName val="Chart 1"/>
      <sheetName val="Chart 2"/>
      <sheetName val="Chart 3"/>
      <sheetName val="Chart 4"/>
      <sheetName val="PYE Statement"/>
      <sheetName val="PYE Graph"/>
      <sheetName val="SLIDES"/>
      <sheetName val="KPI's"/>
      <sheetName val="BAL SHEET"/>
      <sheetName val="Scrapped FG"/>
      <sheetName val="PKG EXPOSURE"/>
      <sheetName val="PKG GRAPH"/>
      <sheetName val="Sales forecast"/>
      <sheetName val="SIS by Week"/>
      <sheetName val="ASSET TURNOVER"/>
      <sheetName val="CAPEX FIXED ASSETS"/>
      <sheetName val="GTS to NS"/>
      <sheetName val="Coyne"/>
      <sheetName val="Lists"/>
      <sheetName val="List"/>
      <sheetName val="K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season"/>
      <sheetName val="Lookup"/>
      <sheetName val="Reg_Dialog"/>
      <sheetName val="Inputs"/>
      <sheetName val="Documentation"/>
      <sheetName val="CALCS TD"/>
      <sheetName val="CALCS WIN"/>
      <sheetName val="CALCS NET"/>
      <sheetName val="Model Adjustments"/>
      <sheetName val="Model Analysis"/>
      <sheetName val="Sales Plan Analysis"/>
      <sheetName val="Actual Retrieve"/>
      <sheetName val="Sales Plan Retrieve"/>
      <sheetName val="EXP_MOD"/>
      <sheetName val="CALCS_TD"/>
      <sheetName val="CALCS_WIN"/>
      <sheetName val="CALCS_NET"/>
      <sheetName val="Model_Adjustments"/>
      <sheetName val="Model_Analysis"/>
      <sheetName val="Sales_Plan_Analysis"/>
      <sheetName val="Actual_Retrieve"/>
      <sheetName val="Sales_Plan_Retrie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Pg1"/>
      <sheetName val="Pg2"/>
      <sheetName val="Pg3"/>
      <sheetName val="Pg4"/>
      <sheetName val="Pg5"/>
      <sheetName val="BUs by Business 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season"/>
      <sheetName val="Lookup"/>
      <sheetName val="Reg_Dialog"/>
      <sheetName val="Inputs"/>
      <sheetName val="Documentation"/>
      <sheetName val="CALCS TD"/>
      <sheetName val="CALCS WIN"/>
      <sheetName val="CALCS NET"/>
      <sheetName val="Model Adjustments"/>
      <sheetName val="Model Analysis"/>
      <sheetName val="Sales Plan Analysis"/>
      <sheetName val="Actual Retrieve"/>
      <sheetName val="Sales Plan Retrieve"/>
      <sheetName val="EXP_MOD"/>
      <sheetName val="CALCS_TD"/>
      <sheetName val="CALCS_WIN"/>
      <sheetName val="CALCS_NET"/>
      <sheetName val="Model_Adjustments"/>
      <sheetName val="Model_Analysis"/>
      <sheetName val="Sales_Plan_Analysis"/>
      <sheetName val="Actual_Retrieve"/>
      <sheetName val="Sales_Plan_Retrieve"/>
      <sheetName val="CALCS_TD1"/>
      <sheetName val="CALCS_WIN1"/>
      <sheetName val="CALCS_NET1"/>
      <sheetName val="Model_Adjustments1"/>
      <sheetName val="Model_Analysis1"/>
      <sheetName val="Sales_Plan_Analysis1"/>
      <sheetName val="Actual_Retrieve1"/>
      <sheetName val="Sales_Plan_Retrieve1"/>
      <sheetName val="Satellite Info"/>
      <sheetName val="Total Revenue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. MENU"/>
      <sheetName val="SALARY INPUT"/>
      <sheetName val="AUTOMATION"/>
      <sheetName val="OPERATING EXPS."/>
      <sheetName val="SUMMARY"/>
      <sheetName val="MONTHLY SALARY"/>
      <sheetName val="Oracle"/>
      <sheetName val="Module1"/>
      <sheetName val="Module2"/>
      <sheetName val="Module3"/>
      <sheetName val="Module4"/>
      <sheetName val="Module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rtantDisclosures"/>
      <sheetName val="CircularReferenceAlert"/>
      <sheetName val="Financials"/>
      <sheetName val="Valuation"/>
      <sheetName val="Assumptions"/>
      <sheetName val="Metrics"/>
      <sheetName val="Acqs"/>
      <sheetName val="Brkg"/>
      <sheetName val="IndexInformation"/>
      <sheetName val="Model_Template"/>
      <sheetName val="Debt"/>
      <sheetName val="Fin Pos"/>
      <sheetName val="Historical"/>
      <sheetName val="MainCode"/>
      <sheetName val="SheetVisibilityStatus"/>
      <sheetName val="Variance"/>
      <sheetName val="370-756"/>
      <sheetName val="381-792"/>
      <sheetName val="Fin_Pos"/>
      <sheetName val="Model Adjustments"/>
      <sheetName val="6800 Divis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/>
      <sheetData sheetId="19" refreshError="1"/>
      <sheetData sheetId="2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A"/>
      <sheetName val="OPS"/>
      <sheetName val="Ppd Maint Cont "/>
      <sheetName val="SKOP1298"/>
      <sheetName val="Macro"/>
      <sheetName val="Ppd_Maint_Cont_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Mapping"/>
      <sheetName val="Snapshot"/>
      <sheetName val="Adjustments Total"/>
      <sheetName val="605"/>
      <sheetName val="606"/>
      <sheetName val="Adjustments ex carve and lease"/>
      <sheetName val="605 - Carve"/>
      <sheetName val="Lease - Carve"/>
      <sheetName val="606 - Carve"/>
      <sheetName val="Adjustments - carve ex lease"/>
      <sheetName val="606 Lease"/>
      <sheetName val="605 Lease"/>
      <sheetName val="606 Adjustments by Product bh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/>
      <sheetData sheetId="9" refreshError="1"/>
      <sheetData sheetId="10"/>
      <sheetData sheetId="11"/>
      <sheetData sheetId="12" refreshError="1"/>
      <sheetData sheetId="1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I data"/>
      <sheetName val="commercial construction"/>
      <sheetName val="crack spreads"/>
      <sheetName val="pump valve vs interest rates"/>
      <sheetName val="new orders"/>
      <sheetName val="Process Control Inventory level"/>
      <sheetName val="NAHB"/>
      <sheetName val="oil majors huge 1st quarter"/>
      <sheetName val="New Housing Starts Actual"/>
      <sheetName val="NAPM and EIC"/>
      <sheetName val="Capacity Utilization"/>
      <sheetName val="Crack Spread"/>
      <sheetName val="Euro 11 Industrial Confidence"/>
      <sheetName val="Worldwide oil Capex spending"/>
      <sheetName val="Rig Counts"/>
      <sheetName val="NAPM"/>
      <sheetName val="Parker Hannifin vs NAPM"/>
      <sheetName val="IFO Manufacturing Business Clim"/>
      <sheetName val="Leading Economic Indicators"/>
      <sheetName val="Confidence Indicators"/>
      <sheetName val="Japan Tankan Manufacturing surv"/>
      <sheetName val="Industrial Production"/>
      <sheetName val="real industrial production"/>
      <sheetName val="New Orders-Capital Goods"/>
      <sheetName val="Chemical Industry Cap-ex"/>
      <sheetName val="Major Oil companies cap-ex"/>
      <sheetName val="Chemical-Specialty Index"/>
      <sheetName val="Chemical-Major Diversified Inde"/>
      <sheetName val="Chemical-Agriculture Index"/>
      <sheetName val="PC Index vs. FactSet F1250 inde"/>
      <sheetName val="S&amp;P 400 and 600"/>
      <sheetName val="Worldwide"/>
      <sheetName val="Quarterly Crude Prices"/>
      <sheetName val="Remodeling"/>
      <sheetName val="Home Depot and Lowes Stores"/>
      <sheetName val="Sheet1"/>
      <sheetName val="NAPM vs PC stocks"/>
    </sheetNames>
    <sheetDataSet>
      <sheetData sheetId="0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  <sheetName val="Data"/>
      <sheetName val="Recent Data"/>
      <sheetName val="Confidence 1970"/>
      <sheetName val="Confidence 1984"/>
      <sheetName val="Expectations 1970"/>
      <sheetName val="Expectations 1984"/>
      <sheetName val="Present Sit 1970"/>
      <sheetName val="Present Sit 1984"/>
      <sheetName val="Current Bus 1970"/>
      <sheetName val="Current Empl 1970"/>
      <sheetName val="Future Bus 1970"/>
      <sheetName val="Future Empl 1970"/>
      <sheetName val="ES1 (5)"/>
      <sheetName val="ES1 (4)"/>
      <sheetName val="Chart1 (3)"/>
      <sheetName val="ES1 (3)"/>
      <sheetName val="ES2 (2)"/>
      <sheetName val="ES1 (2)"/>
      <sheetName val="ES Sum"/>
      <sheetName val="EFS"/>
      <sheetName val="ES1"/>
      <sheetName val="ES2"/>
      <sheetName val="Pres Sit"/>
      <sheetName val="Chart1 (2)"/>
      <sheetName val="Chart3"/>
      <sheetName val="Chart1"/>
      <sheetName val="Char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ic Finance Calendar"/>
      <sheetName val="NA Finance Calendar"/>
      <sheetName val="Accounting Calendar_Mar"/>
      <sheetName val="Accounting Calendar"/>
      <sheetName val="D&amp;A Calendar"/>
      <sheetName val="FY20 Plan  Calendar (old)"/>
      <sheetName val="NA Finance Calendar (2)"/>
      <sheetName val="VLOOKUP"/>
      <sheetName val="Sheet1"/>
      <sheetName val="Payroll - ESL Team"/>
      <sheetName val="Index"/>
      <sheetName val="Exec. Dashboard"/>
      <sheetName val="Monthly P&amp;L "/>
      <sheetName val="CDK Impact"/>
      <sheetName val="Master Business Case"/>
      <sheetName val="Annual P&amp;L New Plan vs. BOD"/>
      <sheetName val="KPI - New Plan vs. BOD"/>
      <sheetName val="Executive Dashboard"/>
      <sheetName val="KPI Summary"/>
      <sheetName val="Annual P&amp;L"/>
      <sheetName val="Mo.P&amp;L"/>
      <sheetName val="P&amp;L Comparison"/>
      <sheetName val="Unit Economics"/>
      <sheetName val="HC Summary"/>
      <sheetName val="Exec Summary"/>
      <sheetName val="FY22 Plan vs Roadster Estimate"/>
      <sheetName val="Revenue Model"/>
      <sheetName val="Cost Model"/>
      <sheetName val="Key Metrics"/>
      <sheetName val="Plan load"/>
      <sheetName val="DigitalRetail"/>
      <sheetName val="Incremental Costs"/>
      <sheetName val="Digital Retail Expense Summary"/>
      <sheetName val="Labor Cost"/>
      <sheetName val="Deal Costs"/>
      <sheetName val="1Time Costs"/>
      <sheetName val="Incr. Recurring Costs"/>
      <sheetName val="PB_CACHE"/>
      <sheetName val="Revenue Inputs&gt;&gt;"/>
      <sheetName val="CS Migration"/>
      <sheetName val="Pull-through "/>
      <sheetName val="D2D"/>
      <sheetName val="Development Cost Savings"/>
      <sheetName val="Expense Inputs&gt;&gt;"/>
      <sheetName val="COGS Labor Ratios"/>
      <sheetName val="Express Live Inputs"/>
      <sheetName val="Data Infrastructure Costs"/>
      <sheetName val="Supporting Data&gt;&gt;"/>
      <sheetName val="CDK Data&gt;&gt;"/>
      <sheetName val="05.14.21 no low price product"/>
      <sheetName val="04.22.21 Original ST"/>
      <sheetName val="Suggested Roadmap"/>
      <sheetName val="Intangible Assets"/>
      <sheetName val="Incremental CDK HC"/>
      <sheetName val="Spyder Data&gt;&gt;"/>
      <sheetName val="Financial Statements_2021-04"/>
      <sheetName val="Financial Statements_2021-03"/>
      <sheetName val="COGS Fcst Drivers"/>
      <sheetName val="People Cost Fcst"/>
      <sheetName val="Historic COGS Metrics"/>
      <sheetName val="HC Info"/>
      <sheetName val="Adj. HC Fcst"/>
      <sheetName val="Mar Census"/>
      <sheetName val="Data Cost Raw "/>
      <sheetName val="Spyder Model&gt;&gt;"/>
      <sheetName val="Original Model w Exps "/>
      <sheetName val="Modified Model&gt;&gt;"/>
      <sheetName val="Summary"/>
      <sheetName val="ASP Build"/>
      <sheetName val="ESL Model"/>
      <sheetName val="EY - BS Intacct Monthly"/>
      <sheetName val="Summary &amp; Output&gt;&gt;"/>
      <sheetName val="Financial Statements(New) "/>
      <sheetName val="Waterfall wo rerate "/>
      <sheetName val="Waterfall Template"/>
      <sheetName val="KPI Metrics"/>
      <sheetName val="Drop Down Lists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nditional Instructions"/>
      <sheetName val="Map"/>
      <sheetName val="DimensionLists"/>
      <sheetName val="Setup"/>
      <sheetName val="Sheet1"/>
      <sheetName val="LOC_ESSB_RSNA-Function (version"/>
      <sheetName val="VLOOKUP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MCS-IS"/>
      <sheetName val="CLD-IS-pv"/>
      <sheetName val="CC-rechk"/>
      <sheetName val="X-CHK"/>
      <sheetName val="IS-Comp-Analysis"/>
      <sheetName val="Notes"/>
      <sheetName val="HFM-Retrieve-IS-Acct"/>
      <sheetName val="CO-Ext brdg"/>
      <sheetName val="DO-Ext brdg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pCache"/>
      <sheetName val="BneWorkBookProperties"/>
      <sheetName val="BneLog"/>
      <sheetName val="EMAIL"/>
      <sheetName val="ADI"/>
      <sheetName val="TS-ENTRY"/>
      <sheetName val="Working Sheet"/>
      <sheetName val="JE"/>
      <sheetName val="May GL Detail"/>
      <sheetName val="DS Charges 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1.Admin"/>
      <sheetName val="Adhoc"/>
      <sheetName val="2.Essbase"/>
      <sheetName val="3.Close.1"/>
      <sheetName val="3.Close.2 new"/>
      <sheetName val="3.Close.3"/>
      <sheetName val="4.Forecast - hybrid 605 606"/>
      <sheetName val="4.Forecast"/>
      <sheetName val="Forecast.2"/>
      <sheetName val="5.ELT"/>
      <sheetName val="vacanc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1.Admin"/>
      <sheetName val="Adhoc"/>
      <sheetName val="Adhoc (2)"/>
      <sheetName val="Adhoc (3)"/>
      <sheetName val="Adhoc (5)"/>
      <sheetName val="Adhoc (4)"/>
      <sheetName val="2.Essbase"/>
      <sheetName val="3.Close.1OLD"/>
      <sheetName val="3.Close.1NEW"/>
      <sheetName val="3.Close.2"/>
      <sheetName val="3.Close.3"/>
      <sheetName val="4.Forecast - hybrid 605 606"/>
      <sheetName val="4.Forecast"/>
      <sheetName val="Forecast.2"/>
      <sheetName val="5.ELT"/>
      <sheetName val="606 rev flash"/>
      <sheetName val="606 only rev"/>
      <sheetName val="Variance Bridge"/>
      <sheetName val="Sheet1"/>
      <sheetName val="Credits"/>
      <sheetName val="Other Rev"/>
      <sheetName val="vacanc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VVVVVVVVVVVVVVVVVVVVVVVVVVa"/>
      <sheetName val="Cover"/>
      <sheetName val="Main Summaries"/>
      <sheetName val="Key Elements"/>
      <sheetName val="Main Summary"/>
      <sheetName val="Chart 1"/>
      <sheetName val="Chart 2"/>
      <sheetName val="Chart 3"/>
      <sheetName val="chart4"/>
      <sheetName val="SALES DETAIL"/>
      <sheetName val="PERIOD MIX"/>
      <sheetName val="YTD MIX"/>
      <sheetName val="FX Rate Summary"/>
      <sheetName val="BASE"/>
      <sheetName val="VP Lean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eco."/>
      <sheetName val="Excess Calc"/>
      <sheetName val="Threshold Calc"/>
      <sheetName val="Client Dep."/>
      <sheetName val="LHI"/>
      <sheetName val="P&amp;M"/>
      <sheetName val="CE&amp;H"/>
      <sheetName val="NWE"/>
      <sheetName val="Furn."/>
      <sheetName val="Veh."/>
      <sheetName val="CY Dep"/>
      <sheetName val="Tickmarks"/>
      <sheetName val="Summary year Plan"/>
      <sheetName val="Unit Cost"/>
      <sheetName val="Laura locations"/>
      <sheetName val="Graph Valo Theoreti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S 123"/>
      <sheetName val="Timeline"/>
      <sheetName val="BS - Fixed"/>
      <sheetName val="BS - Variable"/>
      <sheetName val="FAS 123 Model"/>
      <sheetName val="Comp Exp - Amort."/>
      <sheetName val="XREF"/>
      <sheetName val="Summary-Final"/>
      <sheetName val="Lead"/>
      <sheetName val="Summary"/>
      <sheetName val="Model"/>
      <sheetName val="Compensation Expense"/>
      <sheetName val="Worksheet in (C) 7150 FAS 123 C"/>
      <sheetName val="6-Accrued"/>
      <sheetName val="Balance Sheet"/>
      <sheetName val="Income Statement"/>
      <sheetName val="Benefit 1"/>
      <sheetName val="P&amp;L Scenerio 1"/>
      <sheetName val="7120(A) Rollforward"/>
      <sheetName val="Factors"/>
      <sheetName val="Intl def"/>
      <sheetName val="STATISTICS"/>
      <sheetName val="Gastos"/>
      <sheetName val="Share Sheet"/>
      <sheetName val="inputs"/>
      <sheetName val="Debt schedule"/>
      <sheetName val="Vendor List"/>
      <sheetName val="_balenz_data"/>
      <sheetName val="Headcount"/>
      <sheetName val="newbridge"/>
      <sheetName val="Financial indicators"/>
      <sheetName val="Risks"/>
      <sheetName val="Negotiating power"/>
      <sheetName val="ICP"/>
      <sheetName val="Carriers and non-c"/>
      <sheetName val="IncomeStatement"/>
      <sheetName val="FA"/>
      <sheetName val="Sales by service"/>
      <sheetName val="LUC-CAL"/>
      <sheetName val="TN Air"/>
      <sheetName val="Ref"/>
      <sheetName val="SB Studio Model"/>
      <sheetName val="Sheet1"/>
      <sheetName val="BSR "/>
      <sheetName val="500 EXCHANGE RATES"/>
      <sheetName val="Option Modification"/>
      <sheetName val="Controls"/>
      <sheetName val="현금및현금등가물"/>
      <sheetName val="sell thru data"/>
      <sheetName val="Items purchased from Xcellent"/>
      <sheetName val="FS 2"/>
      <sheetName val="Options"/>
      <sheetName val="Revenue Curves"/>
      <sheetName val="Accel Amort 36mo "/>
      <sheetName val="SoPo 02"/>
      <sheetName val="SoPo 03"/>
      <sheetName val="Assumptions"/>
      <sheetName val="PF"/>
      <sheetName val="Gross Receipts"/>
      <sheetName val="Data"/>
      <sheetName val="KSB1"/>
      <sheetName val="PopCache"/>
      <sheetName val="Tax Calc"/>
      <sheetName val="3. Revised COS amort_12 31 02"/>
      <sheetName val="Ann IS"/>
      <sheetName val="Subs Summ (2)"/>
      <sheetName val="Vesting templates"/>
      <sheetName val="Formula_Data"/>
      <sheetName val="Rev Growth Rate"/>
      <sheetName val="EarthAssumptions"/>
      <sheetName val="5. Maint &amp; Repair Testing"/>
      <sheetName val="MAR-09 RMA BS Flow"/>
      <sheetName val="Lists"/>
      <sheetName val="IND"/>
      <sheetName val="4 S &amp; U MT"/>
      <sheetName val="7A - Investor Rtn MT"/>
      <sheetName val="6 TI MT"/>
      <sheetName val="Office Equipment-client"/>
      <sheetName val="Program Information"/>
      <sheetName val="State TI"/>
      <sheetName val="Oct Sales Flash JPY"/>
      <sheetName val="First Corp"/>
      <sheetName val="Key Equip Finance"/>
      <sheetName val="Avaya"/>
      <sheetName val="Disc"/>
      <sheetName val="Option Activity '01"/>
      <sheetName val="Bank"/>
      <sheetName val="Template"/>
      <sheetName val="Warrants"/>
      <sheetName val="Solver"/>
      <sheetName val="Template Data"/>
      <sheetName val="Batten"/>
      <sheetName val="Invoice"/>
      <sheetName val="Customize Your Invoice"/>
      <sheetName val="T03.1 - Common"/>
      <sheetName val="Consolidated 18 TB"/>
      <sheetName val="P2.1 Tax Return"/>
      <sheetName val="GL acct 69000"/>
      <sheetName val="GL acct 690000 YTD Q3 18"/>
      <sheetName val="Stock Comp Summary "/>
      <sheetName val="PBC&gt;&gt;SBC Book "/>
      <sheetName val="YTDQ4 ERA Details"/>
      <sheetName val="YTDQ4 ERA Summary"/>
      <sheetName val="RSUSubject toRelease as 9.18  "/>
      <sheetName val="RSUSubject toRelease as 3.18  "/>
      <sheetName val="PBC&gt;&gt; SBC Tax"/>
      <sheetName val="YTD Q4 Tax Bene - Option"/>
      <sheetName val="YTD Q4 ESPP DD"/>
      <sheetName val="Q3 ESPP DD"/>
      <sheetName val="Tax Bene- Q318 modified"/>
      <sheetName val="Q3 Tax Bene- ISO, NQ,RSU"/>
      <sheetName val="2017 ESPP revised"/>
      <sheetName val="2017 ESPP"/>
      <sheetName val="YTD Q3 Tax Ben-RSU Executive"/>
      <sheetName val="YTD Q2 ESPP DD"/>
      <sheetName val="YTD Q2 Tax Bene - Option"/>
      <sheetName val="YTD Q2 Tax Bene - RSU"/>
      <sheetName val="YTD Q4 Tax Bene -Officers"/>
      <sheetName val="Q1 Exp Recog"/>
      <sheetName val="Q2 Exp Recog"/>
      <sheetName val="Q3 Exp Recog US updated10.1.18"/>
      <sheetName val="Q4 Exp Recog US updated10.1.18"/>
      <sheetName val="Equity"/>
      <sheetName val="PG Valor Residual"/>
      <sheetName val="Diferencia amortizacion 2001"/>
      <sheetName val="Sched 001"/>
      <sheetName val="Sched 002"/>
      <sheetName val="Sched 003"/>
      <sheetName val="Sched 004"/>
      <sheetName val="Sched 005"/>
      <sheetName val="Sched 006_OLD"/>
      <sheetName val="Sched 006_Upgrade"/>
      <sheetName val="Sched 007"/>
      <sheetName val="Sched 008"/>
      <sheetName val="Inp"/>
      <sheetName val="IBSIASO_UFFICIALE"/>
      <sheetName val="IBSIASFS_SINTETICO"/>
      <sheetName val="ICEIAS BASE"/>
      <sheetName val="Validations"/>
      <sheetName val="Masters"/>
      <sheetName val="Customer Master"/>
      <sheetName val="Database"/>
      <sheetName val="Invoice Entry"/>
      <sheetName val="Vat Return"/>
      <sheetName val="CSI"/>
      <sheetName val="1. Lead"/>
      <sheetName val="Decoder"/>
      <sheetName val="ESM Total"/>
      <sheetName val="Summary Tables"/>
      <sheetName val="Size_Growth_Adj"/>
      <sheetName val="Employee Options 2001"/>
      <sheetName val=" Nonemployee Options"/>
      <sheetName val="Tables"/>
      <sheetName val="FAS_123"/>
      <sheetName val="BS_-_Fixed"/>
      <sheetName val="BS_-_Variable"/>
      <sheetName val="FAS_123_Model"/>
      <sheetName val="Comp_Exp_-_Amort_"/>
      <sheetName val="Compensation_Expense"/>
      <sheetName val="Worksheet_in_(C)_7150_FAS_123_C"/>
      <sheetName val="Balance_Sheet"/>
      <sheetName val="Income_Statement"/>
      <sheetName val="Benefit_1"/>
      <sheetName val="P&amp;L_Scenerio_1"/>
      <sheetName val="7120(A)_Rollforward"/>
      <sheetName val="Vendor_List"/>
      <sheetName val="Intl_def"/>
      <sheetName val="Financial_indicators"/>
      <sheetName val="Negotiating_power"/>
      <sheetName val="Carriers_and_non-c"/>
      <sheetName val="Sales_by_service"/>
      <sheetName val="TN_Air"/>
      <sheetName val="SB_Studio_Model"/>
      <sheetName val="FS_2"/>
      <sheetName val="500_EXCHANGE_RATES"/>
      <sheetName val="Items_purchased_from_Xcellent"/>
      <sheetName val="sell_thru_data"/>
      <sheetName val="Option_Modification"/>
      <sheetName val="BSR_"/>
      <sheetName val="Accel_Amort_36mo_"/>
      <sheetName val="SoPo_02"/>
      <sheetName val="SoPo_03"/>
      <sheetName val="Revenue_Curves"/>
      <sheetName val="Tax_Calc"/>
      <sheetName val="3__Revised_COS_amort_12_31_02"/>
      <sheetName val="Ann_IS"/>
      <sheetName val="Gross_Receipts"/>
      <sheetName val="Vesting_templates"/>
      <sheetName val="4_S_&amp;_U_MT"/>
      <sheetName val="7A_-_Investor_Rtn_MT"/>
      <sheetName val="6_TI_MT"/>
      <sheetName val="5__Maint_&amp;_Repair_Testing"/>
      <sheetName val="Subs_Summ_(2)"/>
      <sheetName val="MAR-09_RMA_BS_Flow"/>
      <sheetName val="Rev_Growth_Rate"/>
      <sheetName val="Template_Data"/>
      <sheetName val="Office_Equipment-client"/>
      <sheetName val="Program_Information"/>
      <sheetName val="Customize_Your_Invoice"/>
      <sheetName val="T03_1_-_Common"/>
      <sheetName val="First_Corp"/>
      <sheetName val="Key_Equip_Finance"/>
      <sheetName val="Option_Activity_'01"/>
      <sheetName val="State_TI"/>
      <sheetName val="Oct_Sales_Flash_JPY"/>
      <sheetName val="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ancel Sent on March 12"/>
      <sheetName val="Cancel Sent Summary"/>
      <sheetName val="TV billed to Cancel list"/>
      <sheetName val="CKD vs. TV Billed"/>
      <sheetName val="CDK INS Count by Site checking"/>
      <sheetName val="CDK INS  by Child"/>
      <sheetName val="CDK BLG by Child"/>
      <sheetName val="Distinct TV Jan Invoice CMF"/>
      <sheetName val="TV Jan Invoice"/>
      <sheetName val="TV Billed not INS in CDK"/>
      <sheetName val="CDK INS not billed by TV"/>
      <sheetName val="TV Jan Invoice -Original"/>
      <sheetName val="CDK Sites sorted by Name"/>
      <sheetName val="Steps"/>
    </sheetNames>
    <sheetDataSet>
      <sheetData sheetId="0">
        <row r="1">
          <cell r="B1" t="str">
            <v>CMF Reformatted</v>
          </cell>
        </row>
        <row r="2">
          <cell r="B2" t="str">
            <v>01196701</v>
          </cell>
        </row>
        <row r="3">
          <cell r="B3" t="str">
            <v>01325978</v>
          </cell>
        </row>
        <row r="4">
          <cell r="B4" t="str">
            <v>01326415</v>
          </cell>
        </row>
        <row r="5">
          <cell r="B5" t="str">
            <v>01326417</v>
          </cell>
        </row>
        <row r="6">
          <cell r="B6" t="str">
            <v>01327159</v>
          </cell>
        </row>
        <row r="7">
          <cell r="B7" t="str">
            <v>05013303</v>
          </cell>
        </row>
        <row r="8">
          <cell r="B8" t="str">
            <v>05120802</v>
          </cell>
        </row>
        <row r="9">
          <cell r="B9" t="str">
            <v>05139104</v>
          </cell>
        </row>
        <row r="10">
          <cell r="B10" t="str">
            <v>05154801</v>
          </cell>
        </row>
        <row r="11">
          <cell r="B11" t="str">
            <v>05159501</v>
          </cell>
        </row>
        <row r="12">
          <cell r="B12" t="str">
            <v>05197701</v>
          </cell>
        </row>
        <row r="13">
          <cell r="B13" t="str">
            <v>05236621</v>
          </cell>
        </row>
        <row r="14">
          <cell r="B14" t="str">
            <v>05400070</v>
          </cell>
        </row>
        <row r="15">
          <cell r="B15" t="str">
            <v>05400098</v>
          </cell>
        </row>
        <row r="16">
          <cell r="B16" t="str">
            <v>05710175</v>
          </cell>
        </row>
        <row r="17">
          <cell r="B17" t="str">
            <v>08300045</v>
          </cell>
        </row>
        <row r="18">
          <cell r="B18" t="str">
            <v>08300268</v>
          </cell>
        </row>
        <row r="19">
          <cell r="B19" t="str">
            <v>08300301</v>
          </cell>
        </row>
        <row r="20">
          <cell r="B20" t="str">
            <v>08310080</v>
          </cell>
        </row>
        <row r="21">
          <cell r="B21" t="str">
            <v>09022701</v>
          </cell>
        </row>
        <row r="22">
          <cell r="B22" t="str">
            <v>09800035</v>
          </cell>
        </row>
        <row r="23">
          <cell r="B23">
            <v>13345702</v>
          </cell>
        </row>
        <row r="24">
          <cell r="B24">
            <v>13497296</v>
          </cell>
        </row>
        <row r="25">
          <cell r="B25">
            <v>13497852</v>
          </cell>
        </row>
        <row r="26">
          <cell r="B26">
            <v>17014601</v>
          </cell>
        </row>
        <row r="27">
          <cell r="B27">
            <v>17243902</v>
          </cell>
        </row>
        <row r="28">
          <cell r="B28">
            <v>17250801</v>
          </cell>
        </row>
        <row r="29">
          <cell r="B29">
            <v>17314766</v>
          </cell>
        </row>
        <row r="30">
          <cell r="B30">
            <v>17314868</v>
          </cell>
        </row>
        <row r="31">
          <cell r="B31">
            <v>17315164</v>
          </cell>
        </row>
        <row r="32">
          <cell r="B32">
            <v>17315776</v>
          </cell>
        </row>
        <row r="33">
          <cell r="B33">
            <v>25149301</v>
          </cell>
        </row>
        <row r="34">
          <cell r="B34">
            <v>25149302</v>
          </cell>
        </row>
        <row r="35">
          <cell r="B35">
            <v>25149303</v>
          </cell>
        </row>
        <row r="36">
          <cell r="B36">
            <v>25149306</v>
          </cell>
        </row>
        <row r="37">
          <cell r="B37">
            <v>25181201</v>
          </cell>
        </row>
        <row r="38">
          <cell r="B38">
            <v>25265301</v>
          </cell>
        </row>
        <row r="39">
          <cell r="B39">
            <v>25298953</v>
          </cell>
        </row>
        <row r="40">
          <cell r="B40">
            <v>33237102</v>
          </cell>
        </row>
        <row r="41">
          <cell r="B41">
            <v>37009201</v>
          </cell>
        </row>
        <row r="42">
          <cell r="B42">
            <v>37009201</v>
          </cell>
        </row>
        <row r="43">
          <cell r="B43">
            <v>37009201</v>
          </cell>
        </row>
        <row r="44">
          <cell r="B44">
            <v>37011801</v>
          </cell>
        </row>
        <row r="45">
          <cell r="B45">
            <v>37011804</v>
          </cell>
        </row>
        <row r="46">
          <cell r="B46">
            <v>41002490</v>
          </cell>
        </row>
        <row r="47">
          <cell r="B47">
            <v>41002701</v>
          </cell>
        </row>
        <row r="48">
          <cell r="B48">
            <v>53304601</v>
          </cell>
        </row>
        <row r="49">
          <cell r="B49">
            <v>61000917</v>
          </cell>
        </row>
        <row r="50">
          <cell r="B50">
            <v>71034996</v>
          </cell>
        </row>
        <row r="51">
          <cell r="B51">
            <v>71035282</v>
          </cell>
        </row>
        <row r="52">
          <cell r="B52">
            <v>71038500</v>
          </cell>
        </row>
        <row r="53">
          <cell r="B53">
            <v>71038684</v>
          </cell>
        </row>
        <row r="54">
          <cell r="B54">
            <v>71039452</v>
          </cell>
        </row>
        <row r="55">
          <cell r="B55">
            <v>71042196</v>
          </cell>
        </row>
        <row r="56">
          <cell r="B56">
            <v>71043200</v>
          </cell>
        </row>
        <row r="57">
          <cell r="B57">
            <v>71043922</v>
          </cell>
        </row>
        <row r="58">
          <cell r="B58">
            <v>71046175</v>
          </cell>
        </row>
        <row r="59">
          <cell r="B59">
            <v>71048561</v>
          </cell>
        </row>
        <row r="60">
          <cell r="B60">
            <v>71049334</v>
          </cell>
        </row>
        <row r="61">
          <cell r="B61">
            <v>71049962</v>
          </cell>
        </row>
        <row r="62">
          <cell r="B62">
            <v>71050843</v>
          </cell>
        </row>
        <row r="63">
          <cell r="B63">
            <v>71050843</v>
          </cell>
        </row>
        <row r="64">
          <cell r="B64">
            <v>71052902</v>
          </cell>
        </row>
        <row r="65">
          <cell r="B65">
            <v>71055684</v>
          </cell>
        </row>
        <row r="66">
          <cell r="B66">
            <v>71056369</v>
          </cell>
        </row>
        <row r="67">
          <cell r="B67">
            <v>71057222</v>
          </cell>
        </row>
        <row r="68">
          <cell r="B68">
            <v>71058382</v>
          </cell>
        </row>
        <row r="69">
          <cell r="B69">
            <v>71059075</v>
          </cell>
        </row>
        <row r="70">
          <cell r="B70">
            <v>71059471</v>
          </cell>
        </row>
        <row r="71">
          <cell r="B71">
            <v>71063425</v>
          </cell>
        </row>
        <row r="72">
          <cell r="B72">
            <v>76001666</v>
          </cell>
        </row>
        <row r="73">
          <cell r="B73">
            <v>76002916</v>
          </cell>
        </row>
        <row r="74">
          <cell r="B74">
            <v>76011186</v>
          </cell>
        </row>
        <row r="75">
          <cell r="B75">
            <v>76012632</v>
          </cell>
        </row>
        <row r="76">
          <cell r="B76">
            <v>76012651</v>
          </cell>
        </row>
        <row r="77">
          <cell r="B77">
            <v>76018666</v>
          </cell>
        </row>
        <row r="78">
          <cell r="B78">
            <v>76020145</v>
          </cell>
        </row>
        <row r="79">
          <cell r="B79">
            <v>76020804</v>
          </cell>
        </row>
        <row r="80">
          <cell r="B80">
            <v>76022694</v>
          </cell>
        </row>
        <row r="81">
          <cell r="B81">
            <v>76023833</v>
          </cell>
        </row>
        <row r="82">
          <cell r="B82">
            <v>76024700</v>
          </cell>
        </row>
        <row r="83">
          <cell r="B83">
            <v>76024860</v>
          </cell>
        </row>
        <row r="84">
          <cell r="B84">
            <v>76024868</v>
          </cell>
        </row>
        <row r="85">
          <cell r="B85">
            <v>76027458</v>
          </cell>
        </row>
        <row r="86">
          <cell r="B86">
            <v>76028219</v>
          </cell>
        </row>
        <row r="87">
          <cell r="B87">
            <v>76028715</v>
          </cell>
        </row>
        <row r="88">
          <cell r="B88">
            <v>76032433</v>
          </cell>
        </row>
        <row r="89">
          <cell r="B89">
            <v>76033780</v>
          </cell>
        </row>
        <row r="90">
          <cell r="B90">
            <v>76037856</v>
          </cell>
        </row>
        <row r="91">
          <cell r="B91">
            <v>76039933</v>
          </cell>
        </row>
        <row r="92">
          <cell r="B92">
            <v>76041151</v>
          </cell>
        </row>
        <row r="93">
          <cell r="B93">
            <v>76041823</v>
          </cell>
        </row>
        <row r="94">
          <cell r="B94">
            <v>76041856</v>
          </cell>
        </row>
        <row r="95">
          <cell r="B95">
            <v>76042015</v>
          </cell>
        </row>
        <row r="96">
          <cell r="B96">
            <v>76043322</v>
          </cell>
        </row>
        <row r="97">
          <cell r="B97">
            <v>76050148</v>
          </cell>
        </row>
        <row r="98">
          <cell r="B98">
            <v>76050150</v>
          </cell>
        </row>
        <row r="99">
          <cell r="B99">
            <v>76051500</v>
          </cell>
        </row>
        <row r="100">
          <cell r="B100">
            <v>76051551</v>
          </cell>
        </row>
        <row r="101">
          <cell r="B101">
            <v>76054760</v>
          </cell>
        </row>
        <row r="102">
          <cell r="B102">
            <v>76054901</v>
          </cell>
        </row>
        <row r="103">
          <cell r="B103">
            <v>76057753</v>
          </cell>
        </row>
        <row r="104">
          <cell r="B104">
            <v>76060011</v>
          </cell>
        </row>
        <row r="105">
          <cell r="B105">
            <v>76060473</v>
          </cell>
        </row>
        <row r="106">
          <cell r="B106">
            <v>76062180</v>
          </cell>
        </row>
        <row r="107">
          <cell r="B107">
            <v>76062943</v>
          </cell>
        </row>
        <row r="108">
          <cell r="B108">
            <v>76063021</v>
          </cell>
        </row>
        <row r="109">
          <cell r="B109">
            <v>76064391</v>
          </cell>
        </row>
        <row r="110">
          <cell r="B110">
            <v>76065792</v>
          </cell>
        </row>
        <row r="111">
          <cell r="B111">
            <v>76066697</v>
          </cell>
        </row>
        <row r="112">
          <cell r="B112">
            <v>76067490</v>
          </cell>
        </row>
        <row r="113">
          <cell r="B113">
            <v>76067577</v>
          </cell>
        </row>
        <row r="114">
          <cell r="B114">
            <v>76070690</v>
          </cell>
        </row>
        <row r="115">
          <cell r="B115">
            <v>76071944</v>
          </cell>
        </row>
        <row r="116">
          <cell r="B116">
            <v>76072111</v>
          </cell>
        </row>
        <row r="117">
          <cell r="B117">
            <v>76072582</v>
          </cell>
        </row>
        <row r="118">
          <cell r="B118">
            <v>76073569</v>
          </cell>
        </row>
        <row r="119">
          <cell r="B119">
            <v>76073768</v>
          </cell>
        </row>
        <row r="120">
          <cell r="B120">
            <v>76074807</v>
          </cell>
        </row>
        <row r="121">
          <cell r="B121">
            <v>76074807</v>
          </cell>
        </row>
        <row r="122">
          <cell r="B122">
            <v>76080698</v>
          </cell>
        </row>
        <row r="123">
          <cell r="B123">
            <v>76082198</v>
          </cell>
        </row>
        <row r="124">
          <cell r="B124">
            <v>76082339</v>
          </cell>
        </row>
        <row r="125">
          <cell r="B125">
            <v>76097658</v>
          </cell>
        </row>
        <row r="126">
          <cell r="B126">
            <v>76136079</v>
          </cell>
        </row>
        <row r="127">
          <cell r="B127">
            <v>76139324</v>
          </cell>
        </row>
        <row r="128">
          <cell r="B128">
            <v>76140116</v>
          </cell>
        </row>
        <row r="129">
          <cell r="B129">
            <v>76140762</v>
          </cell>
        </row>
        <row r="130">
          <cell r="B130">
            <v>76141529</v>
          </cell>
        </row>
        <row r="131">
          <cell r="B131">
            <v>76141532</v>
          </cell>
        </row>
        <row r="132">
          <cell r="B132">
            <v>76142039</v>
          </cell>
        </row>
        <row r="133">
          <cell r="B133">
            <v>76143832</v>
          </cell>
        </row>
        <row r="134">
          <cell r="B134">
            <v>76143834</v>
          </cell>
        </row>
        <row r="135">
          <cell r="B135">
            <v>76146342</v>
          </cell>
        </row>
        <row r="136">
          <cell r="B136">
            <v>76146343</v>
          </cell>
        </row>
        <row r="137">
          <cell r="B137">
            <v>76146344</v>
          </cell>
        </row>
        <row r="138">
          <cell r="B138">
            <v>76146351</v>
          </cell>
        </row>
        <row r="139">
          <cell r="B139">
            <v>76146353</v>
          </cell>
        </row>
        <row r="140">
          <cell r="B140">
            <v>76149128</v>
          </cell>
        </row>
        <row r="141">
          <cell r="B141">
            <v>76150822</v>
          </cell>
        </row>
        <row r="142">
          <cell r="B142">
            <v>76153399</v>
          </cell>
        </row>
        <row r="143">
          <cell r="B143">
            <v>76154600</v>
          </cell>
        </row>
        <row r="144">
          <cell r="B144">
            <v>76156206</v>
          </cell>
        </row>
        <row r="145">
          <cell r="B145">
            <v>76156293</v>
          </cell>
        </row>
        <row r="146">
          <cell r="B146">
            <v>76157327</v>
          </cell>
        </row>
        <row r="147">
          <cell r="B147">
            <v>76159608</v>
          </cell>
        </row>
        <row r="148">
          <cell r="B148">
            <v>76159977</v>
          </cell>
        </row>
        <row r="149">
          <cell r="B149">
            <v>76160705</v>
          </cell>
        </row>
        <row r="150">
          <cell r="B150">
            <v>76161620</v>
          </cell>
        </row>
        <row r="151">
          <cell r="B151">
            <v>76164481</v>
          </cell>
        </row>
        <row r="152">
          <cell r="B152">
            <v>76166159</v>
          </cell>
        </row>
        <row r="153">
          <cell r="B153">
            <v>76167524</v>
          </cell>
        </row>
        <row r="154">
          <cell r="B154">
            <v>76169077</v>
          </cell>
        </row>
        <row r="155">
          <cell r="B155">
            <v>76171893</v>
          </cell>
        </row>
        <row r="156">
          <cell r="B156">
            <v>76174262</v>
          </cell>
        </row>
        <row r="157">
          <cell r="B157">
            <v>76174379</v>
          </cell>
        </row>
        <row r="158">
          <cell r="B158">
            <v>76174851</v>
          </cell>
        </row>
        <row r="159">
          <cell r="B159">
            <v>76174859</v>
          </cell>
        </row>
        <row r="160">
          <cell r="B160">
            <v>76175280</v>
          </cell>
        </row>
        <row r="161">
          <cell r="B161">
            <v>76176361</v>
          </cell>
        </row>
        <row r="162">
          <cell r="B162">
            <v>76177469</v>
          </cell>
        </row>
        <row r="163">
          <cell r="B163">
            <v>76180664</v>
          </cell>
        </row>
        <row r="164">
          <cell r="B164">
            <v>76181339</v>
          </cell>
        </row>
        <row r="165">
          <cell r="B165">
            <v>76181342</v>
          </cell>
        </row>
        <row r="166">
          <cell r="B166">
            <v>76181637</v>
          </cell>
        </row>
        <row r="167">
          <cell r="B167">
            <v>76185786</v>
          </cell>
        </row>
        <row r="168">
          <cell r="B168">
            <v>76187104</v>
          </cell>
        </row>
        <row r="169">
          <cell r="B169">
            <v>76189602</v>
          </cell>
        </row>
        <row r="170">
          <cell r="B170">
            <v>76189622</v>
          </cell>
        </row>
        <row r="171">
          <cell r="B171">
            <v>76190137</v>
          </cell>
        </row>
        <row r="172">
          <cell r="B172">
            <v>76191430</v>
          </cell>
        </row>
        <row r="173">
          <cell r="B173">
            <v>76192745</v>
          </cell>
        </row>
        <row r="174">
          <cell r="B174">
            <v>76192785</v>
          </cell>
        </row>
        <row r="175">
          <cell r="B175">
            <v>76193859</v>
          </cell>
        </row>
        <row r="176">
          <cell r="B176">
            <v>76193942</v>
          </cell>
        </row>
        <row r="178">
          <cell r="B178">
            <v>76194813</v>
          </cell>
        </row>
        <row r="179">
          <cell r="B179">
            <v>76195076</v>
          </cell>
        </row>
        <row r="180">
          <cell r="B180">
            <v>76195721</v>
          </cell>
        </row>
        <row r="181">
          <cell r="B181">
            <v>76196435</v>
          </cell>
        </row>
        <row r="182">
          <cell r="B182">
            <v>76202064</v>
          </cell>
        </row>
        <row r="183">
          <cell r="B183">
            <v>76202065</v>
          </cell>
        </row>
        <row r="184">
          <cell r="B184">
            <v>76202516</v>
          </cell>
        </row>
        <row r="185">
          <cell r="B185">
            <v>76203144</v>
          </cell>
        </row>
        <row r="186">
          <cell r="B186">
            <v>76203882</v>
          </cell>
        </row>
        <row r="187">
          <cell r="B187">
            <v>76204181</v>
          </cell>
        </row>
        <row r="188">
          <cell r="B188">
            <v>76204182</v>
          </cell>
        </row>
        <row r="189">
          <cell r="B189">
            <v>76204947</v>
          </cell>
        </row>
        <row r="190">
          <cell r="B190">
            <v>76204967</v>
          </cell>
        </row>
        <row r="191">
          <cell r="B191">
            <v>76205088</v>
          </cell>
        </row>
        <row r="192">
          <cell r="B192">
            <v>76206328</v>
          </cell>
        </row>
        <row r="193">
          <cell r="B193">
            <v>76206468</v>
          </cell>
        </row>
        <row r="194">
          <cell r="B194">
            <v>76206627</v>
          </cell>
        </row>
        <row r="195">
          <cell r="B195">
            <v>76207079</v>
          </cell>
        </row>
        <row r="196">
          <cell r="B196">
            <v>76207108</v>
          </cell>
        </row>
        <row r="197">
          <cell r="B197">
            <v>76208069</v>
          </cell>
        </row>
        <row r="198">
          <cell r="B198">
            <v>76209123</v>
          </cell>
        </row>
        <row r="199">
          <cell r="B199">
            <v>76209246</v>
          </cell>
        </row>
        <row r="200">
          <cell r="B200">
            <v>76210722</v>
          </cell>
        </row>
        <row r="201">
          <cell r="B201">
            <v>76210817</v>
          </cell>
        </row>
        <row r="202">
          <cell r="B202">
            <v>76211134</v>
          </cell>
        </row>
        <row r="203">
          <cell r="B203">
            <v>76211612</v>
          </cell>
        </row>
        <row r="204">
          <cell r="B204">
            <v>76211737</v>
          </cell>
        </row>
        <row r="205">
          <cell r="B205">
            <v>76211858</v>
          </cell>
        </row>
        <row r="206">
          <cell r="B206">
            <v>76212091</v>
          </cell>
        </row>
        <row r="207">
          <cell r="B207">
            <v>76212720</v>
          </cell>
        </row>
        <row r="208">
          <cell r="B208">
            <v>76212903</v>
          </cell>
        </row>
        <row r="209">
          <cell r="B209">
            <v>76213684</v>
          </cell>
        </row>
        <row r="210">
          <cell r="B210">
            <v>76215501</v>
          </cell>
        </row>
        <row r="211">
          <cell r="B211">
            <v>76215521</v>
          </cell>
        </row>
        <row r="212">
          <cell r="B212">
            <v>76216232</v>
          </cell>
        </row>
        <row r="213">
          <cell r="B213">
            <v>76216383</v>
          </cell>
        </row>
        <row r="214">
          <cell r="B214">
            <v>76216547</v>
          </cell>
        </row>
        <row r="215">
          <cell r="B215">
            <v>76216548</v>
          </cell>
        </row>
        <row r="216">
          <cell r="B216">
            <v>76216609</v>
          </cell>
        </row>
        <row r="217">
          <cell r="B217">
            <v>76217358</v>
          </cell>
        </row>
        <row r="218">
          <cell r="B218">
            <v>76217674</v>
          </cell>
        </row>
        <row r="219">
          <cell r="B219">
            <v>76218326</v>
          </cell>
        </row>
        <row r="220">
          <cell r="B220">
            <v>76218822</v>
          </cell>
        </row>
        <row r="221">
          <cell r="B221">
            <v>76219199</v>
          </cell>
        </row>
        <row r="222">
          <cell r="B222">
            <v>76219463</v>
          </cell>
        </row>
        <row r="223">
          <cell r="B223">
            <v>76219556</v>
          </cell>
        </row>
        <row r="224">
          <cell r="B224">
            <v>76220198</v>
          </cell>
        </row>
        <row r="225">
          <cell r="B225">
            <v>76220501</v>
          </cell>
        </row>
        <row r="226">
          <cell r="B226">
            <v>76220642</v>
          </cell>
        </row>
        <row r="227">
          <cell r="B227">
            <v>76220778</v>
          </cell>
        </row>
        <row r="228">
          <cell r="B228">
            <v>76220843</v>
          </cell>
        </row>
        <row r="229">
          <cell r="B229">
            <v>76220929</v>
          </cell>
        </row>
        <row r="230">
          <cell r="B230">
            <v>76220930</v>
          </cell>
        </row>
        <row r="231">
          <cell r="B231">
            <v>76221276</v>
          </cell>
        </row>
        <row r="232">
          <cell r="B232">
            <v>76223771</v>
          </cell>
        </row>
        <row r="233">
          <cell r="B233">
            <v>76224033</v>
          </cell>
        </row>
        <row r="234">
          <cell r="B234">
            <v>76224072</v>
          </cell>
        </row>
        <row r="235">
          <cell r="B235">
            <v>76224587</v>
          </cell>
        </row>
        <row r="236">
          <cell r="B236">
            <v>76224894</v>
          </cell>
        </row>
        <row r="237">
          <cell r="B237">
            <v>76225712</v>
          </cell>
        </row>
        <row r="238">
          <cell r="B238">
            <v>76226153</v>
          </cell>
        </row>
        <row r="239">
          <cell r="B239">
            <v>76226633</v>
          </cell>
        </row>
        <row r="240">
          <cell r="B240">
            <v>76226653</v>
          </cell>
        </row>
        <row r="241">
          <cell r="B241">
            <v>76226964</v>
          </cell>
        </row>
        <row r="242">
          <cell r="B242">
            <v>76227075</v>
          </cell>
        </row>
        <row r="243">
          <cell r="B243">
            <v>76227077</v>
          </cell>
        </row>
        <row r="244">
          <cell r="B244">
            <v>76227081</v>
          </cell>
        </row>
        <row r="245">
          <cell r="B245">
            <v>76227081</v>
          </cell>
        </row>
        <row r="246">
          <cell r="B246">
            <v>76227121</v>
          </cell>
        </row>
        <row r="247">
          <cell r="B247">
            <v>76227134</v>
          </cell>
        </row>
        <row r="248">
          <cell r="B248">
            <v>76227448</v>
          </cell>
        </row>
        <row r="249">
          <cell r="B249">
            <v>76227449</v>
          </cell>
        </row>
        <row r="250">
          <cell r="B250">
            <v>76227679</v>
          </cell>
        </row>
        <row r="251">
          <cell r="B251">
            <v>76227701</v>
          </cell>
        </row>
        <row r="252">
          <cell r="B252">
            <v>76227703</v>
          </cell>
        </row>
        <row r="253">
          <cell r="B253">
            <v>76227757</v>
          </cell>
        </row>
        <row r="254">
          <cell r="B254">
            <v>76228229</v>
          </cell>
        </row>
        <row r="255">
          <cell r="B255">
            <v>76228237</v>
          </cell>
        </row>
        <row r="256">
          <cell r="B256">
            <v>76228316</v>
          </cell>
        </row>
        <row r="257">
          <cell r="B257">
            <v>76228629</v>
          </cell>
        </row>
        <row r="258">
          <cell r="B258">
            <v>76229253</v>
          </cell>
        </row>
        <row r="259">
          <cell r="B259">
            <v>76229684</v>
          </cell>
        </row>
        <row r="260">
          <cell r="B260">
            <v>76229942</v>
          </cell>
        </row>
        <row r="261">
          <cell r="B261">
            <v>76230427</v>
          </cell>
        </row>
        <row r="262">
          <cell r="B262">
            <v>76230499</v>
          </cell>
        </row>
        <row r="263">
          <cell r="B263">
            <v>76231547</v>
          </cell>
        </row>
        <row r="264">
          <cell r="B264">
            <v>76231928</v>
          </cell>
        </row>
        <row r="265">
          <cell r="B265">
            <v>76232064</v>
          </cell>
        </row>
        <row r="266">
          <cell r="B266">
            <v>76232553</v>
          </cell>
        </row>
        <row r="267">
          <cell r="B267">
            <v>76232596</v>
          </cell>
        </row>
        <row r="268">
          <cell r="B268">
            <v>76232815</v>
          </cell>
        </row>
        <row r="269">
          <cell r="B269">
            <v>76233048</v>
          </cell>
        </row>
        <row r="270">
          <cell r="B270">
            <v>76233242</v>
          </cell>
        </row>
        <row r="271">
          <cell r="B271">
            <v>76234206</v>
          </cell>
        </row>
        <row r="272">
          <cell r="B272">
            <v>76234275</v>
          </cell>
        </row>
        <row r="273">
          <cell r="B273">
            <v>76234979</v>
          </cell>
        </row>
        <row r="274">
          <cell r="B274">
            <v>76234982</v>
          </cell>
        </row>
        <row r="275">
          <cell r="B275">
            <v>76235392</v>
          </cell>
        </row>
        <row r="276">
          <cell r="B276">
            <v>76235514</v>
          </cell>
        </row>
        <row r="277">
          <cell r="B277">
            <v>76235642</v>
          </cell>
        </row>
        <row r="278">
          <cell r="B278">
            <v>76236622</v>
          </cell>
        </row>
        <row r="279">
          <cell r="B279">
            <v>76236856</v>
          </cell>
        </row>
        <row r="280">
          <cell r="B280">
            <v>76237142</v>
          </cell>
        </row>
        <row r="281">
          <cell r="B281">
            <v>76237167</v>
          </cell>
        </row>
        <row r="282">
          <cell r="B282">
            <v>76237170</v>
          </cell>
        </row>
        <row r="283">
          <cell r="B283">
            <v>76237278</v>
          </cell>
        </row>
        <row r="284">
          <cell r="B284">
            <v>76237579</v>
          </cell>
        </row>
        <row r="285">
          <cell r="B285">
            <v>76238024</v>
          </cell>
        </row>
        <row r="286">
          <cell r="B286">
            <v>76238669</v>
          </cell>
        </row>
        <row r="287">
          <cell r="B287">
            <v>76238760</v>
          </cell>
        </row>
        <row r="288">
          <cell r="B288">
            <v>76240429</v>
          </cell>
        </row>
        <row r="289">
          <cell r="B289">
            <v>76241005</v>
          </cell>
        </row>
        <row r="290">
          <cell r="B290">
            <v>76241171</v>
          </cell>
        </row>
        <row r="291">
          <cell r="B291">
            <v>76241172</v>
          </cell>
        </row>
        <row r="292">
          <cell r="B292">
            <v>76241447</v>
          </cell>
        </row>
        <row r="293">
          <cell r="B293">
            <v>76241522</v>
          </cell>
        </row>
        <row r="294">
          <cell r="B294">
            <v>76241740</v>
          </cell>
        </row>
        <row r="295">
          <cell r="B295">
            <v>76241969</v>
          </cell>
        </row>
        <row r="296">
          <cell r="B296">
            <v>76243293</v>
          </cell>
        </row>
        <row r="297">
          <cell r="B297">
            <v>76244521</v>
          </cell>
        </row>
        <row r="298">
          <cell r="B298">
            <v>76244657</v>
          </cell>
        </row>
        <row r="299">
          <cell r="B299">
            <v>76244781</v>
          </cell>
        </row>
        <row r="300">
          <cell r="B300">
            <v>76244900</v>
          </cell>
        </row>
        <row r="301">
          <cell r="B301">
            <v>76245003</v>
          </cell>
        </row>
        <row r="302">
          <cell r="B302">
            <v>76245016</v>
          </cell>
        </row>
        <row r="303">
          <cell r="B303">
            <v>76245931</v>
          </cell>
        </row>
        <row r="304">
          <cell r="B304">
            <v>76246888</v>
          </cell>
        </row>
        <row r="305">
          <cell r="B305">
            <v>76250378</v>
          </cell>
        </row>
        <row r="306">
          <cell r="B306">
            <v>76251499</v>
          </cell>
        </row>
        <row r="307">
          <cell r="B307">
            <v>76252046</v>
          </cell>
        </row>
        <row r="308">
          <cell r="B308">
            <v>76253766</v>
          </cell>
        </row>
        <row r="309">
          <cell r="B309">
            <v>76253767</v>
          </cell>
        </row>
        <row r="310">
          <cell r="B310">
            <v>76256562</v>
          </cell>
        </row>
        <row r="311">
          <cell r="B311">
            <v>96124130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uang, Lei" id="{5BCE415F-40FF-43F6-9B9B-F9493C97D92C}" userId="S::Lei.Huang@cdk.com::d39106b3-4b1b-49f9-bc32-33cdaf31700a" providerId="AD"/>
  <person displayName="Copp, Mike" id="{58710577-5378-4487-A019-FA8F9B1F5A1D}" userId="S::Mike.Copp@cdk.com::9f042d43-ab81-4e55-8ffd-d52e8d26bd8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" dT="2026-06-01T19:06:42.05" personId="{58710577-5378-4487-A019-FA8F9B1F5A1D}" id="{E7C60D74-B5B3-4AB7-B1D7-66CBC7EB29EF}">
    <text xml:space="preserve">Filters on May Billing tab
</text>
  </threadedComment>
  <threadedComment ref="P7" dT="2026-06-01T19:28:53.05" personId="{58710577-5378-4487-A019-FA8F9B1F5A1D}" id="{085006BE-45AC-4FC2-9418-1C70C57C98BD}">
    <text xml:space="preserve">Combine Column O &amp; P amount columns into 1 summary column (70 total sites)
</text>
  </threadedComment>
  <threadedComment ref="H9" dT="2026-05-16T04:52:09.59" personId="{5BCE415F-40FF-43F6-9B9B-F9493C97D92C}" id="{5999980A-59BC-4D14-ABDD-C0AA57A190F7}">
    <text xml:space="preserve">39 on mass cancellation list.  31 new losses in March and Apr ( 6 cancel submitted, 25 not submitted)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V1" dT="2026-03-12T20:47:21.05" personId="{5BCE415F-40FF-43F6-9B9B-F9493C97D92C}" id="{CDF55E0A-B41E-4D58-9294-3890A1AAD8BF}">
    <text>from 2024 July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2D711-840F-445D-81BD-E9701E0D6D94}">
  <sheetPr>
    <tabColor rgb="FF7030A0"/>
  </sheetPr>
  <dimension ref="C2:P14"/>
  <sheetViews>
    <sheetView topLeftCell="H2" zoomScaleNormal="100" workbookViewId="0">
      <selection activeCell="M6" sqref="M6:P12"/>
    </sheetView>
  </sheetViews>
  <sheetFormatPr defaultRowHeight="15"/>
  <cols>
    <col min="3" max="3" width="27.85546875" bestFit="1" customWidth="1"/>
    <col min="4" max="4" width="14.42578125" bestFit="1" customWidth="1"/>
    <col min="5" max="5" width="10.42578125" bestFit="1" customWidth="1"/>
    <col min="7" max="7" width="18.28515625" bestFit="1" customWidth="1"/>
    <col min="8" max="8" width="22.7109375" bestFit="1" customWidth="1"/>
    <col min="13" max="13" width="27.85546875" bestFit="1" customWidth="1"/>
    <col min="14" max="14" width="22" customWidth="1"/>
    <col min="15" max="15" width="35.5703125" bestFit="1" customWidth="1"/>
    <col min="16" max="16" width="24.5703125" bestFit="1" customWidth="1"/>
  </cols>
  <sheetData>
    <row r="2" spans="3:16">
      <c r="C2" s="23"/>
    </row>
    <row r="5" spans="3:16">
      <c r="C5" t="s">
        <v>0</v>
      </c>
    </row>
    <row r="6" spans="3:16">
      <c r="C6" t="s">
        <v>1</v>
      </c>
      <c r="M6" t="s">
        <v>2</v>
      </c>
    </row>
    <row r="7" spans="3:16">
      <c r="C7" s="17" t="s">
        <v>0</v>
      </c>
      <c r="D7" s="17" t="s">
        <v>3</v>
      </c>
      <c r="E7" s="17" t="s">
        <v>4</v>
      </c>
      <c r="F7" s="17" t="s">
        <v>5</v>
      </c>
      <c r="G7" s="17" t="s">
        <v>6</v>
      </c>
      <c r="H7" s="17" t="s">
        <v>7</v>
      </c>
      <c r="M7" s="17" t="s">
        <v>0</v>
      </c>
      <c r="N7" s="18" t="s">
        <v>8</v>
      </c>
      <c r="O7" s="47" t="s">
        <v>9</v>
      </c>
      <c r="P7" s="47" t="s">
        <v>10</v>
      </c>
    </row>
    <row r="8" spans="3:16">
      <c r="C8" t="s">
        <v>11</v>
      </c>
      <c r="D8">
        <v>69</v>
      </c>
      <c r="E8">
        <f>26</f>
        <v>26</v>
      </c>
      <c r="F8">
        <v>43</v>
      </c>
      <c r="G8">
        <f>D8-E8</f>
        <v>43</v>
      </c>
      <c r="H8">
        <f>D8-E8-F8</f>
        <v>0</v>
      </c>
      <c r="M8" t="s">
        <v>12</v>
      </c>
      <c r="N8" s="44">
        <f>F8</f>
        <v>43</v>
      </c>
      <c r="O8" s="44"/>
      <c r="P8" s="44"/>
    </row>
    <row r="9" spans="3:16">
      <c r="C9" t="s">
        <v>13</v>
      </c>
      <c r="D9" s="19">
        <v>1787</v>
      </c>
      <c r="E9">
        <f>1558+22+10</f>
        <v>1590</v>
      </c>
      <c r="F9">
        <v>117</v>
      </c>
      <c r="G9" s="40">
        <f>D9-E9</f>
        <v>197</v>
      </c>
      <c r="H9" s="40">
        <v>70</v>
      </c>
      <c r="M9" t="s">
        <v>14</v>
      </c>
      <c r="N9" s="46">
        <f>'April Prorated Invoice-BLG Site'!F89</f>
        <v>9100.0300000000007</v>
      </c>
      <c r="O9" s="46"/>
      <c r="P9" s="46"/>
    </row>
    <row r="10" spans="3:16">
      <c r="E10" t="s">
        <v>15</v>
      </c>
      <c r="F10" t="s">
        <v>16</v>
      </c>
      <c r="H10" t="s">
        <v>17</v>
      </c>
      <c r="M10" t="s">
        <v>18</v>
      </c>
      <c r="N10" s="44">
        <f>F9</f>
        <v>117</v>
      </c>
      <c r="O10" s="44">
        <v>39</v>
      </c>
      <c r="P10" s="44">
        <v>31</v>
      </c>
    </row>
    <row r="11" spans="3:16">
      <c r="M11" s="17" t="s">
        <v>19</v>
      </c>
      <c r="N11" s="45">
        <f>'May Monthly Invoice- BLG Sites'!I119</f>
        <v>58850</v>
      </c>
      <c r="O11" s="45">
        <v>21300</v>
      </c>
      <c r="P11" s="45">
        <v>16450</v>
      </c>
    </row>
    <row r="12" spans="3:16">
      <c r="M12" t="s">
        <v>20</v>
      </c>
      <c r="N12" s="46">
        <f>SUM(N9+N11)</f>
        <v>67950.03</v>
      </c>
      <c r="O12" s="46">
        <f>SUM(O9+O11)</f>
        <v>21300</v>
      </c>
      <c r="P12" s="46">
        <f>SUM(P9+P11)</f>
        <v>16450</v>
      </c>
    </row>
    <row r="13" spans="3:16">
      <c r="N13" s="16" t="s">
        <v>0</v>
      </c>
      <c r="O13" s="16" t="s">
        <v>0</v>
      </c>
      <c r="P13" s="16"/>
    </row>
    <row r="14" spans="3:16">
      <c r="C14" t="s">
        <v>21</v>
      </c>
      <c r="D14">
        <f>'CDK INS not Billed by TV'!J150</f>
        <v>148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2F744-2D67-4C75-927F-5C41EF5687B6}">
  <sheetPr>
    <tabColor rgb="FFFF0000"/>
  </sheetPr>
  <dimension ref="A1:N705"/>
  <sheetViews>
    <sheetView workbookViewId="0">
      <selection activeCell="C35" sqref="C35"/>
    </sheetView>
  </sheetViews>
  <sheetFormatPr defaultRowHeight="15"/>
  <cols>
    <col min="2" max="2" width="62.28515625" bestFit="1" customWidth="1"/>
    <col min="3" max="3" width="15.7109375" bestFit="1" customWidth="1"/>
    <col min="4" max="4" width="12.28515625" bestFit="1" customWidth="1"/>
    <col min="5" max="5" width="11.28515625" bestFit="1" customWidth="1"/>
    <col min="6" max="6" width="21.5703125" bestFit="1" customWidth="1"/>
    <col min="7" max="7" width="34.42578125" bestFit="1" customWidth="1"/>
    <col min="8" max="8" width="12.7109375" bestFit="1" customWidth="1"/>
    <col min="9" max="9" width="25.42578125" bestFit="1" customWidth="1"/>
    <col min="10" max="10" width="20.85546875" bestFit="1" customWidth="1"/>
    <col min="11" max="11" width="29.28515625" bestFit="1" customWidth="1"/>
    <col min="12" max="12" width="10.5703125" style="12" bestFit="1" customWidth="1"/>
    <col min="14" max="14" width="34.140625" bestFit="1" customWidth="1"/>
  </cols>
  <sheetData>
    <row r="1" spans="1:14" s="13" customFormat="1">
      <c r="A1" s="13" t="s">
        <v>22</v>
      </c>
      <c r="B1" s="13" t="s">
        <v>23</v>
      </c>
      <c r="C1" s="13" t="s">
        <v>24</v>
      </c>
      <c r="D1" s="13" t="s">
        <v>25</v>
      </c>
      <c r="E1" s="13" t="s">
        <v>26</v>
      </c>
      <c r="F1" s="13" t="s">
        <v>27</v>
      </c>
      <c r="G1" s="13" t="s">
        <v>28</v>
      </c>
      <c r="H1" s="13" t="s">
        <v>29</v>
      </c>
      <c r="I1" s="13" t="s">
        <v>30</v>
      </c>
      <c r="J1" s="37" t="s">
        <v>31</v>
      </c>
      <c r="K1" s="37" t="s">
        <v>32</v>
      </c>
      <c r="L1" s="38" t="s">
        <v>33</v>
      </c>
      <c r="M1" s="37" t="s">
        <v>34</v>
      </c>
      <c r="N1" s="37" t="s">
        <v>35</v>
      </c>
    </row>
    <row r="2" spans="1:14">
      <c r="A2" t="s">
        <v>36</v>
      </c>
      <c r="B2" t="s">
        <v>37</v>
      </c>
      <c r="C2" t="s">
        <v>38</v>
      </c>
      <c r="D2">
        <v>5088801</v>
      </c>
      <c r="E2">
        <v>2503075</v>
      </c>
      <c r="F2" t="s">
        <v>39</v>
      </c>
      <c r="G2">
        <v>300</v>
      </c>
      <c r="H2">
        <v>200</v>
      </c>
      <c r="I2" t="e">
        <f>VLOOKUP(D2,'3.10 Cancel List'!$C:$C,1,0)</f>
        <v>#N/A</v>
      </c>
      <c r="K2" t="s">
        <v>0</v>
      </c>
      <c r="L2"/>
    </row>
    <row r="3" spans="1:14">
      <c r="A3" t="s">
        <v>40</v>
      </c>
      <c r="B3" t="s">
        <v>41</v>
      </c>
      <c r="C3" t="s">
        <v>42</v>
      </c>
      <c r="D3">
        <v>5236442</v>
      </c>
      <c r="E3">
        <v>3001276</v>
      </c>
      <c r="F3" t="s">
        <v>39</v>
      </c>
      <c r="G3">
        <v>400</v>
      </c>
      <c r="H3">
        <v>200</v>
      </c>
      <c r="I3" t="e">
        <f>VLOOKUP(D3,'3.10 Cancel List'!$C:$C,1,0)</f>
        <v>#N/A</v>
      </c>
      <c r="L3"/>
    </row>
    <row r="4" spans="1:14">
      <c r="A4" t="s">
        <v>43</v>
      </c>
      <c r="B4" t="s">
        <v>44</v>
      </c>
      <c r="C4" t="s">
        <v>45</v>
      </c>
      <c r="D4">
        <v>8300018</v>
      </c>
      <c r="E4">
        <v>3000322</v>
      </c>
      <c r="F4" t="s">
        <v>39</v>
      </c>
      <c r="G4">
        <v>300</v>
      </c>
      <c r="H4">
        <v>200</v>
      </c>
      <c r="I4" t="e">
        <f>VLOOKUP(D4,'3.10 Cancel List'!$C:$C,1,0)</f>
        <v>#N/A</v>
      </c>
      <c r="L4"/>
    </row>
    <row r="5" spans="1:14">
      <c r="A5" t="s">
        <v>46</v>
      </c>
      <c r="B5" t="s">
        <v>47</v>
      </c>
      <c r="C5" t="s">
        <v>48</v>
      </c>
      <c r="D5">
        <v>13093301</v>
      </c>
      <c r="E5">
        <v>2503593</v>
      </c>
      <c r="F5" t="s">
        <v>39</v>
      </c>
      <c r="G5">
        <v>300</v>
      </c>
      <c r="H5">
        <v>200</v>
      </c>
      <c r="I5" t="e">
        <f>VLOOKUP(D5,'3.10 Cancel List'!$C:$C,1,0)</f>
        <v>#N/A</v>
      </c>
      <c r="L5"/>
    </row>
    <row r="6" spans="1:14">
      <c r="A6" t="s">
        <v>49</v>
      </c>
      <c r="B6" t="s">
        <v>50</v>
      </c>
      <c r="C6" t="s">
        <v>51</v>
      </c>
      <c r="D6">
        <v>25297551</v>
      </c>
      <c r="E6">
        <v>153</v>
      </c>
      <c r="F6" t="s">
        <v>39</v>
      </c>
      <c r="G6">
        <v>300</v>
      </c>
      <c r="H6">
        <v>200</v>
      </c>
      <c r="I6" t="e">
        <f>VLOOKUP(D6,'3.10 Cancel List'!$C:$C,1,0)</f>
        <v>#N/A</v>
      </c>
      <c r="L6"/>
    </row>
    <row r="7" spans="1:14">
      <c r="A7" t="s">
        <v>52</v>
      </c>
      <c r="B7" t="s">
        <v>53</v>
      </c>
      <c r="C7" t="s">
        <v>54</v>
      </c>
      <c r="D7">
        <v>33049702</v>
      </c>
      <c r="E7">
        <v>2700012</v>
      </c>
      <c r="F7" t="s">
        <v>39</v>
      </c>
      <c r="G7">
        <v>300</v>
      </c>
      <c r="H7">
        <v>200</v>
      </c>
      <c r="I7" t="e">
        <f>VLOOKUP(D7,'3.10 Cancel List'!$C:$C,1,0)</f>
        <v>#N/A</v>
      </c>
      <c r="L7"/>
    </row>
    <row r="8" spans="1:14">
      <c r="A8" t="s">
        <v>55</v>
      </c>
      <c r="B8" t="s">
        <v>56</v>
      </c>
      <c r="C8" t="s">
        <v>57</v>
      </c>
      <c r="D8">
        <v>37216003</v>
      </c>
      <c r="E8">
        <v>2700001</v>
      </c>
      <c r="F8" t="s">
        <v>39</v>
      </c>
      <c r="G8">
        <v>300</v>
      </c>
      <c r="H8">
        <v>200</v>
      </c>
      <c r="I8" t="e">
        <f>VLOOKUP(D8,'3.10 Cancel List'!$C:$C,1,0)</f>
        <v>#N/A</v>
      </c>
      <c r="L8"/>
    </row>
    <row r="9" spans="1:14">
      <c r="A9" t="s">
        <v>58</v>
      </c>
      <c r="B9" t="s">
        <v>59</v>
      </c>
      <c r="C9" t="s">
        <v>60</v>
      </c>
      <c r="D9">
        <v>43996001</v>
      </c>
      <c r="E9">
        <v>2502552</v>
      </c>
      <c r="F9" t="s">
        <v>39</v>
      </c>
      <c r="G9">
        <v>450</v>
      </c>
      <c r="H9">
        <v>200</v>
      </c>
      <c r="I9" t="e">
        <f>VLOOKUP(D9,'3.10 Cancel List'!$C:$C,1,0)</f>
        <v>#N/A</v>
      </c>
      <c r="L9"/>
    </row>
    <row r="10" spans="1:14">
      <c r="A10" t="s">
        <v>61</v>
      </c>
      <c r="B10" t="s">
        <v>62</v>
      </c>
      <c r="C10" t="s">
        <v>63</v>
      </c>
      <c r="D10">
        <v>71062428</v>
      </c>
      <c r="E10">
        <v>2503087</v>
      </c>
      <c r="F10" t="s">
        <v>39</v>
      </c>
      <c r="G10">
        <v>300</v>
      </c>
      <c r="H10">
        <v>200</v>
      </c>
      <c r="I10" t="e">
        <f>VLOOKUP(D10,'3.10 Cancel List'!$C:$C,1,0)</f>
        <v>#N/A</v>
      </c>
      <c r="L10"/>
    </row>
    <row r="11" spans="1:14">
      <c r="A11" t="s">
        <v>64</v>
      </c>
      <c r="B11" t="s">
        <v>65</v>
      </c>
      <c r="C11" t="s">
        <v>66</v>
      </c>
      <c r="D11">
        <v>76001666</v>
      </c>
      <c r="E11">
        <v>2501710</v>
      </c>
      <c r="F11" t="s">
        <v>39</v>
      </c>
      <c r="G11">
        <v>450</v>
      </c>
      <c r="H11">
        <v>200</v>
      </c>
      <c r="I11">
        <f>VLOOKUP(D11,'3.10 Cancel List'!$C:$C,1,0)</f>
        <v>76001666</v>
      </c>
      <c r="J11" t="s">
        <v>67</v>
      </c>
      <c r="K11" t="str">
        <f>VLOOKUP(D11,'March Cancel - checking results'!$C:$Q,9,0)</f>
        <v>LSS</v>
      </c>
      <c r="L11" s="12">
        <f>VLOOKUP(D11,'March Cancel - checking results'!$C:$Q,10,0)</f>
        <v>44682</v>
      </c>
      <c r="M11" t="str">
        <f>VLOOKUP(D11,'March Cancel - checking results'!$C:$Q,11,0)</f>
        <v>Standalone</v>
      </c>
      <c r="N11" t="str">
        <f>VLOOKUP(D11,'March Cancel - checking results'!$C:$Q,15,0)</f>
        <v xml:space="preserve">With Inspect, no suite. </v>
      </c>
    </row>
    <row r="12" spans="1:14">
      <c r="A12" t="s">
        <v>68</v>
      </c>
      <c r="B12" t="s">
        <v>69</v>
      </c>
      <c r="C12" t="s">
        <v>70</v>
      </c>
      <c r="D12">
        <v>76018447</v>
      </c>
      <c r="E12">
        <v>2501591</v>
      </c>
      <c r="F12" t="s">
        <v>39</v>
      </c>
      <c r="G12">
        <v>300</v>
      </c>
      <c r="H12">
        <v>200</v>
      </c>
      <c r="I12" t="e">
        <f>VLOOKUP(D12,'3.10 Cancel List'!$C:$C,1,0)</f>
        <v>#N/A</v>
      </c>
      <c r="L12"/>
    </row>
    <row r="13" spans="1:14">
      <c r="A13" t="s">
        <v>71</v>
      </c>
      <c r="B13" t="s">
        <v>72</v>
      </c>
      <c r="C13" t="s">
        <v>73</v>
      </c>
      <c r="D13">
        <v>76025293</v>
      </c>
      <c r="E13">
        <v>2502775</v>
      </c>
      <c r="F13" t="s">
        <v>39</v>
      </c>
      <c r="G13">
        <v>300</v>
      </c>
      <c r="H13">
        <v>200</v>
      </c>
      <c r="I13" t="e">
        <f>VLOOKUP(D13,'3.10 Cancel List'!$C:$C,1,0)</f>
        <v>#N/A</v>
      </c>
      <c r="L13"/>
    </row>
    <row r="14" spans="1:14">
      <c r="A14" t="s">
        <v>74</v>
      </c>
      <c r="B14" t="s">
        <v>75</v>
      </c>
      <c r="C14" t="s">
        <v>76</v>
      </c>
      <c r="D14">
        <v>76028715</v>
      </c>
      <c r="E14">
        <v>2000422</v>
      </c>
      <c r="F14" t="s">
        <v>39</v>
      </c>
      <c r="G14">
        <v>450</v>
      </c>
      <c r="H14">
        <v>200</v>
      </c>
      <c r="I14">
        <f>VLOOKUP(D14,'3.10 Cancel List'!$C:$C,1,0)</f>
        <v>76028715</v>
      </c>
      <c r="J14" t="s">
        <v>67</v>
      </c>
      <c r="K14" t="str">
        <f>VLOOKUP(D14,'March Cancel - checking results'!$C:$M,9,0)</f>
        <v>LSS</v>
      </c>
      <c r="L14" s="12">
        <f>VLOOKUP(D14,'March Cancel - checking results'!$C:$M,10,0)</f>
        <v>45047</v>
      </c>
      <c r="M14" t="str">
        <f>VLOOKUP(D14,'March Cancel - checking results'!$C:$M,11,0)</f>
        <v>Standalone</v>
      </c>
      <c r="N14" t="str">
        <f>VLOOKUP(D14,'March Cancel - checking results'!$C:$Q,15,0)</f>
        <v>Conversion LSS</v>
      </c>
    </row>
    <row r="15" spans="1:14">
      <c r="A15" t="s">
        <v>77</v>
      </c>
      <c r="B15" t="s">
        <v>78</v>
      </c>
      <c r="C15" t="s">
        <v>79</v>
      </c>
      <c r="D15">
        <v>76043277</v>
      </c>
      <c r="E15">
        <v>2502505</v>
      </c>
      <c r="F15" t="s">
        <v>39</v>
      </c>
      <c r="G15">
        <v>450</v>
      </c>
      <c r="H15">
        <v>200</v>
      </c>
      <c r="I15" t="e">
        <f>VLOOKUP(D15,'3.10 Cancel List'!$C:$C,1,0)</f>
        <v>#N/A</v>
      </c>
      <c r="L15"/>
    </row>
    <row r="16" spans="1:14">
      <c r="A16" t="s">
        <v>80</v>
      </c>
      <c r="B16" t="s">
        <v>81</v>
      </c>
      <c r="C16" t="s">
        <v>82</v>
      </c>
      <c r="D16">
        <v>76051500</v>
      </c>
      <c r="E16">
        <v>2503331</v>
      </c>
      <c r="F16" t="s">
        <v>39</v>
      </c>
      <c r="G16">
        <v>300</v>
      </c>
      <c r="H16">
        <v>200</v>
      </c>
      <c r="I16">
        <f>VLOOKUP(D16,'3.10 Cancel List'!$C:$C,1,0)</f>
        <v>76051500</v>
      </c>
      <c r="J16" t="s">
        <v>67</v>
      </c>
      <c r="K16" t="str">
        <f>VLOOKUP(D16,'March Cancel - checking results'!$C:$M,9,0)</f>
        <v>ANS</v>
      </c>
      <c r="L16" s="12">
        <f>VLOOKUP(D16,'March Cancel - checking results'!$C:$M,10,0)</f>
        <v>45444</v>
      </c>
      <c r="M16" t="str">
        <f>VLOOKUP(D16,'March Cancel - checking results'!$C:$M,11,0)</f>
        <v>Suite</v>
      </c>
      <c r="N16" t="str">
        <f>VLOOKUP(D16,'March Cancel - checking results'!$C:$Q,15,0)</f>
        <v>LSS lines converted from a previous ANS</v>
      </c>
    </row>
    <row r="17" spans="1:14">
      <c r="A17" t="s">
        <v>83</v>
      </c>
      <c r="B17" t="s">
        <v>84</v>
      </c>
      <c r="C17" t="s">
        <v>85</v>
      </c>
      <c r="D17">
        <v>76057672</v>
      </c>
      <c r="E17">
        <v>2501660</v>
      </c>
      <c r="F17" t="s">
        <v>39</v>
      </c>
      <c r="G17">
        <v>450</v>
      </c>
      <c r="H17">
        <v>200</v>
      </c>
      <c r="I17" t="e">
        <f>VLOOKUP(D17,'3.10 Cancel List'!$C:$C,1,0)</f>
        <v>#N/A</v>
      </c>
      <c r="L17"/>
    </row>
    <row r="18" spans="1:14">
      <c r="A18" t="s">
        <v>86</v>
      </c>
      <c r="B18" t="s">
        <v>87</v>
      </c>
      <c r="C18" t="s">
        <v>88</v>
      </c>
      <c r="D18">
        <v>76097658</v>
      </c>
      <c r="E18">
        <v>3000911</v>
      </c>
      <c r="F18" t="s">
        <v>39</v>
      </c>
      <c r="G18">
        <v>300</v>
      </c>
      <c r="H18">
        <v>200</v>
      </c>
      <c r="I18">
        <f>VLOOKUP(D18,'3.10 Cancel List'!$C:$C,1,0)</f>
        <v>76097658</v>
      </c>
      <c r="J18" t="s">
        <v>67</v>
      </c>
      <c r="K18" t="str">
        <f>VLOOKUP(D18,'March Cancel - checking results'!$C:$M,9,0)</f>
        <v>LSS</v>
      </c>
      <c r="L18" s="12">
        <f>VLOOKUP(D18,'March Cancel - checking results'!$C:$M,10,0)</f>
        <v>45992</v>
      </c>
      <c r="M18" t="str">
        <f>VLOOKUP(D18,'March Cancel - checking results'!$C:$M,11,0)</f>
        <v>Suite</v>
      </c>
      <c r="N18" t="str">
        <f>VLOOKUP(D18,'March Cancel - checking results'!$C:$Q,15,0)</f>
        <v>Whole suite LSS</v>
      </c>
    </row>
    <row r="19" spans="1:14">
      <c r="A19" t="s">
        <v>89</v>
      </c>
      <c r="B19" t="s">
        <v>90</v>
      </c>
      <c r="C19" t="s">
        <v>91</v>
      </c>
      <c r="D19">
        <v>76134865</v>
      </c>
      <c r="E19">
        <v>5113</v>
      </c>
      <c r="F19" t="s">
        <v>39</v>
      </c>
      <c r="G19">
        <v>300</v>
      </c>
      <c r="H19">
        <v>200</v>
      </c>
      <c r="I19" t="e">
        <f>VLOOKUP(D19,'3.10 Cancel List'!$C:$C,1,0)</f>
        <v>#N/A</v>
      </c>
      <c r="L19"/>
    </row>
    <row r="20" spans="1:14">
      <c r="A20" t="s">
        <v>92</v>
      </c>
      <c r="B20" t="s">
        <v>93</v>
      </c>
      <c r="C20" t="s">
        <v>94</v>
      </c>
      <c r="D20">
        <v>76157327</v>
      </c>
      <c r="E20">
        <v>10190</v>
      </c>
      <c r="F20" t="s">
        <v>39</v>
      </c>
      <c r="G20">
        <v>300</v>
      </c>
      <c r="H20">
        <v>200</v>
      </c>
      <c r="I20">
        <f>VLOOKUP(D20,'3.10 Cancel List'!$C:$C,1,0)</f>
        <v>76157327</v>
      </c>
      <c r="K20" t="str">
        <f>VLOOKUP(D20,'March Cancel - checking results'!$C:$M,9,0)</f>
        <v>ANS</v>
      </c>
      <c r="L20" s="12">
        <f>VLOOKUP(D20,'March Cancel - checking results'!$C:$M,10,0)</f>
        <v>45047</v>
      </c>
      <c r="M20" t="str">
        <f>VLOOKUP(D20,'March Cancel - checking results'!$C:$M,11,0)</f>
        <v>Suite</v>
      </c>
      <c r="N20" t="str">
        <f>VLOOKUP(D20,'March Cancel - checking results'!$C:$Q,15,0)</f>
        <v>CDKS ANS</v>
      </c>
    </row>
    <row r="21" spans="1:14">
      <c r="A21" t="s">
        <v>95</v>
      </c>
      <c r="B21" t="s">
        <v>96</v>
      </c>
      <c r="C21" t="s">
        <v>97</v>
      </c>
      <c r="D21">
        <v>76173064</v>
      </c>
      <c r="E21">
        <v>3000888</v>
      </c>
      <c r="F21" t="s">
        <v>39</v>
      </c>
      <c r="G21">
        <v>300</v>
      </c>
      <c r="H21">
        <v>200</v>
      </c>
      <c r="I21" t="e">
        <f>VLOOKUP(D21,'3.10 Cancel List'!$C:$C,1,0)</f>
        <v>#N/A</v>
      </c>
      <c r="L21"/>
    </row>
    <row r="22" spans="1:14">
      <c r="A22" t="s">
        <v>98</v>
      </c>
      <c r="B22" t="s">
        <v>99</v>
      </c>
      <c r="C22" t="s">
        <v>100</v>
      </c>
      <c r="D22">
        <v>76181139</v>
      </c>
      <c r="E22">
        <v>3000966</v>
      </c>
      <c r="F22" t="s">
        <v>39</v>
      </c>
      <c r="G22">
        <v>300</v>
      </c>
      <c r="H22">
        <v>200</v>
      </c>
      <c r="I22" t="e">
        <f>VLOOKUP(D22,'3.10 Cancel List'!$C:$C,1,0)</f>
        <v>#N/A</v>
      </c>
      <c r="L22"/>
    </row>
    <row r="23" spans="1:14">
      <c r="A23" t="s">
        <v>101</v>
      </c>
      <c r="B23" t="s">
        <v>102</v>
      </c>
      <c r="C23" t="s">
        <v>103</v>
      </c>
      <c r="D23">
        <v>76184938</v>
      </c>
      <c r="E23">
        <v>3000690</v>
      </c>
      <c r="F23" t="s">
        <v>39</v>
      </c>
      <c r="G23">
        <v>300</v>
      </c>
      <c r="H23">
        <v>200</v>
      </c>
      <c r="I23" t="e">
        <f>VLOOKUP(D23,'3.10 Cancel List'!$C:$C,1,0)</f>
        <v>#N/A</v>
      </c>
      <c r="L23"/>
    </row>
    <row r="24" spans="1:14">
      <c r="A24" t="s">
        <v>104</v>
      </c>
      <c r="B24" t="s">
        <v>105</v>
      </c>
      <c r="C24" t="s">
        <v>106</v>
      </c>
      <c r="D24">
        <v>76194812</v>
      </c>
      <c r="E24">
        <v>0</v>
      </c>
      <c r="F24" t="s">
        <v>39</v>
      </c>
      <c r="G24">
        <v>400</v>
      </c>
      <c r="H24">
        <v>200</v>
      </c>
      <c r="I24">
        <f>VLOOKUP(D24,'3.10 Cancel List'!$C:$C,1,0)</f>
        <v>76194812</v>
      </c>
      <c r="K24" t="str">
        <f>VLOOKUP(D24,'March Cancel - checking results'!$C:$M,9,0)</f>
        <v>LSS</v>
      </c>
      <c r="L24" s="12">
        <f>VLOOKUP(D24,'March Cancel - checking results'!$C:$M,10,0)</f>
        <v>45474</v>
      </c>
      <c r="M24" t="str">
        <f>VLOOKUP(D24,'March Cancel - checking results'!$C:$M,11,0)</f>
        <v>Standalone</v>
      </c>
      <c r="N24" t="str">
        <f>VLOOKUP(D24,'March Cancel - checking results'!$C:$Q,15,0)</f>
        <v>Everything ANS or LSS</v>
      </c>
    </row>
    <row r="25" spans="1:14">
      <c r="A25" t="s">
        <v>107</v>
      </c>
      <c r="B25" t="s">
        <v>108</v>
      </c>
      <c r="C25" t="s">
        <v>109</v>
      </c>
      <c r="D25">
        <v>76197109</v>
      </c>
      <c r="E25">
        <v>2503116</v>
      </c>
      <c r="F25" t="s">
        <v>39</v>
      </c>
      <c r="G25">
        <v>300</v>
      </c>
      <c r="H25">
        <v>200</v>
      </c>
      <c r="I25" t="e">
        <f>VLOOKUP(D25,'3.10 Cancel List'!$C:$C,1,0)</f>
        <v>#N/A</v>
      </c>
      <c r="L25"/>
    </row>
    <row r="26" spans="1:14">
      <c r="A26" t="s">
        <v>110</v>
      </c>
      <c r="B26" t="s">
        <v>111</v>
      </c>
      <c r="C26" t="s">
        <v>112</v>
      </c>
      <c r="D26">
        <v>76201836</v>
      </c>
      <c r="E26">
        <v>3000889</v>
      </c>
      <c r="F26" t="s">
        <v>39</v>
      </c>
      <c r="G26">
        <v>300</v>
      </c>
      <c r="H26">
        <v>200</v>
      </c>
      <c r="I26" t="e">
        <f>VLOOKUP(D26,'3.10 Cancel List'!$C:$C,1,0)</f>
        <v>#N/A</v>
      </c>
      <c r="L26"/>
    </row>
    <row r="27" spans="1:14">
      <c r="A27" t="s">
        <v>113</v>
      </c>
      <c r="B27" t="s">
        <v>114</v>
      </c>
      <c r="C27" t="s">
        <v>115</v>
      </c>
      <c r="D27">
        <v>76202516</v>
      </c>
      <c r="E27">
        <v>1500109</v>
      </c>
      <c r="F27" t="s">
        <v>39</v>
      </c>
      <c r="G27">
        <v>300</v>
      </c>
      <c r="H27">
        <v>200</v>
      </c>
      <c r="I27">
        <f>VLOOKUP(D27,'3.10 Cancel List'!$C:$C,1,0)</f>
        <v>76202516</v>
      </c>
      <c r="J27" t="s">
        <v>67</v>
      </c>
      <c r="K27" t="str">
        <f>VLOOKUP(D27,'March Cancel - checking results'!$C:$M,9,0)</f>
        <v>LSS</v>
      </c>
      <c r="L27" s="12">
        <f>VLOOKUP(D27,'March Cancel - checking results'!$C:$M,10,0)</f>
        <v>45689</v>
      </c>
      <c r="M27" t="str">
        <f>VLOOKUP(D27,'March Cancel - checking results'!$C:$M,11,0)</f>
        <v>Suite</v>
      </c>
      <c r="N27" t="str">
        <f>VLOOKUP(D27,'March Cancel - checking results'!$C:$Q,15,0)</f>
        <v>CDKS - LSS</v>
      </c>
    </row>
    <row r="28" spans="1:14">
      <c r="A28" t="s">
        <v>116</v>
      </c>
      <c r="B28" t="s">
        <v>117</v>
      </c>
      <c r="C28" t="s">
        <v>118</v>
      </c>
      <c r="D28">
        <v>76204182</v>
      </c>
      <c r="E28">
        <v>2001776</v>
      </c>
      <c r="F28" t="s">
        <v>39</v>
      </c>
      <c r="G28">
        <v>300</v>
      </c>
      <c r="H28">
        <v>200</v>
      </c>
      <c r="I28">
        <f>VLOOKUP(D28,'3.10 Cancel List'!$C:$C,1,0)</f>
        <v>76204182</v>
      </c>
      <c r="J28" t="s">
        <v>67</v>
      </c>
      <c r="K28" t="str">
        <f>VLOOKUP(D28,'March Cancel - checking results'!$C:$M,9,0)</f>
        <v>ANS</v>
      </c>
      <c r="L28" s="12">
        <f>VLOOKUP(D28,'March Cancel - checking results'!$C:$M,10,0)</f>
        <v>45627</v>
      </c>
      <c r="M28" t="str">
        <f>VLOOKUP(D28,'March Cancel - checking results'!$C:$M,11,0)</f>
        <v>Suite</v>
      </c>
      <c r="N28" t="str">
        <f>VLOOKUP(D28,'March Cancel - checking results'!$C:$Q,15,0)</f>
        <v>SUITE INS</v>
      </c>
    </row>
    <row r="29" spans="1:14">
      <c r="A29" t="s">
        <v>119</v>
      </c>
      <c r="B29" t="s">
        <v>120</v>
      </c>
      <c r="C29" t="s">
        <v>121</v>
      </c>
      <c r="D29">
        <v>76205609</v>
      </c>
      <c r="E29">
        <v>2000850</v>
      </c>
      <c r="F29" t="s">
        <v>39</v>
      </c>
      <c r="G29">
        <v>300</v>
      </c>
      <c r="H29">
        <v>200</v>
      </c>
      <c r="I29" t="e">
        <f>VLOOKUP(D29,'3.10 Cancel List'!$C:$C,1,0)</f>
        <v>#N/A</v>
      </c>
      <c r="L29"/>
    </row>
    <row r="30" spans="1:14">
      <c r="A30" t="s">
        <v>122</v>
      </c>
      <c r="B30" t="s">
        <v>123</v>
      </c>
      <c r="C30" t="s">
        <v>124</v>
      </c>
      <c r="D30">
        <v>76215310</v>
      </c>
      <c r="E30">
        <v>2700010</v>
      </c>
      <c r="F30" t="s">
        <v>39</v>
      </c>
      <c r="G30">
        <v>300</v>
      </c>
      <c r="H30">
        <v>200</v>
      </c>
      <c r="I30" t="e">
        <f>VLOOKUP(D30,'3.10 Cancel List'!$C:$C,1,0)</f>
        <v>#N/A</v>
      </c>
      <c r="L30"/>
    </row>
    <row r="31" spans="1:14">
      <c r="A31" t="s">
        <v>125</v>
      </c>
      <c r="B31" t="s">
        <v>126</v>
      </c>
      <c r="C31" t="s">
        <v>127</v>
      </c>
      <c r="D31">
        <v>76215380</v>
      </c>
      <c r="E31">
        <v>2000797</v>
      </c>
      <c r="F31" t="s">
        <v>39</v>
      </c>
      <c r="G31">
        <v>450</v>
      </c>
      <c r="H31">
        <v>200</v>
      </c>
      <c r="I31" t="e">
        <f>VLOOKUP(D31,'3.10 Cancel List'!$C:$C,1,0)</f>
        <v>#N/A</v>
      </c>
      <c r="L31"/>
    </row>
    <row r="32" spans="1:14">
      <c r="A32" t="s">
        <v>128</v>
      </c>
      <c r="B32" t="s">
        <v>129</v>
      </c>
      <c r="C32" t="s">
        <v>130</v>
      </c>
      <c r="D32">
        <v>76217036</v>
      </c>
      <c r="E32">
        <v>2501508</v>
      </c>
      <c r="F32" t="s">
        <v>39</v>
      </c>
      <c r="G32">
        <v>300</v>
      </c>
      <c r="H32">
        <v>200</v>
      </c>
      <c r="I32" t="e">
        <f>VLOOKUP(D32,'3.10 Cancel List'!$C:$C,1,0)</f>
        <v>#N/A</v>
      </c>
      <c r="L32"/>
    </row>
    <row r="33" spans="1:14">
      <c r="A33" t="s">
        <v>131</v>
      </c>
      <c r="B33" t="s">
        <v>132</v>
      </c>
      <c r="C33" t="s">
        <v>133</v>
      </c>
      <c r="D33">
        <v>76217358</v>
      </c>
      <c r="E33">
        <v>3000423</v>
      </c>
      <c r="F33" t="s">
        <v>39</v>
      </c>
      <c r="G33">
        <v>400</v>
      </c>
      <c r="H33">
        <v>200</v>
      </c>
      <c r="I33">
        <f>VLOOKUP(D33,'3.10 Cancel List'!$C:$C,1,0)</f>
        <v>76217358</v>
      </c>
      <c r="J33" t="s">
        <v>67</v>
      </c>
      <c r="K33" t="str">
        <f>VLOOKUP(D33,'March Cancel - checking results'!$C:$M,9,0)</f>
        <v>LSS</v>
      </c>
      <c r="L33" s="12">
        <f>VLOOKUP(D33,'March Cancel - checking results'!$C:$M,10,0)</f>
        <v>45383</v>
      </c>
      <c r="M33" t="str">
        <f>VLOOKUP(D33,'March Cancel - checking results'!$C:$M,11,0)</f>
        <v>Standalone</v>
      </c>
      <c r="N33" t="str">
        <f>VLOOKUP(D33,'March Cancel - checking results'!$C:$Q,15,0)</f>
        <v>CDK CONVERSION - SYS GENERATED</v>
      </c>
    </row>
    <row r="34" spans="1:14">
      <c r="A34" t="s">
        <v>134</v>
      </c>
      <c r="B34" t="s">
        <v>135</v>
      </c>
      <c r="C34" t="s">
        <v>136</v>
      </c>
      <c r="D34">
        <v>76220331</v>
      </c>
      <c r="E34">
        <v>2501681</v>
      </c>
      <c r="F34" t="s">
        <v>39</v>
      </c>
      <c r="G34">
        <v>300</v>
      </c>
      <c r="H34">
        <v>200</v>
      </c>
      <c r="I34" t="e">
        <f>VLOOKUP(D34,'3.10 Cancel List'!$C:$C,1,0)</f>
        <v>#N/A</v>
      </c>
      <c r="L34"/>
    </row>
    <row r="35" spans="1:14">
      <c r="A35" t="s">
        <v>137</v>
      </c>
      <c r="B35" t="s">
        <v>138</v>
      </c>
      <c r="C35" t="s">
        <v>139</v>
      </c>
      <c r="D35">
        <v>76220332</v>
      </c>
      <c r="E35">
        <v>2501684</v>
      </c>
      <c r="F35" t="s">
        <v>39</v>
      </c>
      <c r="G35">
        <v>300</v>
      </c>
      <c r="H35">
        <v>200</v>
      </c>
      <c r="I35" t="e">
        <f>VLOOKUP(D35,'3.10 Cancel List'!$C:$C,1,0)</f>
        <v>#N/A</v>
      </c>
      <c r="L35"/>
    </row>
    <row r="36" spans="1:14">
      <c r="A36" t="s">
        <v>140</v>
      </c>
      <c r="B36" t="s">
        <v>141</v>
      </c>
      <c r="C36" t="s">
        <v>142</v>
      </c>
      <c r="D36">
        <v>76225712</v>
      </c>
      <c r="E36">
        <v>2502268</v>
      </c>
      <c r="F36" t="s">
        <v>39</v>
      </c>
      <c r="G36">
        <v>450</v>
      </c>
      <c r="H36">
        <v>200</v>
      </c>
      <c r="I36">
        <f>VLOOKUP(D36,'3.10 Cancel List'!$C:$C,1,0)</f>
        <v>76225712</v>
      </c>
      <c r="J36" t="s">
        <v>67</v>
      </c>
      <c r="K36" t="str">
        <f>VLOOKUP(D36,'March Cancel - checking results'!$C:$M,9,0)</f>
        <v>LSS</v>
      </c>
      <c r="L36" s="12">
        <f>VLOOKUP(D36,'March Cancel - checking results'!$C:$M,10,0)</f>
        <v>45931</v>
      </c>
      <c r="M36" t="str">
        <f>VLOOKUP(D36,'March Cancel - checking results'!$C:$M,11,0)</f>
        <v>Suite</v>
      </c>
      <c r="N36" t="str">
        <f>VLOOKUP(D36,'March Cancel - checking results'!$C:$Q,15,0)</f>
        <v>CDK CONVERSION - SYS GENERATED</v>
      </c>
    </row>
    <row r="37" spans="1:14">
      <c r="A37" t="s">
        <v>143</v>
      </c>
      <c r="B37" t="s">
        <v>144</v>
      </c>
      <c r="C37" t="s">
        <v>145</v>
      </c>
      <c r="D37">
        <v>76227121</v>
      </c>
      <c r="E37">
        <v>2502262</v>
      </c>
      <c r="F37" t="s">
        <v>39</v>
      </c>
      <c r="G37">
        <v>450</v>
      </c>
      <c r="H37">
        <v>200</v>
      </c>
      <c r="I37">
        <f>VLOOKUP(D37,'3.10 Cancel List'!$C:$C,1,0)</f>
        <v>76227121</v>
      </c>
      <c r="K37" t="str">
        <f>VLOOKUP(D37,'March Cancel - checking results'!$C:$M,9,0)</f>
        <v>LSS</v>
      </c>
      <c r="L37" s="12">
        <f>VLOOKUP(D37,'March Cancel - checking results'!$C:$M,10,0)</f>
        <v>45566</v>
      </c>
      <c r="M37" t="str">
        <f>VLOOKUP(D37,'March Cancel - checking results'!$C:$M,11,0)</f>
        <v>Suite</v>
      </c>
      <c r="N37" t="str">
        <f>VLOOKUP(D37,'March Cancel - checking results'!$C:$Q,15,0)</f>
        <v>Price/Value Proposition</v>
      </c>
    </row>
    <row r="38" spans="1:14">
      <c r="A38" t="s">
        <v>146</v>
      </c>
      <c r="B38" t="s">
        <v>147</v>
      </c>
      <c r="C38" t="s">
        <v>148</v>
      </c>
      <c r="D38">
        <v>76227134</v>
      </c>
      <c r="E38">
        <v>2503481</v>
      </c>
      <c r="F38" t="s">
        <v>39</v>
      </c>
      <c r="G38">
        <v>300</v>
      </c>
      <c r="H38">
        <v>200</v>
      </c>
      <c r="I38">
        <f>VLOOKUP(D38,'3.10 Cancel List'!$C:$C,1,0)</f>
        <v>76227134</v>
      </c>
      <c r="K38" t="str">
        <f>VLOOKUP(D38,'March Cancel - checking results'!$C:$M,9,0)</f>
        <v>LSS</v>
      </c>
      <c r="L38" s="12">
        <f>VLOOKUP(D38,'March Cancel - checking results'!$C:$M,10,0)</f>
        <v>45931</v>
      </c>
      <c r="M38" t="str">
        <f>VLOOKUP(D38,'March Cancel - checking results'!$C:$M,11,0)</f>
        <v>Suite</v>
      </c>
      <c r="N38" t="str">
        <f>VLOOKUP(D38,'March Cancel - checking results'!$C:$Q,15,0)</f>
        <v>Ownership Change /  FOS ANS</v>
      </c>
    </row>
    <row r="39" spans="1:14">
      <c r="A39" t="s">
        <v>149</v>
      </c>
      <c r="B39" t="s">
        <v>150</v>
      </c>
      <c r="C39" t="s">
        <v>151</v>
      </c>
      <c r="D39">
        <v>76227679</v>
      </c>
      <c r="E39">
        <v>2001988</v>
      </c>
      <c r="F39" t="s">
        <v>39</v>
      </c>
      <c r="G39">
        <v>300</v>
      </c>
      <c r="H39">
        <v>200</v>
      </c>
      <c r="I39">
        <f>VLOOKUP(D39,'3.10 Cancel List'!$C:$C,1,0)</f>
        <v>76227679</v>
      </c>
      <c r="K39" t="str">
        <f>VLOOKUP(D39,'March Cancel - checking results'!$C:$M,9,0)</f>
        <v>LSS</v>
      </c>
      <c r="L39" s="12">
        <f>VLOOKUP(D39,'March Cancel - checking results'!$C:$M,10,0)</f>
        <v>46381</v>
      </c>
      <c r="M39" t="str">
        <f>VLOOKUP(D39,'March Cancel - checking results'!$C:$M,11,0)</f>
        <v>Suite</v>
      </c>
      <c r="N39" t="str">
        <f>VLOOKUP(D39,'March Cancel - checking results'!$C:$Q,15,0)</f>
        <v>CDK CONVERSION - SYS GENERATED</v>
      </c>
    </row>
    <row r="40" spans="1:14">
      <c r="A40" t="s">
        <v>152</v>
      </c>
      <c r="B40" t="s">
        <v>153</v>
      </c>
      <c r="C40" t="s">
        <v>154</v>
      </c>
      <c r="D40">
        <v>76227757</v>
      </c>
      <c r="E40">
        <v>2502508</v>
      </c>
      <c r="F40" t="s">
        <v>39</v>
      </c>
      <c r="G40">
        <v>400</v>
      </c>
      <c r="H40">
        <v>200</v>
      </c>
      <c r="I40">
        <f>VLOOKUP(D40,'3.10 Cancel List'!$C:$C,1,0)</f>
        <v>76227757</v>
      </c>
      <c r="K40" t="str">
        <f>VLOOKUP(D40,'March Cancel - checking results'!$C:$M,9,0)</f>
        <v>LSS</v>
      </c>
      <c r="L40" s="12">
        <f>VLOOKUP(D40,'March Cancel - checking results'!$C:$M,10,0)</f>
        <v>45627</v>
      </c>
      <c r="M40" t="str">
        <f>VLOOKUP(D40,'March Cancel - checking results'!$C:$M,11,0)</f>
        <v>Standalone</v>
      </c>
      <c r="N40" t="str">
        <f>VLOOKUP(D40,'March Cancel - checking results'!$C:$Q,15,0)</f>
        <v>CDK CONVERSION</v>
      </c>
    </row>
    <row r="41" spans="1:14">
      <c r="A41" t="s">
        <v>155</v>
      </c>
      <c r="B41" t="s">
        <v>156</v>
      </c>
      <c r="C41" t="s">
        <v>157</v>
      </c>
      <c r="D41">
        <v>76228229</v>
      </c>
      <c r="E41">
        <v>2502240</v>
      </c>
      <c r="F41" t="s">
        <v>39</v>
      </c>
      <c r="G41">
        <v>300</v>
      </c>
      <c r="H41">
        <v>200</v>
      </c>
      <c r="I41">
        <f>VLOOKUP(D41,'3.10 Cancel List'!$C:$C,1,0)</f>
        <v>76228229</v>
      </c>
      <c r="K41">
        <f>VLOOKUP(D41,'March Cancel - checking results'!$C:$M,9,0)</f>
        <v>0</v>
      </c>
      <c r="L41" s="12">
        <f>VLOOKUP(D41,'March Cancel - checking results'!$C:$M,10,0)</f>
        <v>0</v>
      </c>
      <c r="M41">
        <f>VLOOKUP(D41,'March Cancel - checking results'!$C:$M,11,0)</f>
        <v>0</v>
      </c>
      <c r="N41" t="str">
        <f>VLOOKUP(D41,'March Cancel - checking results'!$C:$Q,15,0)</f>
        <v>SV NOT ON CONTRACT</v>
      </c>
    </row>
    <row r="42" spans="1:14">
      <c r="A42" t="s">
        <v>158</v>
      </c>
      <c r="B42" t="s">
        <v>159</v>
      </c>
      <c r="C42" t="s">
        <v>160</v>
      </c>
      <c r="D42">
        <v>76228237</v>
      </c>
      <c r="E42">
        <v>2001918</v>
      </c>
      <c r="F42" t="s">
        <v>39</v>
      </c>
      <c r="G42">
        <v>450</v>
      </c>
      <c r="H42">
        <v>200</v>
      </c>
      <c r="I42">
        <f>VLOOKUP(D42,'3.10 Cancel List'!$C:$C,1,0)</f>
        <v>76228237</v>
      </c>
      <c r="K42" t="str">
        <f>VLOOKUP(D42,'March Cancel - checking results'!$C:$M,9,0)</f>
        <v>LSS</v>
      </c>
      <c r="L42" s="12">
        <f>VLOOKUP(D42,'March Cancel - checking results'!$C:$M,10,0)</f>
        <v>45474</v>
      </c>
      <c r="M42" t="str">
        <f>VLOOKUP(D42,'March Cancel - checking results'!$C:$M,11,0)</f>
        <v>Standalone</v>
      </c>
      <c r="N42" t="str">
        <f>VLOOKUP(D42,'March Cancel - checking results'!$C:$Q,15,0)</f>
        <v>Price/Value Proposition</v>
      </c>
    </row>
    <row r="43" spans="1:14">
      <c r="A43" t="s">
        <v>161</v>
      </c>
      <c r="B43" t="s">
        <v>162</v>
      </c>
      <c r="C43" t="s">
        <v>163</v>
      </c>
      <c r="D43">
        <v>76228316</v>
      </c>
      <c r="E43">
        <v>2001986</v>
      </c>
      <c r="F43" t="s">
        <v>39</v>
      </c>
      <c r="G43">
        <v>300</v>
      </c>
      <c r="H43">
        <v>200</v>
      </c>
      <c r="I43">
        <f>VLOOKUP(D43,'3.10 Cancel List'!$C:$C,1,0)</f>
        <v>76228316</v>
      </c>
      <c r="K43" t="str">
        <f>VLOOKUP(D43,'March Cancel - checking results'!$C:$M,9,0)</f>
        <v>LSS</v>
      </c>
      <c r="L43" s="12">
        <f>VLOOKUP(D43,'March Cancel - checking results'!$C:$M,10,0)</f>
        <v>45413</v>
      </c>
      <c r="M43" t="str">
        <f>VLOOKUP(D43,'March Cancel - checking results'!$C:$M,11,0)</f>
        <v>Suite</v>
      </c>
      <c r="N43" t="str">
        <f>VLOOKUP(D43,'March Cancel - checking results'!$C:$Q,15,0)</f>
        <v>CDK CONVERSION - SYS GENERATED</v>
      </c>
    </row>
    <row r="44" spans="1:14">
      <c r="A44" t="s">
        <v>164</v>
      </c>
      <c r="B44" t="s">
        <v>165</v>
      </c>
      <c r="C44" t="s">
        <v>166</v>
      </c>
      <c r="D44">
        <v>76228629</v>
      </c>
      <c r="E44">
        <v>2001956</v>
      </c>
      <c r="F44" t="s">
        <v>39</v>
      </c>
      <c r="G44">
        <v>450</v>
      </c>
      <c r="H44">
        <v>200</v>
      </c>
      <c r="I44">
        <f>VLOOKUP(D44,'3.10 Cancel List'!$C:$C,1,0)</f>
        <v>76228629</v>
      </c>
      <c r="K44" t="str">
        <f>VLOOKUP(D44,'March Cancel - checking results'!$C:$M,9,0)</f>
        <v>LSS</v>
      </c>
      <c r="L44" s="12">
        <f>VLOOKUP(D44,'March Cancel - checking results'!$C:$M,10,0)</f>
        <v>46106</v>
      </c>
      <c r="M44" t="str">
        <f>VLOOKUP(D44,'March Cancel - checking results'!$C:$M,11,0)</f>
        <v>Suite</v>
      </c>
      <c r="N44" t="str">
        <f>VLOOKUP(D44,'March Cancel - checking results'!$C:$Q,15,0)</f>
        <v xml:space="preserve">CDK CONVERSION </v>
      </c>
    </row>
    <row r="45" spans="1:14">
      <c r="A45" t="s">
        <v>167</v>
      </c>
      <c r="B45" t="s">
        <v>168</v>
      </c>
      <c r="C45" t="s">
        <v>169</v>
      </c>
      <c r="D45">
        <v>76228727</v>
      </c>
      <c r="E45">
        <v>8054</v>
      </c>
      <c r="F45" t="s">
        <v>39</v>
      </c>
      <c r="G45">
        <v>300</v>
      </c>
      <c r="H45">
        <v>200</v>
      </c>
      <c r="I45" t="e">
        <f>VLOOKUP(D45,'3.10 Cancel List'!$C:$C,1,0)</f>
        <v>#N/A</v>
      </c>
      <c r="L45"/>
    </row>
    <row r="46" spans="1:14">
      <c r="A46" t="s">
        <v>170</v>
      </c>
      <c r="B46" t="s">
        <v>171</v>
      </c>
      <c r="C46" t="s">
        <v>172</v>
      </c>
      <c r="D46">
        <v>76229253</v>
      </c>
      <c r="E46">
        <v>2002721</v>
      </c>
      <c r="F46" t="s">
        <v>39</v>
      </c>
      <c r="G46">
        <v>300</v>
      </c>
      <c r="H46">
        <v>200</v>
      </c>
      <c r="I46">
        <f>VLOOKUP(D46,'3.10 Cancel List'!$C:$C,1,0)</f>
        <v>76229253</v>
      </c>
      <c r="K46" t="str">
        <f>VLOOKUP(D46,'March Cancel - checking results'!$C:$M,9,0)</f>
        <v>LSS</v>
      </c>
      <c r="L46" s="12">
        <f>VLOOKUP(D46,'March Cancel - checking results'!$C:$M,10,0)</f>
        <v>45778</v>
      </c>
      <c r="M46" t="str">
        <f>VLOOKUP(D46,'March Cancel - checking results'!$C:$M,11,0)</f>
        <v>Suite</v>
      </c>
      <c r="N46" t="str">
        <f>VLOOKUP(D46,'March Cancel - checking results'!$C:$Q,15,0)</f>
        <v>CDK CONVERSION - SYS GENERATED</v>
      </c>
    </row>
    <row r="47" spans="1:14">
      <c r="A47" t="s">
        <v>173</v>
      </c>
      <c r="B47" t="s">
        <v>174</v>
      </c>
      <c r="C47" t="s">
        <v>175</v>
      </c>
      <c r="D47">
        <v>76229684</v>
      </c>
      <c r="E47">
        <v>2002036</v>
      </c>
      <c r="F47" t="s">
        <v>39</v>
      </c>
      <c r="G47">
        <v>400</v>
      </c>
      <c r="H47">
        <v>200</v>
      </c>
      <c r="I47">
        <f>VLOOKUP(D47,'3.10 Cancel List'!$C:$C,1,0)</f>
        <v>76229684</v>
      </c>
      <c r="K47" t="str">
        <f>VLOOKUP(D47,'March Cancel - checking results'!$C:$M,9,0)</f>
        <v>LSS</v>
      </c>
      <c r="L47" s="12">
        <f>VLOOKUP(D47,'March Cancel - checking results'!$C:$M,10,0)</f>
        <v>45870</v>
      </c>
      <c r="M47" t="str">
        <f>VLOOKUP(D47,'March Cancel - checking results'!$C:$M,11,0)</f>
        <v>Standalone</v>
      </c>
      <c r="N47" t="str">
        <f>VLOOKUP(D47,'March Cancel - checking results'!$C:$Q,15,0)</f>
        <v>OWNERSHIP CHANGE</v>
      </c>
    </row>
    <row r="48" spans="1:14">
      <c r="A48" t="s">
        <v>176</v>
      </c>
      <c r="B48" t="s">
        <v>177</v>
      </c>
      <c r="C48" t="s">
        <v>178</v>
      </c>
      <c r="D48">
        <v>76229942</v>
      </c>
      <c r="E48">
        <v>2502402</v>
      </c>
      <c r="F48" t="s">
        <v>39</v>
      </c>
      <c r="G48">
        <v>450</v>
      </c>
      <c r="H48">
        <v>200</v>
      </c>
      <c r="I48">
        <f>VLOOKUP(D48,'3.10 Cancel List'!$C:$C,1,0)</f>
        <v>76229942</v>
      </c>
      <c r="K48" t="str">
        <f>VLOOKUP(D48,'March Cancel - checking results'!$C:$M,9,0)</f>
        <v>LSS</v>
      </c>
      <c r="L48" s="12">
        <f>VLOOKUP(D48,'March Cancel - checking results'!$C:$M,10,0)</f>
        <v>45323</v>
      </c>
      <c r="M48" t="str">
        <f>VLOOKUP(D48,'March Cancel - checking results'!$C:$M,11,0)</f>
        <v>Suite</v>
      </c>
      <c r="N48" t="str">
        <f>VLOOKUP(D48,'March Cancel - checking results'!$C:$Q,15,0)</f>
        <v>Price/Value Proposition</v>
      </c>
    </row>
    <row r="49" spans="1:14">
      <c r="A49" t="s">
        <v>179</v>
      </c>
      <c r="B49" t="s">
        <v>180</v>
      </c>
      <c r="C49" t="s">
        <v>181</v>
      </c>
      <c r="D49">
        <v>76230156</v>
      </c>
      <c r="E49">
        <v>2002068</v>
      </c>
      <c r="F49" t="s">
        <v>39</v>
      </c>
      <c r="G49">
        <v>450</v>
      </c>
      <c r="H49">
        <v>200</v>
      </c>
      <c r="I49" t="e">
        <f>VLOOKUP(D49,'3.10 Cancel List'!$C:$C,1,0)</f>
        <v>#N/A</v>
      </c>
      <c r="L49"/>
    </row>
    <row r="50" spans="1:14">
      <c r="A50" t="s">
        <v>182</v>
      </c>
      <c r="B50" t="s">
        <v>183</v>
      </c>
      <c r="C50" t="s">
        <v>184</v>
      </c>
      <c r="D50">
        <v>76230427</v>
      </c>
      <c r="E50">
        <v>9005</v>
      </c>
      <c r="F50" t="s">
        <v>39</v>
      </c>
      <c r="G50">
        <v>300</v>
      </c>
      <c r="H50">
        <v>200</v>
      </c>
      <c r="I50">
        <f>VLOOKUP(D50,'3.10 Cancel List'!$C:$C,1,0)</f>
        <v>76230427</v>
      </c>
      <c r="K50" t="str">
        <f>VLOOKUP(D50,'March Cancel - checking results'!$C:$M,9,0)</f>
        <v>LSS</v>
      </c>
      <c r="L50" s="12">
        <f>VLOOKUP(D50,'March Cancel - checking results'!$C:$M,10,0)</f>
        <v>45748</v>
      </c>
      <c r="M50" t="str">
        <f>VLOOKUP(D50,'March Cancel - checking results'!$C:$M,11,0)</f>
        <v>Suite</v>
      </c>
      <c r="N50" t="str">
        <f>VLOOKUP(D50,'March Cancel - checking results'!$C:$Q,15,0)</f>
        <v>CLEANUP</v>
      </c>
    </row>
    <row r="51" spans="1:14">
      <c r="A51" t="s">
        <v>185</v>
      </c>
      <c r="B51" t="s">
        <v>186</v>
      </c>
      <c r="C51" t="s">
        <v>187</v>
      </c>
      <c r="D51">
        <v>76231689</v>
      </c>
      <c r="E51">
        <v>2700004</v>
      </c>
      <c r="F51" t="s">
        <v>39</v>
      </c>
      <c r="G51">
        <v>300</v>
      </c>
      <c r="H51">
        <v>200</v>
      </c>
      <c r="I51" t="e">
        <f>VLOOKUP(D51,'3.10 Cancel List'!$C:$C,1,0)</f>
        <v>#N/A</v>
      </c>
      <c r="L51"/>
    </row>
    <row r="52" spans="1:14">
      <c r="A52" t="s">
        <v>188</v>
      </c>
      <c r="B52" t="s">
        <v>189</v>
      </c>
      <c r="C52" t="s">
        <v>190</v>
      </c>
      <c r="D52">
        <v>76231928</v>
      </c>
      <c r="E52">
        <v>2502571</v>
      </c>
      <c r="F52" t="s">
        <v>39</v>
      </c>
      <c r="G52">
        <v>400</v>
      </c>
      <c r="H52">
        <v>200</v>
      </c>
      <c r="I52">
        <f>VLOOKUP(D52,'3.10 Cancel List'!$C:$C,1,0)</f>
        <v>76231928</v>
      </c>
      <c r="K52" t="str">
        <f>VLOOKUP(D52,'March Cancel - checking results'!$C:$M,9,0)</f>
        <v>LSS</v>
      </c>
      <c r="L52" s="12">
        <f>VLOOKUP(D52,'March Cancel - checking results'!$C:$M,10,0)</f>
        <v>45170</v>
      </c>
      <c r="M52" t="str">
        <f>VLOOKUP(D52,'March Cancel - checking results'!$C:$M,11,0)</f>
        <v>Standalone</v>
      </c>
      <c r="N52" t="str">
        <f>VLOOKUP(D52,'March Cancel - checking results'!$C:$Q,15,0)</f>
        <v xml:space="preserve">CDK CONVERSION </v>
      </c>
    </row>
    <row r="53" spans="1:14">
      <c r="A53" t="s">
        <v>191</v>
      </c>
      <c r="B53" t="s">
        <v>192</v>
      </c>
      <c r="C53" t="s">
        <v>193</v>
      </c>
      <c r="D53">
        <v>76232064</v>
      </c>
      <c r="E53">
        <v>2502968</v>
      </c>
      <c r="F53" t="s">
        <v>39</v>
      </c>
      <c r="G53">
        <v>300</v>
      </c>
      <c r="H53">
        <v>200</v>
      </c>
      <c r="I53">
        <f>VLOOKUP(D53,'3.10 Cancel List'!$C:$C,1,0)</f>
        <v>76232064</v>
      </c>
      <c r="K53" t="str">
        <f>VLOOKUP(D53,'March Cancel - checking results'!$C:$M,9,0)</f>
        <v>LSS</v>
      </c>
      <c r="L53" s="12">
        <f>VLOOKUP(D53,'March Cancel - checking results'!$C:$M,10,0)</f>
        <v>45383</v>
      </c>
      <c r="M53" t="str">
        <f>VLOOKUP(D53,'March Cancel - checking results'!$C:$M,11,0)</f>
        <v>Suite</v>
      </c>
      <c r="N53" t="str">
        <f>VLOOKUP(D53,'March Cancel - checking results'!$C:$Q,15,0)</f>
        <v>CDK CONVERSION</v>
      </c>
    </row>
    <row r="54" spans="1:14">
      <c r="A54" t="s">
        <v>194</v>
      </c>
      <c r="B54" t="s">
        <v>195</v>
      </c>
      <c r="C54" t="s">
        <v>196</v>
      </c>
      <c r="D54">
        <v>76232553</v>
      </c>
      <c r="E54">
        <v>2502656</v>
      </c>
      <c r="F54" t="s">
        <v>39</v>
      </c>
      <c r="G54">
        <v>300</v>
      </c>
      <c r="H54">
        <v>200</v>
      </c>
      <c r="I54">
        <f>VLOOKUP(D54,'3.10 Cancel List'!$C:$C,1,0)</f>
        <v>76232553</v>
      </c>
      <c r="K54" t="str">
        <f>VLOOKUP(D54,'March Cancel - checking results'!$C:$M,9,0)</f>
        <v>ANS</v>
      </c>
      <c r="L54" s="12">
        <f>VLOOKUP(D54,'March Cancel - checking results'!$C:$M,10,0)</f>
        <v>45108</v>
      </c>
      <c r="M54" t="str">
        <f>VLOOKUP(D54,'March Cancel - checking results'!$C:$M,11,0)</f>
        <v>Suite</v>
      </c>
      <c r="N54" t="str">
        <f>VLOOKUP(D54,'March Cancel - checking results'!$C:$Q,15,0)</f>
        <v>CDKS LSS</v>
      </c>
    </row>
    <row r="55" spans="1:14">
      <c r="A55" t="s">
        <v>197</v>
      </c>
      <c r="B55" t="s">
        <v>198</v>
      </c>
      <c r="C55" t="s">
        <v>199</v>
      </c>
      <c r="D55">
        <v>76232596</v>
      </c>
      <c r="E55">
        <v>2500144</v>
      </c>
      <c r="F55" t="s">
        <v>39</v>
      </c>
      <c r="G55">
        <v>450</v>
      </c>
      <c r="H55">
        <v>200</v>
      </c>
      <c r="I55">
        <f>VLOOKUP(D55,'3.10 Cancel List'!$C:$C,1,0)</f>
        <v>76232596</v>
      </c>
      <c r="K55" t="str">
        <f>VLOOKUP(D55,'March Cancel - checking results'!$C:$M,9,0)</f>
        <v>LSS</v>
      </c>
      <c r="L55" s="12">
        <f>VLOOKUP(D55,'March Cancel - checking results'!$C:$M,10,0)</f>
        <v>45566</v>
      </c>
      <c r="M55" t="str">
        <f>VLOOKUP(D55,'March Cancel - checking results'!$C:$M,11,0)</f>
        <v>Suite</v>
      </c>
      <c r="N55" t="str">
        <f>VLOOKUP(D55,'March Cancel - checking results'!$C:$Q,15,0)</f>
        <v>Price/Value Proposition</v>
      </c>
    </row>
    <row r="56" spans="1:14">
      <c r="A56" t="s">
        <v>200</v>
      </c>
      <c r="B56" t="s">
        <v>201</v>
      </c>
      <c r="C56" t="s">
        <v>202</v>
      </c>
      <c r="D56">
        <v>76232815</v>
      </c>
      <c r="E56">
        <v>0</v>
      </c>
      <c r="F56" t="s">
        <v>39</v>
      </c>
      <c r="G56">
        <v>400</v>
      </c>
      <c r="H56">
        <v>200</v>
      </c>
      <c r="I56">
        <f>VLOOKUP(D56,'3.10 Cancel List'!$C:$C,1,0)</f>
        <v>76232815</v>
      </c>
      <c r="K56">
        <f>VLOOKUP(D56,'March Cancel - checking results'!$C:$M,9,0)</f>
        <v>0</v>
      </c>
      <c r="L56" s="12">
        <f>VLOOKUP(D56,'March Cancel - checking results'!$C:$M,10,0)</f>
        <v>0</v>
      </c>
      <c r="M56">
        <f>VLOOKUP(D56,'March Cancel - checking results'!$C:$M,11,0)</f>
        <v>0</v>
      </c>
      <c r="N56" t="str">
        <f>VLOOKUP(D56,'March Cancel - checking results'!$C:$Q,15,0)</f>
        <v>SV NOT ON CONTRACT</v>
      </c>
    </row>
    <row r="57" spans="1:14">
      <c r="A57" t="s">
        <v>203</v>
      </c>
      <c r="B57" t="s">
        <v>204</v>
      </c>
      <c r="C57" t="s">
        <v>205</v>
      </c>
      <c r="D57">
        <v>76233048</v>
      </c>
      <c r="E57">
        <v>2002132</v>
      </c>
      <c r="F57" t="s">
        <v>39</v>
      </c>
      <c r="G57">
        <v>450</v>
      </c>
      <c r="H57">
        <v>200</v>
      </c>
      <c r="I57">
        <f>VLOOKUP(D57,'3.10 Cancel List'!$C:$C,1,0)</f>
        <v>76233048</v>
      </c>
      <c r="K57" t="str">
        <f>VLOOKUP(D57,'March Cancel - checking results'!$C:$M,9,0)</f>
        <v>LSS</v>
      </c>
      <c r="L57" s="12">
        <f>VLOOKUP(D57,'March Cancel - checking results'!$C:$M,10,0)</f>
        <v>45839</v>
      </c>
      <c r="M57" t="str">
        <f>VLOOKUP(D57,'March Cancel - checking results'!$C:$M,11,0)</f>
        <v>Suite</v>
      </c>
      <c r="N57" t="str">
        <f>VLOOKUP(D57,'March Cancel - checking results'!$C:$Q,15,0)</f>
        <v xml:space="preserve">cdk conversion </v>
      </c>
    </row>
    <row r="58" spans="1:14">
      <c r="A58" t="s">
        <v>206</v>
      </c>
      <c r="B58" t="s">
        <v>207</v>
      </c>
      <c r="C58" t="s">
        <v>208</v>
      </c>
      <c r="D58">
        <v>76233242</v>
      </c>
      <c r="E58">
        <v>0</v>
      </c>
      <c r="F58" t="s">
        <v>39</v>
      </c>
      <c r="G58">
        <v>400</v>
      </c>
      <c r="H58">
        <v>200</v>
      </c>
      <c r="I58">
        <f>VLOOKUP(D58,'3.10 Cancel List'!$C:$C,1,0)</f>
        <v>76233242</v>
      </c>
      <c r="K58" t="str">
        <f>VLOOKUP(D58,'March Cancel - checking results'!$C:$M,9,0)</f>
        <v>LSS</v>
      </c>
      <c r="L58" s="12">
        <f>VLOOKUP(D58,'March Cancel - checking results'!$C:$M,10,0)</f>
        <v>45261</v>
      </c>
      <c r="M58" t="str">
        <f>VLOOKUP(D58,'March Cancel - checking results'!$C:$M,11,0)</f>
        <v>Standalone</v>
      </c>
      <c r="N58" t="str">
        <f>VLOOKUP(D58,'March Cancel - checking results'!$C:$Q,15,0)</f>
        <v>Low or No Utilization</v>
      </c>
    </row>
    <row r="59" spans="1:14">
      <c r="A59" t="s">
        <v>209</v>
      </c>
      <c r="B59" t="s">
        <v>210</v>
      </c>
      <c r="C59" t="s">
        <v>211</v>
      </c>
      <c r="D59">
        <v>76234206</v>
      </c>
      <c r="E59">
        <v>2003022</v>
      </c>
      <c r="F59" t="s">
        <v>39</v>
      </c>
      <c r="G59">
        <v>300</v>
      </c>
      <c r="H59">
        <v>200</v>
      </c>
      <c r="I59">
        <f>VLOOKUP(D59,'3.10 Cancel List'!$C:$C,1,0)</f>
        <v>76234206</v>
      </c>
      <c r="K59" t="str">
        <f>VLOOKUP(D59,'March Cancel - checking results'!$C:$M,9,0)</f>
        <v>ANS</v>
      </c>
      <c r="L59" s="12">
        <f>VLOOKUP(D59,'March Cancel - checking results'!$C:$M,10,0)</f>
        <v>45352</v>
      </c>
      <c r="M59" t="str">
        <f>VLOOKUP(D59,'March Cancel - checking results'!$C:$M,11,0)</f>
        <v>Suite</v>
      </c>
      <c r="N59" t="str">
        <f>VLOOKUP(D59,'March Cancel - checking results'!$C:$Q,15,0)</f>
        <v>suite ANS</v>
      </c>
    </row>
    <row r="60" spans="1:14">
      <c r="A60" t="s">
        <v>212</v>
      </c>
      <c r="B60" t="s">
        <v>213</v>
      </c>
      <c r="C60" t="s">
        <v>214</v>
      </c>
      <c r="D60">
        <v>76234275</v>
      </c>
      <c r="E60">
        <v>0</v>
      </c>
      <c r="F60" t="s">
        <v>39</v>
      </c>
      <c r="G60">
        <v>400</v>
      </c>
      <c r="H60">
        <v>200</v>
      </c>
      <c r="I60">
        <f>VLOOKUP(D60,'3.10 Cancel List'!$C:$C,1,0)</f>
        <v>76234275</v>
      </c>
      <c r="K60" t="str">
        <f>VLOOKUP(D60,'March Cancel - checking results'!$C:$M,9,0)</f>
        <v>LSS</v>
      </c>
      <c r="L60" s="12">
        <f>VLOOKUP(D60,'March Cancel - checking results'!$C:$M,10,0)</f>
        <v>45323</v>
      </c>
      <c r="M60" t="str">
        <f>VLOOKUP(D60,'March Cancel - checking results'!$C:$M,11,0)</f>
        <v>Standalone</v>
      </c>
      <c r="N60" t="str">
        <f>VLOOKUP(D60,'March Cancel - checking results'!$C:$Q,15,0)</f>
        <v>Low or No Utilization</v>
      </c>
    </row>
    <row r="61" spans="1:14">
      <c r="A61" t="s">
        <v>215</v>
      </c>
      <c r="B61" t="s">
        <v>216</v>
      </c>
      <c r="C61" t="s">
        <v>217</v>
      </c>
      <c r="D61">
        <v>76235514</v>
      </c>
      <c r="E61">
        <v>2503145</v>
      </c>
      <c r="F61" t="s">
        <v>39</v>
      </c>
      <c r="G61">
        <v>300</v>
      </c>
      <c r="H61">
        <v>200</v>
      </c>
      <c r="I61">
        <f>VLOOKUP(D61,'3.10 Cancel List'!$C:$C,1,0)</f>
        <v>76235514</v>
      </c>
      <c r="K61">
        <f>VLOOKUP(D61,'March Cancel - checking results'!$C:$M,9,0)</f>
        <v>0</v>
      </c>
      <c r="L61" s="12">
        <f>VLOOKUP(D61,'March Cancel - checking results'!$C:$M,10,0)</f>
        <v>0</v>
      </c>
      <c r="M61">
        <f>VLOOKUP(D61,'March Cancel - checking results'!$C:$M,11,0)</f>
        <v>0</v>
      </c>
      <c r="N61" t="str">
        <f>VLOOKUP(D61,'March Cancel - checking results'!$C:$Q,15,0)</f>
        <v>SV NOT ON CONTRACT</v>
      </c>
    </row>
    <row r="62" spans="1:14">
      <c r="A62" t="s">
        <v>218</v>
      </c>
      <c r="B62" t="s">
        <v>219</v>
      </c>
      <c r="C62" t="s">
        <v>220</v>
      </c>
      <c r="D62">
        <v>76236622</v>
      </c>
      <c r="E62">
        <v>2503117</v>
      </c>
      <c r="F62" t="s">
        <v>39</v>
      </c>
      <c r="G62">
        <v>300</v>
      </c>
      <c r="H62">
        <v>200</v>
      </c>
      <c r="I62">
        <f>VLOOKUP(D62,'3.10 Cancel List'!$C:$C,1,0)</f>
        <v>76236622</v>
      </c>
      <c r="K62" t="str">
        <f>VLOOKUP(D62,'March Cancel - checking results'!$C:$M,9,0)</f>
        <v>LSS</v>
      </c>
      <c r="L62" s="12">
        <f>VLOOKUP(D62,'March Cancel - checking results'!$C:$M,10,0)</f>
        <v>45444</v>
      </c>
      <c r="M62" t="str">
        <f>VLOOKUP(D62,'March Cancel - checking results'!$C:$M,11,0)</f>
        <v>Suite</v>
      </c>
      <c r="N62" t="str">
        <f>VLOOKUP(D62,'March Cancel - checking results'!$C:$Q,15,0)</f>
        <v>Low or No Utilization</v>
      </c>
    </row>
    <row r="63" spans="1:14">
      <c r="A63" t="s">
        <v>221</v>
      </c>
      <c r="B63" t="s">
        <v>222</v>
      </c>
      <c r="C63" t="s">
        <v>223</v>
      </c>
      <c r="D63">
        <v>76237142</v>
      </c>
      <c r="E63">
        <v>2002655</v>
      </c>
      <c r="F63" t="s">
        <v>39</v>
      </c>
      <c r="G63">
        <v>300</v>
      </c>
      <c r="H63">
        <v>200</v>
      </c>
      <c r="I63">
        <f>VLOOKUP(D63,'3.10 Cancel List'!$C:$C,1,0)</f>
        <v>76237142</v>
      </c>
      <c r="K63" t="str">
        <f>VLOOKUP(D63,'March Cancel - checking results'!$C:$M,9,0)</f>
        <v>LSS</v>
      </c>
      <c r="L63" s="12">
        <f>VLOOKUP(D63,'March Cancel - checking results'!$C:$M,10,0)</f>
        <v>45778</v>
      </c>
      <c r="M63" t="str">
        <f>VLOOKUP(D63,'March Cancel - checking results'!$C:$M,11,0)</f>
        <v>Suite</v>
      </c>
      <c r="N63" t="str">
        <f>VLOOKUP(D63,'March Cancel - checking results'!$C:$Q,15,0)</f>
        <v>Dealership Operation Changes</v>
      </c>
    </row>
    <row r="64" spans="1:14">
      <c r="A64" t="s">
        <v>224</v>
      </c>
      <c r="B64" t="s">
        <v>225</v>
      </c>
      <c r="C64" t="s">
        <v>226</v>
      </c>
      <c r="D64">
        <v>76237167</v>
      </c>
      <c r="E64">
        <v>2002821</v>
      </c>
      <c r="F64" t="s">
        <v>39</v>
      </c>
      <c r="G64">
        <v>300</v>
      </c>
      <c r="H64">
        <v>200</v>
      </c>
      <c r="I64">
        <f>VLOOKUP(D64,'3.10 Cancel List'!$C:$C,1,0)</f>
        <v>76237167</v>
      </c>
      <c r="K64" t="str">
        <f>VLOOKUP(D64,'March Cancel - checking results'!$C:$M,9,0)</f>
        <v>LSS</v>
      </c>
      <c r="L64" s="12">
        <f>VLOOKUP(D64,'March Cancel - checking results'!$C:$M,10,0)</f>
        <v>45748</v>
      </c>
      <c r="M64" t="str">
        <f>VLOOKUP(D64,'March Cancel - checking results'!$C:$M,11,0)</f>
        <v>Suite</v>
      </c>
      <c r="N64" t="str">
        <f>VLOOKUP(D64,'March Cancel - checking results'!$C:$Q,15,0)</f>
        <v xml:space="preserve">Cleanup </v>
      </c>
    </row>
    <row r="65" spans="1:14">
      <c r="A65" t="s">
        <v>227</v>
      </c>
      <c r="B65" t="s">
        <v>228</v>
      </c>
      <c r="C65" t="s">
        <v>229</v>
      </c>
      <c r="D65">
        <v>76237170</v>
      </c>
      <c r="E65">
        <v>2000380</v>
      </c>
      <c r="F65" t="s">
        <v>39</v>
      </c>
      <c r="G65">
        <v>300</v>
      </c>
      <c r="H65">
        <v>200</v>
      </c>
      <c r="I65">
        <f>VLOOKUP(D65,'3.10 Cancel List'!$C:$C,1,0)</f>
        <v>76237170</v>
      </c>
      <c r="K65" t="str">
        <f>VLOOKUP(D65,'March Cancel - checking results'!$C:$M,9,0)</f>
        <v>LSS</v>
      </c>
      <c r="L65" s="12">
        <f>VLOOKUP(D65,'March Cancel - checking results'!$C:$M,10,0)</f>
        <v>45778</v>
      </c>
      <c r="M65" t="str">
        <f>VLOOKUP(D65,'March Cancel - checking results'!$C:$M,11,0)</f>
        <v>Suite</v>
      </c>
      <c r="N65" t="str">
        <f>VLOOKUP(D65,'March Cancel - checking results'!$C:$Q,15,0)</f>
        <v>Dealership Operation Changes</v>
      </c>
    </row>
    <row r="66" spans="1:14">
      <c r="A66" t="s">
        <v>230</v>
      </c>
      <c r="B66" t="s">
        <v>231</v>
      </c>
      <c r="C66" t="s">
        <v>232</v>
      </c>
      <c r="D66">
        <v>76238669</v>
      </c>
      <c r="E66">
        <v>2503205</v>
      </c>
      <c r="F66" t="s">
        <v>39</v>
      </c>
      <c r="G66">
        <v>300</v>
      </c>
      <c r="H66">
        <v>200</v>
      </c>
      <c r="I66">
        <f>VLOOKUP(D66,'3.10 Cancel List'!$C:$C,1,0)</f>
        <v>76238669</v>
      </c>
      <c r="K66">
        <f>VLOOKUP(D66,'March Cancel - checking results'!$C:$M,9,0)</f>
        <v>0</v>
      </c>
      <c r="L66" s="12">
        <f>VLOOKUP(D66,'March Cancel - checking results'!$C:$M,10,0)</f>
        <v>0</v>
      </c>
      <c r="M66">
        <f>VLOOKUP(D66,'March Cancel - checking results'!$C:$M,11,0)</f>
        <v>0</v>
      </c>
      <c r="N66" t="str">
        <f>VLOOKUP(D66,'March Cancel - checking results'!$C:$Q,15,0)</f>
        <v>SV NOT ON CONTRACT</v>
      </c>
    </row>
    <row r="67" spans="1:14">
      <c r="A67" t="s">
        <v>233</v>
      </c>
      <c r="B67" t="s">
        <v>234</v>
      </c>
      <c r="C67" t="s">
        <v>235</v>
      </c>
      <c r="D67">
        <v>76238760</v>
      </c>
      <c r="E67">
        <v>11073</v>
      </c>
      <c r="F67" t="s">
        <v>39</v>
      </c>
      <c r="G67">
        <v>300</v>
      </c>
      <c r="H67">
        <v>200</v>
      </c>
      <c r="I67">
        <f>VLOOKUP(D67,'3.10 Cancel List'!$C:$C,1,0)</f>
        <v>76238760</v>
      </c>
      <c r="K67" t="str">
        <f>VLOOKUP(D67,'March Cancel - checking results'!$C:$M,9,0)</f>
        <v>LSS</v>
      </c>
      <c r="L67" s="12">
        <f>VLOOKUP(D67,'March Cancel - checking results'!$C:$M,10,0)</f>
        <v>45505</v>
      </c>
      <c r="M67" t="str">
        <f>VLOOKUP(D67,'March Cancel - checking results'!$C:$M,11,0)</f>
        <v>Suite</v>
      </c>
      <c r="N67" t="str">
        <f>VLOOKUP(D67,'March Cancel - checking results'!$C:$Q,15,0)</f>
        <v>CDK CONVERSION - SYS GENERATED</v>
      </c>
    </row>
    <row r="68" spans="1:14">
      <c r="A68" t="s">
        <v>236</v>
      </c>
      <c r="B68" t="s">
        <v>237</v>
      </c>
      <c r="C68" t="s">
        <v>238</v>
      </c>
      <c r="D68">
        <v>76240142</v>
      </c>
      <c r="E68">
        <v>2000770</v>
      </c>
      <c r="F68" t="s">
        <v>39</v>
      </c>
      <c r="G68">
        <v>300</v>
      </c>
      <c r="H68">
        <v>200</v>
      </c>
      <c r="I68" t="e">
        <f>VLOOKUP(D68,'3.10 Cancel List'!$C:$C,1,0)</f>
        <v>#N/A</v>
      </c>
      <c r="L68"/>
    </row>
    <row r="69" spans="1:14">
      <c r="A69" t="s">
        <v>239</v>
      </c>
      <c r="B69" t="s">
        <v>240</v>
      </c>
      <c r="C69" t="s">
        <v>241</v>
      </c>
      <c r="D69">
        <v>76240429</v>
      </c>
      <c r="E69">
        <v>2002703</v>
      </c>
      <c r="F69" t="s">
        <v>39</v>
      </c>
      <c r="G69">
        <v>300</v>
      </c>
      <c r="H69">
        <v>200</v>
      </c>
      <c r="I69">
        <f>VLOOKUP(D69,'3.10 Cancel List'!$C:$C,1,0)</f>
        <v>76240429</v>
      </c>
      <c r="K69" t="str">
        <f>VLOOKUP(D69,'March Cancel - checking results'!$C:$M,9,0)</f>
        <v>ANS</v>
      </c>
      <c r="L69" s="12">
        <f>VLOOKUP(D69,'March Cancel - checking results'!$C:$M,10,0)</f>
        <v>45139</v>
      </c>
      <c r="M69" t="str">
        <f>VLOOKUP(D69,'March Cancel - checking results'!$C:$M,11,0)</f>
        <v>Standalone</v>
      </c>
      <c r="N69" t="str">
        <f>VLOOKUP(D69,'March Cancel - checking results'!$C:$Q,15,0)</f>
        <v>ENTIRE ANS</v>
      </c>
    </row>
    <row r="70" spans="1:14">
      <c r="A70" t="s">
        <v>242</v>
      </c>
      <c r="B70" t="s">
        <v>243</v>
      </c>
      <c r="C70" t="s">
        <v>244</v>
      </c>
      <c r="D70">
        <v>76241005</v>
      </c>
      <c r="E70">
        <v>2002833</v>
      </c>
      <c r="F70" t="s">
        <v>39</v>
      </c>
      <c r="G70">
        <v>300</v>
      </c>
      <c r="H70">
        <v>200</v>
      </c>
      <c r="I70">
        <f>VLOOKUP(D70,'3.10 Cancel List'!$C:$C,1,0)</f>
        <v>76241005</v>
      </c>
      <c r="K70" t="str">
        <f>VLOOKUP(D70,'March Cancel - checking results'!$C:$M,9,0)</f>
        <v>LSS</v>
      </c>
      <c r="L70" s="12">
        <f>VLOOKUP(D70,'March Cancel - checking results'!$C:$M,10,0)</f>
        <v>45870</v>
      </c>
      <c r="M70" t="str">
        <f>VLOOKUP(D70,'March Cancel - checking results'!$C:$M,11,0)</f>
        <v>Suite</v>
      </c>
      <c r="N70" t="str">
        <f>VLOOKUP(D70,'March Cancel - checking results'!$C:$Q,15,0)</f>
        <v>Price/Value Proposition</v>
      </c>
    </row>
    <row r="71" spans="1:14">
      <c r="A71" t="s">
        <v>245</v>
      </c>
      <c r="B71" t="s">
        <v>246</v>
      </c>
      <c r="C71" t="s">
        <v>247</v>
      </c>
      <c r="D71">
        <v>76241171</v>
      </c>
      <c r="E71">
        <v>2002774</v>
      </c>
      <c r="F71" t="s">
        <v>39</v>
      </c>
      <c r="G71">
        <v>300</v>
      </c>
      <c r="H71">
        <v>200</v>
      </c>
      <c r="I71">
        <f>VLOOKUP(D71,'3.10 Cancel List'!$C:$C,1,0)</f>
        <v>76241171</v>
      </c>
      <c r="K71" t="str">
        <f>VLOOKUP(D71,'March Cancel - checking results'!$C:$M,9,0)</f>
        <v>LSS</v>
      </c>
      <c r="L71" s="12">
        <f>VLOOKUP(D71,'March Cancel - checking results'!$C:$M,10,0)</f>
        <v>45962</v>
      </c>
      <c r="M71" t="str">
        <f>VLOOKUP(D71,'March Cancel - checking results'!$C:$M,11,0)</f>
        <v>Standalone</v>
      </c>
      <c r="N71" t="str">
        <f>VLOOKUP(D71,'March Cancel - checking results'!$C:$Q,15,0)</f>
        <v>Price/Value Proposition</v>
      </c>
    </row>
    <row r="72" spans="1:14">
      <c r="A72" t="s">
        <v>248</v>
      </c>
      <c r="B72" t="s">
        <v>249</v>
      </c>
      <c r="C72" t="s">
        <v>250</v>
      </c>
      <c r="D72">
        <v>76241172</v>
      </c>
      <c r="E72">
        <v>2002773</v>
      </c>
      <c r="F72" t="s">
        <v>39</v>
      </c>
      <c r="G72">
        <v>400</v>
      </c>
      <c r="H72">
        <v>200</v>
      </c>
      <c r="I72">
        <f>VLOOKUP(D72,'3.10 Cancel List'!$C:$C,1,0)</f>
        <v>76241172</v>
      </c>
      <c r="K72" t="str">
        <f>VLOOKUP(D72,'March Cancel - checking results'!$C:$M,9,0)</f>
        <v>LSS</v>
      </c>
      <c r="L72" s="12">
        <f>VLOOKUP(D72,'March Cancel - checking results'!$C:$M,10,0)</f>
        <v>45962</v>
      </c>
      <c r="M72" t="str">
        <f>VLOOKUP(D72,'March Cancel - checking results'!$C:$M,11,0)</f>
        <v>Standalone</v>
      </c>
      <c r="N72" t="str">
        <f>VLOOKUP(D72,'March Cancel - checking results'!$C:$Q,15,0)</f>
        <v>Price/Value Proposition</v>
      </c>
    </row>
    <row r="73" spans="1:14">
      <c r="A73" t="s">
        <v>251</v>
      </c>
      <c r="B73" t="s">
        <v>252</v>
      </c>
      <c r="C73" t="s">
        <v>253</v>
      </c>
      <c r="D73">
        <v>76241447</v>
      </c>
      <c r="E73">
        <v>2002789</v>
      </c>
      <c r="F73" t="s">
        <v>39</v>
      </c>
      <c r="G73">
        <v>300</v>
      </c>
      <c r="H73">
        <v>200</v>
      </c>
      <c r="I73">
        <f>VLOOKUP(D73,'3.10 Cancel List'!$C:$C,1,0)</f>
        <v>76241447</v>
      </c>
      <c r="K73" t="str">
        <f>VLOOKUP(D73,'March Cancel - checking results'!$C:$M,9,0)</f>
        <v>LSS</v>
      </c>
      <c r="L73" s="12">
        <f>VLOOKUP(D73,'March Cancel - checking results'!$C:$M,10,0)</f>
        <v>45717</v>
      </c>
      <c r="M73" t="str">
        <f>VLOOKUP(D73,'March Cancel - checking results'!$C:$M,11,0)</f>
        <v>Suite</v>
      </c>
      <c r="N73" t="str">
        <f>VLOOKUP(D73,'March Cancel - checking results'!$C:$Q,15,0)</f>
        <v xml:space="preserve">CDK CONVERSION  </v>
      </c>
    </row>
    <row r="74" spans="1:14">
      <c r="A74" t="s">
        <v>254</v>
      </c>
      <c r="B74" t="s">
        <v>255</v>
      </c>
      <c r="C74" t="s">
        <v>256</v>
      </c>
      <c r="D74">
        <v>76241522</v>
      </c>
      <c r="E74">
        <v>2002804</v>
      </c>
      <c r="F74" t="s">
        <v>39</v>
      </c>
      <c r="G74">
        <v>300</v>
      </c>
      <c r="H74">
        <v>200</v>
      </c>
      <c r="I74">
        <f>VLOOKUP(D74,'3.10 Cancel List'!$C:$C,1,0)</f>
        <v>76241522</v>
      </c>
      <c r="K74" t="str">
        <f>VLOOKUP(D74,'March Cancel - checking results'!$C:$M,9,0)</f>
        <v>LSS</v>
      </c>
      <c r="L74" s="12">
        <f>VLOOKUP(D74,'March Cancel - checking results'!$C:$M,10,0)</f>
        <v>46023</v>
      </c>
      <c r="M74" t="str">
        <f>VLOOKUP(D74,'March Cancel - checking results'!$C:$M,11,0)</f>
        <v>Standalone</v>
      </c>
      <c r="N74" t="str">
        <f>VLOOKUP(D74,'March Cancel - checking results'!$C:$Q,15,0)</f>
        <v>CDK CONVERSION - SYS GENERATED</v>
      </c>
    </row>
    <row r="75" spans="1:14">
      <c r="A75" t="s">
        <v>257</v>
      </c>
      <c r="B75" t="s">
        <v>258</v>
      </c>
      <c r="C75" t="s">
        <v>259</v>
      </c>
      <c r="D75">
        <v>76243293</v>
      </c>
      <c r="E75">
        <v>2503344</v>
      </c>
      <c r="F75" t="s">
        <v>39</v>
      </c>
      <c r="G75">
        <v>300</v>
      </c>
      <c r="H75">
        <v>200</v>
      </c>
      <c r="I75">
        <f>VLOOKUP(D75,'3.10 Cancel List'!$C:$C,1,0)</f>
        <v>76243293</v>
      </c>
      <c r="K75" t="str">
        <f>VLOOKUP(D75,'March Cancel - checking results'!$C:$M,9,0)</f>
        <v>ANS</v>
      </c>
      <c r="L75" s="12">
        <f>VLOOKUP(D75,'March Cancel - checking results'!$C:$M,10,0)</f>
        <v>45509</v>
      </c>
      <c r="M75" t="str">
        <f>VLOOKUP(D75,'March Cancel - checking results'!$C:$M,11,0)</f>
        <v>Suite</v>
      </c>
      <c r="N75">
        <f>VLOOKUP(D75,'March Cancel - checking results'!$C:$Q,15,0)</f>
        <v>0</v>
      </c>
    </row>
    <row r="76" spans="1:14">
      <c r="A76" t="s">
        <v>260</v>
      </c>
      <c r="B76" t="s">
        <v>261</v>
      </c>
      <c r="C76" t="s">
        <v>262</v>
      </c>
      <c r="D76">
        <v>76244521</v>
      </c>
      <c r="E76">
        <v>2003072</v>
      </c>
      <c r="F76" t="s">
        <v>39</v>
      </c>
      <c r="G76">
        <v>300</v>
      </c>
      <c r="H76">
        <v>200</v>
      </c>
      <c r="I76">
        <f>VLOOKUP(D76,'3.10 Cancel List'!$C:$C,1,0)</f>
        <v>76244521</v>
      </c>
      <c r="K76">
        <f>VLOOKUP(D76,'March Cancel - checking results'!$C:$M,9,0)</f>
        <v>0</v>
      </c>
      <c r="L76" s="12">
        <f>VLOOKUP(D76,'March Cancel - checking results'!$C:$M,10,0)</f>
        <v>0</v>
      </c>
      <c r="M76">
        <f>VLOOKUP(D76,'March Cancel - checking results'!$C:$M,11,0)</f>
        <v>0</v>
      </c>
      <c r="N76" t="str">
        <f>VLOOKUP(D76,'March Cancel - checking results'!$C:$Q,15,0)</f>
        <v>SV NOT ON CONTRACT</v>
      </c>
    </row>
    <row r="77" spans="1:14">
      <c r="A77" t="s">
        <v>263</v>
      </c>
      <c r="B77" t="s">
        <v>264</v>
      </c>
      <c r="C77" t="s">
        <v>265</v>
      </c>
      <c r="D77">
        <v>76244781</v>
      </c>
      <c r="E77">
        <v>2502176</v>
      </c>
      <c r="F77" t="s">
        <v>39</v>
      </c>
      <c r="G77">
        <v>400</v>
      </c>
      <c r="H77">
        <v>200</v>
      </c>
      <c r="I77">
        <f>VLOOKUP(D77,'3.10 Cancel List'!$C:$C,1,0)</f>
        <v>76244781</v>
      </c>
      <c r="K77" t="str">
        <f>VLOOKUP(D77,'March Cancel - checking results'!$C:$M,9,0)</f>
        <v>LSS</v>
      </c>
      <c r="L77" s="12">
        <f>VLOOKUP(D77,'March Cancel - checking results'!$C:$M,10,0)</f>
        <v>45385</v>
      </c>
      <c r="M77" t="str">
        <f>VLOOKUP(D77,'March Cancel - checking results'!$C:$M,11,0)</f>
        <v>Standalone</v>
      </c>
      <c r="N77" t="str">
        <f>VLOOKUP(D77,'March Cancel - checking results'!$C:$Q,15,0)</f>
        <v>Price/Value Proposition</v>
      </c>
    </row>
    <row r="78" spans="1:14">
      <c r="A78" t="s">
        <v>266</v>
      </c>
      <c r="B78" t="s">
        <v>267</v>
      </c>
      <c r="C78" t="s">
        <v>268</v>
      </c>
      <c r="D78">
        <v>76245003</v>
      </c>
      <c r="E78">
        <v>2002906</v>
      </c>
      <c r="F78" t="s">
        <v>39</v>
      </c>
      <c r="G78">
        <v>300</v>
      </c>
      <c r="H78">
        <v>200</v>
      </c>
      <c r="I78">
        <f>VLOOKUP(D78,'3.10 Cancel List'!$C:$C,1,0)</f>
        <v>76245003</v>
      </c>
      <c r="K78" t="str">
        <f>VLOOKUP(D78,'March Cancel - checking results'!$C:$M,9,0)</f>
        <v>LSS</v>
      </c>
      <c r="L78" s="12">
        <f>VLOOKUP(D78,'March Cancel - checking results'!$C:$M,10,0)</f>
        <v>45839</v>
      </c>
      <c r="M78" t="str">
        <f>VLOOKUP(D78,'March Cancel - checking results'!$C:$M,11,0)</f>
        <v>Suite</v>
      </c>
      <c r="N78" t="str">
        <f>VLOOKUP(D78,'March Cancel - checking results'!$C:$Q,15,0)</f>
        <v>CDK conversion</v>
      </c>
    </row>
    <row r="79" spans="1:14">
      <c r="A79" t="s">
        <v>269</v>
      </c>
      <c r="B79" t="s">
        <v>270</v>
      </c>
      <c r="C79" t="s">
        <v>271</v>
      </c>
      <c r="D79">
        <v>76245016</v>
      </c>
      <c r="E79">
        <v>2002905</v>
      </c>
      <c r="F79" t="s">
        <v>39</v>
      </c>
      <c r="G79">
        <v>300</v>
      </c>
      <c r="H79">
        <v>200</v>
      </c>
      <c r="I79">
        <f>VLOOKUP(D79,'3.10 Cancel List'!$C:$C,1,0)</f>
        <v>76245016</v>
      </c>
      <c r="K79" t="str">
        <f>VLOOKUP(D79,'March Cancel - checking results'!$C:$M,9,0)</f>
        <v>ANS</v>
      </c>
      <c r="L79" s="12">
        <f>VLOOKUP(D79,'March Cancel - checking results'!$C:$M,10,0)</f>
        <v>45323</v>
      </c>
      <c r="M79" t="str">
        <f>VLOOKUP(D79,'March Cancel - checking results'!$C:$M,11,0)</f>
        <v>Suite</v>
      </c>
      <c r="N79">
        <f>VLOOKUP(D79,'March Cancel - checking results'!$C:$Q,15,0)</f>
        <v>0</v>
      </c>
    </row>
    <row r="80" spans="1:14">
      <c r="A80" t="s">
        <v>272</v>
      </c>
      <c r="B80" t="s">
        <v>273</v>
      </c>
      <c r="C80" t="s">
        <v>274</v>
      </c>
      <c r="D80">
        <v>76245040</v>
      </c>
      <c r="E80">
        <v>2503548</v>
      </c>
      <c r="F80" t="s">
        <v>39</v>
      </c>
      <c r="G80">
        <v>300</v>
      </c>
      <c r="H80">
        <v>200</v>
      </c>
      <c r="I80" t="e">
        <f>VLOOKUP(D80,'3.10 Cancel List'!$C:$C,1,0)</f>
        <v>#N/A</v>
      </c>
      <c r="L80"/>
    </row>
    <row r="81" spans="1:14">
      <c r="A81" t="s">
        <v>275</v>
      </c>
      <c r="B81" t="s">
        <v>276</v>
      </c>
      <c r="C81" t="s">
        <v>277</v>
      </c>
      <c r="D81">
        <v>76246888</v>
      </c>
      <c r="E81">
        <v>2503531</v>
      </c>
      <c r="F81" t="s">
        <v>39</v>
      </c>
      <c r="G81">
        <v>300</v>
      </c>
      <c r="H81">
        <v>200</v>
      </c>
      <c r="I81">
        <f>VLOOKUP(D81,'3.10 Cancel List'!$C:$C,1,0)</f>
        <v>76246888</v>
      </c>
      <c r="K81">
        <f>VLOOKUP(D81,'March Cancel - checking results'!$C:$M,9,0)</f>
        <v>0</v>
      </c>
      <c r="L81" s="12">
        <f>VLOOKUP(D81,'March Cancel - checking results'!$C:$M,10,0)</f>
        <v>0</v>
      </c>
      <c r="M81">
        <f>VLOOKUP(D81,'March Cancel - checking results'!$C:$M,11,0)</f>
        <v>0</v>
      </c>
      <c r="N81" t="str">
        <f>VLOOKUP(D81,'March Cancel - checking results'!$C:$Q,15,0)</f>
        <v>SV NOT ON CONTRACT</v>
      </c>
    </row>
    <row r="82" spans="1:14">
      <c r="A82" t="s">
        <v>278</v>
      </c>
      <c r="B82" t="s">
        <v>279</v>
      </c>
      <c r="C82" t="s">
        <v>280</v>
      </c>
      <c r="D82">
        <v>76250378</v>
      </c>
      <c r="E82">
        <v>2503449</v>
      </c>
      <c r="F82" t="s">
        <v>39</v>
      </c>
      <c r="G82">
        <v>300</v>
      </c>
      <c r="H82">
        <v>200</v>
      </c>
      <c r="I82">
        <f>VLOOKUP(D82,'3.10 Cancel List'!$C:$C,1,0)</f>
        <v>76250378</v>
      </c>
      <c r="K82" t="str">
        <f>VLOOKUP(D82,'March Cancel - checking results'!$C:$M,9,0)</f>
        <v>LSS</v>
      </c>
      <c r="L82" s="12">
        <f>VLOOKUP(D82,'March Cancel - checking results'!$C:$M,10,0)</f>
        <v>45719</v>
      </c>
      <c r="M82" t="str">
        <f>VLOOKUP(D82,'March Cancel - checking results'!$C:$M,11,0)</f>
        <v>Suite</v>
      </c>
      <c r="N82" t="str">
        <f>VLOOKUP(D82,'March Cancel - checking results'!$C:$Q,15,0)</f>
        <v xml:space="preserve">CDK conversion </v>
      </c>
    </row>
    <row r="83" spans="1:14">
      <c r="A83" t="s">
        <v>281</v>
      </c>
      <c r="B83" t="s">
        <v>282</v>
      </c>
      <c r="C83" t="s">
        <v>283</v>
      </c>
      <c r="D83">
        <v>76252046</v>
      </c>
      <c r="E83">
        <v>2503503</v>
      </c>
      <c r="F83" t="s">
        <v>39</v>
      </c>
      <c r="G83">
        <v>300</v>
      </c>
      <c r="H83">
        <v>200</v>
      </c>
      <c r="I83">
        <f>VLOOKUP(D83,'3.10 Cancel List'!$C:$C,1,0)</f>
        <v>76252046</v>
      </c>
      <c r="K83" t="str">
        <f>VLOOKUP(D83,'March Cancel - checking results'!$C:$M,9,0)</f>
        <v>LSS</v>
      </c>
      <c r="L83" s="12">
        <f>VLOOKUP(D83,'March Cancel - checking results'!$C:$M,10,0)</f>
        <v>45712</v>
      </c>
      <c r="M83" t="str">
        <f>VLOOKUP(D83,'March Cancel - checking results'!$C:$M,11,0)</f>
        <v>Suite</v>
      </c>
      <c r="N83" t="str">
        <f>VLOOKUP(D83,'March Cancel - checking results'!$C:$Q,15,0)</f>
        <v xml:space="preserve">REASON UNKOWN </v>
      </c>
    </row>
    <row r="84" spans="1:14">
      <c r="A84" t="s">
        <v>284</v>
      </c>
      <c r="B84" t="s">
        <v>285</v>
      </c>
      <c r="C84" t="s">
        <v>286</v>
      </c>
      <c r="D84">
        <v>76253766</v>
      </c>
      <c r="E84">
        <v>2503580</v>
      </c>
      <c r="F84" t="s">
        <v>39</v>
      </c>
      <c r="G84">
        <v>300</v>
      </c>
      <c r="H84">
        <v>200</v>
      </c>
      <c r="I84">
        <f>VLOOKUP(D84,'3.10 Cancel List'!$C:$C,1,0)</f>
        <v>76253766</v>
      </c>
      <c r="K84" t="str">
        <f>VLOOKUP(D84,'March Cancel - checking results'!$C:$M,9,0)</f>
        <v>ANS</v>
      </c>
      <c r="L84" s="12">
        <f>VLOOKUP(D84,'March Cancel - checking results'!$C:$M,10,0)</f>
        <v>45713</v>
      </c>
      <c r="M84" t="str">
        <f>VLOOKUP(D84,'March Cancel - checking results'!$C:$M,11,0)</f>
        <v>Suite</v>
      </c>
      <c r="N84" t="str">
        <f>VLOOKUP(D84,'March Cancel - checking results'!$C:$Q,15,0)</f>
        <v>DMS ANS</v>
      </c>
    </row>
    <row r="85" spans="1:14">
      <c r="A85" t="s">
        <v>287</v>
      </c>
      <c r="B85" t="s">
        <v>288</v>
      </c>
      <c r="C85" t="s">
        <v>289</v>
      </c>
      <c r="D85">
        <v>76253767</v>
      </c>
      <c r="E85">
        <v>2503579</v>
      </c>
      <c r="F85" t="s">
        <v>39</v>
      </c>
      <c r="G85">
        <v>300</v>
      </c>
      <c r="H85">
        <v>200</v>
      </c>
      <c r="I85">
        <f>VLOOKUP(D85,'3.10 Cancel List'!$C:$C,1,0)</f>
        <v>76253767</v>
      </c>
      <c r="K85" t="str">
        <f>VLOOKUP(D85,'March Cancel - checking results'!$C:$M,9,0)</f>
        <v>ANS</v>
      </c>
      <c r="L85" s="12">
        <f>VLOOKUP(D85,'March Cancel - checking results'!$C:$M,10,0)</f>
        <v>45689</v>
      </c>
      <c r="M85" t="str">
        <f>VLOOKUP(D85,'March Cancel - checking results'!$C:$M,11,0)</f>
        <v>Suite</v>
      </c>
      <c r="N85" t="str">
        <f>VLOOKUP(D85,'March Cancel - checking results'!$C:$Q,15,0)</f>
        <v>DMS ANS</v>
      </c>
    </row>
    <row r="86" spans="1:14">
      <c r="A86" t="s">
        <v>290</v>
      </c>
      <c r="B86" t="s">
        <v>291</v>
      </c>
      <c r="C86" t="s">
        <v>292</v>
      </c>
      <c r="D86">
        <v>76256562</v>
      </c>
      <c r="E86">
        <v>3000496</v>
      </c>
      <c r="F86" t="s">
        <v>39</v>
      </c>
      <c r="G86">
        <v>300</v>
      </c>
      <c r="H86">
        <v>200</v>
      </c>
      <c r="I86">
        <f>VLOOKUP(D86,'3.10 Cancel List'!$C:$C,1,0)</f>
        <v>76256562</v>
      </c>
      <c r="K86">
        <f>VLOOKUP(D86,'March Cancel - checking results'!$C:$M,9,0)</f>
        <v>0</v>
      </c>
      <c r="L86" s="12">
        <f>VLOOKUP(D86,'March Cancel - checking results'!$C:$M,10,0)</f>
        <v>0</v>
      </c>
      <c r="M86">
        <f>VLOOKUP(D86,'March Cancel - checking results'!$C:$M,11,0)</f>
        <v>0</v>
      </c>
      <c r="N86" t="str">
        <f>VLOOKUP(D86,'March Cancel - checking results'!$C:$Q,15,0)</f>
        <v>SV NOT ON CONTRACT</v>
      </c>
    </row>
    <row r="87" spans="1:14">
      <c r="A87" t="s">
        <v>293</v>
      </c>
      <c r="B87" t="s">
        <v>294</v>
      </c>
      <c r="C87" t="s">
        <v>295</v>
      </c>
      <c r="D87">
        <v>76257159</v>
      </c>
      <c r="E87">
        <v>8038</v>
      </c>
      <c r="F87" t="s">
        <v>39</v>
      </c>
      <c r="G87">
        <v>400</v>
      </c>
      <c r="H87">
        <v>200</v>
      </c>
      <c r="I87" t="e">
        <f>VLOOKUP(D87,'3.10 Cancel List'!$C:$C,1,0)</f>
        <v>#N/A</v>
      </c>
      <c r="L87"/>
    </row>
    <row r="88" spans="1:14">
      <c r="A88" t="s">
        <v>296</v>
      </c>
      <c r="B88" t="s">
        <v>297</v>
      </c>
      <c r="C88" t="s">
        <v>298</v>
      </c>
      <c r="D88">
        <v>76258093</v>
      </c>
      <c r="E88">
        <v>3000981</v>
      </c>
      <c r="F88" t="s">
        <v>39</v>
      </c>
      <c r="G88">
        <v>300</v>
      </c>
      <c r="H88">
        <v>200</v>
      </c>
      <c r="I88" t="e">
        <f>VLOOKUP(D88,'3.10 Cancel List'!$C:$C,1,0)</f>
        <v>#N/A</v>
      </c>
      <c r="L88"/>
    </row>
    <row r="89" spans="1:14">
      <c r="F89" t="s">
        <v>299</v>
      </c>
      <c r="G89">
        <f>SUM(G2:G88)</f>
        <v>29400</v>
      </c>
      <c r="H89">
        <f>SUM(H2:H88)</f>
        <v>17400</v>
      </c>
      <c r="I89" t="e">
        <f>VLOOKUP(D89,'3.10 Cancel List'!$C:$C,1,0)</f>
        <v>#N/A</v>
      </c>
      <c r="L89"/>
    </row>
    <row r="90" spans="1:14">
      <c r="F90" t="s">
        <v>300</v>
      </c>
      <c r="H90">
        <f>G89+H89</f>
        <v>46800</v>
      </c>
      <c r="I90" t="s">
        <v>0</v>
      </c>
      <c r="L90"/>
    </row>
    <row r="705" spans="12:12" s="14" customFormat="1">
      <c r="L705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1F8FE-4C66-48BB-85E8-DE50132EDDEB}">
  <sheetPr>
    <tabColor rgb="FF7030A0"/>
  </sheetPr>
  <dimension ref="A1:N705"/>
  <sheetViews>
    <sheetView zoomScale="90" zoomScaleNormal="90" workbookViewId="0">
      <selection activeCell="K2" sqref="K2:K88"/>
    </sheetView>
  </sheetViews>
  <sheetFormatPr defaultRowHeight="15"/>
  <cols>
    <col min="2" max="2" width="40" customWidth="1"/>
    <col min="3" max="3" width="15.7109375" bestFit="1" customWidth="1"/>
    <col min="4" max="4" width="12.28515625" bestFit="1" customWidth="1"/>
    <col min="5" max="5" width="11.28515625" bestFit="1" customWidth="1"/>
    <col min="6" max="6" width="21.5703125" bestFit="1" customWidth="1"/>
    <col min="7" max="7" width="13.42578125" customWidth="1"/>
    <col min="8" max="8" width="18.85546875" customWidth="1"/>
    <col min="9" max="9" width="25.42578125" bestFit="1" customWidth="1"/>
    <col min="10" max="10" width="57.7109375" customWidth="1"/>
    <col min="11" max="11" width="20.85546875" customWidth="1"/>
    <col min="12" max="12" width="24.42578125" style="12" bestFit="1" customWidth="1"/>
    <col min="13" max="13" width="35.5703125" customWidth="1"/>
    <col min="14" max="14" width="15.42578125" bestFit="1" customWidth="1"/>
  </cols>
  <sheetData>
    <row r="1" spans="1:14" s="13" customFormat="1" ht="13.9" customHeight="1">
      <c r="A1" s="13" t="s">
        <v>22</v>
      </c>
      <c r="B1" s="13" t="s">
        <v>23</v>
      </c>
      <c r="C1" s="13" t="s">
        <v>24</v>
      </c>
      <c r="D1" s="13" t="s">
        <v>25</v>
      </c>
      <c r="E1" s="13" t="s">
        <v>26</v>
      </c>
      <c r="F1" s="13" t="s">
        <v>27</v>
      </c>
      <c r="G1" s="13" t="s">
        <v>28</v>
      </c>
      <c r="H1" s="13" t="s">
        <v>29</v>
      </c>
      <c r="I1" s="13" t="s">
        <v>30</v>
      </c>
      <c r="J1" s="37" t="s">
        <v>301</v>
      </c>
      <c r="K1" s="37" t="s">
        <v>302</v>
      </c>
      <c r="L1" s="38" t="s">
        <v>303</v>
      </c>
      <c r="M1" s="13" t="s">
        <v>304</v>
      </c>
      <c r="N1" s="13" t="s">
        <v>305</v>
      </c>
    </row>
    <row r="2" spans="1:14">
      <c r="A2" t="s">
        <v>36</v>
      </c>
      <c r="B2" t="s">
        <v>37</v>
      </c>
      <c r="C2" t="s">
        <v>38</v>
      </c>
      <c r="D2">
        <v>5088801</v>
      </c>
      <c r="E2">
        <v>2503075</v>
      </c>
      <c r="F2" t="s">
        <v>39</v>
      </c>
      <c r="G2">
        <v>300</v>
      </c>
      <c r="H2">
        <v>200</v>
      </c>
      <c r="I2" t="s">
        <v>306</v>
      </c>
      <c r="J2" t="s">
        <v>307</v>
      </c>
      <c r="K2" t="s">
        <v>308</v>
      </c>
      <c r="L2" s="12" t="e">
        <f>VLOOKUP(A2,'CDK Cancel tracking 5.16.26'!$A:$E,5,0)</f>
        <v>#N/A</v>
      </c>
    </row>
    <row r="3" spans="1:14">
      <c r="A3" t="s">
        <v>40</v>
      </c>
      <c r="B3" t="s">
        <v>41</v>
      </c>
      <c r="C3" t="s">
        <v>42</v>
      </c>
      <c r="D3">
        <v>5236442</v>
      </c>
      <c r="E3">
        <v>3001276</v>
      </c>
      <c r="F3" t="s">
        <v>39</v>
      </c>
      <c r="G3">
        <v>400</v>
      </c>
      <c r="H3">
        <v>200</v>
      </c>
      <c r="I3" t="s">
        <v>306</v>
      </c>
      <c r="J3" t="s">
        <v>307</v>
      </c>
      <c r="K3" t="s">
        <v>308</v>
      </c>
      <c r="L3" s="12">
        <f>VLOOKUP(A3,'CDK Cancel tracking 5.16.26'!$A:$E,5,0)</f>
        <v>46143</v>
      </c>
    </row>
    <row r="4" spans="1:14">
      <c r="A4" t="s">
        <v>43</v>
      </c>
      <c r="B4" t="s">
        <v>44</v>
      </c>
      <c r="C4" t="s">
        <v>45</v>
      </c>
      <c r="D4">
        <v>8300018</v>
      </c>
      <c r="E4">
        <v>3000322</v>
      </c>
      <c r="F4" t="s">
        <v>39</v>
      </c>
      <c r="G4">
        <v>300</v>
      </c>
      <c r="H4">
        <v>200</v>
      </c>
      <c r="I4" t="s">
        <v>306</v>
      </c>
      <c r="J4" t="s">
        <v>307</v>
      </c>
      <c r="K4" t="s">
        <v>308</v>
      </c>
      <c r="L4" s="12">
        <f>VLOOKUP(A4,'CDK Cancel tracking 5.16.26'!$A:$E,5,0)</f>
        <v>46146</v>
      </c>
    </row>
    <row r="5" spans="1:14">
      <c r="A5" t="s">
        <v>46</v>
      </c>
      <c r="B5" t="s">
        <v>47</v>
      </c>
      <c r="C5" t="s">
        <v>48</v>
      </c>
      <c r="D5">
        <v>13093301</v>
      </c>
      <c r="E5">
        <v>2503593</v>
      </c>
      <c r="F5" t="s">
        <v>39</v>
      </c>
      <c r="G5">
        <v>300</v>
      </c>
      <c r="H5">
        <v>200</v>
      </c>
      <c r="I5" t="s">
        <v>306</v>
      </c>
      <c r="J5" t="s">
        <v>309</v>
      </c>
      <c r="K5" t="s">
        <v>308</v>
      </c>
      <c r="L5" s="12" t="e">
        <f>VLOOKUP(A5,'CDK Cancel tracking 5.16.26'!$A:$E,5,0)</f>
        <v>#N/A</v>
      </c>
    </row>
    <row r="6" spans="1:14">
      <c r="A6" t="s">
        <v>49</v>
      </c>
      <c r="B6" t="s">
        <v>50</v>
      </c>
      <c r="C6" t="s">
        <v>51</v>
      </c>
      <c r="D6">
        <v>25297551</v>
      </c>
      <c r="E6">
        <v>153</v>
      </c>
      <c r="F6" t="s">
        <v>39</v>
      </c>
      <c r="G6">
        <v>300</v>
      </c>
      <c r="H6">
        <v>200</v>
      </c>
      <c r="I6" t="s">
        <v>306</v>
      </c>
      <c r="J6" t="s">
        <v>310</v>
      </c>
      <c r="K6" t="s">
        <v>311</v>
      </c>
      <c r="L6" s="12" t="e">
        <f>VLOOKUP(A6,'CDK Cancel tracking 5.16.26'!$A:$E,5,0)</f>
        <v>#N/A</v>
      </c>
    </row>
    <row r="7" spans="1:14">
      <c r="A7" t="s">
        <v>52</v>
      </c>
      <c r="B7" t="s">
        <v>53</v>
      </c>
      <c r="C7" t="s">
        <v>54</v>
      </c>
      <c r="D7">
        <v>33049702</v>
      </c>
      <c r="E7">
        <v>2700012</v>
      </c>
      <c r="F7" t="s">
        <v>39</v>
      </c>
      <c r="G7">
        <v>300</v>
      </c>
      <c r="H7">
        <v>200</v>
      </c>
      <c r="I7" t="s">
        <v>306</v>
      </c>
      <c r="J7" t="s">
        <v>312</v>
      </c>
      <c r="K7" t="s">
        <v>308</v>
      </c>
      <c r="L7" s="12" t="e">
        <f>VLOOKUP(A7,'CDK Cancel tracking 5.16.26'!$A:$E,5,0)</f>
        <v>#N/A</v>
      </c>
    </row>
    <row r="8" spans="1:14">
      <c r="A8" t="s">
        <v>55</v>
      </c>
      <c r="B8" t="s">
        <v>56</v>
      </c>
      <c r="C8" t="s">
        <v>57</v>
      </c>
      <c r="D8">
        <v>37216003</v>
      </c>
      <c r="E8">
        <v>2700001</v>
      </c>
      <c r="F8" t="s">
        <v>39</v>
      </c>
      <c r="G8">
        <v>300</v>
      </c>
      <c r="H8">
        <v>200</v>
      </c>
      <c r="I8" t="s">
        <v>306</v>
      </c>
      <c r="J8" t="s">
        <v>313</v>
      </c>
      <c r="K8" t="s">
        <v>308</v>
      </c>
      <c r="L8" s="12" t="e">
        <f>VLOOKUP(A8,'CDK Cancel tracking 5.16.26'!$A:$E,5,0)</f>
        <v>#N/A</v>
      </c>
    </row>
    <row r="9" spans="1:14">
      <c r="A9">
        <v>43996001</v>
      </c>
      <c r="B9" t="s">
        <v>59</v>
      </c>
      <c r="C9" t="s">
        <v>60</v>
      </c>
      <c r="D9">
        <v>43996001</v>
      </c>
      <c r="E9">
        <v>2502552</v>
      </c>
      <c r="F9" t="s">
        <v>39</v>
      </c>
      <c r="G9">
        <v>450</v>
      </c>
      <c r="H9">
        <v>200</v>
      </c>
      <c r="I9" t="s">
        <v>306</v>
      </c>
      <c r="J9" t="s">
        <v>307</v>
      </c>
      <c r="K9" t="s">
        <v>308</v>
      </c>
      <c r="L9" s="12" t="e">
        <f>VLOOKUP(A9,'CDK Cancel tracking 5.16.26'!$A:$E,5,0)</f>
        <v>#N/A</v>
      </c>
    </row>
    <row r="10" spans="1:14">
      <c r="A10" t="s">
        <v>61</v>
      </c>
      <c r="B10" t="s">
        <v>62</v>
      </c>
      <c r="C10" t="s">
        <v>63</v>
      </c>
      <c r="D10">
        <v>71062428</v>
      </c>
      <c r="E10">
        <v>2503087</v>
      </c>
      <c r="F10" t="s">
        <v>39</v>
      </c>
      <c r="G10">
        <v>300</v>
      </c>
      <c r="H10">
        <v>200</v>
      </c>
      <c r="I10" t="s">
        <v>306</v>
      </c>
      <c r="J10" t="s">
        <v>307</v>
      </c>
      <c r="K10" t="s">
        <v>308</v>
      </c>
      <c r="L10" s="12" t="e">
        <f>VLOOKUP(A10,'CDK Cancel tracking 5.16.26'!$A:$E,5,0)</f>
        <v>#N/A</v>
      </c>
    </row>
    <row r="11" spans="1:14">
      <c r="A11" t="s">
        <v>64</v>
      </c>
      <c r="B11" t="s">
        <v>65</v>
      </c>
      <c r="C11" t="s">
        <v>66</v>
      </c>
      <c r="D11">
        <v>76001666</v>
      </c>
      <c r="E11">
        <v>2501710</v>
      </c>
      <c r="F11" t="s">
        <v>39</v>
      </c>
      <c r="G11">
        <v>450</v>
      </c>
      <c r="H11">
        <v>200</v>
      </c>
      <c r="I11">
        <f>VLOOKUP(D11,'3.10 Cancel List'!$C:$C,1,0)</f>
        <v>76001666</v>
      </c>
      <c r="J11" t="s">
        <v>314</v>
      </c>
      <c r="K11" t="s">
        <v>311</v>
      </c>
      <c r="L11"/>
    </row>
    <row r="12" spans="1:14">
      <c r="A12" t="s">
        <v>68</v>
      </c>
      <c r="B12" t="s">
        <v>69</v>
      </c>
      <c r="C12" t="s">
        <v>70</v>
      </c>
      <c r="D12">
        <v>76018447</v>
      </c>
      <c r="E12">
        <v>2501591</v>
      </c>
      <c r="F12" t="s">
        <v>39</v>
      </c>
      <c r="G12">
        <v>300</v>
      </c>
      <c r="H12">
        <v>200</v>
      </c>
      <c r="I12" t="s">
        <v>306</v>
      </c>
      <c r="J12" t="s">
        <v>315</v>
      </c>
      <c r="K12" t="s">
        <v>308</v>
      </c>
      <c r="L12" s="12" t="e">
        <f>VLOOKUP(A12,'CDK Cancel tracking 5.16.26'!$A:$E,5,0)</f>
        <v>#N/A</v>
      </c>
    </row>
    <row r="13" spans="1:14">
      <c r="A13" t="s">
        <v>71</v>
      </c>
      <c r="B13" t="s">
        <v>72</v>
      </c>
      <c r="C13" t="s">
        <v>73</v>
      </c>
      <c r="D13">
        <v>76025293</v>
      </c>
      <c r="E13">
        <v>2502775</v>
      </c>
      <c r="F13" t="s">
        <v>39</v>
      </c>
      <c r="G13">
        <v>300</v>
      </c>
      <c r="H13">
        <v>200</v>
      </c>
      <c r="I13" t="s">
        <v>306</v>
      </c>
      <c r="J13" t="s">
        <v>309</v>
      </c>
      <c r="K13" t="s">
        <v>308</v>
      </c>
      <c r="L13" s="12" t="e">
        <f>VLOOKUP(A13,'CDK Cancel tracking 5.16.26'!$A:$E,5,0)</f>
        <v>#N/A</v>
      </c>
    </row>
    <row r="14" spans="1:14">
      <c r="A14" t="s">
        <v>74</v>
      </c>
      <c r="B14" t="s">
        <v>75</v>
      </c>
      <c r="C14" t="s">
        <v>76</v>
      </c>
      <c r="D14">
        <v>76028715</v>
      </c>
      <c r="E14">
        <v>2000422</v>
      </c>
      <c r="F14" t="s">
        <v>39</v>
      </c>
      <c r="G14">
        <v>450</v>
      </c>
      <c r="H14">
        <v>200</v>
      </c>
      <c r="I14">
        <f>VLOOKUP(D14,'3.10 Cancel List'!$C:$C,1,0)</f>
        <v>76028715</v>
      </c>
      <c r="J14" t="s">
        <v>316</v>
      </c>
      <c r="K14" t="s">
        <v>311</v>
      </c>
      <c r="L14"/>
    </row>
    <row r="15" spans="1:14">
      <c r="A15" t="s">
        <v>77</v>
      </c>
      <c r="B15" t="s">
        <v>78</v>
      </c>
      <c r="C15" t="s">
        <v>79</v>
      </c>
      <c r="D15">
        <v>76043277</v>
      </c>
      <c r="E15">
        <v>2502505</v>
      </c>
      <c r="F15" t="s">
        <v>39</v>
      </c>
      <c r="G15">
        <v>450</v>
      </c>
      <c r="H15">
        <v>200</v>
      </c>
      <c r="I15" t="s">
        <v>306</v>
      </c>
      <c r="J15" t="s">
        <v>307</v>
      </c>
      <c r="K15" t="s">
        <v>308</v>
      </c>
      <c r="L15" s="12">
        <f>VLOOKUP(A15,'CDK Cancel tracking 5.16.26'!$A:$E,5,0)</f>
        <v>46146</v>
      </c>
    </row>
    <row r="16" spans="1:14">
      <c r="A16" t="s">
        <v>80</v>
      </c>
      <c r="B16" t="s">
        <v>81</v>
      </c>
      <c r="C16" t="s">
        <v>82</v>
      </c>
      <c r="D16">
        <v>76051500</v>
      </c>
      <c r="E16">
        <v>2503331</v>
      </c>
      <c r="F16" t="s">
        <v>39</v>
      </c>
      <c r="G16">
        <v>300</v>
      </c>
      <c r="H16">
        <v>200</v>
      </c>
      <c r="I16">
        <f>VLOOKUP(D16,'3.10 Cancel List'!$C:$C,1,0)</f>
        <v>76051500</v>
      </c>
      <c r="J16" t="s">
        <v>317</v>
      </c>
      <c r="K16" t="s">
        <v>311</v>
      </c>
      <c r="L16"/>
    </row>
    <row r="17" spans="1:12">
      <c r="A17" t="s">
        <v>83</v>
      </c>
      <c r="B17" t="s">
        <v>84</v>
      </c>
      <c r="C17" t="s">
        <v>85</v>
      </c>
      <c r="D17">
        <v>76057672</v>
      </c>
      <c r="E17">
        <v>2501660</v>
      </c>
      <c r="F17" t="s">
        <v>39</v>
      </c>
      <c r="G17">
        <v>450</v>
      </c>
      <c r="H17">
        <v>200</v>
      </c>
      <c r="I17" t="s">
        <v>306</v>
      </c>
      <c r="J17" t="s">
        <v>309</v>
      </c>
      <c r="K17" t="s">
        <v>308</v>
      </c>
      <c r="L17" s="12" t="e">
        <f>VLOOKUP(A17,'CDK Cancel tracking 5.16.26'!$A:$E,5,0)</f>
        <v>#N/A</v>
      </c>
    </row>
    <row r="18" spans="1:12">
      <c r="A18" t="s">
        <v>86</v>
      </c>
      <c r="B18" t="s">
        <v>87</v>
      </c>
      <c r="C18" t="s">
        <v>88</v>
      </c>
      <c r="D18">
        <v>76097658</v>
      </c>
      <c r="E18">
        <v>3000911</v>
      </c>
      <c r="F18" t="s">
        <v>39</v>
      </c>
      <c r="G18">
        <v>300</v>
      </c>
      <c r="H18">
        <v>200</v>
      </c>
      <c r="I18">
        <f>VLOOKUP(D18,'3.10 Cancel List'!$C:$C,1,0)</f>
        <v>76097658</v>
      </c>
      <c r="J18" t="s">
        <v>318</v>
      </c>
      <c r="K18" t="s">
        <v>311</v>
      </c>
      <c r="L18"/>
    </row>
    <row r="19" spans="1:12">
      <c r="A19" t="s">
        <v>89</v>
      </c>
      <c r="B19" t="s">
        <v>90</v>
      </c>
      <c r="C19" t="s">
        <v>91</v>
      </c>
      <c r="D19">
        <v>76134865</v>
      </c>
      <c r="E19">
        <v>5113</v>
      </c>
      <c r="F19" t="s">
        <v>39</v>
      </c>
      <c r="G19">
        <v>300</v>
      </c>
      <c r="H19">
        <v>200</v>
      </c>
      <c r="I19" t="s">
        <v>306</v>
      </c>
      <c r="J19" t="s">
        <v>313</v>
      </c>
      <c r="K19" t="s">
        <v>308</v>
      </c>
      <c r="L19" s="12" t="e">
        <f>VLOOKUP(A19,'CDK Cancel tracking 5.16.26'!$A:$E,5,0)</f>
        <v>#N/A</v>
      </c>
    </row>
    <row r="20" spans="1:12">
      <c r="A20" t="s">
        <v>92</v>
      </c>
      <c r="B20" t="s">
        <v>93</v>
      </c>
      <c r="C20" t="s">
        <v>94</v>
      </c>
      <c r="D20">
        <v>76157327</v>
      </c>
      <c r="E20">
        <v>10190</v>
      </c>
      <c r="F20" t="s">
        <v>39</v>
      </c>
      <c r="G20">
        <v>300</v>
      </c>
      <c r="H20">
        <v>200</v>
      </c>
      <c r="I20">
        <f>VLOOKUP(D20,'3.10 Cancel List'!$C:$C,1,0)</f>
        <v>76157327</v>
      </c>
      <c r="J20" t="s">
        <v>319</v>
      </c>
      <c r="K20" t="s">
        <v>308</v>
      </c>
      <c r="L20"/>
    </row>
    <row r="21" spans="1:12">
      <c r="A21" t="s">
        <v>95</v>
      </c>
      <c r="B21" t="s">
        <v>96</v>
      </c>
      <c r="C21" t="s">
        <v>97</v>
      </c>
      <c r="D21">
        <v>76173064</v>
      </c>
      <c r="E21">
        <v>3000888</v>
      </c>
      <c r="F21" t="s">
        <v>39</v>
      </c>
      <c r="G21">
        <v>300</v>
      </c>
      <c r="H21">
        <v>200</v>
      </c>
      <c r="I21" t="s">
        <v>306</v>
      </c>
      <c r="J21" t="s">
        <v>307</v>
      </c>
      <c r="K21" t="s">
        <v>308</v>
      </c>
      <c r="L21" s="12">
        <f>VLOOKUP(A21,'CDK Cancel tracking 5.16.26'!$A:$E,5,0)</f>
        <v>46146</v>
      </c>
    </row>
    <row r="22" spans="1:12">
      <c r="A22" t="s">
        <v>98</v>
      </c>
      <c r="B22" t="s">
        <v>99</v>
      </c>
      <c r="C22" t="s">
        <v>100</v>
      </c>
      <c r="D22">
        <v>76181139</v>
      </c>
      <c r="E22">
        <v>3000966</v>
      </c>
      <c r="F22" t="s">
        <v>39</v>
      </c>
      <c r="G22">
        <v>300</v>
      </c>
      <c r="H22">
        <v>200</v>
      </c>
      <c r="I22" t="s">
        <v>306</v>
      </c>
      <c r="J22" t="s">
        <v>307</v>
      </c>
      <c r="K22" t="s">
        <v>308</v>
      </c>
      <c r="L22" s="12" t="e">
        <f>VLOOKUP(A22,'CDK Cancel tracking 5.16.26'!$A:$E,5,0)</f>
        <v>#N/A</v>
      </c>
    </row>
    <row r="23" spans="1:12">
      <c r="A23" t="s">
        <v>101</v>
      </c>
      <c r="B23" t="s">
        <v>102</v>
      </c>
      <c r="C23" t="s">
        <v>103</v>
      </c>
      <c r="D23">
        <v>76184938</v>
      </c>
      <c r="E23">
        <v>3000690</v>
      </c>
      <c r="F23" t="s">
        <v>39</v>
      </c>
      <c r="G23">
        <v>300</v>
      </c>
      <c r="H23">
        <v>200</v>
      </c>
      <c r="I23" t="s">
        <v>306</v>
      </c>
      <c r="J23" t="s">
        <v>313</v>
      </c>
      <c r="K23" t="s">
        <v>308</v>
      </c>
      <c r="L23" s="12" t="e">
        <f>VLOOKUP(A23,'CDK Cancel tracking 5.16.26'!$A:$E,5,0)</f>
        <v>#N/A</v>
      </c>
    </row>
    <row r="24" spans="1:12">
      <c r="A24" t="s">
        <v>104</v>
      </c>
      <c r="B24" t="s">
        <v>105</v>
      </c>
      <c r="C24" t="s">
        <v>106</v>
      </c>
      <c r="D24">
        <v>76194812</v>
      </c>
      <c r="E24">
        <v>0</v>
      </c>
      <c r="F24" t="s">
        <v>39</v>
      </c>
      <c r="G24">
        <v>400</v>
      </c>
      <c r="H24">
        <v>200</v>
      </c>
      <c r="I24">
        <f>VLOOKUP(D24,'3.10 Cancel List'!$C:$C,1,0)</f>
        <v>76194812</v>
      </c>
      <c r="J24" t="s">
        <v>320</v>
      </c>
      <c r="K24" t="s">
        <v>308</v>
      </c>
      <c r="L24"/>
    </row>
    <row r="25" spans="1:12">
      <c r="A25">
        <v>76197109</v>
      </c>
      <c r="B25" t="s">
        <v>108</v>
      </c>
      <c r="C25" t="s">
        <v>109</v>
      </c>
      <c r="D25">
        <v>76197109</v>
      </c>
      <c r="E25">
        <v>2503116</v>
      </c>
      <c r="F25" t="s">
        <v>39</v>
      </c>
      <c r="G25">
        <v>300</v>
      </c>
      <c r="H25">
        <v>200</v>
      </c>
      <c r="I25" t="s">
        <v>306</v>
      </c>
      <c r="J25" t="s">
        <v>307</v>
      </c>
      <c r="K25" t="s">
        <v>308</v>
      </c>
      <c r="L25" s="12" t="e">
        <f>VLOOKUP(A25,'CDK Cancel tracking 5.16.26'!$A:$E,5,0)</f>
        <v>#N/A</v>
      </c>
    </row>
    <row r="26" spans="1:12">
      <c r="A26" t="s">
        <v>110</v>
      </c>
      <c r="B26" t="s">
        <v>111</v>
      </c>
      <c r="C26" t="s">
        <v>112</v>
      </c>
      <c r="D26">
        <v>76201836</v>
      </c>
      <c r="E26">
        <v>3000889</v>
      </c>
      <c r="F26" t="s">
        <v>39</v>
      </c>
      <c r="G26">
        <v>300</v>
      </c>
      <c r="H26">
        <v>200</v>
      </c>
      <c r="I26" t="s">
        <v>306</v>
      </c>
      <c r="J26" t="s">
        <v>307</v>
      </c>
      <c r="K26" t="s">
        <v>308</v>
      </c>
      <c r="L26" s="12">
        <f>VLOOKUP(A26,'CDK Cancel tracking 5.16.26'!$A:$E,5,0)</f>
        <v>46146</v>
      </c>
    </row>
    <row r="27" spans="1:12">
      <c r="A27" t="s">
        <v>113</v>
      </c>
      <c r="B27" t="s">
        <v>114</v>
      </c>
      <c r="C27" t="s">
        <v>115</v>
      </c>
      <c r="D27">
        <v>76202516</v>
      </c>
      <c r="E27">
        <v>1500109</v>
      </c>
      <c r="F27" t="s">
        <v>39</v>
      </c>
      <c r="G27">
        <v>300</v>
      </c>
      <c r="H27">
        <v>200</v>
      </c>
      <c r="I27">
        <f>VLOOKUP(D27,'3.10 Cancel List'!$C:$C,1,0)</f>
        <v>76202516</v>
      </c>
      <c r="J27" t="s">
        <v>321</v>
      </c>
      <c r="K27" t="s">
        <v>311</v>
      </c>
      <c r="L27"/>
    </row>
    <row r="28" spans="1:12">
      <c r="A28" t="s">
        <v>116</v>
      </c>
      <c r="B28" t="s">
        <v>117</v>
      </c>
      <c r="C28" t="s">
        <v>118</v>
      </c>
      <c r="D28">
        <v>76204182</v>
      </c>
      <c r="E28">
        <v>2001776</v>
      </c>
      <c r="F28" t="s">
        <v>39</v>
      </c>
      <c r="G28">
        <v>300</v>
      </c>
      <c r="H28">
        <v>200</v>
      </c>
      <c r="I28">
        <f>VLOOKUP(D28,'3.10 Cancel List'!$C:$C,1,0)</f>
        <v>76204182</v>
      </c>
      <c r="J28" t="s">
        <v>321</v>
      </c>
      <c r="K28" t="s">
        <v>311</v>
      </c>
      <c r="L28"/>
    </row>
    <row r="29" spans="1:12">
      <c r="A29" t="s">
        <v>119</v>
      </c>
      <c r="B29" t="s">
        <v>120</v>
      </c>
      <c r="C29" t="s">
        <v>121</v>
      </c>
      <c r="D29">
        <v>76205609</v>
      </c>
      <c r="E29">
        <v>2000850</v>
      </c>
      <c r="F29" t="s">
        <v>39</v>
      </c>
      <c r="G29">
        <v>300</v>
      </c>
      <c r="H29">
        <v>200</v>
      </c>
      <c r="I29" t="s">
        <v>306</v>
      </c>
      <c r="J29" t="s">
        <v>309</v>
      </c>
      <c r="K29" t="s">
        <v>308</v>
      </c>
      <c r="L29" s="12" t="e">
        <f>VLOOKUP(A29,'CDK Cancel tracking 5.16.26'!$A:$E,5,0)</f>
        <v>#N/A</v>
      </c>
    </row>
    <row r="30" spans="1:12">
      <c r="A30" t="s">
        <v>122</v>
      </c>
      <c r="B30" t="s">
        <v>123</v>
      </c>
      <c r="C30" t="s">
        <v>124</v>
      </c>
      <c r="D30">
        <v>76215310</v>
      </c>
      <c r="E30">
        <v>2700010</v>
      </c>
      <c r="F30" t="s">
        <v>39</v>
      </c>
      <c r="G30">
        <v>300</v>
      </c>
      <c r="H30">
        <v>200</v>
      </c>
      <c r="I30" t="s">
        <v>306</v>
      </c>
      <c r="J30" t="s">
        <v>309</v>
      </c>
      <c r="K30" t="s">
        <v>308</v>
      </c>
      <c r="L30" s="12" t="e">
        <f>VLOOKUP(A30,'CDK Cancel tracking 5.16.26'!$A:$E,5,0)</f>
        <v>#N/A</v>
      </c>
    </row>
    <row r="31" spans="1:12">
      <c r="A31" t="s">
        <v>125</v>
      </c>
      <c r="B31" t="s">
        <v>126</v>
      </c>
      <c r="C31" t="s">
        <v>127</v>
      </c>
      <c r="D31">
        <v>76215380</v>
      </c>
      <c r="E31">
        <v>2000797</v>
      </c>
      <c r="F31" t="s">
        <v>39</v>
      </c>
      <c r="G31">
        <v>450</v>
      </c>
      <c r="H31">
        <v>200</v>
      </c>
      <c r="I31" t="s">
        <v>306</v>
      </c>
      <c r="J31" t="s">
        <v>322</v>
      </c>
      <c r="K31" t="s">
        <v>308</v>
      </c>
      <c r="L31" s="12" t="e">
        <f>VLOOKUP(A31,'CDK Cancel tracking 5.16.26'!$A:$E,5,0)</f>
        <v>#N/A</v>
      </c>
    </row>
    <row r="32" spans="1:12">
      <c r="A32" t="s">
        <v>128</v>
      </c>
      <c r="B32" t="s">
        <v>129</v>
      </c>
      <c r="C32" t="s">
        <v>130</v>
      </c>
      <c r="D32">
        <v>76217036</v>
      </c>
      <c r="E32">
        <v>2501508</v>
      </c>
      <c r="F32" t="s">
        <v>39</v>
      </c>
      <c r="G32">
        <v>300</v>
      </c>
      <c r="H32">
        <v>200</v>
      </c>
      <c r="I32" t="s">
        <v>306</v>
      </c>
      <c r="J32" t="s">
        <v>323</v>
      </c>
      <c r="K32" t="s">
        <v>308</v>
      </c>
      <c r="L32" s="12" t="e">
        <f>VLOOKUP(A32,'CDK Cancel tracking 5.16.26'!$A:$E,5,0)</f>
        <v>#N/A</v>
      </c>
    </row>
    <row r="33" spans="1:14">
      <c r="A33" t="s">
        <v>131</v>
      </c>
      <c r="B33" t="s">
        <v>132</v>
      </c>
      <c r="C33" t="s">
        <v>133</v>
      </c>
      <c r="D33">
        <v>76217358</v>
      </c>
      <c r="E33">
        <v>3000423</v>
      </c>
      <c r="F33" t="s">
        <v>39</v>
      </c>
      <c r="G33">
        <v>400</v>
      </c>
      <c r="H33">
        <v>200</v>
      </c>
      <c r="I33">
        <f>VLOOKUP(D33,'3.10 Cancel List'!$C:$C,1,0)</f>
        <v>76217358</v>
      </c>
      <c r="J33" t="s">
        <v>324</v>
      </c>
      <c r="K33" t="s">
        <v>311</v>
      </c>
      <c r="L33"/>
    </row>
    <row r="34" spans="1:14">
      <c r="A34" t="s">
        <v>134</v>
      </c>
      <c r="B34" t="s">
        <v>135</v>
      </c>
      <c r="C34" t="s">
        <v>136</v>
      </c>
      <c r="D34">
        <v>76220331</v>
      </c>
      <c r="E34">
        <v>2501681</v>
      </c>
      <c r="F34" t="s">
        <v>39</v>
      </c>
      <c r="G34">
        <v>300</v>
      </c>
      <c r="H34">
        <v>200</v>
      </c>
      <c r="I34" t="s">
        <v>306</v>
      </c>
      <c r="J34" t="s">
        <v>309</v>
      </c>
      <c r="K34" t="s">
        <v>308</v>
      </c>
      <c r="L34" s="12" t="e">
        <f>VLOOKUP(A34,'CDK Cancel tracking 5.16.26'!$A:$E,5,0)</f>
        <v>#N/A</v>
      </c>
    </row>
    <row r="35" spans="1:14">
      <c r="A35" t="s">
        <v>137</v>
      </c>
      <c r="B35" t="s">
        <v>138</v>
      </c>
      <c r="C35" t="s">
        <v>139</v>
      </c>
      <c r="D35">
        <v>76220332</v>
      </c>
      <c r="E35">
        <v>2501684</v>
      </c>
      <c r="F35" t="s">
        <v>39</v>
      </c>
      <c r="G35">
        <v>300</v>
      </c>
      <c r="H35">
        <v>200</v>
      </c>
      <c r="I35" t="s">
        <v>306</v>
      </c>
      <c r="J35" t="s">
        <v>309</v>
      </c>
      <c r="K35" t="s">
        <v>308</v>
      </c>
      <c r="L35" s="12" t="e">
        <f>VLOOKUP(A35,'CDK Cancel tracking 5.16.26'!$A:$E,5,0)</f>
        <v>#N/A</v>
      </c>
    </row>
    <row r="36" spans="1:14">
      <c r="A36" t="s">
        <v>140</v>
      </c>
      <c r="B36" t="s">
        <v>141</v>
      </c>
      <c r="C36" t="s">
        <v>142</v>
      </c>
      <c r="D36">
        <v>76225712</v>
      </c>
      <c r="E36">
        <v>2502268</v>
      </c>
      <c r="F36" t="s">
        <v>39</v>
      </c>
      <c r="G36">
        <v>450</v>
      </c>
      <c r="H36">
        <v>200</v>
      </c>
      <c r="I36">
        <f>VLOOKUP(D36,'3.10 Cancel List'!$C:$C,1,0)</f>
        <v>76225712</v>
      </c>
      <c r="J36" t="s">
        <v>325</v>
      </c>
      <c r="K36" t="s">
        <v>311</v>
      </c>
      <c r="L36"/>
    </row>
    <row r="37" spans="1:14">
      <c r="A37" t="s">
        <v>143</v>
      </c>
      <c r="B37" t="s">
        <v>144</v>
      </c>
      <c r="C37" t="s">
        <v>145</v>
      </c>
      <c r="D37">
        <v>76227121</v>
      </c>
      <c r="E37">
        <v>2502262</v>
      </c>
      <c r="F37" t="s">
        <v>39</v>
      </c>
      <c r="G37">
        <v>450</v>
      </c>
      <c r="H37">
        <v>200</v>
      </c>
      <c r="I37">
        <f>VLOOKUP(D37,'3.10 Cancel List'!$C:$C,1,0)</f>
        <v>76227121</v>
      </c>
      <c r="J37" t="s">
        <v>326</v>
      </c>
      <c r="K37" t="s">
        <v>308</v>
      </c>
      <c r="L37"/>
    </row>
    <row r="38" spans="1:14">
      <c r="A38" t="s">
        <v>146</v>
      </c>
      <c r="B38" t="s">
        <v>147</v>
      </c>
      <c r="C38" t="s">
        <v>148</v>
      </c>
      <c r="D38">
        <v>76227134</v>
      </c>
      <c r="E38">
        <v>2503481</v>
      </c>
      <c r="F38" t="s">
        <v>39</v>
      </c>
      <c r="G38">
        <v>300</v>
      </c>
      <c r="H38">
        <v>200</v>
      </c>
      <c r="I38">
        <f>VLOOKUP(D38,'3.10 Cancel List'!$C:$C,1,0)</f>
        <v>76227134</v>
      </c>
      <c r="J38" t="s">
        <v>327</v>
      </c>
      <c r="K38" t="s">
        <v>308</v>
      </c>
      <c r="L38"/>
    </row>
    <row r="39" spans="1:14">
      <c r="A39" t="s">
        <v>149</v>
      </c>
      <c r="B39" t="s">
        <v>150</v>
      </c>
      <c r="C39" t="s">
        <v>151</v>
      </c>
      <c r="D39">
        <v>76227679</v>
      </c>
      <c r="E39">
        <v>2001988</v>
      </c>
      <c r="F39" t="s">
        <v>39</v>
      </c>
      <c r="G39">
        <v>300</v>
      </c>
      <c r="H39">
        <v>200</v>
      </c>
      <c r="I39">
        <f>VLOOKUP(D39,'3.10 Cancel List'!$C:$C,1,0)</f>
        <v>76227679</v>
      </c>
      <c r="J39" t="s">
        <v>328</v>
      </c>
      <c r="K39" t="s">
        <v>329</v>
      </c>
      <c r="L39"/>
      <c r="M39" t="s">
        <v>330</v>
      </c>
      <c r="N39" s="42">
        <v>76257614</v>
      </c>
    </row>
    <row r="40" spans="1:14">
      <c r="A40" t="s">
        <v>152</v>
      </c>
      <c r="B40" t="s">
        <v>153</v>
      </c>
      <c r="C40" t="s">
        <v>154</v>
      </c>
      <c r="D40">
        <v>76227757</v>
      </c>
      <c r="E40">
        <v>2502508</v>
      </c>
      <c r="F40" t="s">
        <v>39</v>
      </c>
      <c r="G40">
        <v>400</v>
      </c>
      <c r="H40">
        <v>200</v>
      </c>
      <c r="I40">
        <f>VLOOKUP(D40,'3.10 Cancel List'!$C:$C,1,0)</f>
        <v>76227757</v>
      </c>
      <c r="J40" t="s">
        <v>331</v>
      </c>
      <c r="K40" t="s">
        <v>308</v>
      </c>
      <c r="L40"/>
      <c r="M40" t="s">
        <v>332</v>
      </c>
      <c r="N40" s="41"/>
    </row>
    <row r="41" spans="1:14">
      <c r="A41" t="s">
        <v>155</v>
      </c>
      <c r="B41" t="s">
        <v>156</v>
      </c>
      <c r="C41" t="s">
        <v>157</v>
      </c>
      <c r="D41">
        <v>76228229</v>
      </c>
      <c r="E41">
        <v>2502240</v>
      </c>
      <c r="F41" t="s">
        <v>39</v>
      </c>
      <c r="G41">
        <v>300</v>
      </c>
      <c r="H41">
        <v>200</v>
      </c>
      <c r="I41">
        <f>VLOOKUP(D41,'3.10 Cancel List'!$C:$C,1,0)</f>
        <v>76228229</v>
      </c>
      <c r="J41" t="s">
        <v>333</v>
      </c>
      <c r="K41" t="s">
        <v>308</v>
      </c>
      <c r="L41"/>
    </row>
    <row r="42" spans="1:14">
      <c r="A42" t="s">
        <v>158</v>
      </c>
      <c r="B42" t="s">
        <v>159</v>
      </c>
      <c r="C42" t="s">
        <v>160</v>
      </c>
      <c r="D42">
        <v>76228237</v>
      </c>
      <c r="E42">
        <v>2001918</v>
      </c>
      <c r="F42" t="s">
        <v>39</v>
      </c>
      <c r="G42">
        <v>450</v>
      </c>
      <c r="H42">
        <v>200</v>
      </c>
      <c r="I42">
        <f>VLOOKUP(D42,'3.10 Cancel List'!$C:$C,1,0)</f>
        <v>76228237</v>
      </c>
      <c r="J42" t="s">
        <v>334</v>
      </c>
      <c r="K42" t="s">
        <v>308</v>
      </c>
      <c r="L42"/>
    </row>
    <row r="43" spans="1:14" ht="30">
      <c r="A43" t="s">
        <v>161</v>
      </c>
      <c r="B43" t="s">
        <v>162</v>
      </c>
      <c r="C43" t="s">
        <v>163</v>
      </c>
      <c r="D43">
        <v>76228316</v>
      </c>
      <c r="E43">
        <v>2001986</v>
      </c>
      <c r="F43" t="s">
        <v>39</v>
      </c>
      <c r="G43">
        <v>300</v>
      </c>
      <c r="H43">
        <v>200</v>
      </c>
      <c r="I43">
        <f>VLOOKUP(D43,'3.10 Cancel List'!$C:$C,1,0)</f>
        <v>76228316</v>
      </c>
      <c r="J43" t="s">
        <v>335</v>
      </c>
      <c r="K43" t="s">
        <v>329</v>
      </c>
      <c r="L43"/>
      <c r="M43" t="s">
        <v>336</v>
      </c>
      <c r="N43" s="43" t="s">
        <v>337</v>
      </c>
    </row>
    <row r="44" spans="1:14">
      <c r="A44" t="s">
        <v>164</v>
      </c>
      <c r="B44" t="s">
        <v>165</v>
      </c>
      <c r="C44" t="s">
        <v>166</v>
      </c>
      <c r="D44">
        <v>76228629</v>
      </c>
      <c r="E44">
        <v>2001956</v>
      </c>
      <c r="F44" t="s">
        <v>39</v>
      </c>
      <c r="G44">
        <v>450</v>
      </c>
      <c r="H44">
        <v>200</v>
      </c>
      <c r="I44">
        <f>VLOOKUP(D44,'3.10 Cancel List'!$C:$C,1,0)</f>
        <v>76228629</v>
      </c>
      <c r="J44" t="s">
        <v>338</v>
      </c>
      <c r="K44" t="s">
        <v>308</v>
      </c>
      <c r="L44"/>
      <c r="M44" t="s">
        <v>339</v>
      </c>
    </row>
    <row r="45" spans="1:14">
      <c r="A45" t="s">
        <v>167</v>
      </c>
      <c r="B45" t="s">
        <v>168</v>
      </c>
      <c r="C45" t="s">
        <v>169</v>
      </c>
      <c r="D45">
        <v>76228727</v>
      </c>
      <c r="E45">
        <v>8054</v>
      </c>
      <c r="F45" t="s">
        <v>39</v>
      </c>
      <c r="G45">
        <v>300</v>
      </c>
      <c r="H45">
        <v>200</v>
      </c>
      <c r="I45" t="s">
        <v>306</v>
      </c>
      <c r="J45" t="s">
        <v>309</v>
      </c>
      <c r="K45" t="s">
        <v>308</v>
      </c>
      <c r="L45" s="12" t="e">
        <f>VLOOKUP(A45,'CDK Cancel tracking 5.16.26'!$A:$E,5,0)</f>
        <v>#N/A</v>
      </c>
    </row>
    <row r="46" spans="1:14" ht="30">
      <c r="A46" t="s">
        <v>170</v>
      </c>
      <c r="B46" t="s">
        <v>171</v>
      </c>
      <c r="C46" t="s">
        <v>172</v>
      </c>
      <c r="D46">
        <v>76229253</v>
      </c>
      <c r="E46">
        <v>2002721</v>
      </c>
      <c r="F46" t="s">
        <v>39</v>
      </c>
      <c r="G46">
        <v>300</v>
      </c>
      <c r="H46">
        <v>200</v>
      </c>
      <c r="I46">
        <f>VLOOKUP(D46,'3.10 Cancel List'!$C:$C,1,0)</f>
        <v>76229253</v>
      </c>
      <c r="J46" t="s">
        <v>340</v>
      </c>
      <c r="K46" t="s">
        <v>329</v>
      </c>
      <c r="L46"/>
      <c r="M46" t="s">
        <v>341</v>
      </c>
      <c r="N46" s="43" t="s">
        <v>342</v>
      </c>
    </row>
    <row r="47" spans="1:14">
      <c r="A47" t="s">
        <v>173</v>
      </c>
      <c r="B47" t="s">
        <v>174</v>
      </c>
      <c r="C47" t="s">
        <v>175</v>
      </c>
      <c r="D47">
        <v>76229684</v>
      </c>
      <c r="E47">
        <v>2002036</v>
      </c>
      <c r="F47" t="s">
        <v>39</v>
      </c>
      <c r="G47">
        <v>400</v>
      </c>
      <c r="H47">
        <v>200</v>
      </c>
      <c r="I47">
        <f>VLOOKUP(D47,'3.10 Cancel List'!$C:$C,1,0)</f>
        <v>76229684</v>
      </c>
      <c r="J47" t="s">
        <v>343</v>
      </c>
      <c r="K47" t="s">
        <v>308</v>
      </c>
      <c r="L47"/>
    </row>
    <row r="48" spans="1:14">
      <c r="A48" t="s">
        <v>176</v>
      </c>
      <c r="B48" t="s">
        <v>177</v>
      </c>
      <c r="C48" t="s">
        <v>178</v>
      </c>
      <c r="D48">
        <v>76229942</v>
      </c>
      <c r="E48">
        <v>2502402</v>
      </c>
      <c r="F48" t="s">
        <v>39</v>
      </c>
      <c r="G48">
        <v>450</v>
      </c>
      <c r="H48">
        <v>200</v>
      </c>
      <c r="I48">
        <f>VLOOKUP(D48,'3.10 Cancel List'!$C:$C,1,0)</f>
        <v>76229942</v>
      </c>
      <c r="J48" t="s">
        <v>344</v>
      </c>
      <c r="K48" t="s">
        <v>308</v>
      </c>
      <c r="L48"/>
    </row>
    <row r="49" spans="1:13">
      <c r="A49" t="s">
        <v>179</v>
      </c>
      <c r="B49" t="s">
        <v>180</v>
      </c>
      <c r="C49" t="s">
        <v>181</v>
      </c>
      <c r="D49">
        <v>76230156</v>
      </c>
      <c r="E49">
        <v>2002068</v>
      </c>
      <c r="F49" t="s">
        <v>39</v>
      </c>
      <c r="G49">
        <v>450</v>
      </c>
      <c r="H49">
        <v>200</v>
      </c>
      <c r="I49" t="s">
        <v>306</v>
      </c>
      <c r="J49" t="s">
        <v>345</v>
      </c>
      <c r="K49" t="s">
        <v>308</v>
      </c>
      <c r="L49" s="12" t="e">
        <f>VLOOKUP(A49,'CDK Cancel tracking 5.16.26'!$A:$E,5,0)</f>
        <v>#N/A</v>
      </c>
    </row>
    <row r="50" spans="1:13">
      <c r="A50" t="s">
        <v>182</v>
      </c>
      <c r="B50" t="s">
        <v>183</v>
      </c>
      <c r="C50" t="s">
        <v>184</v>
      </c>
      <c r="D50">
        <v>76230427</v>
      </c>
      <c r="E50">
        <v>9005</v>
      </c>
      <c r="F50" t="s">
        <v>39</v>
      </c>
      <c r="G50">
        <v>300</v>
      </c>
      <c r="H50">
        <v>200</v>
      </c>
      <c r="I50">
        <f>VLOOKUP(D50,'3.10 Cancel List'!$C:$C,1,0)</f>
        <v>76230427</v>
      </c>
      <c r="J50" t="s">
        <v>346</v>
      </c>
      <c r="K50" t="s">
        <v>308</v>
      </c>
      <c r="L50"/>
    </row>
    <row r="51" spans="1:13">
      <c r="A51" t="s">
        <v>185</v>
      </c>
      <c r="B51" t="s">
        <v>186</v>
      </c>
      <c r="C51" t="s">
        <v>187</v>
      </c>
      <c r="D51">
        <v>76231689</v>
      </c>
      <c r="E51">
        <v>2700004</v>
      </c>
      <c r="F51" t="s">
        <v>39</v>
      </c>
      <c r="G51">
        <v>300</v>
      </c>
      <c r="H51">
        <v>200</v>
      </c>
      <c r="I51" t="s">
        <v>306</v>
      </c>
      <c r="J51" t="s">
        <v>307</v>
      </c>
      <c r="K51" t="s">
        <v>308</v>
      </c>
      <c r="L51" s="12" t="e">
        <f>VLOOKUP(A51,'CDK Cancel tracking 5.16.26'!$A:$E,5,0)</f>
        <v>#N/A</v>
      </c>
    </row>
    <row r="52" spans="1:13">
      <c r="A52" t="s">
        <v>188</v>
      </c>
      <c r="B52" t="s">
        <v>189</v>
      </c>
      <c r="C52" t="s">
        <v>190</v>
      </c>
      <c r="D52">
        <v>76231928</v>
      </c>
      <c r="E52">
        <v>2502571</v>
      </c>
      <c r="F52" t="s">
        <v>39</v>
      </c>
      <c r="G52">
        <v>400</v>
      </c>
      <c r="H52">
        <v>200</v>
      </c>
      <c r="I52">
        <f>VLOOKUP(D52,'3.10 Cancel List'!$C:$C,1,0)</f>
        <v>76231928</v>
      </c>
      <c r="J52" t="s">
        <v>347</v>
      </c>
      <c r="K52" t="s">
        <v>308</v>
      </c>
      <c r="L52"/>
      <c r="M52" t="s">
        <v>339</v>
      </c>
    </row>
    <row r="53" spans="1:13">
      <c r="A53" t="s">
        <v>191</v>
      </c>
      <c r="B53" t="s">
        <v>192</v>
      </c>
      <c r="C53" t="s">
        <v>193</v>
      </c>
      <c r="D53">
        <v>76232064</v>
      </c>
      <c r="E53">
        <v>2502968</v>
      </c>
      <c r="F53" t="s">
        <v>39</v>
      </c>
      <c r="G53">
        <v>300</v>
      </c>
      <c r="H53">
        <v>200</v>
      </c>
      <c r="I53">
        <f>VLOOKUP(D53,'3.10 Cancel List'!$C:$C,1,0)</f>
        <v>76232064</v>
      </c>
      <c r="J53" t="s">
        <v>348</v>
      </c>
      <c r="K53" t="s">
        <v>308</v>
      </c>
      <c r="L53"/>
      <c r="M53" t="s">
        <v>339</v>
      </c>
    </row>
    <row r="54" spans="1:13">
      <c r="A54" t="s">
        <v>194</v>
      </c>
      <c r="B54" t="s">
        <v>195</v>
      </c>
      <c r="C54" t="s">
        <v>196</v>
      </c>
      <c r="D54">
        <v>76232553</v>
      </c>
      <c r="E54">
        <v>2502656</v>
      </c>
      <c r="F54" t="s">
        <v>39</v>
      </c>
      <c r="G54">
        <v>300</v>
      </c>
      <c r="H54">
        <v>200</v>
      </c>
      <c r="I54">
        <f>VLOOKUP(D54,'3.10 Cancel List'!$C:$C,1,0)</f>
        <v>76232553</v>
      </c>
      <c r="J54" t="s">
        <v>349</v>
      </c>
      <c r="K54" t="s">
        <v>308</v>
      </c>
      <c r="L54"/>
    </row>
    <row r="55" spans="1:13">
      <c r="A55" t="s">
        <v>197</v>
      </c>
      <c r="B55" t="s">
        <v>198</v>
      </c>
      <c r="C55" t="s">
        <v>199</v>
      </c>
      <c r="D55">
        <v>76232596</v>
      </c>
      <c r="E55">
        <v>2500144</v>
      </c>
      <c r="F55" t="s">
        <v>39</v>
      </c>
      <c r="G55">
        <v>450</v>
      </c>
      <c r="H55">
        <v>200</v>
      </c>
      <c r="I55">
        <f>VLOOKUP(D55,'3.10 Cancel List'!$C:$C,1,0)</f>
        <v>76232596</v>
      </c>
      <c r="J55" t="s">
        <v>326</v>
      </c>
      <c r="K55" t="s">
        <v>308</v>
      </c>
      <c r="L55"/>
    </row>
    <row r="56" spans="1:13">
      <c r="A56" t="s">
        <v>200</v>
      </c>
      <c r="B56" t="s">
        <v>201</v>
      </c>
      <c r="C56" t="s">
        <v>202</v>
      </c>
      <c r="D56">
        <v>76232815</v>
      </c>
      <c r="E56">
        <v>0</v>
      </c>
      <c r="F56" t="s">
        <v>39</v>
      </c>
      <c r="G56">
        <v>400</v>
      </c>
      <c r="H56">
        <v>200</v>
      </c>
      <c r="I56">
        <f>VLOOKUP(D56,'3.10 Cancel List'!$C:$C,1,0)</f>
        <v>76232815</v>
      </c>
      <c r="J56" t="s">
        <v>333</v>
      </c>
      <c r="K56" t="s">
        <v>308</v>
      </c>
      <c r="L56"/>
    </row>
    <row r="57" spans="1:13">
      <c r="A57" t="s">
        <v>203</v>
      </c>
      <c r="B57" t="s">
        <v>204</v>
      </c>
      <c r="C57" t="s">
        <v>205</v>
      </c>
      <c r="D57">
        <v>76233048</v>
      </c>
      <c r="E57">
        <v>2002132</v>
      </c>
      <c r="F57" t="s">
        <v>39</v>
      </c>
      <c r="G57">
        <v>450</v>
      </c>
      <c r="H57">
        <v>200</v>
      </c>
      <c r="I57">
        <f>VLOOKUP(D57,'3.10 Cancel List'!$C:$C,1,0)</f>
        <v>76233048</v>
      </c>
      <c r="J57" t="s">
        <v>350</v>
      </c>
      <c r="K57" t="s">
        <v>308</v>
      </c>
      <c r="L57"/>
      <c r="M57" t="s">
        <v>339</v>
      </c>
    </row>
    <row r="58" spans="1:13">
      <c r="A58" t="s">
        <v>206</v>
      </c>
      <c r="B58" t="s">
        <v>207</v>
      </c>
      <c r="C58" t="s">
        <v>208</v>
      </c>
      <c r="D58">
        <v>76233242</v>
      </c>
      <c r="E58">
        <v>0</v>
      </c>
      <c r="F58" t="s">
        <v>39</v>
      </c>
      <c r="G58">
        <v>400</v>
      </c>
      <c r="H58">
        <v>200</v>
      </c>
      <c r="I58">
        <f>VLOOKUP(D58,'3.10 Cancel List'!$C:$C,1,0)</f>
        <v>76233242</v>
      </c>
      <c r="J58" t="s">
        <v>351</v>
      </c>
      <c r="K58" t="s">
        <v>308</v>
      </c>
      <c r="L58"/>
    </row>
    <row r="59" spans="1:13">
      <c r="A59" t="s">
        <v>209</v>
      </c>
      <c r="B59" t="s">
        <v>210</v>
      </c>
      <c r="C59" t="s">
        <v>211</v>
      </c>
      <c r="D59">
        <v>76234206</v>
      </c>
      <c r="E59">
        <v>2003022</v>
      </c>
      <c r="F59" t="s">
        <v>39</v>
      </c>
      <c r="G59">
        <v>300</v>
      </c>
      <c r="H59">
        <v>200</v>
      </c>
      <c r="I59">
        <f>VLOOKUP(D59,'3.10 Cancel List'!$C:$C,1,0)</f>
        <v>76234206</v>
      </c>
      <c r="J59" t="s">
        <v>352</v>
      </c>
      <c r="K59" t="s">
        <v>308</v>
      </c>
      <c r="L59"/>
    </row>
    <row r="60" spans="1:13">
      <c r="A60" t="s">
        <v>212</v>
      </c>
      <c r="B60" t="s">
        <v>213</v>
      </c>
      <c r="C60" t="s">
        <v>214</v>
      </c>
      <c r="D60">
        <v>76234275</v>
      </c>
      <c r="E60">
        <v>0</v>
      </c>
      <c r="F60" t="s">
        <v>39</v>
      </c>
      <c r="G60">
        <v>400</v>
      </c>
      <c r="H60">
        <v>200</v>
      </c>
      <c r="I60">
        <f>VLOOKUP(D60,'3.10 Cancel List'!$C:$C,1,0)</f>
        <v>76234275</v>
      </c>
      <c r="J60" t="s">
        <v>353</v>
      </c>
      <c r="K60" t="s">
        <v>308</v>
      </c>
      <c r="L60"/>
    </row>
    <row r="61" spans="1:13">
      <c r="A61" t="s">
        <v>215</v>
      </c>
      <c r="B61" t="s">
        <v>216</v>
      </c>
      <c r="C61" t="s">
        <v>217</v>
      </c>
      <c r="D61">
        <v>76235514</v>
      </c>
      <c r="E61">
        <v>2503145</v>
      </c>
      <c r="F61" t="s">
        <v>39</v>
      </c>
      <c r="G61">
        <v>300</v>
      </c>
      <c r="H61">
        <v>200</v>
      </c>
      <c r="I61">
        <f>VLOOKUP(D61,'3.10 Cancel List'!$C:$C,1,0)</f>
        <v>76235514</v>
      </c>
      <c r="J61" t="s">
        <v>333</v>
      </c>
      <c r="K61" t="s">
        <v>308</v>
      </c>
      <c r="L61"/>
    </row>
    <row r="62" spans="1:13">
      <c r="A62" t="s">
        <v>218</v>
      </c>
      <c r="B62" t="s">
        <v>219</v>
      </c>
      <c r="C62" t="s">
        <v>220</v>
      </c>
      <c r="D62">
        <v>76236622</v>
      </c>
      <c r="E62">
        <v>2503117</v>
      </c>
      <c r="F62" t="s">
        <v>39</v>
      </c>
      <c r="G62">
        <v>300</v>
      </c>
      <c r="H62">
        <v>200</v>
      </c>
      <c r="I62">
        <f>VLOOKUP(D62,'3.10 Cancel List'!$C:$C,1,0)</f>
        <v>76236622</v>
      </c>
      <c r="J62" t="s">
        <v>354</v>
      </c>
      <c r="K62" t="s">
        <v>308</v>
      </c>
      <c r="L62"/>
    </row>
    <row r="63" spans="1:13">
      <c r="A63" t="s">
        <v>221</v>
      </c>
      <c r="B63" t="s">
        <v>222</v>
      </c>
      <c r="C63" t="s">
        <v>223</v>
      </c>
      <c r="D63">
        <v>76237142</v>
      </c>
      <c r="E63">
        <v>2002655</v>
      </c>
      <c r="F63" t="s">
        <v>39</v>
      </c>
      <c r="G63">
        <v>300</v>
      </c>
      <c r="H63">
        <v>200</v>
      </c>
      <c r="I63">
        <f>VLOOKUP(D63,'3.10 Cancel List'!$C:$C,1,0)</f>
        <v>76237142</v>
      </c>
      <c r="J63" t="s">
        <v>355</v>
      </c>
      <c r="K63" t="s">
        <v>308</v>
      </c>
      <c r="L63"/>
    </row>
    <row r="64" spans="1:13">
      <c r="A64" t="s">
        <v>224</v>
      </c>
      <c r="B64" t="s">
        <v>225</v>
      </c>
      <c r="C64" t="s">
        <v>226</v>
      </c>
      <c r="D64">
        <v>76237167</v>
      </c>
      <c r="E64">
        <v>2002821</v>
      </c>
      <c r="F64" t="s">
        <v>39</v>
      </c>
      <c r="G64">
        <v>300</v>
      </c>
      <c r="H64">
        <v>200</v>
      </c>
      <c r="I64">
        <f>VLOOKUP(D64,'3.10 Cancel List'!$C:$C,1,0)</f>
        <v>76237167</v>
      </c>
      <c r="J64" t="s">
        <v>356</v>
      </c>
      <c r="K64" t="s">
        <v>308</v>
      </c>
      <c r="L64"/>
    </row>
    <row r="65" spans="1:14">
      <c r="A65" t="s">
        <v>227</v>
      </c>
      <c r="B65" t="s">
        <v>228</v>
      </c>
      <c r="C65" t="s">
        <v>229</v>
      </c>
      <c r="D65">
        <v>76237170</v>
      </c>
      <c r="E65">
        <v>2000380</v>
      </c>
      <c r="F65" t="s">
        <v>39</v>
      </c>
      <c r="G65">
        <v>300</v>
      </c>
      <c r="H65">
        <v>200</v>
      </c>
      <c r="I65">
        <f>VLOOKUP(D65,'3.10 Cancel List'!$C:$C,1,0)</f>
        <v>76237170</v>
      </c>
      <c r="J65" t="s">
        <v>355</v>
      </c>
      <c r="K65" t="s">
        <v>308</v>
      </c>
      <c r="L65"/>
    </row>
    <row r="66" spans="1:14">
      <c r="A66" t="s">
        <v>230</v>
      </c>
      <c r="B66" t="s">
        <v>231</v>
      </c>
      <c r="C66" t="s">
        <v>232</v>
      </c>
      <c r="D66">
        <v>76238669</v>
      </c>
      <c r="E66">
        <v>2503205</v>
      </c>
      <c r="F66" t="s">
        <v>39</v>
      </c>
      <c r="G66">
        <v>300</v>
      </c>
      <c r="H66">
        <v>200</v>
      </c>
      <c r="I66">
        <f>VLOOKUP(D66,'3.10 Cancel List'!$C:$C,1,0)</f>
        <v>76238669</v>
      </c>
      <c r="J66" t="s">
        <v>333</v>
      </c>
      <c r="K66" t="s">
        <v>308</v>
      </c>
      <c r="L66"/>
    </row>
    <row r="67" spans="1:14" s="14" customFormat="1">
      <c r="A67" s="14" t="s">
        <v>233</v>
      </c>
      <c r="B67" s="14" t="s">
        <v>234</v>
      </c>
      <c r="C67" s="14" t="s">
        <v>235</v>
      </c>
      <c r="D67" s="14">
        <v>76238760</v>
      </c>
      <c r="E67" s="14">
        <v>11073</v>
      </c>
      <c r="F67" s="14" t="s">
        <v>39</v>
      </c>
      <c r="G67" s="14">
        <v>300</v>
      </c>
      <c r="H67" s="14">
        <v>200</v>
      </c>
      <c r="I67" s="14">
        <f>VLOOKUP(D67,'3.10 Cancel List'!$C:$C,1,0)</f>
        <v>76238760</v>
      </c>
      <c r="J67" s="14" t="s">
        <v>357</v>
      </c>
      <c r="K67" s="14" t="s">
        <v>358</v>
      </c>
      <c r="M67" t="s">
        <v>359</v>
      </c>
      <c r="N67">
        <v>76250570</v>
      </c>
    </row>
    <row r="68" spans="1:14">
      <c r="A68" t="s">
        <v>236</v>
      </c>
      <c r="B68" t="s">
        <v>237</v>
      </c>
      <c r="C68" t="s">
        <v>238</v>
      </c>
      <c r="D68">
        <v>76240142</v>
      </c>
      <c r="E68">
        <v>2000770</v>
      </c>
      <c r="F68" t="s">
        <v>39</v>
      </c>
      <c r="G68">
        <v>300</v>
      </c>
      <c r="H68">
        <v>200</v>
      </c>
      <c r="I68" t="s">
        <v>306</v>
      </c>
      <c r="J68" t="s">
        <v>309</v>
      </c>
      <c r="K68" t="s">
        <v>308</v>
      </c>
      <c r="L68" s="12" t="e">
        <f>VLOOKUP(A68,'CDK Cancel tracking 5.16.26'!$A:$E,5,0)</f>
        <v>#N/A</v>
      </c>
    </row>
    <row r="69" spans="1:14" s="14" customFormat="1">
      <c r="A69" s="14" t="s">
        <v>239</v>
      </c>
      <c r="B69" s="14" t="s">
        <v>240</v>
      </c>
      <c r="C69" s="14" t="s">
        <v>241</v>
      </c>
      <c r="D69" s="14">
        <v>76240429</v>
      </c>
      <c r="E69" s="14">
        <v>2002703</v>
      </c>
      <c r="F69" s="14" t="s">
        <v>39</v>
      </c>
      <c r="G69" s="14">
        <v>300</v>
      </c>
      <c r="H69" s="14">
        <v>200</v>
      </c>
      <c r="I69" s="14">
        <f>VLOOKUP(D69,'3.10 Cancel List'!$C:$C,1,0)</f>
        <v>76240429</v>
      </c>
      <c r="J69" s="14" t="s">
        <v>360</v>
      </c>
      <c r="K69" s="14" t="s">
        <v>308</v>
      </c>
    </row>
    <row r="70" spans="1:14">
      <c r="A70" t="s">
        <v>242</v>
      </c>
      <c r="B70" t="s">
        <v>243</v>
      </c>
      <c r="C70" t="s">
        <v>244</v>
      </c>
      <c r="D70">
        <v>76241005</v>
      </c>
      <c r="E70">
        <v>2002833</v>
      </c>
      <c r="F70" t="s">
        <v>39</v>
      </c>
      <c r="G70">
        <v>300</v>
      </c>
      <c r="H70">
        <v>200</v>
      </c>
      <c r="I70">
        <f>VLOOKUP(D70,'3.10 Cancel List'!$C:$C,1,0)</f>
        <v>76241005</v>
      </c>
      <c r="J70" t="s">
        <v>361</v>
      </c>
      <c r="K70" t="s">
        <v>308</v>
      </c>
      <c r="L70"/>
    </row>
    <row r="71" spans="1:14">
      <c r="A71" t="s">
        <v>245</v>
      </c>
      <c r="B71" t="s">
        <v>246</v>
      </c>
      <c r="C71" t="s">
        <v>247</v>
      </c>
      <c r="D71">
        <v>76241171</v>
      </c>
      <c r="E71">
        <v>2002774</v>
      </c>
      <c r="F71" t="s">
        <v>39</v>
      </c>
      <c r="G71">
        <v>300</v>
      </c>
      <c r="H71">
        <v>200</v>
      </c>
      <c r="I71">
        <f>VLOOKUP(D71,'3.10 Cancel List'!$C:$C,1,0)</f>
        <v>76241171</v>
      </c>
      <c r="J71" t="s">
        <v>362</v>
      </c>
      <c r="K71" t="s">
        <v>308</v>
      </c>
      <c r="L71"/>
    </row>
    <row r="72" spans="1:14">
      <c r="A72" t="s">
        <v>248</v>
      </c>
      <c r="B72" t="s">
        <v>249</v>
      </c>
      <c r="C72" t="s">
        <v>250</v>
      </c>
      <c r="D72">
        <v>76241172</v>
      </c>
      <c r="E72">
        <v>2002773</v>
      </c>
      <c r="F72" t="s">
        <v>39</v>
      </c>
      <c r="G72">
        <v>400</v>
      </c>
      <c r="H72">
        <v>200</v>
      </c>
      <c r="I72">
        <f>VLOOKUP(D72,'3.10 Cancel List'!$C:$C,1,0)</f>
        <v>76241172</v>
      </c>
      <c r="J72" t="s">
        <v>362</v>
      </c>
      <c r="K72" t="s">
        <v>308</v>
      </c>
      <c r="L72"/>
    </row>
    <row r="73" spans="1:14" ht="30">
      <c r="A73" t="s">
        <v>251</v>
      </c>
      <c r="B73" t="s">
        <v>252</v>
      </c>
      <c r="C73" t="s">
        <v>253</v>
      </c>
      <c r="D73">
        <v>76241447</v>
      </c>
      <c r="E73">
        <v>2002789</v>
      </c>
      <c r="F73" t="s">
        <v>39</v>
      </c>
      <c r="G73">
        <v>300</v>
      </c>
      <c r="H73">
        <v>200</v>
      </c>
      <c r="I73">
        <f>VLOOKUP(D73,'3.10 Cancel List'!$C:$C,1,0)</f>
        <v>76241447</v>
      </c>
      <c r="J73" t="s">
        <v>363</v>
      </c>
      <c r="K73" t="s">
        <v>329</v>
      </c>
      <c r="L73"/>
      <c r="M73" t="s">
        <v>359</v>
      </c>
      <c r="N73" s="43" t="s">
        <v>364</v>
      </c>
    </row>
    <row r="74" spans="1:14" ht="30">
      <c r="A74" t="s">
        <v>254</v>
      </c>
      <c r="B74" t="s">
        <v>255</v>
      </c>
      <c r="C74" t="s">
        <v>256</v>
      </c>
      <c r="D74">
        <v>76241522</v>
      </c>
      <c r="E74">
        <v>2002804</v>
      </c>
      <c r="F74" t="s">
        <v>39</v>
      </c>
      <c r="G74">
        <v>300</v>
      </c>
      <c r="H74">
        <v>200</v>
      </c>
      <c r="I74">
        <f>VLOOKUP(D74,'3.10 Cancel List'!$C:$C,1,0)</f>
        <v>76241522</v>
      </c>
      <c r="J74" t="s">
        <v>365</v>
      </c>
      <c r="K74" t="s">
        <v>329</v>
      </c>
      <c r="L74"/>
      <c r="M74" t="s">
        <v>359</v>
      </c>
      <c r="N74" s="43" t="s">
        <v>366</v>
      </c>
    </row>
    <row r="75" spans="1:14">
      <c r="A75" t="s">
        <v>257</v>
      </c>
      <c r="B75" t="s">
        <v>258</v>
      </c>
      <c r="C75" t="s">
        <v>259</v>
      </c>
      <c r="D75">
        <v>76243293</v>
      </c>
      <c r="E75">
        <v>2503344</v>
      </c>
      <c r="F75" t="s">
        <v>39</v>
      </c>
      <c r="G75">
        <v>300</v>
      </c>
      <c r="H75">
        <v>200</v>
      </c>
      <c r="I75">
        <f>VLOOKUP(D75,'3.10 Cancel List'!$C:$C,1,0)</f>
        <v>76243293</v>
      </c>
      <c r="J75" t="s">
        <v>367</v>
      </c>
      <c r="K75" t="s">
        <v>308</v>
      </c>
      <c r="L75"/>
    </row>
    <row r="76" spans="1:14">
      <c r="A76" t="s">
        <v>260</v>
      </c>
      <c r="B76" t="s">
        <v>261</v>
      </c>
      <c r="C76" t="s">
        <v>262</v>
      </c>
      <c r="D76">
        <v>76244521</v>
      </c>
      <c r="E76">
        <v>2003072</v>
      </c>
      <c r="F76" t="s">
        <v>39</v>
      </c>
      <c r="G76">
        <v>300</v>
      </c>
      <c r="H76">
        <v>200</v>
      </c>
      <c r="I76">
        <f>VLOOKUP(D76,'3.10 Cancel List'!$C:$C,1,0)</f>
        <v>76244521</v>
      </c>
      <c r="J76" t="s">
        <v>333</v>
      </c>
      <c r="K76" t="s">
        <v>308</v>
      </c>
      <c r="L76"/>
    </row>
    <row r="77" spans="1:14">
      <c r="A77" t="s">
        <v>263</v>
      </c>
      <c r="B77" t="s">
        <v>264</v>
      </c>
      <c r="C77" t="s">
        <v>265</v>
      </c>
      <c r="D77">
        <v>76244781</v>
      </c>
      <c r="E77">
        <v>2502176</v>
      </c>
      <c r="F77" t="s">
        <v>39</v>
      </c>
      <c r="G77">
        <v>400</v>
      </c>
      <c r="H77">
        <v>200</v>
      </c>
      <c r="I77">
        <f>VLOOKUP(D77,'3.10 Cancel List'!$C:$C,1,0)</f>
        <v>76244781</v>
      </c>
      <c r="J77" t="s">
        <v>368</v>
      </c>
      <c r="K77" t="s">
        <v>308</v>
      </c>
      <c r="L77"/>
    </row>
    <row r="78" spans="1:14">
      <c r="A78" t="s">
        <v>266</v>
      </c>
      <c r="B78" t="s">
        <v>267</v>
      </c>
      <c r="C78" t="s">
        <v>268</v>
      </c>
      <c r="D78">
        <v>76245003</v>
      </c>
      <c r="E78">
        <v>2002906</v>
      </c>
      <c r="F78" t="s">
        <v>39</v>
      </c>
      <c r="G78">
        <v>300</v>
      </c>
      <c r="H78">
        <v>200</v>
      </c>
      <c r="I78">
        <f>VLOOKUP(D78,'3.10 Cancel List'!$C:$C,1,0)</f>
        <v>76245003</v>
      </c>
      <c r="J78" t="s">
        <v>369</v>
      </c>
      <c r="K78" t="s">
        <v>329</v>
      </c>
      <c r="L78"/>
      <c r="M78" t="s">
        <v>359</v>
      </c>
      <c r="N78" s="41">
        <v>76255685</v>
      </c>
    </row>
    <row r="79" spans="1:14">
      <c r="A79" t="s">
        <v>269</v>
      </c>
      <c r="B79" t="s">
        <v>270</v>
      </c>
      <c r="C79" t="s">
        <v>271</v>
      </c>
      <c r="D79">
        <v>76245016</v>
      </c>
      <c r="E79">
        <v>2002905</v>
      </c>
      <c r="F79" t="s">
        <v>39</v>
      </c>
      <c r="G79">
        <v>300</v>
      </c>
      <c r="H79">
        <v>200</v>
      </c>
      <c r="I79">
        <f>VLOOKUP(D79,'3.10 Cancel List'!$C:$C,1,0)</f>
        <v>76245016</v>
      </c>
      <c r="J79" t="s">
        <v>370</v>
      </c>
      <c r="K79" t="s">
        <v>308</v>
      </c>
      <c r="L79"/>
    </row>
    <row r="80" spans="1:14">
      <c r="A80" t="s">
        <v>272</v>
      </c>
      <c r="B80" t="s">
        <v>273</v>
      </c>
      <c r="C80" t="s">
        <v>274</v>
      </c>
      <c r="D80">
        <v>76245040</v>
      </c>
      <c r="E80">
        <v>2503548</v>
      </c>
      <c r="F80" t="s">
        <v>39</v>
      </c>
      <c r="G80">
        <v>300</v>
      </c>
      <c r="H80">
        <v>200</v>
      </c>
      <c r="I80" t="s">
        <v>306</v>
      </c>
      <c r="J80" t="s">
        <v>307</v>
      </c>
      <c r="K80" t="s">
        <v>308</v>
      </c>
      <c r="L80" s="12">
        <f>VLOOKUP(A80,'CDK Cancel tracking 5.16.26'!$A:$E,5,0)</f>
        <v>46146</v>
      </c>
    </row>
    <row r="81" spans="1:14">
      <c r="A81" t="s">
        <v>275</v>
      </c>
      <c r="B81" t="s">
        <v>276</v>
      </c>
      <c r="C81" t="s">
        <v>277</v>
      </c>
      <c r="D81">
        <v>76246888</v>
      </c>
      <c r="E81">
        <v>2503531</v>
      </c>
      <c r="F81" t="s">
        <v>39</v>
      </c>
      <c r="G81">
        <v>300</v>
      </c>
      <c r="H81">
        <v>200</v>
      </c>
      <c r="I81">
        <f>VLOOKUP(D81,'3.10 Cancel List'!$C:$C,1,0)</f>
        <v>76246888</v>
      </c>
      <c r="J81" t="s">
        <v>333</v>
      </c>
      <c r="K81" t="s">
        <v>308</v>
      </c>
      <c r="L81"/>
    </row>
    <row r="82" spans="1:14">
      <c r="A82" t="s">
        <v>278</v>
      </c>
      <c r="B82" t="s">
        <v>279</v>
      </c>
      <c r="C82" t="s">
        <v>280</v>
      </c>
      <c r="D82">
        <v>76250378</v>
      </c>
      <c r="E82">
        <v>2503449</v>
      </c>
      <c r="F82" t="s">
        <v>39</v>
      </c>
      <c r="G82">
        <v>300</v>
      </c>
      <c r="H82">
        <v>200</v>
      </c>
      <c r="I82">
        <f>VLOOKUP(D82,'3.10 Cancel List'!$C:$C,1,0)</f>
        <v>76250378</v>
      </c>
      <c r="J82" t="s">
        <v>371</v>
      </c>
      <c r="K82" t="s">
        <v>329</v>
      </c>
      <c r="L82"/>
      <c r="M82" t="s">
        <v>359</v>
      </c>
      <c r="N82" s="41">
        <v>76255914</v>
      </c>
    </row>
    <row r="83" spans="1:14">
      <c r="A83" t="s">
        <v>281</v>
      </c>
      <c r="B83" t="s">
        <v>282</v>
      </c>
      <c r="C83" t="s">
        <v>283</v>
      </c>
      <c r="D83">
        <v>76252046</v>
      </c>
      <c r="E83">
        <v>2503503</v>
      </c>
      <c r="F83" t="s">
        <v>39</v>
      </c>
      <c r="G83">
        <v>300</v>
      </c>
      <c r="H83">
        <v>200</v>
      </c>
      <c r="I83">
        <f>VLOOKUP(D83,'3.10 Cancel List'!$C:$C,1,0)</f>
        <v>76252046</v>
      </c>
      <c r="J83" t="s">
        <v>372</v>
      </c>
      <c r="K83" t="s">
        <v>308</v>
      </c>
      <c r="L83"/>
    </row>
    <row r="84" spans="1:14">
      <c r="A84" t="s">
        <v>284</v>
      </c>
      <c r="B84" t="s">
        <v>285</v>
      </c>
      <c r="C84" t="s">
        <v>286</v>
      </c>
      <c r="D84">
        <v>76253766</v>
      </c>
      <c r="E84">
        <v>2503580</v>
      </c>
      <c r="F84" t="s">
        <v>39</v>
      </c>
      <c r="G84">
        <v>300</v>
      </c>
      <c r="H84">
        <v>200</v>
      </c>
      <c r="I84">
        <f>VLOOKUP(D84,'3.10 Cancel List'!$C:$C,1,0)</f>
        <v>76253766</v>
      </c>
      <c r="J84" t="s">
        <v>373</v>
      </c>
      <c r="K84" t="s">
        <v>308</v>
      </c>
      <c r="L84"/>
    </row>
    <row r="85" spans="1:14">
      <c r="A85" t="s">
        <v>287</v>
      </c>
      <c r="B85" t="s">
        <v>288</v>
      </c>
      <c r="C85" t="s">
        <v>289</v>
      </c>
      <c r="D85">
        <v>76253767</v>
      </c>
      <c r="E85">
        <v>2503579</v>
      </c>
      <c r="F85" t="s">
        <v>39</v>
      </c>
      <c r="G85">
        <v>300</v>
      </c>
      <c r="H85">
        <v>200</v>
      </c>
      <c r="I85">
        <f>VLOOKUP(D85,'3.10 Cancel List'!$C:$C,1,0)</f>
        <v>76253767</v>
      </c>
      <c r="J85" t="s">
        <v>374</v>
      </c>
      <c r="K85" t="s">
        <v>308</v>
      </c>
      <c r="L85"/>
    </row>
    <row r="86" spans="1:14">
      <c r="A86" t="s">
        <v>290</v>
      </c>
      <c r="B86" t="s">
        <v>291</v>
      </c>
      <c r="C86" t="s">
        <v>292</v>
      </c>
      <c r="D86">
        <v>76256562</v>
      </c>
      <c r="E86">
        <v>3000496</v>
      </c>
      <c r="F86" t="s">
        <v>39</v>
      </c>
      <c r="G86">
        <v>300</v>
      </c>
      <c r="H86">
        <v>200</v>
      </c>
      <c r="I86">
        <f>VLOOKUP(D86,'3.10 Cancel List'!$C:$C,1,0)</f>
        <v>76256562</v>
      </c>
      <c r="J86" t="s">
        <v>333</v>
      </c>
      <c r="K86" t="s">
        <v>308</v>
      </c>
      <c r="L86"/>
    </row>
    <row r="87" spans="1:14">
      <c r="A87" t="s">
        <v>293</v>
      </c>
      <c r="B87" t="s">
        <v>294</v>
      </c>
      <c r="C87" t="s">
        <v>295</v>
      </c>
      <c r="D87">
        <v>76257159</v>
      </c>
      <c r="E87">
        <v>8038</v>
      </c>
      <c r="F87" t="s">
        <v>39</v>
      </c>
      <c r="G87">
        <v>400</v>
      </c>
      <c r="H87">
        <v>200</v>
      </c>
      <c r="I87" t="s">
        <v>306</v>
      </c>
      <c r="J87" t="s">
        <v>375</v>
      </c>
      <c r="K87" t="s">
        <v>308</v>
      </c>
      <c r="L87" s="12" t="e">
        <f>VLOOKUP(A87,'CDK Cancel tracking 5.16.26'!$A:$E,5,0)</f>
        <v>#N/A</v>
      </c>
    </row>
    <row r="88" spans="1:14">
      <c r="A88" t="s">
        <v>296</v>
      </c>
      <c r="B88" t="s">
        <v>297</v>
      </c>
      <c r="C88" t="s">
        <v>298</v>
      </c>
      <c r="D88">
        <v>76258093</v>
      </c>
      <c r="E88">
        <v>3000981</v>
      </c>
      <c r="F88" t="s">
        <v>39</v>
      </c>
      <c r="G88">
        <v>300</v>
      </c>
      <c r="H88">
        <v>200</v>
      </c>
      <c r="I88" t="s">
        <v>306</v>
      </c>
      <c r="J88" t="s">
        <v>307</v>
      </c>
      <c r="K88" t="s">
        <v>308</v>
      </c>
      <c r="L88" s="12">
        <f>VLOOKUP(A88,'CDK Cancel tracking 5.16.26'!$A:$E,5,0)</f>
        <v>46143</v>
      </c>
    </row>
    <row r="89" spans="1:14">
      <c r="F89" t="s">
        <v>299</v>
      </c>
      <c r="G89">
        <f>SUM(G2:G88)</f>
        <v>29400</v>
      </c>
      <c r="H89">
        <f>SUM(H2:H88)</f>
        <v>17400</v>
      </c>
      <c r="I89" t="e">
        <f>VLOOKUP(D89,'3.10 Cancel List'!$C:$C,1,0)</f>
        <v>#N/A</v>
      </c>
      <c r="L89"/>
    </row>
    <row r="90" spans="1:14">
      <c r="F90" t="s">
        <v>300</v>
      </c>
      <c r="H90">
        <f>G89+H89</f>
        <v>46800</v>
      </c>
      <c r="I90" t="s">
        <v>0</v>
      </c>
      <c r="L90"/>
    </row>
    <row r="705" spans="12:12" s="14" customFormat="1">
      <c r="L705" s="36"/>
    </row>
  </sheetData>
  <autoFilter ref="A1:N90" xr:uid="{9A31F8FE-4C66-48BB-85E8-DE50132EDDE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4F506-3F9F-4126-A331-48CD57C374A3}">
  <sheetPr>
    <tabColor rgb="FFFF0000"/>
  </sheetPr>
  <dimension ref="A1:I120"/>
  <sheetViews>
    <sheetView zoomScale="114" workbookViewId="0">
      <selection activeCell="A2" sqref="A2:A118"/>
    </sheetView>
  </sheetViews>
  <sheetFormatPr defaultRowHeight="15"/>
  <cols>
    <col min="2" max="2" width="52.7109375" bestFit="1" customWidth="1"/>
    <col min="3" max="3" width="15.42578125" bestFit="1" customWidth="1"/>
    <col min="4" max="4" width="12" bestFit="1" customWidth="1"/>
    <col min="5" max="5" width="11" bestFit="1" customWidth="1"/>
    <col min="6" max="6" width="20.28515625" bestFit="1" customWidth="1"/>
    <col min="7" max="7" width="14" bestFit="1" customWidth="1"/>
    <col min="8" max="8" width="11" bestFit="1" customWidth="1"/>
    <col min="9" max="9" width="14" bestFit="1" customWidth="1"/>
  </cols>
  <sheetData>
    <row r="1" spans="1:9" s="13" customFormat="1">
      <c r="A1" s="13" t="s">
        <v>22</v>
      </c>
      <c r="B1" s="13" t="s">
        <v>23</v>
      </c>
      <c r="C1" s="13" t="s">
        <v>24</v>
      </c>
      <c r="D1" s="13" t="s">
        <v>25</v>
      </c>
      <c r="E1" s="13" t="s">
        <v>26</v>
      </c>
      <c r="F1" s="13" t="s">
        <v>27</v>
      </c>
      <c r="G1" s="13" t="s">
        <v>376</v>
      </c>
      <c r="H1" s="13" t="s">
        <v>377</v>
      </c>
      <c r="I1" s="13" t="s">
        <v>20</v>
      </c>
    </row>
    <row r="2" spans="1:9">
      <c r="A2" t="s">
        <v>378</v>
      </c>
      <c r="B2" t="s">
        <v>379</v>
      </c>
      <c r="C2" t="s">
        <v>380</v>
      </c>
      <c r="D2">
        <v>1012201</v>
      </c>
      <c r="E2">
        <v>3001502</v>
      </c>
      <c r="F2" t="s">
        <v>39</v>
      </c>
      <c r="G2">
        <v>300</v>
      </c>
      <c r="H2">
        <v>200</v>
      </c>
      <c r="I2">
        <f>G2+H2</f>
        <v>500</v>
      </c>
    </row>
    <row r="3" spans="1:9">
      <c r="A3" t="s">
        <v>381</v>
      </c>
      <c r="B3" t="s">
        <v>382</v>
      </c>
      <c r="C3" t="s">
        <v>383</v>
      </c>
      <c r="D3">
        <v>1012202</v>
      </c>
      <c r="E3">
        <v>3001510</v>
      </c>
      <c r="F3" t="s">
        <v>39</v>
      </c>
      <c r="G3">
        <v>300</v>
      </c>
      <c r="H3">
        <v>200</v>
      </c>
      <c r="I3">
        <f t="shared" ref="I3:I66" si="0">G3+H3</f>
        <v>500</v>
      </c>
    </row>
    <row r="4" spans="1:9">
      <c r="A4" t="s">
        <v>384</v>
      </c>
      <c r="B4" t="s">
        <v>385</v>
      </c>
      <c r="C4" t="s">
        <v>386</v>
      </c>
      <c r="D4">
        <v>1013501</v>
      </c>
      <c r="E4">
        <v>10027</v>
      </c>
      <c r="F4" t="s">
        <v>39</v>
      </c>
      <c r="G4">
        <v>300</v>
      </c>
      <c r="H4">
        <v>200</v>
      </c>
      <c r="I4">
        <f t="shared" si="0"/>
        <v>500</v>
      </c>
    </row>
    <row r="5" spans="1:9">
      <c r="A5" t="s">
        <v>387</v>
      </c>
      <c r="B5" t="s">
        <v>388</v>
      </c>
      <c r="C5" t="s">
        <v>389</v>
      </c>
      <c r="D5">
        <v>1013502</v>
      </c>
      <c r="E5">
        <v>10028</v>
      </c>
      <c r="F5" t="s">
        <v>39</v>
      </c>
      <c r="G5">
        <v>300</v>
      </c>
      <c r="H5">
        <v>200</v>
      </c>
      <c r="I5">
        <f t="shared" si="0"/>
        <v>500</v>
      </c>
    </row>
    <row r="6" spans="1:9">
      <c r="A6" t="s">
        <v>390</v>
      </c>
      <c r="B6" t="s">
        <v>391</v>
      </c>
      <c r="C6" t="s">
        <v>392</v>
      </c>
      <c r="D6">
        <v>1029501</v>
      </c>
      <c r="E6">
        <v>2001100</v>
      </c>
      <c r="F6" t="s">
        <v>39</v>
      </c>
      <c r="G6">
        <v>300</v>
      </c>
      <c r="H6">
        <v>200</v>
      </c>
      <c r="I6">
        <f t="shared" si="0"/>
        <v>500</v>
      </c>
    </row>
    <row r="7" spans="1:9">
      <c r="A7" t="s">
        <v>393</v>
      </c>
      <c r="B7" t="s">
        <v>394</v>
      </c>
      <c r="C7" t="s">
        <v>395</v>
      </c>
      <c r="D7">
        <v>1325739</v>
      </c>
      <c r="E7">
        <v>2000912</v>
      </c>
      <c r="F7" t="s">
        <v>39</v>
      </c>
      <c r="G7">
        <v>300</v>
      </c>
      <c r="H7">
        <v>200</v>
      </c>
      <c r="I7">
        <f t="shared" si="0"/>
        <v>500</v>
      </c>
    </row>
    <row r="8" spans="1:9">
      <c r="A8" t="s">
        <v>396</v>
      </c>
      <c r="B8" t="s">
        <v>397</v>
      </c>
      <c r="C8" t="s">
        <v>398</v>
      </c>
      <c r="D8">
        <v>1326145</v>
      </c>
      <c r="E8">
        <v>2500576</v>
      </c>
      <c r="F8" t="s">
        <v>39</v>
      </c>
      <c r="G8">
        <v>300</v>
      </c>
      <c r="H8">
        <v>200</v>
      </c>
      <c r="I8">
        <f t="shared" si="0"/>
        <v>500</v>
      </c>
    </row>
    <row r="9" spans="1:9">
      <c r="A9" t="s">
        <v>399</v>
      </c>
      <c r="B9" t="s">
        <v>400</v>
      </c>
      <c r="C9" t="s">
        <v>401</v>
      </c>
      <c r="D9">
        <v>8320081</v>
      </c>
      <c r="E9">
        <v>2002071</v>
      </c>
      <c r="F9" t="s">
        <v>39</v>
      </c>
      <c r="G9">
        <v>300</v>
      </c>
      <c r="H9">
        <v>200</v>
      </c>
      <c r="I9">
        <f t="shared" si="0"/>
        <v>500</v>
      </c>
    </row>
    <row r="10" spans="1:9">
      <c r="A10" t="s">
        <v>402</v>
      </c>
      <c r="B10" t="s">
        <v>403</v>
      </c>
      <c r="C10" t="s">
        <v>404</v>
      </c>
      <c r="D10">
        <v>9025902</v>
      </c>
      <c r="E10">
        <v>2002697</v>
      </c>
      <c r="F10" t="s">
        <v>39</v>
      </c>
      <c r="G10">
        <v>300</v>
      </c>
      <c r="H10">
        <v>200</v>
      </c>
      <c r="I10">
        <f t="shared" si="0"/>
        <v>500</v>
      </c>
    </row>
    <row r="11" spans="1:9">
      <c r="A11" t="s">
        <v>405</v>
      </c>
      <c r="B11" t="s">
        <v>406</v>
      </c>
      <c r="C11" t="s">
        <v>407</v>
      </c>
      <c r="D11">
        <v>13498058</v>
      </c>
      <c r="E11">
        <v>3365</v>
      </c>
      <c r="F11" t="s">
        <v>39</v>
      </c>
      <c r="G11">
        <v>300</v>
      </c>
      <c r="H11">
        <v>200</v>
      </c>
      <c r="I11">
        <f t="shared" si="0"/>
        <v>500</v>
      </c>
    </row>
    <row r="12" spans="1:9">
      <c r="A12" t="s">
        <v>408</v>
      </c>
      <c r="B12" t="s">
        <v>409</v>
      </c>
      <c r="C12" t="s">
        <v>410</v>
      </c>
      <c r="D12">
        <v>17237901</v>
      </c>
      <c r="E12">
        <v>2501985</v>
      </c>
      <c r="F12" t="s">
        <v>39</v>
      </c>
      <c r="G12">
        <v>300</v>
      </c>
      <c r="H12">
        <v>200</v>
      </c>
      <c r="I12">
        <f t="shared" si="0"/>
        <v>500</v>
      </c>
    </row>
    <row r="13" spans="1:9">
      <c r="A13" t="s">
        <v>411</v>
      </c>
      <c r="B13" t="s">
        <v>412</v>
      </c>
      <c r="C13" t="s">
        <v>413</v>
      </c>
      <c r="D13">
        <v>25111201</v>
      </c>
      <c r="E13">
        <v>2502986</v>
      </c>
      <c r="F13" t="s">
        <v>39</v>
      </c>
      <c r="G13">
        <v>300</v>
      </c>
      <c r="H13">
        <v>200</v>
      </c>
      <c r="I13">
        <f t="shared" si="0"/>
        <v>500</v>
      </c>
    </row>
    <row r="14" spans="1:9">
      <c r="A14" t="s">
        <v>414</v>
      </c>
      <c r="B14" t="s">
        <v>415</v>
      </c>
      <c r="C14" t="s">
        <v>416</v>
      </c>
      <c r="D14">
        <v>25149302</v>
      </c>
      <c r="E14">
        <v>2501174</v>
      </c>
      <c r="F14" t="s">
        <v>39</v>
      </c>
      <c r="G14">
        <v>300</v>
      </c>
      <c r="H14">
        <v>200</v>
      </c>
      <c r="I14">
        <f t="shared" si="0"/>
        <v>500</v>
      </c>
    </row>
    <row r="15" spans="1:9">
      <c r="A15" t="s">
        <v>417</v>
      </c>
      <c r="B15" t="s">
        <v>418</v>
      </c>
      <c r="C15" t="s">
        <v>419</v>
      </c>
      <c r="D15">
        <v>25212501</v>
      </c>
      <c r="E15">
        <v>6024</v>
      </c>
      <c r="F15" t="s">
        <v>39</v>
      </c>
      <c r="G15">
        <v>300</v>
      </c>
      <c r="H15">
        <v>200</v>
      </c>
      <c r="I15">
        <f t="shared" si="0"/>
        <v>500</v>
      </c>
    </row>
    <row r="16" spans="1:9">
      <c r="A16" t="s">
        <v>420</v>
      </c>
      <c r="B16" t="s">
        <v>421</v>
      </c>
      <c r="C16" t="s">
        <v>422</v>
      </c>
      <c r="D16">
        <v>25298998</v>
      </c>
      <c r="E16">
        <v>2000882</v>
      </c>
      <c r="F16" t="s">
        <v>39</v>
      </c>
      <c r="G16">
        <v>300</v>
      </c>
      <c r="H16">
        <v>200</v>
      </c>
      <c r="I16">
        <f t="shared" si="0"/>
        <v>500</v>
      </c>
    </row>
    <row r="17" spans="1:9">
      <c r="A17" t="s">
        <v>423</v>
      </c>
      <c r="B17" t="s">
        <v>424</v>
      </c>
      <c r="C17" t="s">
        <v>425</v>
      </c>
      <c r="D17">
        <v>25300610</v>
      </c>
      <c r="E17">
        <v>3002945</v>
      </c>
      <c r="F17" t="s">
        <v>39</v>
      </c>
      <c r="G17">
        <v>300</v>
      </c>
      <c r="H17">
        <v>200</v>
      </c>
      <c r="I17">
        <f t="shared" si="0"/>
        <v>500</v>
      </c>
    </row>
    <row r="18" spans="1:9">
      <c r="A18" t="s">
        <v>426</v>
      </c>
      <c r="B18" t="s">
        <v>427</v>
      </c>
      <c r="C18" t="s">
        <v>428</v>
      </c>
      <c r="D18">
        <v>44780001</v>
      </c>
      <c r="E18">
        <v>2502046</v>
      </c>
      <c r="F18" t="s">
        <v>39</v>
      </c>
      <c r="G18">
        <v>300</v>
      </c>
      <c r="H18">
        <v>200</v>
      </c>
      <c r="I18">
        <f t="shared" si="0"/>
        <v>500</v>
      </c>
    </row>
    <row r="19" spans="1:9">
      <c r="A19" t="s">
        <v>429</v>
      </c>
      <c r="B19" t="s">
        <v>430</v>
      </c>
      <c r="C19" t="s">
        <v>431</v>
      </c>
      <c r="D19">
        <v>45602701</v>
      </c>
      <c r="E19">
        <v>2501852</v>
      </c>
      <c r="F19" t="s">
        <v>39</v>
      </c>
      <c r="G19">
        <v>300</v>
      </c>
      <c r="H19">
        <v>200</v>
      </c>
      <c r="I19">
        <f t="shared" si="0"/>
        <v>500</v>
      </c>
    </row>
    <row r="20" spans="1:9">
      <c r="A20" t="s">
        <v>432</v>
      </c>
      <c r="B20" t="s">
        <v>433</v>
      </c>
      <c r="C20" t="s">
        <v>434</v>
      </c>
      <c r="D20">
        <v>71034933</v>
      </c>
      <c r="E20">
        <v>10038</v>
      </c>
      <c r="F20" t="s">
        <v>39</v>
      </c>
      <c r="G20">
        <v>300</v>
      </c>
      <c r="H20">
        <v>200</v>
      </c>
      <c r="I20">
        <f t="shared" si="0"/>
        <v>500</v>
      </c>
    </row>
    <row r="21" spans="1:9">
      <c r="A21" t="s">
        <v>435</v>
      </c>
      <c r="B21" t="s">
        <v>436</v>
      </c>
      <c r="C21" t="s">
        <v>437</v>
      </c>
      <c r="D21">
        <v>71046210</v>
      </c>
      <c r="E21" t="s">
        <v>438</v>
      </c>
      <c r="F21" t="s">
        <v>39</v>
      </c>
      <c r="G21">
        <v>300</v>
      </c>
      <c r="H21">
        <v>200</v>
      </c>
      <c r="I21">
        <f t="shared" si="0"/>
        <v>500</v>
      </c>
    </row>
    <row r="22" spans="1:9">
      <c r="A22" t="s">
        <v>439</v>
      </c>
      <c r="B22" t="s">
        <v>440</v>
      </c>
      <c r="C22" t="s">
        <v>441</v>
      </c>
      <c r="D22">
        <v>71047545</v>
      </c>
      <c r="E22">
        <v>2001103</v>
      </c>
      <c r="F22" t="s">
        <v>39</v>
      </c>
      <c r="G22">
        <v>300</v>
      </c>
      <c r="H22">
        <v>200</v>
      </c>
      <c r="I22">
        <f t="shared" si="0"/>
        <v>500</v>
      </c>
    </row>
    <row r="23" spans="1:9">
      <c r="A23" t="s">
        <v>442</v>
      </c>
      <c r="B23" t="s">
        <v>443</v>
      </c>
      <c r="C23" t="s">
        <v>444</v>
      </c>
      <c r="D23">
        <v>71052261</v>
      </c>
      <c r="E23">
        <v>3002167</v>
      </c>
      <c r="F23" t="s">
        <v>39</v>
      </c>
      <c r="G23">
        <v>300</v>
      </c>
      <c r="H23">
        <v>200</v>
      </c>
      <c r="I23">
        <f t="shared" si="0"/>
        <v>500</v>
      </c>
    </row>
    <row r="24" spans="1:9">
      <c r="A24" t="s">
        <v>445</v>
      </c>
      <c r="B24" t="s">
        <v>446</v>
      </c>
      <c r="C24" t="s">
        <v>447</v>
      </c>
      <c r="D24">
        <v>71059338</v>
      </c>
      <c r="E24">
        <v>2001096</v>
      </c>
      <c r="F24" t="s">
        <v>39</v>
      </c>
      <c r="G24">
        <v>300</v>
      </c>
      <c r="H24">
        <v>200</v>
      </c>
      <c r="I24">
        <f t="shared" si="0"/>
        <v>500</v>
      </c>
    </row>
    <row r="25" spans="1:9">
      <c r="A25" t="s">
        <v>448</v>
      </c>
      <c r="B25" t="s">
        <v>449</v>
      </c>
      <c r="C25" t="s">
        <v>450</v>
      </c>
      <c r="D25">
        <v>71061453</v>
      </c>
      <c r="E25">
        <v>3002947</v>
      </c>
      <c r="F25" t="s">
        <v>39</v>
      </c>
      <c r="G25">
        <v>300</v>
      </c>
      <c r="H25">
        <v>200</v>
      </c>
      <c r="I25">
        <f t="shared" si="0"/>
        <v>500</v>
      </c>
    </row>
    <row r="26" spans="1:9">
      <c r="A26" t="s">
        <v>451</v>
      </c>
      <c r="B26" t="s">
        <v>452</v>
      </c>
      <c r="C26" t="s">
        <v>453</v>
      </c>
      <c r="D26">
        <v>71064116</v>
      </c>
      <c r="E26">
        <v>8076</v>
      </c>
      <c r="F26" t="s">
        <v>39</v>
      </c>
      <c r="G26">
        <v>300</v>
      </c>
      <c r="H26">
        <v>200</v>
      </c>
      <c r="I26">
        <f t="shared" si="0"/>
        <v>500</v>
      </c>
    </row>
    <row r="27" spans="1:9">
      <c r="A27" t="s">
        <v>454</v>
      </c>
      <c r="B27" t="s">
        <v>455</v>
      </c>
      <c r="C27" t="s">
        <v>456</v>
      </c>
      <c r="D27">
        <v>71064158</v>
      </c>
      <c r="E27">
        <v>2501853</v>
      </c>
      <c r="F27" t="s">
        <v>39</v>
      </c>
      <c r="G27">
        <v>300</v>
      </c>
      <c r="H27">
        <v>200</v>
      </c>
      <c r="I27">
        <f t="shared" si="0"/>
        <v>500</v>
      </c>
    </row>
    <row r="28" spans="1:9">
      <c r="A28" t="s">
        <v>457</v>
      </c>
      <c r="B28" t="s">
        <v>458</v>
      </c>
      <c r="C28" t="s">
        <v>459</v>
      </c>
      <c r="D28">
        <v>76003334</v>
      </c>
      <c r="E28">
        <v>8061</v>
      </c>
      <c r="F28" t="s">
        <v>39</v>
      </c>
      <c r="G28">
        <v>300</v>
      </c>
      <c r="H28">
        <v>200</v>
      </c>
      <c r="I28">
        <f t="shared" si="0"/>
        <v>500</v>
      </c>
    </row>
    <row r="29" spans="1:9">
      <c r="A29" t="s">
        <v>460</v>
      </c>
      <c r="B29" t="s">
        <v>461</v>
      </c>
      <c r="C29" t="s">
        <v>462</v>
      </c>
      <c r="D29">
        <v>76031206</v>
      </c>
      <c r="E29">
        <v>903072</v>
      </c>
      <c r="F29" t="s">
        <v>39</v>
      </c>
      <c r="G29">
        <v>300</v>
      </c>
      <c r="H29">
        <v>200</v>
      </c>
      <c r="I29">
        <f t="shared" si="0"/>
        <v>500</v>
      </c>
    </row>
    <row r="30" spans="1:9">
      <c r="A30" t="s">
        <v>463</v>
      </c>
      <c r="B30" t="s">
        <v>464</v>
      </c>
      <c r="C30" t="s">
        <v>465</v>
      </c>
      <c r="D30">
        <v>76032748</v>
      </c>
      <c r="E30">
        <v>3002949</v>
      </c>
      <c r="F30" t="s">
        <v>39</v>
      </c>
      <c r="G30">
        <v>300</v>
      </c>
      <c r="H30">
        <v>200</v>
      </c>
      <c r="I30">
        <f t="shared" si="0"/>
        <v>500</v>
      </c>
    </row>
    <row r="31" spans="1:9">
      <c r="A31" t="s">
        <v>466</v>
      </c>
      <c r="B31" t="s">
        <v>467</v>
      </c>
      <c r="C31" t="s">
        <v>468</v>
      </c>
      <c r="D31">
        <v>76036137</v>
      </c>
      <c r="E31">
        <v>2501825</v>
      </c>
      <c r="F31" t="s">
        <v>39</v>
      </c>
      <c r="G31">
        <v>300</v>
      </c>
      <c r="H31">
        <v>200</v>
      </c>
      <c r="I31">
        <f t="shared" si="0"/>
        <v>500</v>
      </c>
    </row>
    <row r="32" spans="1:9">
      <c r="A32" t="s">
        <v>469</v>
      </c>
      <c r="B32" t="s">
        <v>470</v>
      </c>
      <c r="C32" t="s">
        <v>471</v>
      </c>
      <c r="D32">
        <v>76036160</v>
      </c>
      <c r="E32">
        <v>9014</v>
      </c>
      <c r="F32" t="s">
        <v>39</v>
      </c>
      <c r="G32">
        <v>300</v>
      </c>
      <c r="H32">
        <v>200</v>
      </c>
      <c r="I32">
        <f t="shared" si="0"/>
        <v>500</v>
      </c>
    </row>
    <row r="33" spans="1:9">
      <c r="A33" t="s">
        <v>472</v>
      </c>
      <c r="B33" t="s">
        <v>473</v>
      </c>
      <c r="C33" t="s">
        <v>474</v>
      </c>
      <c r="D33">
        <v>76037591</v>
      </c>
      <c r="E33">
        <v>6091</v>
      </c>
      <c r="F33" t="s">
        <v>39</v>
      </c>
      <c r="G33">
        <v>300</v>
      </c>
      <c r="H33">
        <v>200</v>
      </c>
      <c r="I33">
        <f t="shared" si="0"/>
        <v>500</v>
      </c>
    </row>
    <row r="34" spans="1:9">
      <c r="A34" t="s">
        <v>475</v>
      </c>
      <c r="B34" t="s">
        <v>476</v>
      </c>
      <c r="C34" t="s">
        <v>477</v>
      </c>
      <c r="D34">
        <v>76038422</v>
      </c>
      <c r="E34">
        <v>2500295</v>
      </c>
      <c r="F34" t="s">
        <v>39</v>
      </c>
      <c r="G34">
        <v>300</v>
      </c>
      <c r="H34">
        <v>200</v>
      </c>
      <c r="I34">
        <f t="shared" si="0"/>
        <v>500</v>
      </c>
    </row>
    <row r="35" spans="1:9">
      <c r="A35" t="s">
        <v>478</v>
      </c>
      <c r="B35" t="s">
        <v>479</v>
      </c>
      <c r="C35" t="s">
        <v>480</v>
      </c>
      <c r="D35">
        <v>76041535</v>
      </c>
      <c r="E35" t="s">
        <v>438</v>
      </c>
      <c r="F35" t="s">
        <v>39</v>
      </c>
      <c r="G35">
        <v>300</v>
      </c>
      <c r="H35">
        <v>200</v>
      </c>
      <c r="I35">
        <f t="shared" si="0"/>
        <v>500</v>
      </c>
    </row>
    <row r="36" spans="1:9">
      <c r="A36" t="s">
        <v>481</v>
      </c>
      <c r="B36" t="s">
        <v>482</v>
      </c>
      <c r="C36" t="s">
        <v>483</v>
      </c>
      <c r="D36">
        <v>76043449</v>
      </c>
      <c r="E36">
        <v>123018</v>
      </c>
      <c r="F36" t="s">
        <v>39</v>
      </c>
      <c r="G36">
        <v>300</v>
      </c>
      <c r="H36">
        <v>200</v>
      </c>
      <c r="I36">
        <f t="shared" si="0"/>
        <v>500</v>
      </c>
    </row>
    <row r="37" spans="1:9">
      <c r="A37" t="s">
        <v>484</v>
      </c>
      <c r="B37" t="s">
        <v>485</v>
      </c>
      <c r="C37" t="s">
        <v>486</v>
      </c>
      <c r="D37">
        <v>76043451</v>
      </c>
      <c r="E37">
        <v>123019</v>
      </c>
      <c r="F37" t="s">
        <v>39</v>
      </c>
      <c r="G37">
        <v>300</v>
      </c>
      <c r="H37">
        <v>200</v>
      </c>
      <c r="I37">
        <f t="shared" si="0"/>
        <v>500</v>
      </c>
    </row>
    <row r="38" spans="1:9">
      <c r="A38" t="s">
        <v>487</v>
      </c>
      <c r="B38" t="s">
        <v>488</v>
      </c>
      <c r="C38" t="s">
        <v>489</v>
      </c>
      <c r="D38">
        <v>76043453</v>
      </c>
      <c r="E38">
        <v>0</v>
      </c>
      <c r="F38" t="s">
        <v>39</v>
      </c>
      <c r="G38">
        <v>300</v>
      </c>
      <c r="H38">
        <v>200</v>
      </c>
      <c r="I38">
        <f t="shared" si="0"/>
        <v>500</v>
      </c>
    </row>
    <row r="39" spans="1:9">
      <c r="A39" t="s">
        <v>490</v>
      </c>
      <c r="B39" t="s">
        <v>491</v>
      </c>
      <c r="C39" t="s">
        <v>492</v>
      </c>
      <c r="D39">
        <v>76043455</v>
      </c>
      <c r="E39">
        <v>123021</v>
      </c>
      <c r="F39" t="s">
        <v>39</v>
      </c>
      <c r="G39">
        <v>300</v>
      </c>
      <c r="H39">
        <v>200</v>
      </c>
      <c r="I39">
        <f t="shared" si="0"/>
        <v>500</v>
      </c>
    </row>
    <row r="40" spans="1:9">
      <c r="A40" t="s">
        <v>493</v>
      </c>
      <c r="B40" t="s">
        <v>494</v>
      </c>
      <c r="C40" t="s">
        <v>495</v>
      </c>
      <c r="D40">
        <v>76043468</v>
      </c>
      <c r="E40">
        <v>2001550</v>
      </c>
      <c r="F40" t="s">
        <v>39</v>
      </c>
      <c r="G40">
        <v>300</v>
      </c>
      <c r="H40">
        <v>200</v>
      </c>
      <c r="I40">
        <f t="shared" si="0"/>
        <v>500</v>
      </c>
    </row>
    <row r="41" spans="1:9">
      <c r="A41" t="s">
        <v>496</v>
      </c>
      <c r="B41" t="s">
        <v>497</v>
      </c>
      <c r="C41" t="s">
        <v>498</v>
      </c>
      <c r="D41">
        <v>76044062</v>
      </c>
      <c r="E41">
        <v>2503554</v>
      </c>
      <c r="F41" t="s">
        <v>39</v>
      </c>
      <c r="G41">
        <v>300</v>
      </c>
      <c r="H41">
        <v>200</v>
      </c>
      <c r="I41">
        <f t="shared" si="0"/>
        <v>500</v>
      </c>
    </row>
    <row r="42" spans="1:9">
      <c r="A42" t="s">
        <v>499</v>
      </c>
      <c r="B42" t="s">
        <v>500</v>
      </c>
      <c r="C42" t="s">
        <v>501</v>
      </c>
      <c r="D42">
        <v>76072064</v>
      </c>
      <c r="E42">
        <v>2503103</v>
      </c>
      <c r="F42" t="s">
        <v>39</v>
      </c>
      <c r="G42">
        <v>300</v>
      </c>
      <c r="H42">
        <v>200</v>
      </c>
      <c r="I42">
        <f t="shared" si="0"/>
        <v>500</v>
      </c>
    </row>
    <row r="43" spans="1:9">
      <c r="A43" t="s">
        <v>502</v>
      </c>
      <c r="B43" t="s">
        <v>503</v>
      </c>
      <c r="C43" t="s">
        <v>504</v>
      </c>
      <c r="D43">
        <v>76073131</v>
      </c>
      <c r="E43">
        <v>143062</v>
      </c>
      <c r="F43" t="s">
        <v>39</v>
      </c>
      <c r="G43">
        <v>300</v>
      </c>
      <c r="H43">
        <v>200</v>
      </c>
      <c r="I43">
        <f t="shared" si="0"/>
        <v>500</v>
      </c>
    </row>
    <row r="44" spans="1:9">
      <c r="A44" t="s">
        <v>505</v>
      </c>
      <c r="B44" t="s">
        <v>506</v>
      </c>
      <c r="C44" t="s">
        <v>507</v>
      </c>
      <c r="D44">
        <v>76074237</v>
      </c>
      <c r="E44">
        <v>2503477</v>
      </c>
      <c r="F44" t="s">
        <v>39</v>
      </c>
      <c r="G44">
        <v>300</v>
      </c>
      <c r="H44">
        <v>200</v>
      </c>
      <c r="I44">
        <f t="shared" si="0"/>
        <v>500</v>
      </c>
    </row>
    <row r="45" spans="1:9">
      <c r="A45" t="s">
        <v>508</v>
      </c>
      <c r="B45" t="s">
        <v>509</v>
      </c>
      <c r="C45" t="s">
        <v>510</v>
      </c>
      <c r="D45">
        <v>76074791</v>
      </c>
      <c r="E45">
        <v>3002489</v>
      </c>
      <c r="F45" t="s">
        <v>39</v>
      </c>
      <c r="G45">
        <v>300</v>
      </c>
      <c r="H45">
        <v>200</v>
      </c>
      <c r="I45">
        <f t="shared" si="0"/>
        <v>500</v>
      </c>
    </row>
    <row r="46" spans="1:9">
      <c r="A46" t="s">
        <v>511</v>
      </c>
      <c r="B46" t="s">
        <v>512</v>
      </c>
      <c r="C46" t="s">
        <v>513</v>
      </c>
      <c r="D46">
        <v>76124458</v>
      </c>
      <c r="E46">
        <v>3000121</v>
      </c>
      <c r="F46" t="s">
        <v>39</v>
      </c>
      <c r="G46">
        <v>300</v>
      </c>
      <c r="H46">
        <v>200</v>
      </c>
      <c r="I46">
        <f t="shared" si="0"/>
        <v>500</v>
      </c>
    </row>
    <row r="47" spans="1:9">
      <c r="A47" t="s">
        <v>514</v>
      </c>
      <c r="B47" t="s">
        <v>515</v>
      </c>
      <c r="C47" t="s">
        <v>516</v>
      </c>
      <c r="D47">
        <v>76135790</v>
      </c>
      <c r="E47">
        <v>2503496</v>
      </c>
      <c r="F47" t="s">
        <v>39</v>
      </c>
      <c r="G47">
        <v>300</v>
      </c>
      <c r="H47">
        <v>200</v>
      </c>
      <c r="I47">
        <f t="shared" si="0"/>
        <v>500</v>
      </c>
    </row>
    <row r="48" spans="1:9">
      <c r="A48" t="s">
        <v>517</v>
      </c>
      <c r="B48" t="s">
        <v>518</v>
      </c>
      <c r="C48" t="s">
        <v>519</v>
      </c>
      <c r="D48">
        <v>76143293</v>
      </c>
      <c r="E48">
        <v>3000102</v>
      </c>
      <c r="F48" t="s">
        <v>39</v>
      </c>
      <c r="G48">
        <v>300</v>
      </c>
      <c r="H48">
        <v>200</v>
      </c>
      <c r="I48">
        <f t="shared" si="0"/>
        <v>500</v>
      </c>
    </row>
    <row r="49" spans="1:9">
      <c r="A49" t="s">
        <v>520</v>
      </c>
      <c r="B49" t="s">
        <v>521</v>
      </c>
      <c r="C49" t="s">
        <v>522</v>
      </c>
      <c r="D49">
        <v>76143376</v>
      </c>
      <c r="E49">
        <v>3001863</v>
      </c>
      <c r="F49" t="s">
        <v>39</v>
      </c>
      <c r="G49">
        <v>300</v>
      </c>
      <c r="H49">
        <v>200</v>
      </c>
      <c r="I49">
        <f t="shared" si="0"/>
        <v>500</v>
      </c>
    </row>
    <row r="50" spans="1:9">
      <c r="A50" t="s">
        <v>523</v>
      </c>
      <c r="B50" t="s">
        <v>524</v>
      </c>
      <c r="C50" t="s">
        <v>525</v>
      </c>
      <c r="D50">
        <v>76144136</v>
      </c>
      <c r="E50">
        <v>3002895</v>
      </c>
      <c r="F50" t="s">
        <v>39</v>
      </c>
      <c r="G50">
        <v>300</v>
      </c>
      <c r="H50">
        <v>200</v>
      </c>
      <c r="I50">
        <f t="shared" si="0"/>
        <v>500</v>
      </c>
    </row>
    <row r="51" spans="1:9">
      <c r="A51" t="s">
        <v>526</v>
      </c>
      <c r="B51" t="s">
        <v>527</v>
      </c>
      <c r="C51" t="s">
        <v>528</v>
      </c>
      <c r="D51">
        <v>76146350</v>
      </c>
      <c r="E51">
        <v>11106</v>
      </c>
      <c r="F51" t="s">
        <v>39</v>
      </c>
      <c r="G51">
        <v>300</v>
      </c>
      <c r="H51">
        <v>200</v>
      </c>
      <c r="I51">
        <f t="shared" si="0"/>
        <v>500</v>
      </c>
    </row>
    <row r="52" spans="1:9">
      <c r="A52" t="s">
        <v>529</v>
      </c>
      <c r="B52" t="s">
        <v>530</v>
      </c>
      <c r="C52" t="s">
        <v>531</v>
      </c>
      <c r="D52">
        <v>76157694</v>
      </c>
      <c r="E52">
        <v>2002138</v>
      </c>
      <c r="F52" t="s">
        <v>39</v>
      </c>
      <c r="G52">
        <v>300</v>
      </c>
      <c r="H52">
        <v>200</v>
      </c>
      <c r="I52">
        <f t="shared" si="0"/>
        <v>500</v>
      </c>
    </row>
    <row r="53" spans="1:9">
      <c r="A53" t="s">
        <v>532</v>
      </c>
      <c r="B53" t="s">
        <v>533</v>
      </c>
      <c r="C53" t="s">
        <v>534</v>
      </c>
      <c r="D53">
        <v>76159225</v>
      </c>
      <c r="E53">
        <v>2502115</v>
      </c>
      <c r="F53" t="s">
        <v>39</v>
      </c>
      <c r="G53">
        <v>300</v>
      </c>
      <c r="H53">
        <v>200</v>
      </c>
      <c r="I53">
        <f t="shared" si="0"/>
        <v>500</v>
      </c>
    </row>
    <row r="54" spans="1:9">
      <c r="A54" t="s">
        <v>535</v>
      </c>
      <c r="B54" t="s">
        <v>536</v>
      </c>
      <c r="C54" t="s">
        <v>537</v>
      </c>
      <c r="D54">
        <v>76159913</v>
      </c>
      <c r="E54">
        <v>2500592</v>
      </c>
      <c r="F54" t="s">
        <v>39</v>
      </c>
      <c r="G54">
        <v>300</v>
      </c>
      <c r="H54">
        <v>200</v>
      </c>
      <c r="I54">
        <f t="shared" si="0"/>
        <v>500</v>
      </c>
    </row>
    <row r="55" spans="1:9">
      <c r="A55" t="s">
        <v>538</v>
      </c>
      <c r="B55" t="s">
        <v>539</v>
      </c>
      <c r="C55" t="s">
        <v>540</v>
      </c>
      <c r="D55">
        <v>76164480</v>
      </c>
      <c r="E55">
        <v>2000978</v>
      </c>
      <c r="F55" t="s">
        <v>39</v>
      </c>
      <c r="G55">
        <v>300</v>
      </c>
      <c r="H55">
        <v>200</v>
      </c>
      <c r="I55">
        <f t="shared" si="0"/>
        <v>500</v>
      </c>
    </row>
    <row r="56" spans="1:9">
      <c r="A56" t="s">
        <v>541</v>
      </c>
      <c r="B56" t="s">
        <v>542</v>
      </c>
      <c r="C56" t="s">
        <v>543</v>
      </c>
      <c r="D56">
        <v>76164765</v>
      </c>
      <c r="E56">
        <v>8110</v>
      </c>
      <c r="F56" t="s">
        <v>39</v>
      </c>
      <c r="G56">
        <v>300</v>
      </c>
      <c r="H56">
        <v>200</v>
      </c>
      <c r="I56">
        <f t="shared" si="0"/>
        <v>500</v>
      </c>
    </row>
    <row r="57" spans="1:9">
      <c r="A57" t="s">
        <v>544</v>
      </c>
      <c r="B57" t="s">
        <v>545</v>
      </c>
      <c r="C57" t="s">
        <v>546</v>
      </c>
      <c r="D57">
        <v>76169148</v>
      </c>
      <c r="E57">
        <v>2001102</v>
      </c>
      <c r="F57" t="s">
        <v>39</v>
      </c>
      <c r="G57">
        <v>300</v>
      </c>
      <c r="H57">
        <v>200</v>
      </c>
      <c r="I57">
        <f t="shared" si="0"/>
        <v>500</v>
      </c>
    </row>
    <row r="58" spans="1:9">
      <c r="A58" t="s">
        <v>547</v>
      </c>
      <c r="B58" t="s">
        <v>548</v>
      </c>
      <c r="C58" t="s">
        <v>549</v>
      </c>
      <c r="D58">
        <v>76170921</v>
      </c>
      <c r="E58" t="s">
        <v>438</v>
      </c>
      <c r="F58" t="s">
        <v>39</v>
      </c>
      <c r="G58">
        <v>300</v>
      </c>
      <c r="H58">
        <v>200</v>
      </c>
      <c r="I58">
        <f t="shared" si="0"/>
        <v>500</v>
      </c>
    </row>
    <row r="59" spans="1:9">
      <c r="A59" t="s">
        <v>550</v>
      </c>
      <c r="B59" t="s">
        <v>551</v>
      </c>
      <c r="C59" t="s">
        <v>552</v>
      </c>
      <c r="D59">
        <v>76171400</v>
      </c>
      <c r="E59">
        <v>2002889</v>
      </c>
      <c r="F59" t="s">
        <v>39</v>
      </c>
      <c r="G59">
        <v>300</v>
      </c>
      <c r="H59">
        <v>200</v>
      </c>
      <c r="I59">
        <f t="shared" si="0"/>
        <v>500</v>
      </c>
    </row>
    <row r="60" spans="1:9">
      <c r="A60" t="s">
        <v>553</v>
      </c>
      <c r="B60" t="s">
        <v>554</v>
      </c>
      <c r="C60" t="s">
        <v>555</v>
      </c>
      <c r="D60">
        <v>76171640</v>
      </c>
      <c r="E60">
        <v>3001065</v>
      </c>
      <c r="F60" t="s">
        <v>39</v>
      </c>
      <c r="G60">
        <v>300</v>
      </c>
      <c r="H60">
        <v>200</v>
      </c>
      <c r="I60">
        <f t="shared" si="0"/>
        <v>500</v>
      </c>
    </row>
    <row r="61" spans="1:9">
      <c r="A61" t="s">
        <v>556</v>
      </c>
      <c r="B61" t="s">
        <v>557</v>
      </c>
      <c r="C61" t="s">
        <v>558</v>
      </c>
      <c r="D61">
        <v>76174651</v>
      </c>
      <c r="E61">
        <v>3000945</v>
      </c>
      <c r="F61" t="s">
        <v>39</v>
      </c>
      <c r="G61">
        <v>300</v>
      </c>
      <c r="H61">
        <v>200</v>
      </c>
      <c r="I61">
        <f t="shared" si="0"/>
        <v>500</v>
      </c>
    </row>
    <row r="62" spans="1:9">
      <c r="A62" t="s">
        <v>559</v>
      </c>
      <c r="B62" t="s">
        <v>560</v>
      </c>
      <c r="C62" t="s">
        <v>561</v>
      </c>
      <c r="D62">
        <v>76180102</v>
      </c>
      <c r="E62">
        <v>2502528</v>
      </c>
      <c r="F62" t="s">
        <v>39</v>
      </c>
      <c r="G62">
        <v>300</v>
      </c>
      <c r="H62">
        <v>200</v>
      </c>
      <c r="I62">
        <f t="shared" si="0"/>
        <v>500</v>
      </c>
    </row>
    <row r="63" spans="1:9">
      <c r="A63" t="s">
        <v>562</v>
      </c>
      <c r="B63" t="s">
        <v>563</v>
      </c>
      <c r="C63" t="s">
        <v>564</v>
      </c>
      <c r="D63">
        <v>76181398</v>
      </c>
      <c r="E63">
        <v>3002455</v>
      </c>
      <c r="F63" t="s">
        <v>39</v>
      </c>
      <c r="G63">
        <v>300</v>
      </c>
      <c r="H63">
        <v>200</v>
      </c>
      <c r="I63">
        <f t="shared" si="0"/>
        <v>500</v>
      </c>
    </row>
    <row r="64" spans="1:9">
      <c r="A64" t="s">
        <v>565</v>
      </c>
      <c r="B64" t="s">
        <v>566</v>
      </c>
      <c r="C64" t="s">
        <v>567</v>
      </c>
      <c r="D64">
        <v>76181513</v>
      </c>
      <c r="E64">
        <v>3001083</v>
      </c>
      <c r="F64" t="s">
        <v>39</v>
      </c>
      <c r="G64">
        <v>300</v>
      </c>
      <c r="H64">
        <v>200</v>
      </c>
      <c r="I64">
        <f t="shared" si="0"/>
        <v>500</v>
      </c>
    </row>
    <row r="65" spans="1:9">
      <c r="A65" t="s">
        <v>568</v>
      </c>
      <c r="B65" t="s">
        <v>569</v>
      </c>
      <c r="C65" t="s">
        <v>570</v>
      </c>
      <c r="D65">
        <v>76187537</v>
      </c>
      <c r="E65">
        <v>10143</v>
      </c>
      <c r="F65" t="s">
        <v>39</v>
      </c>
      <c r="G65">
        <v>300</v>
      </c>
      <c r="H65">
        <v>200</v>
      </c>
      <c r="I65">
        <f t="shared" si="0"/>
        <v>500</v>
      </c>
    </row>
    <row r="66" spans="1:9">
      <c r="A66" t="s">
        <v>571</v>
      </c>
      <c r="B66" t="s">
        <v>572</v>
      </c>
      <c r="C66" t="s">
        <v>573</v>
      </c>
      <c r="D66">
        <v>76188296</v>
      </c>
      <c r="E66">
        <v>3001076</v>
      </c>
      <c r="F66" t="s">
        <v>39</v>
      </c>
      <c r="G66">
        <v>300</v>
      </c>
      <c r="H66">
        <v>200</v>
      </c>
      <c r="I66">
        <f t="shared" si="0"/>
        <v>500</v>
      </c>
    </row>
    <row r="67" spans="1:9">
      <c r="A67" t="s">
        <v>574</v>
      </c>
      <c r="B67" t="s">
        <v>575</v>
      </c>
      <c r="C67" t="s">
        <v>576</v>
      </c>
      <c r="D67">
        <v>76204394</v>
      </c>
      <c r="E67">
        <v>2503164</v>
      </c>
      <c r="F67" t="s">
        <v>39</v>
      </c>
      <c r="G67">
        <v>300</v>
      </c>
      <c r="H67">
        <v>200</v>
      </c>
      <c r="I67">
        <f t="shared" ref="I67:I118" si="1">G67+H67</f>
        <v>500</v>
      </c>
    </row>
    <row r="68" spans="1:9">
      <c r="A68" t="s">
        <v>577</v>
      </c>
      <c r="B68" t="s">
        <v>578</v>
      </c>
      <c r="C68" t="s">
        <v>579</v>
      </c>
      <c r="D68">
        <v>76204610</v>
      </c>
      <c r="E68">
        <v>2500558</v>
      </c>
      <c r="F68" t="s">
        <v>39</v>
      </c>
      <c r="G68">
        <v>300</v>
      </c>
      <c r="H68">
        <v>200</v>
      </c>
      <c r="I68">
        <f t="shared" si="1"/>
        <v>500</v>
      </c>
    </row>
    <row r="69" spans="1:9">
      <c r="A69" t="s">
        <v>580</v>
      </c>
      <c r="B69" t="s">
        <v>581</v>
      </c>
      <c r="C69" t="s">
        <v>582</v>
      </c>
      <c r="D69">
        <v>76206543</v>
      </c>
      <c r="E69">
        <v>3000651</v>
      </c>
      <c r="F69" t="s">
        <v>39</v>
      </c>
      <c r="G69">
        <v>300</v>
      </c>
      <c r="H69">
        <v>200</v>
      </c>
      <c r="I69">
        <f t="shared" si="1"/>
        <v>500</v>
      </c>
    </row>
    <row r="70" spans="1:9">
      <c r="A70" t="s">
        <v>583</v>
      </c>
      <c r="B70" t="s">
        <v>584</v>
      </c>
      <c r="C70" t="s">
        <v>585</v>
      </c>
      <c r="D70">
        <v>76209301</v>
      </c>
      <c r="E70">
        <v>8113</v>
      </c>
      <c r="F70" t="s">
        <v>39</v>
      </c>
      <c r="G70">
        <v>300</v>
      </c>
      <c r="H70">
        <v>200</v>
      </c>
      <c r="I70">
        <f t="shared" si="1"/>
        <v>500</v>
      </c>
    </row>
    <row r="71" spans="1:9">
      <c r="A71" t="s">
        <v>586</v>
      </c>
      <c r="B71" t="s">
        <v>587</v>
      </c>
      <c r="C71" t="s">
        <v>588</v>
      </c>
      <c r="D71">
        <v>76209725</v>
      </c>
      <c r="E71">
        <v>2500905</v>
      </c>
      <c r="F71" t="s">
        <v>39</v>
      </c>
      <c r="G71">
        <v>300</v>
      </c>
      <c r="H71">
        <v>200</v>
      </c>
      <c r="I71">
        <f t="shared" si="1"/>
        <v>500</v>
      </c>
    </row>
    <row r="72" spans="1:9">
      <c r="A72" t="s">
        <v>589</v>
      </c>
      <c r="B72" t="s">
        <v>590</v>
      </c>
      <c r="C72" t="s">
        <v>591</v>
      </c>
      <c r="D72">
        <v>76210834</v>
      </c>
      <c r="E72">
        <v>3002830</v>
      </c>
      <c r="F72" t="s">
        <v>39</v>
      </c>
      <c r="G72">
        <v>300</v>
      </c>
      <c r="H72">
        <v>200</v>
      </c>
      <c r="I72">
        <f t="shared" si="1"/>
        <v>500</v>
      </c>
    </row>
    <row r="73" spans="1:9">
      <c r="A73" t="s">
        <v>592</v>
      </c>
      <c r="B73" t="s">
        <v>593</v>
      </c>
      <c r="C73" t="s">
        <v>594</v>
      </c>
      <c r="D73">
        <v>76211772</v>
      </c>
      <c r="E73">
        <v>3002899</v>
      </c>
      <c r="F73" t="s">
        <v>39</v>
      </c>
      <c r="G73">
        <v>300</v>
      </c>
      <c r="H73">
        <v>200</v>
      </c>
      <c r="I73">
        <f t="shared" si="1"/>
        <v>500</v>
      </c>
    </row>
    <row r="74" spans="1:9">
      <c r="A74" t="s">
        <v>595</v>
      </c>
      <c r="B74" t="s">
        <v>596</v>
      </c>
      <c r="C74" t="s">
        <v>597</v>
      </c>
      <c r="D74">
        <v>76213077</v>
      </c>
      <c r="E74">
        <v>2502928</v>
      </c>
      <c r="F74" t="s">
        <v>39</v>
      </c>
      <c r="G74">
        <v>300</v>
      </c>
      <c r="H74">
        <v>200</v>
      </c>
      <c r="I74">
        <f t="shared" si="1"/>
        <v>500</v>
      </c>
    </row>
    <row r="75" spans="1:9">
      <c r="A75" t="s">
        <v>598</v>
      </c>
      <c r="B75" t="s">
        <v>599</v>
      </c>
      <c r="C75" t="s">
        <v>600</v>
      </c>
      <c r="D75">
        <v>76214576</v>
      </c>
      <c r="E75">
        <v>2500092</v>
      </c>
      <c r="F75" t="s">
        <v>39</v>
      </c>
      <c r="G75">
        <v>300</v>
      </c>
      <c r="H75">
        <v>200</v>
      </c>
      <c r="I75">
        <f t="shared" si="1"/>
        <v>500</v>
      </c>
    </row>
    <row r="76" spans="1:9">
      <c r="A76" t="s">
        <v>601</v>
      </c>
      <c r="B76" t="s">
        <v>602</v>
      </c>
      <c r="C76" t="s">
        <v>603</v>
      </c>
      <c r="D76">
        <v>76216633</v>
      </c>
      <c r="E76">
        <v>2503124</v>
      </c>
      <c r="F76" t="s">
        <v>39</v>
      </c>
      <c r="G76">
        <v>300</v>
      </c>
      <c r="H76">
        <v>200</v>
      </c>
      <c r="I76">
        <f t="shared" si="1"/>
        <v>500</v>
      </c>
    </row>
    <row r="77" spans="1:9">
      <c r="A77" t="s">
        <v>604</v>
      </c>
      <c r="B77" t="s">
        <v>605</v>
      </c>
      <c r="C77" t="s">
        <v>606</v>
      </c>
      <c r="D77">
        <v>76216971</v>
      </c>
      <c r="E77">
        <v>2501498</v>
      </c>
      <c r="F77" t="s">
        <v>39</v>
      </c>
      <c r="G77">
        <v>300</v>
      </c>
      <c r="H77">
        <v>200</v>
      </c>
      <c r="I77">
        <f t="shared" si="1"/>
        <v>500</v>
      </c>
    </row>
    <row r="78" spans="1:9">
      <c r="A78" t="s">
        <v>607</v>
      </c>
      <c r="B78" t="s">
        <v>608</v>
      </c>
      <c r="C78" t="s">
        <v>609</v>
      </c>
      <c r="D78">
        <v>76216978</v>
      </c>
      <c r="E78">
        <v>2501512</v>
      </c>
      <c r="F78" t="s">
        <v>39</v>
      </c>
      <c r="G78">
        <v>300</v>
      </c>
      <c r="H78">
        <v>200</v>
      </c>
      <c r="I78">
        <f t="shared" si="1"/>
        <v>500</v>
      </c>
    </row>
    <row r="79" spans="1:9">
      <c r="A79" t="s">
        <v>610</v>
      </c>
      <c r="B79" t="s">
        <v>611</v>
      </c>
      <c r="C79" t="s">
        <v>612</v>
      </c>
      <c r="D79">
        <v>76217262</v>
      </c>
      <c r="E79">
        <v>2501434</v>
      </c>
      <c r="F79" t="s">
        <v>39</v>
      </c>
      <c r="G79">
        <v>300</v>
      </c>
      <c r="H79">
        <v>200</v>
      </c>
      <c r="I79">
        <f t="shared" si="1"/>
        <v>500</v>
      </c>
    </row>
    <row r="80" spans="1:9">
      <c r="A80" t="s">
        <v>613</v>
      </c>
      <c r="B80" t="s">
        <v>614</v>
      </c>
      <c r="C80" t="s">
        <v>615</v>
      </c>
      <c r="D80">
        <v>76218409</v>
      </c>
      <c r="E80">
        <v>2501971</v>
      </c>
      <c r="F80" t="s">
        <v>39</v>
      </c>
      <c r="G80">
        <v>300</v>
      </c>
      <c r="H80">
        <v>200</v>
      </c>
      <c r="I80">
        <f t="shared" si="1"/>
        <v>500</v>
      </c>
    </row>
    <row r="81" spans="1:9">
      <c r="A81" t="s">
        <v>616</v>
      </c>
      <c r="B81" t="s">
        <v>617</v>
      </c>
      <c r="C81" t="s">
        <v>618</v>
      </c>
      <c r="D81">
        <v>76219675</v>
      </c>
      <c r="E81">
        <v>210272</v>
      </c>
      <c r="F81" t="s">
        <v>39</v>
      </c>
      <c r="G81">
        <v>400</v>
      </c>
      <c r="H81">
        <v>200</v>
      </c>
      <c r="I81">
        <f t="shared" si="1"/>
        <v>600</v>
      </c>
    </row>
    <row r="82" spans="1:9">
      <c r="A82" t="s">
        <v>619</v>
      </c>
      <c r="B82" t="s">
        <v>620</v>
      </c>
      <c r="C82" t="s">
        <v>621</v>
      </c>
      <c r="D82">
        <v>76220871</v>
      </c>
      <c r="E82" t="s">
        <v>438</v>
      </c>
      <c r="F82" t="s">
        <v>39</v>
      </c>
      <c r="G82">
        <v>300</v>
      </c>
      <c r="H82">
        <v>200</v>
      </c>
      <c r="I82">
        <f t="shared" si="1"/>
        <v>500</v>
      </c>
    </row>
    <row r="83" spans="1:9">
      <c r="A83" t="s">
        <v>619</v>
      </c>
      <c r="B83" t="s">
        <v>622</v>
      </c>
      <c r="C83" t="s">
        <v>623</v>
      </c>
      <c r="D83">
        <v>76220871</v>
      </c>
      <c r="E83" t="s">
        <v>438</v>
      </c>
      <c r="F83" t="s">
        <v>39</v>
      </c>
      <c r="G83">
        <v>300</v>
      </c>
      <c r="H83">
        <v>200</v>
      </c>
      <c r="I83">
        <f t="shared" si="1"/>
        <v>500</v>
      </c>
    </row>
    <row r="84" spans="1:9">
      <c r="A84" t="s">
        <v>624</v>
      </c>
      <c r="B84" t="s">
        <v>625</v>
      </c>
      <c r="C84" t="s">
        <v>626</v>
      </c>
      <c r="D84">
        <v>76220873</v>
      </c>
      <c r="E84" t="s">
        <v>438</v>
      </c>
      <c r="F84" t="s">
        <v>39</v>
      </c>
      <c r="G84">
        <v>300</v>
      </c>
      <c r="H84">
        <v>200</v>
      </c>
      <c r="I84">
        <f t="shared" si="1"/>
        <v>500</v>
      </c>
    </row>
    <row r="85" spans="1:9">
      <c r="A85" t="s">
        <v>627</v>
      </c>
      <c r="B85" t="s">
        <v>628</v>
      </c>
      <c r="C85" t="s">
        <v>629</v>
      </c>
      <c r="D85">
        <v>76221156</v>
      </c>
      <c r="E85">
        <v>2001555</v>
      </c>
      <c r="F85" t="s">
        <v>39</v>
      </c>
      <c r="G85">
        <v>300</v>
      </c>
      <c r="H85">
        <v>200</v>
      </c>
      <c r="I85">
        <f t="shared" si="1"/>
        <v>500</v>
      </c>
    </row>
    <row r="86" spans="1:9">
      <c r="A86" t="s">
        <v>630</v>
      </c>
      <c r="B86" t="s">
        <v>631</v>
      </c>
      <c r="C86" t="s">
        <v>632</v>
      </c>
      <c r="D86">
        <v>76222063</v>
      </c>
      <c r="E86">
        <v>2501755</v>
      </c>
      <c r="F86" t="s">
        <v>39</v>
      </c>
      <c r="G86">
        <v>300</v>
      </c>
      <c r="H86">
        <v>200</v>
      </c>
      <c r="I86">
        <f t="shared" si="1"/>
        <v>500</v>
      </c>
    </row>
    <row r="87" spans="1:9">
      <c r="A87" t="s">
        <v>633</v>
      </c>
      <c r="B87" t="s">
        <v>634</v>
      </c>
      <c r="C87" t="s">
        <v>635</v>
      </c>
      <c r="D87">
        <v>76222545</v>
      </c>
      <c r="E87">
        <v>0</v>
      </c>
      <c r="F87" t="s">
        <v>39</v>
      </c>
      <c r="G87">
        <v>300</v>
      </c>
      <c r="H87">
        <v>200</v>
      </c>
      <c r="I87">
        <f t="shared" si="1"/>
        <v>500</v>
      </c>
    </row>
    <row r="88" spans="1:9">
      <c r="A88" t="s">
        <v>636</v>
      </c>
      <c r="B88" t="s">
        <v>637</v>
      </c>
      <c r="C88" t="s">
        <v>638</v>
      </c>
      <c r="D88">
        <v>76223425</v>
      </c>
      <c r="E88" t="s">
        <v>438</v>
      </c>
      <c r="F88" t="s">
        <v>39</v>
      </c>
      <c r="G88">
        <v>300</v>
      </c>
      <c r="H88">
        <v>200</v>
      </c>
      <c r="I88">
        <f t="shared" si="1"/>
        <v>500</v>
      </c>
    </row>
    <row r="89" spans="1:9">
      <c r="A89" t="s">
        <v>639</v>
      </c>
      <c r="B89" t="s">
        <v>640</v>
      </c>
      <c r="C89" t="s">
        <v>641</v>
      </c>
      <c r="D89">
        <v>76225720</v>
      </c>
      <c r="E89">
        <v>2502191</v>
      </c>
      <c r="F89" t="s">
        <v>39</v>
      </c>
      <c r="G89">
        <v>300</v>
      </c>
      <c r="H89">
        <v>200</v>
      </c>
      <c r="I89">
        <f t="shared" si="1"/>
        <v>500</v>
      </c>
    </row>
    <row r="90" spans="1:9">
      <c r="A90" t="s">
        <v>642</v>
      </c>
      <c r="B90" t="s">
        <v>643</v>
      </c>
      <c r="C90" t="s">
        <v>644</v>
      </c>
      <c r="D90">
        <v>76225949</v>
      </c>
      <c r="E90">
        <v>2502146</v>
      </c>
      <c r="F90" t="s">
        <v>39</v>
      </c>
      <c r="G90">
        <v>300</v>
      </c>
      <c r="H90">
        <v>200</v>
      </c>
      <c r="I90">
        <f t="shared" si="1"/>
        <v>500</v>
      </c>
    </row>
    <row r="91" spans="1:9">
      <c r="A91" t="s">
        <v>645</v>
      </c>
      <c r="B91" t="s">
        <v>646</v>
      </c>
      <c r="C91" t="s">
        <v>647</v>
      </c>
      <c r="D91">
        <v>76227697</v>
      </c>
      <c r="E91" t="s">
        <v>438</v>
      </c>
      <c r="F91" t="s">
        <v>39</v>
      </c>
      <c r="G91">
        <v>300</v>
      </c>
      <c r="H91">
        <v>200</v>
      </c>
      <c r="I91">
        <f t="shared" si="1"/>
        <v>500</v>
      </c>
    </row>
    <row r="92" spans="1:9">
      <c r="A92" t="s">
        <v>648</v>
      </c>
      <c r="B92" t="s">
        <v>649</v>
      </c>
      <c r="C92" t="s">
        <v>650</v>
      </c>
      <c r="D92">
        <v>76229011</v>
      </c>
      <c r="E92">
        <v>0</v>
      </c>
      <c r="F92" t="s">
        <v>39</v>
      </c>
      <c r="G92">
        <v>450</v>
      </c>
      <c r="H92">
        <v>200</v>
      </c>
      <c r="I92">
        <f t="shared" si="1"/>
        <v>650</v>
      </c>
    </row>
    <row r="93" spans="1:9">
      <c r="A93" t="s">
        <v>651</v>
      </c>
      <c r="B93" t="s">
        <v>652</v>
      </c>
      <c r="C93" t="s">
        <v>653</v>
      </c>
      <c r="D93">
        <v>76229318</v>
      </c>
      <c r="E93">
        <v>2502328</v>
      </c>
      <c r="F93" t="s">
        <v>39</v>
      </c>
      <c r="G93">
        <v>300</v>
      </c>
      <c r="H93">
        <v>200</v>
      </c>
      <c r="I93">
        <f t="shared" si="1"/>
        <v>500</v>
      </c>
    </row>
    <row r="94" spans="1:9">
      <c r="A94" t="s">
        <v>654</v>
      </c>
      <c r="B94" t="s">
        <v>655</v>
      </c>
      <c r="C94" t="s">
        <v>656</v>
      </c>
      <c r="D94">
        <v>76230520</v>
      </c>
      <c r="E94">
        <v>2503257</v>
      </c>
      <c r="F94" t="s">
        <v>39</v>
      </c>
      <c r="G94">
        <v>300</v>
      </c>
      <c r="H94">
        <v>200</v>
      </c>
      <c r="I94">
        <f t="shared" si="1"/>
        <v>500</v>
      </c>
    </row>
    <row r="95" spans="1:9">
      <c r="A95" t="s">
        <v>657</v>
      </c>
      <c r="B95" t="s">
        <v>658</v>
      </c>
      <c r="C95" t="s">
        <v>659</v>
      </c>
      <c r="D95">
        <v>76231277</v>
      </c>
      <c r="E95">
        <v>2502635</v>
      </c>
      <c r="F95" t="s">
        <v>39</v>
      </c>
      <c r="G95">
        <v>300</v>
      </c>
      <c r="H95">
        <v>200</v>
      </c>
      <c r="I95">
        <f t="shared" si="1"/>
        <v>500</v>
      </c>
    </row>
    <row r="96" spans="1:9">
      <c r="A96" t="s">
        <v>660</v>
      </c>
      <c r="B96" t="s">
        <v>661</v>
      </c>
      <c r="C96" t="s">
        <v>662</v>
      </c>
      <c r="D96">
        <v>76231546</v>
      </c>
      <c r="E96">
        <v>2002201</v>
      </c>
      <c r="F96" t="s">
        <v>39</v>
      </c>
      <c r="G96">
        <v>300</v>
      </c>
      <c r="H96">
        <v>200</v>
      </c>
      <c r="I96">
        <f t="shared" si="1"/>
        <v>500</v>
      </c>
    </row>
    <row r="97" spans="1:9">
      <c r="A97" t="s">
        <v>663</v>
      </c>
      <c r="B97" t="s">
        <v>664</v>
      </c>
      <c r="C97" t="s">
        <v>665</v>
      </c>
      <c r="D97">
        <v>76232074</v>
      </c>
      <c r="E97">
        <v>2500696</v>
      </c>
      <c r="F97" t="s">
        <v>39</v>
      </c>
      <c r="G97">
        <v>300</v>
      </c>
      <c r="H97">
        <v>200</v>
      </c>
      <c r="I97">
        <f t="shared" si="1"/>
        <v>500</v>
      </c>
    </row>
    <row r="98" spans="1:9">
      <c r="A98" t="s">
        <v>666</v>
      </c>
      <c r="B98" t="s">
        <v>667</v>
      </c>
      <c r="C98" t="s">
        <v>668</v>
      </c>
      <c r="D98">
        <v>76233198</v>
      </c>
      <c r="E98">
        <v>3002958</v>
      </c>
      <c r="F98" t="s">
        <v>39</v>
      </c>
      <c r="G98">
        <v>300</v>
      </c>
      <c r="H98">
        <v>200</v>
      </c>
      <c r="I98">
        <f t="shared" si="1"/>
        <v>500</v>
      </c>
    </row>
    <row r="99" spans="1:9">
      <c r="A99" t="s">
        <v>669</v>
      </c>
      <c r="B99" t="s">
        <v>670</v>
      </c>
      <c r="C99" t="s">
        <v>671</v>
      </c>
      <c r="D99">
        <v>76233833</v>
      </c>
      <c r="E99">
        <v>2002292</v>
      </c>
      <c r="F99" t="s">
        <v>39</v>
      </c>
      <c r="G99">
        <v>300</v>
      </c>
      <c r="H99">
        <v>200</v>
      </c>
      <c r="I99">
        <f t="shared" si="1"/>
        <v>500</v>
      </c>
    </row>
    <row r="100" spans="1:9">
      <c r="A100" t="s">
        <v>672</v>
      </c>
      <c r="B100" t="s">
        <v>673</v>
      </c>
      <c r="C100" t="s">
        <v>674</v>
      </c>
      <c r="D100">
        <v>76234346</v>
      </c>
      <c r="E100">
        <v>2002231</v>
      </c>
      <c r="F100" t="s">
        <v>39</v>
      </c>
      <c r="G100">
        <v>300</v>
      </c>
      <c r="H100">
        <v>200</v>
      </c>
      <c r="I100">
        <f t="shared" si="1"/>
        <v>500</v>
      </c>
    </row>
    <row r="101" spans="1:9">
      <c r="A101" t="s">
        <v>675</v>
      </c>
      <c r="B101" t="s">
        <v>676</v>
      </c>
      <c r="C101" t="s">
        <v>677</v>
      </c>
      <c r="D101">
        <v>76236503</v>
      </c>
      <c r="E101">
        <v>3002961</v>
      </c>
      <c r="F101" t="s">
        <v>39</v>
      </c>
      <c r="G101">
        <v>300</v>
      </c>
      <c r="H101">
        <v>200</v>
      </c>
      <c r="I101">
        <f t="shared" si="1"/>
        <v>500</v>
      </c>
    </row>
    <row r="102" spans="1:9">
      <c r="A102" t="s">
        <v>678</v>
      </c>
      <c r="B102" t="s">
        <v>679</v>
      </c>
      <c r="C102" t="s">
        <v>680</v>
      </c>
      <c r="D102">
        <v>76240343</v>
      </c>
      <c r="E102">
        <v>3000814</v>
      </c>
      <c r="F102" t="s">
        <v>39</v>
      </c>
      <c r="G102">
        <v>300</v>
      </c>
      <c r="H102">
        <v>200</v>
      </c>
      <c r="I102">
        <f t="shared" si="1"/>
        <v>500</v>
      </c>
    </row>
    <row r="103" spans="1:9">
      <c r="A103" t="s">
        <v>681</v>
      </c>
      <c r="B103" t="s">
        <v>682</v>
      </c>
      <c r="C103" t="s">
        <v>683</v>
      </c>
      <c r="D103">
        <v>76241159</v>
      </c>
      <c r="E103">
        <v>3001147</v>
      </c>
      <c r="F103" t="s">
        <v>39</v>
      </c>
      <c r="G103">
        <v>300</v>
      </c>
      <c r="H103">
        <v>200</v>
      </c>
      <c r="I103">
        <f t="shared" si="1"/>
        <v>500</v>
      </c>
    </row>
    <row r="104" spans="1:9">
      <c r="A104" t="s">
        <v>684</v>
      </c>
      <c r="B104" t="s">
        <v>685</v>
      </c>
      <c r="C104" t="s">
        <v>686</v>
      </c>
      <c r="D104">
        <v>76241216</v>
      </c>
      <c r="E104">
        <v>3002066</v>
      </c>
      <c r="F104" t="s">
        <v>39</v>
      </c>
      <c r="G104">
        <v>300</v>
      </c>
      <c r="H104">
        <v>200</v>
      </c>
      <c r="I104">
        <f t="shared" si="1"/>
        <v>500</v>
      </c>
    </row>
    <row r="105" spans="1:9">
      <c r="A105" t="s">
        <v>687</v>
      </c>
      <c r="B105" t="s">
        <v>688</v>
      </c>
      <c r="C105" t="s">
        <v>689</v>
      </c>
      <c r="D105">
        <v>76241605</v>
      </c>
      <c r="E105">
        <v>2001100</v>
      </c>
      <c r="F105" t="s">
        <v>39</v>
      </c>
      <c r="G105">
        <v>300</v>
      </c>
      <c r="H105">
        <v>200</v>
      </c>
      <c r="I105">
        <f t="shared" si="1"/>
        <v>500</v>
      </c>
    </row>
    <row r="106" spans="1:9">
      <c r="A106" t="s">
        <v>690</v>
      </c>
      <c r="B106" t="s">
        <v>691</v>
      </c>
      <c r="C106" t="s">
        <v>692</v>
      </c>
      <c r="D106">
        <v>76244900</v>
      </c>
      <c r="E106">
        <v>2002885</v>
      </c>
      <c r="F106" t="s">
        <v>39</v>
      </c>
      <c r="G106">
        <v>300</v>
      </c>
      <c r="H106">
        <v>200</v>
      </c>
      <c r="I106">
        <f t="shared" si="1"/>
        <v>500</v>
      </c>
    </row>
    <row r="107" spans="1:9">
      <c r="A107" t="s">
        <v>693</v>
      </c>
      <c r="B107" t="s">
        <v>694</v>
      </c>
      <c r="C107" t="s">
        <v>695</v>
      </c>
      <c r="D107">
        <v>76246857</v>
      </c>
      <c r="E107">
        <v>3002291</v>
      </c>
      <c r="F107" t="s">
        <v>39</v>
      </c>
      <c r="G107">
        <v>400</v>
      </c>
      <c r="H107">
        <v>200</v>
      </c>
      <c r="I107">
        <f t="shared" si="1"/>
        <v>600</v>
      </c>
    </row>
    <row r="108" spans="1:9">
      <c r="A108" t="s">
        <v>696</v>
      </c>
      <c r="B108" t="s">
        <v>697</v>
      </c>
      <c r="C108" t="s">
        <v>698</v>
      </c>
      <c r="D108">
        <v>76250502</v>
      </c>
      <c r="E108">
        <v>2001883</v>
      </c>
      <c r="F108" t="s">
        <v>39</v>
      </c>
      <c r="G108">
        <v>300</v>
      </c>
      <c r="H108">
        <v>200</v>
      </c>
      <c r="I108">
        <f t="shared" si="1"/>
        <v>500</v>
      </c>
    </row>
    <row r="109" spans="1:9">
      <c r="A109" t="s">
        <v>699</v>
      </c>
      <c r="B109" t="s">
        <v>700</v>
      </c>
      <c r="C109" t="s">
        <v>701</v>
      </c>
      <c r="D109">
        <v>76251423</v>
      </c>
      <c r="E109">
        <v>3002946</v>
      </c>
      <c r="F109" t="s">
        <v>39</v>
      </c>
      <c r="G109">
        <v>300</v>
      </c>
      <c r="H109">
        <v>200</v>
      </c>
      <c r="I109">
        <f t="shared" si="1"/>
        <v>500</v>
      </c>
    </row>
    <row r="110" spans="1:9">
      <c r="A110" t="s">
        <v>702</v>
      </c>
      <c r="B110" t="s">
        <v>703</v>
      </c>
      <c r="C110" t="s">
        <v>704</v>
      </c>
      <c r="D110">
        <v>76251805</v>
      </c>
      <c r="E110">
        <v>2003023</v>
      </c>
      <c r="F110" t="s">
        <v>39</v>
      </c>
      <c r="G110">
        <v>300</v>
      </c>
      <c r="H110">
        <v>200</v>
      </c>
      <c r="I110">
        <f t="shared" si="1"/>
        <v>500</v>
      </c>
    </row>
    <row r="111" spans="1:9">
      <c r="A111" t="s">
        <v>705</v>
      </c>
      <c r="B111" t="s">
        <v>706</v>
      </c>
      <c r="C111" t="s">
        <v>707</v>
      </c>
      <c r="D111">
        <v>76252076</v>
      </c>
      <c r="E111">
        <v>2503463</v>
      </c>
      <c r="F111" t="s">
        <v>39</v>
      </c>
      <c r="G111">
        <v>300</v>
      </c>
      <c r="H111">
        <v>200</v>
      </c>
      <c r="I111">
        <f t="shared" si="1"/>
        <v>500</v>
      </c>
    </row>
    <row r="112" spans="1:9">
      <c r="A112" t="s">
        <v>708</v>
      </c>
      <c r="B112" t="s">
        <v>709</v>
      </c>
      <c r="C112" t="s">
        <v>710</v>
      </c>
      <c r="D112">
        <v>76252738</v>
      </c>
      <c r="E112">
        <v>3002944</v>
      </c>
      <c r="F112" t="s">
        <v>39</v>
      </c>
      <c r="G112">
        <v>300</v>
      </c>
      <c r="H112">
        <v>200</v>
      </c>
      <c r="I112">
        <f t="shared" si="1"/>
        <v>500</v>
      </c>
    </row>
    <row r="113" spans="1:9">
      <c r="A113" t="s">
        <v>711</v>
      </c>
      <c r="B113" t="s">
        <v>712</v>
      </c>
      <c r="C113" t="s">
        <v>713</v>
      </c>
      <c r="D113">
        <v>76252740</v>
      </c>
      <c r="E113">
        <v>3002948</v>
      </c>
      <c r="F113" t="s">
        <v>39</v>
      </c>
      <c r="G113">
        <v>300</v>
      </c>
      <c r="H113">
        <v>200</v>
      </c>
      <c r="I113">
        <f t="shared" si="1"/>
        <v>500</v>
      </c>
    </row>
    <row r="114" spans="1:9">
      <c r="A114" t="s">
        <v>714</v>
      </c>
      <c r="B114" t="s">
        <v>715</v>
      </c>
      <c r="C114" t="s">
        <v>716</v>
      </c>
      <c r="D114">
        <v>76255135</v>
      </c>
      <c r="E114">
        <v>8105</v>
      </c>
      <c r="F114" t="s">
        <v>39</v>
      </c>
      <c r="G114">
        <v>300</v>
      </c>
      <c r="H114">
        <v>200</v>
      </c>
      <c r="I114">
        <f t="shared" si="1"/>
        <v>500</v>
      </c>
    </row>
    <row r="115" spans="1:9">
      <c r="A115" t="s">
        <v>717</v>
      </c>
      <c r="B115" t="s">
        <v>718</v>
      </c>
      <c r="C115" t="s">
        <v>719</v>
      </c>
      <c r="D115">
        <v>76257108</v>
      </c>
      <c r="E115">
        <v>3000642</v>
      </c>
      <c r="F115" t="s">
        <v>39</v>
      </c>
      <c r="G115">
        <v>300</v>
      </c>
      <c r="H115">
        <v>200</v>
      </c>
      <c r="I115">
        <f t="shared" si="1"/>
        <v>500</v>
      </c>
    </row>
    <row r="116" spans="1:9">
      <c r="A116" t="s">
        <v>720</v>
      </c>
      <c r="B116" t="s">
        <v>721</v>
      </c>
      <c r="C116" t="s">
        <v>722</v>
      </c>
      <c r="D116">
        <v>76257366</v>
      </c>
      <c r="E116">
        <v>2001341</v>
      </c>
      <c r="F116" t="s">
        <v>39</v>
      </c>
      <c r="G116">
        <v>300</v>
      </c>
      <c r="H116">
        <v>200</v>
      </c>
      <c r="I116">
        <f t="shared" si="1"/>
        <v>500</v>
      </c>
    </row>
    <row r="117" spans="1:9">
      <c r="A117" t="s">
        <v>723</v>
      </c>
      <c r="B117" t="s">
        <v>724</v>
      </c>
      <c r="C117" t="s">
        <v>725</v>
      </c>
      <c r="D117">
        <v>76257826</v>
      </c>
      <c r="E117">
        <v>3002020</v>
      </c>
      <c r="F117" t="s">
        <v>39</v>
      </c>
      <c r="G117">
        <v>300</v>
      </c>
      <c r="H117">
        <v>200</v>
      </c>
      <c r="I117">
        <f t="shared" si="1"/>
        <v>500</v>
      </c>
    </row>
    <row r="118" spans="1:9">
      <c r="A118" t="s">
        <v>726</v>
      </c>
      <c r="B118" t="s">
        <v>727</v>
      </c>
      <c r="C118" t="s">
        <v>728</v>
      </c>
      <c r="D118">
        <v>97000001</v>
      </c>
      <c r="E118">
        <v>2500664</v>
      </c>
      <c r="F118" t="s">
        <v>39</v>
      </c>
      <c r="G118">
        <v>300</v>
      </c>
      <c r="H118">
        <v>200</v>
      </c>
      <c r="I118">
        <f t="shared" si="1"/>
        <v>500</v>
      </c>
    </row>
    <row r="119" spans="1:9">
      <c r="F119" t="s">
        <v>20</v>
      </c>
      <c r="G119" s="13">
        <f>SUM(G2:G118)</f>
        <v>35450</v>
      </c>
      <c r="H119" s="13">
        <f t="shared" ref="H119:I119" si="2">SUM(H2:H118)</f>
        <v>23400</v>
      </c>
      <c r="I119" s="13">
        <f t="shared" si="2"/>
        <v>58850</v>
      </c>
    </row>
    <row r="120" spans="1:9">
      <c r="F120" t="s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4E7DB-C614-4838-867F-49E826D06950}">
  <sheetPr>
    <tabColor rgb="FFFF0000"/>
  </sheetPr>
  <dimension ref="A1:G89"/>
  <sheetViews>
    <sheetView topLeftCell="A16" workbookViewId="0">
      <selection activeCell="E2" sqref="E2:E44"/>
    </sheetView>
  </sheetViews>
  <sheetFormatPr defaultRowHeight="15"/>
  <cols>
    <col min="2" max="2" width="53.7109375" bestFit="1" customWidth="1"/>
    <col min="3" max="3" width="12.28515625" bestFit="1" customWidth="1"/>
    <col min="4" max="4" width="11.28515625" bestFit="1" customWidth="1"/>
    <col min="5" max="5" width="23" bestFit="1" customWidth="1"/>
    <col min="6" max="6" width="12.7109375" style="15" bestFit="1" customWidth="1"/>
  </cols>
  <sheetData>
    <row r="1" spans="1:7">
      <c r="A1" t="s">
        <v>22</v>
      </c>
      <c r="B1" t="s">
        <v>23</v>
      </c>
      <c r="C1" t="s">
        <v>25</v>
      </c>
      <c r="D1" t="s">
        <v>26</v>
      </c>
      <c r="E1" t="s">
        <v>27</v>
      </c>
      <c r="F1" s="15" t="s">
        <v>376</v>
      </c>
      <c r="G1" t="s">
        <v>321</v>
      </c>
    </row>
    <row r="2" spans="1:7">
      <c r="A2" t="str">
        <f>TRIM("0"&amp;C2)</f>
        <v>01012201</v>
      </c>
      <c r="B2" t="s">
        <v>379</v>
      </c>
      <c r="C2">
        <v>1012201</v>
      </c>
      <c r="D2">
        <v>3001502</v>
      </c>
      <c r="E2" t="s">
        <v>39</v>
      </c>
      <c r="F2" s="15">
        <v>40</v>
      </c>
    </row>
    <row r="3" spans="1:7">
      <c r="A3" t="str">
        <f t="shared" ref="A3:A5" si="0">TRIM("0"&amp;C3)</f>
        <v>01012202</v>
      </c>
      <c r="B3" t="s">
        <v>382</v>
      </c>
      <c r="C3">
        <v>1012202</v>
      </c>
      <c r="D3">
        <v>3001510</v>
      </c>
      <c r="E3" t="s">
        <v>39</v>
      </c>
      <c r="F3" s="15">
        <v>100</v>
      </c>
    </row>
    <row r="4" spans="1:7">
      <c r="A4" t="str">
        <f t="shared" si="0"/>
        <v>01326145</v>
      </c>
      <c r="B4" t="s">
        <v>397</v>
      </c>
      <c r="C4">
        <v>1326145</v>
      </c>
      <c r="D4">
        <v>2500576</v>
      </c>
      <c r="E4" t="s">
        <v>39</v>
      </c>
      <c r="F4" s="15">
        <v>290</v>
      </c>
    </row>
    <row r="5" spans="1:7">
      <c r="A5" t="str">
        <f t="shared" si="0"/>
        <v>09025902</v>
      </c>
      <c r="B5" t="s">
        <v>403</v>
      </c>
      <c r="C5">
        <v>9025902</v>
      </c>
      <c r="D5">
        <v>2002697</v>
      </c>
      <c r="E5" t="s">
        <v>39</v>
      </c>
      <c r="F5" s="15">
        <v>160</v>
      </c>
    </row>
    <row r="6" spans="1:7">
      <c r="A6" t="str">
        <f t="shared" ref="A6:A44" si="1">TRIM(C6)</f>
        <v>13498058</v>
      </c>
      <c r="B6" t="s">
        <v>406</v>
      </c>
      <c r="C6">
        <v>13498058</v>
      </c>
      <c r="D6">
        <v>3365</v>
      </c>
      <c r="E6" t="s">
        <v>39</v>
      </c>
      <c r="F6" s="15">
        <v>210</v>
      </c>
    </row>
    <row r="7" spans="1:7">
      <c r="A7" t="str">
        <f t="shared" si="1"/>
        <v>25212501</v>
      </c>
      <c r="B7" t="s">
        <v>418</v>
      </c>
      <c r="C7">
        <v>25212501</v>
      </c>
      <c r="D7">
        <v>6024</v>
      </c>
      <c r="E7" t="s">
        <v>39</v>
      </c>
      <c r="F7" s="15">
        <v>170</v>
      </c>
    </row>
    <row r="8" spans="1:7">
      <c r="A8" t="str">
        <f t="shared" si="1"/>
        <v>25300610</v>
      </c>
      <c r="B8" t="s">
        <v>424</v>
      </c>
      <c r="C8">
        <v>25300610</v>
      </c>
      <c r="D8">
        <v>3002945</v>
      </c>
      <c r="E8" t="s">
        <v>39</v>
      </c>
      <c r="F8" s="15">
        <v>40</v>
      </c>
    </row>
    <row r="9" spans="1:7">
      <c r="A9" t="str">
        <f t="shared" si="1"/>
        <v>44780001</v>
      </c>
      <c r="B9" t="s">
        <v>427</v>
      </c>
      <c r="C9">
        <v>44780001</v>
      </c>
      <c r="D9">
        <v>2502046</v>
      </c>
      <c r="E9" t="s">
        <v>39</v>
      </c>
      <c r="F9" s="15">
        <v>90</v>
      </c>
    </row>
    <row r="10" spans="1:7">
      <c r="A10" t="str">
        <f t="shared" si="1"/>
        <v>45602701</v>
      </c>
      <c r="B10" t="s">
        <v>430</v>
      </c>
      <c r="C10">
        <v>45602701</v>
      </c>
      <c r="D10">
        <v>2501852</v>
      </c>
      <c r="E10" t="s">
        <v>39</v>
      </c>
      <c r="F10" s="15">
        <v>30</v>
      </c>
    </row>
    <row r="11" spans="1:7">
      <c r="A11" t="str">
        <f t="shared" si="1"/>
        <v>71061453</v>
      </c>
      <c r="B11" t="s">
        <v>449</v>
      </c>
      <c r="C11">
        <v>71061453</v>
      </c>
      <c r="D11">
        <v>3002947</v>
      </c>
      <c r="E11" t="s">
        <v>39</v>
      </c>
      <c r="F11" s="15">
        <v>110</v>
      </c>
    </row>
    <row r="12" spans="1:7">
      <c r="A12" t="str">
        <f t="shared" si="1"/>
        <v>76032748</v>
      </c>
      <c r="B12" t="s">
        <v>464</v>
      </c>
      <c r="C12">
        <v>76032748</v>
      </c>
      <c r="D12">
        <v>3002949</v>
      </c>
      <c r="E12" t="s">
        <v>39</v>
      </c>
      <c r="F12" s="15">
        <v>30</v>
      </c>
    </row>
    <row r="13" spans="1:7">
      <c r="A13" t="str">
        <f t="shared" si="1"/>
        <v>76036137</v>
      </c>
      <c r="B13" t="s">
        <v>467</v>
      </c>
      <c r="C13">
        <v>76036137</v>
      </c>
      <c r="D13">
        <v>2501825</v>
      </c>
      <c r="E13" t="s">
        <v>39</v>
      </c>
      <c r="F13" s="15">
        <v>90</v>
      </c>
    </row>
    <row r="14" spans="1:7">
      <c r="A14" t="str">
        <f t="shared" si="1"/>
        <v>76036160</v>
      </c>
      <c r="B14" t="s">
        <v>470</v>
      </c>
      <c r="C14">
        <v>76036160</v>
      </c>
      <c r="D14">
        <v>9014</v>
      </c>
      <c r="E14" t="s">
        <v>39</v>
      </c>
      <c r="F14" s="15">
        <v>170</v>
      </c>
    </row>
    <row r="15" spans="1:7">
      <c r="A15" t="str">
        <f t="shared" si="1"/>
        <v>76037591</v>
      </c>
      <c r="B15" t="s">
        <v>473</v>
      </c>
      <c r="C15">
        <v>76037591</v>
      </c>
      <c r="D15">
        <v>6091</v>
      </c>
      <c r="E15" t="s">
        <v>39</v>
      </c>
      <c r="F15" s="15">
        <v>160</v>
      </c>
    </row>
    <row r="16" spans="1:7">
      <c r="A16" t="str">
        <f t="shared" si="1"/>
        <v>76038422</v>
      </c>
      <c r="B16" t="s">
        <v>476</v>
      </c>
      <c r="C16">
        <v>76038422</v>
      </c>
      <c r="D16">
        <v>2500295</v>
      </c>
      <c r="E16" t="s">
        <v>39</v>
      </c>
      <c r="F16" s="15">
        <v>300</v>
      </c>
    </row>
    <row r="17" spans="1:6">
      <c r="A17" t="str">
        <f t="shared" si="1"/>
        <v>76043468</v>
      </c>
      <c r="B17" t="s">
        <v>494</v>
      </c>
      <c r="C17">
        <v>76043468</v>
      </c>
      <c r="D17">
        <v>2001550</v>
      </c>
      <c r="E17" t="s">
        <v>39</v>
      </c>
      <c r="F17" s="15">
        <v>280</v>
      </c>
    </row>
    <row r="18" spans="1:6">
      <c r="A18" t="str">
        <f t="shared" si="1"/>
        <v>76072064</v>
      </c>
      <c r="B18" t="s">
        <v>500</v>
      </c>
      <c r="C18">
        <v>76072064</v>
      </c>
      <c r="D18">
        <v>2503103</v>
      </c>
      <c r="E18" t="s">
        <v>39</v>
      </c>
      <c r="F18" s="15">
        <v>110</v>
      </c>
    </row>
    <row r="19" spans="1:6">
      <c r="A19" t="str">
        <f t="shared" si="1"/>
        <v>76073131</v>
      </c>
      <c r="B19" t="s">
        <v>503</v>
      </c>
      <c r="C19">
        <v>76073131</v>
      </c>
      <c r="D19">
        <v>143062</v>
      </c>
      <c r="E19" t="s">
        <v>39</v>
      </c>
      <c r="F19" s="15">
        <v>160</v>
      </c>
    </row>
    <row r="20" spans="1:6">
      <c r="A20" t="str">
        <f t="shared" si="1"/>
        <v>76074791</v>
      </c>
      <c r="B20" t="s">
        <v>509</v>
      </c>
      <c r="C20">
        <v>76074791</v>
      </c>
      <c r="D20">
        <v>3002489</v>
      </c>
      <c r="E20" t="s">
        <v>39</v>
      </c>
      <c r="F20" s="15">
        <v>300</v>
      </c>
    </row>
    <row r="21" spans="1:6">
      <c r="A21" t="str">
        <f t="shared" si="1"/>
        <v>76135790</v>
      </c>
      <c r="B21" t="s">
        <v>515</v>
      </c>
      <c r="C21">
        <v>76135790</v>
      </c>
      <c r="D21">
        <v>2503496</v>
      </c>
      <c r="E21" t="s">
        <v>39</v>
      </c>
      <c r="F21" s="15">
        <v>100</v>
      </c>
    </row>
    <row r="22" spans="1:6">
      <c r="A22" t="str">
        <f t="shared" si="1"/>
        <v>76143376</v>
      </c>
      <c r="B22" t="s">
        <v>521</v>
      </c>
      <c r="C22">
        <v>76143376</v>
      </c>
      <c r="D22">
        <v>3001863</v>
      </c>
      <c r="E22" t="s">
        <v>39</v>
      </c>
      <c r="F22" s="15">
        <v>280</v>
      </c>
    </row>
    <row r="23" spans="1:6">
      <c r="A23" t="str">
        <f t="shared" si="1"/>
        <v>76144136</v>
      </c>
      <c r="B23" t="s">
        <v>524</v>
      </c>
      <c r="C23">
        <v>76144136</v>
      </c>
      <c r="D23">
        <v>3002895</v>
      </c>
      <c r="E23" t="s">
        <v>39</v>
      </c>
      <c r="F23" s="15">
        <v>150</v>
      </c>
    </row>
    <row r="24" spans="1:6">
      <c r="A24" t="str">
        <f t="shared" si="1"/>
        <v>76159225</v>
      </c>
      <c r="B24" t="s">
        <v>533</v>
      </c>
      <c r="C24">
        <v>76159225</v>
      </c>
      <c r="D24">
        <v>2502115</v>
      </c>
      <c r="E24" t="s">
        <v>39</v>
      </c>
      <c r="F24" s="15">
        <v>90</v>
      </c>
    </row>
    <row r="25" spans="1:6">
      <c r="A25" t="str">
        <f t="shared" si="1"/>
        <v>76159913</v>
      </c>
      <c r="B25" t="s">
        <v>536</v>
      </c>
      <c r="C25">
        <v>76159913</v>
      </c>
      <c r="D25">
        <v>2500592</v>
      </c>
      <c r="E25" t="s">
        <v>39</v>
      </c>
      <c r="F25" s="15">
        <v>100</v>
      </c>
    </row>
    <row r="26" spans="1:6">
      <c r="A26" t="str">
        <f t="shared" si="1"/>
        <v>76164480</v>
      </c>
      <c r="B26" t="s">
        <v>539</v>
      </c>
      <c r="C26">
        <v>76164480</v>
      </c>
      <c r="D26">
        <v>2000978</v>
      </c>
      <c r="E26" t="s">
        <v>39</v>
      </c>
      <c r="F26" s="15">
        <v>210</v>
      </c>
    </row>
    <row r="27" spans="1:6">
      <c r="A27" t="str">
        <f t="shared" si="1"/>
        <v>76180102</v>
      </c>
      <c r="B27" t="s">
        <v>560</v>
      </c>
      <c r="C27">
        <v>76180102</v>
      </c>
      <c r="D27">
        <v>2502528</v>
      </c>
      <c r="E27" t="s">
        <v>39</v>
      </c>
      <c r="F27" s="15">
        <v>110</v>
      </c>
    </row>
    <row r="28" spans="1:6">
      <c r="A28" t="str">
        <f t="shared" si="1"/>
        <v>76181513</v>
      </c>
      <c r="B28" t="s">
        <v>566</v>
      </c>
      <c r="C28">
        <v>76181513</v>
      </c>
      <c r="D28">
        <v>3001083</v>
      </c>
      <c r="E28" t="s">
        <v>39</v>
      </c>
      <c r="F28" s="15">
        <v>40</v>
      </c>
    </row>
    <row r="29" spans="1:6">
      <c r="A29" t="str">
        <f t="shared" si="1"/>
        <v>76187537</v>
      </c>
      <c r="B29" t="s">
        <v>569</v>
      </c>
      <c r="C29">
        <v>76187537</v>
      </c>
      <c r="D29">
        <v>10143</v>
      </c>
      <c r="E29" t="s">
        <v>39</v>
      </c>
      <c r="F29" s="15">
        <v>280</v>
      </c>
    </row>
    <row r="30" spans="1:6">
      <c r="A30" t="str">
        <f t="shared" si="1"/>
        <v>76188296</v>
      </c>
      <c r="B30" t="s">
        <v>572</v>
      </c>
      <c r="C30">
        <v>76188296</v>
      </c>
      <c r="D30">
        <v>3001076</v>
      </c>
      <c r="E30" t="s">
        <v>39</v>
      </c>
      <c r="F30" s="15">
        <v>170</v>
      </c>
    </row>
    <row r="31" spans="1:6">
      <c r="A31" t="str">
        <f t="shared" si="1"/>
        <v>76204394</v>
      </c>
      <c r="B31" t="s">
        <v>575</v>
      </c>
      <c r="C31">
        <v>76204394</v>
      </c>
      <c r="D31">
        <v>2503164</v>
      </c>
      <c r="E31" t="s">
        <v>39</v>
      </c>
      <c r="F31" s="15">
        <v>160</v>
      </c>
    </row>
    <row r="32" spans="1:6">
      <c r="A32" t="str">
        <f t="shared" si="1"/>
        <v>76210834</v>
      </c>
      <c r="B32" t="s">
        <v>590</v>
      </c>
      <c r="C32">
        <v>76210834</v>
      </c>
      <c r="D32">
        <v>3002830</v>
      </c>
      <c r="E32" t="s">
        <v>39</v>
      </c>
      <c r="F32" s="15">
        <v>240</v>
      </c>
    </row>
    <row r="33" spans="1:6">
      <c r="A33" t="str">
        <f t="shared" si="1"/>
        <v>76211772</v>
      </c>
      <c r="B33" t="s">
        <v>593</v>
      </c>
      <c r="C33">
        <v>76211772</v>
      </c>
      <c r="D33">
        <v>3002899</v>
      </c>
      <c r="E33" t="s">
        <v>39</v>
      </c>
      <c r="F33" s="15">
        <v>30</v>
      </c>
    </row>
    <row r="34" spans="1:6">
      <c r="A34" t="str">
        <f t="shared" si="1"/>
        <v>76216633</v>
      </c>
      <c r="B34" t="s">
        <v>602</v>
      </c>
      <c r="C34">
        <v>76216633</v>
      </c>
      <c r="D34">
        <v>2503124</v>
      </c>
      <c r="E34" t="s">
        <v>39</v>
      </c>
      <c r="F34" s="15">
        <v>90</v>
      </c>
    </row>
    <row r="35" spans="1:6">
      <c r="A35" t="str">
        <f t="shared" si="1"/>
        <v>76217262</v>
      </c>
      <c r="B35" t="s">
        <v>611</v>
      </c>
      <c r="C35">
        <v>76217262</v>
      </c>
      <c r="D35">
        <v>2501434</v>
      </c>
      <c r="E35" t="s">
        <v>39</v>
      </c>
      <c r="F35" s="15">
        <v>100</v>
      </c>
    </row>
    <row r="36" spans="1:6">
      <c r="A36" t="str">
        <f t="shared" si="1"/>
        <v>76233198</v>
      </c>
      <c r="B36" t="s">
        <v>667</v>
      </c>
      <c r="C36">
        <v>76233198</v>
      </c>
      <c r="D36">
        <v>3002958</v>
      </c>
      <c r="E36" t="s">
        <v>39</v>
      </c>
      <c r="F36" s="15">
        <v>40</v>
      </c>
    </row>
    <row r="37" spans="1:6">
      <c r="A37" t="str">
        <f t="shared" si="1"/>
        <v>76236503</v>
      </c>
      <c r="B37" t="s">
        <v>676</v>
      </c>
      <c r="C37">
        <v>76236503</v>
      </c>
      <c r="D37">
        <v>3002961</v>
      </c>
      <c r="E37" t="s">
        <v>39</v>
      </c>
      <c r="F37" s="15">
        <v>30</v>
      </c>
    </row>
    <row r="38" spans="1:6">
      <c r="A38" t="str">
        <f t="shared" si="1"/>
        <v>76241159</v>
      </c>
      <c r="B38" t="s">
        <v>682</v>
      </c>
      <c r="C38">
        <v>76241159</v>
      </c>
      <c r="D38">
        <v>3001147</v>
      </c>
      <c r="E38" t="s">
        <v>39</v>
      </c>
      <c r="F38" s="15">
        <v>100</v>
      </c>
    </row>
    <row r="39" spans="1:6">
      <c r="A39" t="str">
        <f t="shared" si="1"/>
        <v>76241605</v>
      </c>
      <c r="B39" t="s">
        <v>688</v>
      </c>
      <c r="C39">
        <v>76241605</v>
      </c>
      <c r="D39">
        <v>2001100</v>
      </c>
      <c r="E39" t="s">
        <v>39</v>
      </c>
      <c r="F39" s="15">
        <v>90</v>
      </c>
    </row>
    <row r="40" spans="1:6">
      <c r="A40" t="str">
        <f t="shared" si="1"/>
        <v>76251423</v>
      </c>
      <c r="B40" t="s">
        <v>700</v>
      </c>
      <c r="C40">
        <v>76251423</v>
      </c>
      <c r="D40">
        <v>3002946</v>
      </c>
      <c r="E40" t="s">
        <v>39</v>
      </c>
      <c r="F40" s="15">
        <v>30</v>
      </c>
    </row>
    <row r="41" spans="1:6">
      <c r="A41" t="str">
        <f t="shared" si="1"/>
        <v>76252738</v>
      </c>
      <c r="B41" t="s">
        <v>709</v>
      </c>
      <c r="C41">
        <v>76252738</v>
      </c>
      <c r="D41">
        <v>3002944</v>
      </c>
      <c r="E41" t="s">
        <v>39</v>
      </c>
      <c r="F41" s="15">
        <v>90</v>
      </c>
    </row>
    <row r="42" spans="1:6">
      <c r="A42" t="str">
        <f t="shared" si="1"/>
        <v>76252740</v>
      </c>
      <c r="B42" t="s">
        <v>712</v>
      </c>
      <c r="C42">
        <v>76252740</v>
      </c>
      <c r="D42">
        <v>3002948</v>
      </c>
      <c r="E42" t="s">
        <v>39</v>
      </c>
      <c r="F42" s="15">
        <v>30</v>
      </c>
    </row>
    <row r="43" spans="1:6">
      <c r="A43" t="str">
        <f t="shared" si="1"/>
        <v>76257108</v>
      </c>
      <c r="B43" t="s">
        <v>718</v>
      </c>
      <c r="C43">
        <v>76257108</v>
      </c>
      <c r="D43">
        <v>3000642</v>
      </c>
      <c r="E43" t="s">
        <v>39</v>
      </c>
      <c r="F43" s="15">
        <v>30</v>
      </c>
    </row>
    <row r="44" spans="1:6">
      <c r="A44" t="str">
        <f t="shared" si="1"/>
        <v>97000001</v>
      </c>
      <c r="B44" t="s">
        <v>727</v>
      </c>
      <c r="C44">
        <v>97000001</v>
      </c>
      <c r="D44">
        <v>2500664</v>
      </c>
      <c r="E44" t="s">
        <v>39</v>
      </c>
      <c r="F44" s="15">
        <v>30</v>
      </c>
    </row>
    <row r="46" spans="1:6">
      <c r="A46" t="str">
        <f>TRIM(C46)</f>
        <v>76074791</v>
      </c>
      <c r="B46" t="s">
        <v>509</v>
      </c>
      <c r="C46">
        <v>76074791</v>
      </c>
      <c r="D46">
        <v>3002489</v>
      </c>
      <c r="E46" t="s">
        <v>729</v>
      </c>
      <c r="F46" s="15">
        <v>200</v>
      </c>
    </row>
    <row r="47" spans="1:6">
      <c r="A47" t="str">
        <f t="shared" ref="A47:A88" si="2">TRIM(C47)</f>
        <v>44780001</v>
      </c>
      <c r="B47" t="s">
        <v>427</v>
      </c>
      <c r="C47">
        <v>44780001</v>
      </c>
      <c r="D47">
        <v>2502046</v>
      </c>
      <c r="E47" t="s">
        <v>729</v>
      </c>
      <c r="F47" s="15">
        <v>60</v>
      </c>
    </row>
    <row r="48" spans="1:6">
      <c r="A48" t="str">
        <f t="shared" si="2"/>
        <v>76072064</v>
      </c>
      <c r="B48" t="s">
        <v>500</v>
      </c>
      <c r="C48">
        <v>76072064</v>
      </c>
      <c r="D48">
        <v>2503103</v>
      </c>
      <c r="E48" t="s">
        <v>729</v>
      </c>
      <c r="F48" s="15">
        <v>73.33</v>
      </c>
    </row>
    <row r="49" spans="1:6">
      <c r="A49" t="str">
        <f t="shared" si="2"/>
        <v>9025902</v>
      </c>
      <c r="B49" t="s">
        <v>403</v>
      </c>
      <c r="C49">
        <v>9025902</v>
      </c>
      <c r="D49">
        <v>2002697</v>
      </c>
      <c r="E49" t="s">
        <v>729</v>
      </c>
      <c r="F49" s="15">
        <v>106.67</v>
      </c>
    </row>
    <row r="50" spans="1:6">
      <c r="A50" t="str">
        <f t="shared" si="2"/>
        <v>76233198</v>
      </c>
      <c r="B50" t="s">
        <v>667</v>
      </c>
      <c r="C50">
        <v>76233198</v>
      </c>
      <c r="D50">
        <v>3002958</v>
      </c>
      <c r="E50" t="s">
        <v>729</v>
      </c>
      <c r="F50" s="15">
        <v>26.67</v>
      </c>
    </row>
    <row r="51" spans="1:6">
      <c r="A51" t="str">
        <f t="shared" si="2"/>
        <v>71061453</v>
      </c>
      <c r="B51" t="s">
        <v>449</v>
      </c>
      <c r="C51">
        <v>71061453</v>
      </c>
      <c r="D51">
        <v>3002947</v>
      </c>
      <c r="E51" t="s">
        <v>729</v>
      </c>
      <c r="F51" s="15">
        <v>73.33</v>
      </c>
    </row>
    <row r="52" spans="1:6">
      <c r="A52" t="str">
        <f t="shared" si="2"/>
        <v>76216633</v>
      </c>
      <c r="B52" t="s">
        <v>602</v>
      </c>
      <c r="C52">
        <v>76216633</v>
      </c>
      <c r="D52">
        <v>2503124</v>
      </c>
      <c r="E52" t="s">
        <v>729</v>
      </c>
      <c r="F52" s="15">
        <v>60</v>
      </c>
    </row>
    <row r="53" spans="1:6">
      <c r="A53" t="str">
        <f t="shared" si="2"/>
        <v>45602701</v>
      </c>
      <c r="B53" t="s">
        <v>430</v>
      </c>
      <c r="C53">
        <v>45602701</v>
      </c>
      <c r="D53">
        <v>2501852</v>
      </c>
      <c r="E53" t="s">
        <v>729</v>
      </c>
      <c r="F53" s="15">
        <v>20</v>
      </c>
    </row>
    <row r="54" spans="1:6">
      <c r="A54" t="str">
        <f t="shared" si="2"/>
        <v>76217262</v>
      </c>
      <c r="B54" t="s">
        <v>611</v>
      </c>
      <c r="C54">
        <v>76217262</v>
      </c>
      <c r="D54">
        <v>2501434</v>
      </c>
      <c r="E54" t="s">
        <v>729</v>
      </c>
      <c r="F54" s="15">
        <v>66.67</v>
      </c>
    </row>
    <row r="55" spans="1:6">
      <c r="A55" t="str">
        <f t="shared" si="2"/>
        <v>76135790</v>
      </c>
      <c r="B55" t="s">
        <v>515</v>
      </c>
      <c r="C55">
        <v>76135790</v>
      </c>
      <c r="D55">
        <v>2503496</v>
      </c>
      <c r="E55" t="s">
        <v>729</v>
      </c>
      <c r="F55" s="15">
        <v>66.67</v>
      </c>
    </row>
    <row r="56" spans="1:6">
      <c r="A56" t="str">
        <f t="shared" si="2"/>
        <v>76144136</v>
      </c>
      <c r="B56" t="s">
        <v>524</v>
      </c>
      <c r="C56">
        <v>76144136</v>
      </c>
      <c r="D56">
        <v>3002895</v>
      </c>
      <c r="E56" t="s">
        <v>729</v>
      </c>
      <c r="F56" s="15">
        <v>100</v>
      </c>
    </row>
    <row r="57" spans="1:6">
      <c r="A57" t="str">
        <f t="shared" si="2"/>
        <v>76036160</v>
      </c>
      <c r="B57" t="s">
        <v>470</v>
      </c>
      <c r="C57">
        <v>76036160</v>
      </c>
      <c r="D57">
        <v>9014</v>
      </c>
      <c r="E57" t="s">
        <v>729</v>
      </c>
      <c r="F57" s="15">
        <v>113.33</v>
      </c>
    </row>
    <row r="58" spans="1:6">
      <c r="A58" t="str">
        <f t="shared" si="2"/>
        <v>76159913</v>
      </c>
      <c r="B58" t="s">
        <v>536</v>
      </c>
      <c r="C58">
        <v>76159913</v>
      </c>
      <c r="D58">
        <v>2500592</v>
      </c>
      <c r="E58" t="s">
        <v>729</v>
      </c>
      <c r="F58" s="15">
        <v>66.67</v>
      </c>
    </row>
    <row r="59" spans="1:6">
      <c r="A59" t="str">
        <f t="shared" si="2"/>
        <v>1326145</v>
      </c>
      <c r="B59" t="s">
        <v>397</v>
      </c>
      <c r="C59">
        <v>1326145</v>
      </c>
      <c r="D59">
        <v>2500576</v>
      </c>
      <c r="E59" t="s">
        <v>729</v>
      </c>
      <c r="F59" s="15">
        <v>193.33</v>
      </c>
    </row>
    <row r="60" spans="1:6">
      <c r="A60" t="str">
        <f t="shared" si="2"/>
        <v>76180102</v>
      </c>
      <c r="B60" t="s">
        <v>560</v>
      </c>
      <c r="C60">
        <v>76180102</v>
      </c>
      <c r="D60">
        <v>2502528</v>
      </c>
      <c r="E60" t="s">
        <v>729</v>
      </c>
      <c r="F60" s="15">
        <v>73.33</v>
      </c>
    </row>
    <row r="61" spans="1:6">
      <c r="A61" t="str">
        <f t="shared" si="2"/>
        <v>76210834</v>
      </c>
      <c r="B61" t="s">
        <v>590</v>
      </c>
      <c r="C61">
        <v>76210834</v>
      </c>
      <c r="D61">
        <v>3002830</v>
      </c>
      <c r="E61" t="s">
        <v>729</v>
      </c>
      <c r="F61" s="15">
        <v>160</v>
      </c>
    </row>
    <row r="62" spans="1:6">
      <c r="A62" t="str">
        <f t="shared" si="2"/>
        <v>76257108</v>
      </c>
      <c r="B62" t="s">
        <v>718</v>
      </c>
      <c r="C62">
        <v>76257108</v>
      </c>
      <c r="D62">
        <v>3000642</v>
      </c>
      <c r="E62" t="s">
        <v>729</v>
      </c>
      <c r="F62" s="15">
        <v>20</v>
      </c>
    </row>
    <row r="63" spans="1:6">
      <c r="A63" t="str">
        <f t="shared" si="2"/>
        <v>97000001</v>
      </c>
      <c r="B63" t="s">
        <v>727</v>
      </c>
      <c r="C63">
        <v>97000001</v>
      </c>
      <c r="D63">
        <v>2500664</v>
      </c>
      <c r="E63" t="s">
        <v>729</v>
      </c>
      <c r="F63" s="15">
        <v>20</v>
      </c>
    </row>
    <row r="64" spans="1:6">
      <c r="A64" t="str">
        <f t="shared" si="2"/>
        <v>76032748</v>
      </c>
      <c r="B64" t="s">
        <v>464</v>
      </c>
      <c r="C64">
        <v>76032748</v>
      </c>
      <c r="D64">
        <v>3002949</v>
      </c>
      <c r="E64" t="s">
        <v>729</v>
      </c>
      <c r="F64" s="15">
        <v>20</v>
      </c>
    </row>
    <row r="65" spans="1:6">
      <c r="A65" t="str">
        <f t="shared" si="2"/>
        <v>76037591</v>
      </c>
      <c r="B65" t="s">
        <v>473</v>
      </c>
      <c r="C65">
        <v>76037591</v>
      </c>
      <c r="D65">
        <v>6091</v>
      </c>
      <c r="E65" t="s">
        <v>729</v>
      </c>
      <c r="F65" s="15">
        <v>106.67</v>
      </c>
    </row>
    <row r="66" spans="1:6">
      <c r="A66" t="str">
        <f t="shared" si="2"/>
        <v>76241159</v>
      </c>
      <c r="B66" t="s">
        <v>682</v>
      </c>
      <c r="C66">
        <v>76241159</v>
      </c>
      <c r="D66">
        <v>3001147</v>
      </c>
      <c r="E66" t="s">
        <v>729</v>
      </c>
      <c r="F66" s="15">
        <v>66.67</v>
      </c>
    </row>
    <row r="67" spans="1:6">
      <c r="A67" t="str">
        <f t="shared" si="2"/>
        <v>1012202</v>
      </c>
      <c r="B67" t="s">
        <v>382</v>
      </c>
      <c r="C67">
        <v>1012202</v>
      </c>
      <c r="D67">
        <v>3001510</v>
      </c>
      <c r="E67" t="s">
        <v>729</v>
      </c>
      <c r="F67" s="15">
        <v>66.67</v>
      </c>
    </row>
    <row r="68" spans="1:6">
      <c r="A68" t="str">
        <f t="shared" si="2"/>
        <v>1012201</v>
      </c>
      <c r="B68" t="s">
        <v>379</v>
      </c>
      <c r="C68">
        <v>1012201</v>
      </c>
      <c r="D68">
        <v>3001502</v>
      </c>
      <c r="E68" t="s">
        <v>729</v>
      </c>
      <c r="F68" s="15">
        <v>26.67</v>
      </c>
    </row>
    <row r="69" spans="1:6">
      <c r="A69" t="str">
        <f t="shared" si="2"/>
        <v>76043468</v>
      </c>
      <c r="B69" t="s">
        <v>494</v>
      </c>
      <c r="C69">
        <v>76043468</v>
      </c>
      <c r="D69">
        <v>2001550</v>
      </c>
      <c r="E69" t="s">
        <v>729</v>
      </c>
      <c r="F69" s="15">
        <v>186.67</v>
      </c>
    </row>
    <row r="70" spans="1:6">
      <c r="A70" t="str">
        <f t="shared" si="2"/>
        <v>76143376</v>
      </c>
      <c r="B70" t="s">
        <v>521</v>
      </c>
      <c r="C70">
        <v>76143376</v>
      </c>
      <c r="D70">
        <v>3001863</v>
      </c>
      <c r="E70" t="s">
        <v>729</v>
      </c>
      <c r="F70" s="15">
        <v>186.67</v>
      </c>
    </row>
    <row r="71" spans="1:6">
      <c r="A71" t="str">
        <f t="shared" si="2"/>
        <v>76187537</v>
      </c>
      <c r="B71" t="s">
        <v>569</v>
      </c>
      <c r="C71">
        <v>76187537</v>
      </c>
      <c r="D71">
        <v>10143</v>
      </c>
      <c r="E71" t="s">
        <v>729</v>
      </c>
      <c r="F71" s="15">
        <v>186.67</v>
      </c>
    </row>
    <row r="72" spans="1:6">
      <c r="A72" t="str">
        <f t="shared" si="2"/>
        <v>76251423</v>
      </c>
      <c r="B72" t="s">
        <v>700</v>
      </c>
      <c r="C72">
        <v>76251423</v>
      </c>
      <c r="D72">
        <v>3002946</v>
      </c>
      <c r="E72" t="s">
        <v>729</v>
      </c>
      <c r="F72" s="15">
        <v>20</v>
      </c>
    </row>
    <row r="73" spans="1:6">
      <c r="A73" t="str">
        <f t="shared" si="2"/>
        <v>76252738</v>
      </c>
      <c r="B73" t="s">
        <v>709</v>
      </c>
      <c r="C73">
        <v>76252738</v>
      </c>
      <c r="D73">
        <v>3002944</v>
      </c>
      <c r="E73" t="s">
        <v>729</v>
      </c>
      <c r="F73" s="15">
        <v>60</v>
      </c>
    </row>
    <row r="74" spans="1:6">
      <c r="A74" t="str">
        <f t="shared" si="2"/>
        <v>76252740</v>
      </c>
      <c r="B74" t="s">
        <v>712</v>
      </c>
      <c r="C74">
        <v>76252740</v>
      </c>
      <c r="D74">
        <v>3002948</v>
      </c>
      <c r="E74" t="s">
        <v>729</v>
      </c>
      <c r="F74" s="15">
        <v>20</v>
      </c>
    </row>
    <row r="75" spans="1:6">
      <c r="A75" t="str">
        <f t="shared" si="2"/>
        <v>13498058</v>
      </c>
      <c r="B75" t="s">
        <v>406</v>
      </c>
      <c r="C75">
        <v>13498058</v>
      </c>
      <c r="D75">
        <v>3365</v>
      </c>
      <c r="E75" t="s">
        <v>729</v>
      </c>
      <c r="F75" s="15">
        <v>140</v>
      </c>
    </row>
    <row r="76" spans="1:6">
      <c r="A76" t="str">
        <f t="shared" si="2"/>
        <v>76241605</v>
      </c>
      <c r="B76" t="s">
        <v>688</v>
      </c>
      <c r="C76">
        <v>76241605</v>
      </c>
      <c r="D76">
        <v>2001100</v>
      </c>
      <c r="E76" t="s">
        <v>729</v>
      </c>
      <c r="F76" s="15">
        <v>60</v>
      </c>
    </row>
    <row r="77" spans="1:6">
      <c r="A77" t="str">
        <f t="shared" si="2"/>
        <v>76211772</v>
      </c>
      <c r="B77" t="s">
        <v>593</v>
      </c>
      <c r="C77">
        <v>76211772</v>
      </c>
      <c r="D77">
        <v>3002899</v>
      </c>
      <c r="E77" t="s">
        <v>729</v>
      </c>
      <c r="F77" s="15">
        <v>20</v>
      </c>
    </row>
    <row r="78" spans="1:6">
      <c r="A78" t="str">
        <f t="shared" si="2"/>
        <v>76038422</v>
      </c>
      <c r="B78" t="s">
        <v>476</v>
      </c>
      <c r="C78">
        <v>76038422</v>
      </c>
      <c r="D78">
        <v>2500295</v>
      </c>
      <c r="E78" t="s">
        <v>729</v>
      </c>
      <c r="F78" s="15">
        <v>200</v>
      </c>
    </row>
    <row r="79" spans="1:6">
      <c r="A79" t="str">
        <f t="shared" si="2"/>
        <v>76036137</v>
      </c>
      <c r="B79" t="s">
        <v>467</v>
      </c>
      <c r="C79">
        <v>76036137</v>
      </c>
      <c r="D79">
        <v>2501825</v>
      </c>
      <c r="E79" t="s">
        <v>729</v>
      </c>
      <c r="F79" s="15">
        <v>60</v>
      </c>
    </row>
    <row r="80" spans="1:6">
      <c r="A80" t="str">
        <f t="shared" si="2"/>
        <v>25300610</v>
      </c>
      <c r="B80" t="s">
        <v>424</v>
      </c>
      <c r="C80">
        <v>25300610</v>
      </c>
      <c r="D80">
        <v>3002945</v>
      </c>
      <c r="E80" t="s">
        <v>729</v>
      </c>
      <c r="F80" s="15">
        <v>26.67</v>
      </c>
    </row>
    <row r="81" spans="1:6">
      <c r="A81" t="str">
        <f t="shared" si="2"/>
        <v>76073131</v>
      </c>
      <c r="B81" t="s">
        <v>503</v>
      </c>
      <c r="C81">
        <v>76073131</v>
      </c>
      <c r="D81">
        <v>143062</v>
      </c>
      <c r="E81" t="s">
        <v>729</v>
      </c>
      <c r="F81" s="15">
        <v>106.67</v>
      </c>
    </row>
    <row r="82" spans="1:6">
      <c r="A82" t="str">
        <f t="shared" si="2"/>
        <v>76204394</v>
      </c>
      <c r="B82" t="s">
        <v>575</v>
      </c>
      <c r="C82">
        <v>76204394</v>
      </c>
      <c r="D82">
        <v>2503164</v>
      </c>
      <c r="E82" t="s">
        <v>729</v>
      </c>
      <c r="F82" s="15">
        <v>106.67</v>
      </c>
    </row>
    <row r="83" spans="1:6">
      <c r="A83" t="str">
        <f t="shared" si="2"/>
        <v>76164480</v>
      </c>
      <c r="B83" t="s">
        <v>539</v>
      </c>
      <c r="C83">
        <v>76164480</v>
      </c>
      <c r="D83">
        <v>2000978</v>
      </c>
      <c r="E83" t="s">
        <v>729</v>
      </c>
      <c r="F83" s="15">
        <v>140</v>
      </c>
    </row>
    <row r="84" spans="1:6">
      <c r="A84" t="str">
        <f t="shared" si="2"/>
        <v>76188296</v>
      </c>
      <c r="B84" t="s">
        <v>572</v>
      </c>
      <c r="C84">
        <v>76188296</v>
      </c>
      <c r="D84">
        <v>3001076</v>
      </c>
      <c r="E84" t="s">
        <v>729</v>
      </c>
      <c r="F84" s="15">
        <v>113.33</v>
      </c>
    </row>
    <row r="85" spans="1:6">
      <c r="A85" t="str">
        <f t="shared" si="2"/>
        <v>76181513</v>
      </c>
      <c r="B85" t="s">
        <v>566</v>
      </c>
      <c r="C85">
        <v>76181513</v>
      </c>
      <c r="D85">
        <v>3001083</v>
      </c>
      <c r="E85" t="s">
        <v>729</v>
      </c>
      <c r="F85" s="15">
        <v>26.67</v>
      </c>
    </row>
    <row r="86" spans="1:6">
      <c r="A86" t="str">
        <f t="shared" si="2"/>
        <v>76159225</v>
      </c>
      <c r="B86" t="s">
        <v>533</v>
      </c>
      <c r="C86">
        <v>76159225</v>
      </c>
      <c r="D86">
        <v>2502115</v>
      </c>
      <c r="E86" t="s">
        <v>729</v>
      </c>
      <c r="F86" s="15">
        <v>60</v>
      </c>
    </row>
    <row r="87" spans="1:6">
      <c r="A87" t="str">
        <f t="shared" si="2"/>
        <v>25212501</v>
      </c>
      <c r="B87" t="s">
        <v>418</v>
      </c>
      <c r="C87">
        <v>25212501</v>
      </c>
      <c r="D87">
        <v>6024</v>
      </c>
      <c r="E87" t="s">
        <v>729</v>
      </c>
      <c r="F87" s="15">
        <v>113.33</v>
      </c>
    </row>
    <row r="88" spans="1:6">
      <c r="A88" t="str">
        <f t="shared" si="2"/>
        <v>76236503</v>
      </c>
      <c r="B88" t="s">
        <v>676</v>
      </c>
      <c r="C88">
        <v>76236503</v>
      </c>
      <c r="D88">
        <v>3002961</v>
      </c>
      <c r="E88" t="s">
        <v>729</v>
      </c>
      <c r="F88" s="15">
        <v>20</v>
      </c>
    </row>
    <row r="89" spans="1:6">
      <c r="E89" t="s">
        <v>730</v>
      </c>
      <c r="F89" s="15">
        <f>SUM(F2:F88)</f>
        <v>9100.0300000000007</v>
      </c>
    </row>
  </sheetData>
  <autoFilter ref="A1:F44" xr:uid="{B0B5BA84-3E21-4B7E-9ABC-A026928E3A61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B30A3-98BF-413C-BC7E-22D1AE4AF889}">
  <sheetPr>
    <tabColor rgb="FFFF0000"/>
  </sheetPr>
  <dimension ref="A1:J150"/>
  <sheetViews>
    <sheetView workbookViewId="0">
      <selection activeCell="Q7" sqref="Q7"/>
    </sheetView>
  </sheetViews>
  <sheetFormatPr defaultRowHeight="15"/>
  <cols>
    <col min="4" max="4" width="53.28515625" bestFit="1" customWidth="1"/>
    <col min="9" max="9" width="10.5703125" style="12" bestFit="1" customWidth="1"/>
  </cols>
  <sheetData>
    <row r="1" spans="1:10">
      <c r="A1" t="s">
        <v>22</v>
      </c>
      <c r="B1" t="s">
        <v>25</v>
      </c>
      <c r="C1" t="s">
        <v>731</v>
      </c>
      <c r="D1" t="s">
        <v>732</v>
      </c>
      <c r="E1" t="s">
        <v>733</v>
      </c>
      <c r="F1" t="s">
        <v>734</v>
      </c>
      <c r="G1" t="s">
        <v>735</v>
      </c>
      <c r="H1" t="s">
        <v>736</v>
      </c>
      <c r="I1" s="12" t="s">
        <v>737</v>
      </c>
      <c r="J1" t="s">
        <v>738</v>
      </c>
    </row>
    <row r="2" spans="1:10">
      <c r="A2" t="s">
        <v>739</v>
      </c>
      <c r="B2" t="s">
        <v>739</v>
      </c>
      <c r="C2" t="s">
        <v>740</v>
      </c>
      <c r="D2" t="s">
        <v>741</v>
      </c>
      <c r="E2">
        <v>4508714</v>
      </c>
      <c r="F2" t="s">
        <v>742</v>
      </c>
      <c r="G2" t="s">
        <v>743</v>
      </c>
      <c r="H2" t="s">
        <v>744</v>
      </c>
      <c r="I2" s="12">
        <v>45638</v>
      </c>
      <c r="J2">
        <v>1</v>
      </c>
    </row>
    <row r="3" spans="1:10">
      <c r="A3" t="s">
        <v>745</v>
      </c>
      <c r="B3" t="s">
        <v>745</v>
      </c>
      <c r="C3" t="s">
        <v>746</v>
      </c>
      <c r="D3" t="s">
        <v>747</v>
      </c>
      <c r="E3">
        <v>4508714</v>
      </c>
      <c r="F3" t="s">
        <v>742</v>
      </c>
      <c r="G3" t="s">
        <v>743</v>
      </c>
      <c r="H3" t="s">
        <v>744</v>
      </c>
      <c r="I3" s="12">
        <v>45638</v>
      </c>
      <c r="J3">
        <v>1</v>
      </c>
    </row>
    <row r="4" spans="1:10">
      <c r="A4" t="s">
        <v>748</v>
      </c>
      <c r="B4">
        <v>13115402</v>
      </c>
      <c r="C4" t="s">
        <v>749</v>
      </c>
      <c r="D4" t="s">
        <v>750</v>
      </c>
      <c r="E4">
        <v>4508714</v>
      </c>
      <c r="F4" t="s">
        <v>742</v>
      </c>
      <c r="G4" t="s">
        <v>743</v>
      </c>
      <c r="H4" t="s">
        <v>751</v>
      </c>
      <c r="I4" s="12">
        <v>45747</v>
      </c>
      <c r="J4">
        <v>1</v>
      </c>
    </row>
    <row r="5" spans="1:10">
      <c r="A5" t="s">
        <v>752</v>
      </c>
      <c r="B5">
        <v>13115403</v>
      </c>
      <c r="C5" t="s">
        <v>753</v>
      </c>
      <c r="D5" t="s">
        <v>754</v>
      </c>
      <c r="E5">
        <v>4508714</v>
      </c>
      <c r="F5" t="s">
        <v>742</v>
      </c>
      <c r="G5" t="s">
        <v>743</v>
      </c>
      <c r="H5" t="s">
        <v>751</v>
      </c>
      <c r="I5" s="12">
        <v>45747</v>
      </c>
      <c r="J5">
        <v>1</v>
      </c>
    </row>
    <row r="6" spans="1:10">
      <c r="A6" t="s">
        <v>755</v>
      </c>
      <c r="B6">
        <v>13497880</v>
      </c>
      <c r="C6" t="s">
        <v>756</v>
      </c>
      <c r="D6" t="s">
        <v>757</v>
      </c>
      <c r="E6">
        <v>4508714</v>
      </c>
      <c r="F6" t="s">
        <v>742</v>
      </c>
      <c r="G6" t="s">
        <v>743</v>
      </c>
      <c r="H6" t="s">
        <v>758</v>
      </c>
      <c r="I6" s="12">
        <v>45748</v>
      </c>
      <c r="J6">
        <v>1</v>
      </c>
    </row>
    <row r="7" spans="1:10">
      <c r="A7" t="s">
        <v>759</v>
      </c>
      <c r="B7">
        <v>14600646</v>
      </c>
      <c r="C7" t="s">
        <v>760</v>
      </c>
      <c r="D7" t="s">
        <v>761</v>
      </c>
      <c r="E7">
        <v>4508714</v>
      </c>
      <c r="F7" t="s">
        <v>742</v>
      </c>
      <c r="G7" t="s">
        <v>743</v>
      </c>
      <c r="H7" t="s">
        <v>762</v>
      </c>
      <c r="I7" s="12">
        <v>45622</v>
      </c>
      <c r="J7">
        <v>1</v>
      </c>
    </row>
    <row r="8" spans="1:10">
      <c r="A8" t="s">
        <v>763</v>
      </c>
      <c r="B8">
        <v>17042101</v>
      </c>
      <c r="C8" t="s">
        <v>764</v>
      </c>
      <c r="D8" t="s">
        <v>765</v>
      </c>
      <c r="E8">
        <v>4508714</v>
      </c>
      <c r="F8" t="s">
        <v>742</v>
      </c>
      <c r="G8" t="s">
        <v>743</v>
      </c>
      <c r="H8" t="s">
        <v>766</v>
      </c>
      <c r="I8" s="12">
        <v>45639</v>
      </c>
      <c r="J8">
        <v>1</v>
      </c>
    </row>
    <row r="9" spans="1:10">
      <c r="A9" t="s">
        <v>767</v>
      </c>
      <c r="B9">
        <v>17150701</v>
      </c>
      <c r="C9" t="s">
        <v>768</v>
      </c>
      <c r="D9" t="s">
        <v>769</v>
      </c>
      <c r="E9">
        <v>4508714</v>
      </c>
      <c r="F9" t="s">
        <v>742</v>
      </c>
      <c r="G9" t="s">
        <v>743</v>
      </c>
      <c r="H9" t="s">
        <v>770</v>
      </c>
      <c r="I9" s="12">
        <v>45638</v>
      </c>
      <c r="J9">
        <v>1</v>
      </c>
    </row>
    <row r="10" spans="1:10">
      <c r="A10" t="s">
        <v>771</v>
      </c>
      <c r="B10">
        <v>25298834</v>
      </c>
      <c r="C10" t="s">
        <v>772</v>
      </c>
      <c r="D10" t="s">
        <v>773</v>
      </c>
      <c r="E10">
        <v>4508714</v>
      </c>
      <c r="F10" t="s">
        <v>742</v>
      </c>
      <c r="G10" t="s">
        <v>743</v>
      </c>
      <c r="H10" t="s">
        <v>774</v>
      </c>
      <c r="I10" s="12">
        <v>45930</v>
      </c>
      <c r="J10">
        <v>1</v>
      </c>
    </row>
    <row r="11" spans="1:10">
      <c r="A11" t="s">
        <v>775</v>
      </c>
      <c r="B11">
        <v>25300234</v>
      </c>
      <c r="C11" t="s">
        <v>776</v>
      </c>
      <c r="D11" t="s">
        <v>777</v>
      </c>
      <c r="E11">
        <v>4508714</v>
      </c>
      <c r="F11" t="s">
        <v>742</v>
      </c>
      <c r="G11" t="s">
        <v>743</v>
      </c>
      <c r="H11" t="s">
        <v>778</v>
      </c>
      <c r="I11" s="12">
        <v>45967</v>
      </c>
      <c r="J11">
        <v>1</v>
      </c>
    </row>
    <row r="12" spans="1:10">
      <c r="A12" t="s">
        <v>779</v>
      </c>
      <c r="B12">
        <v>29012602</v>
      </c>
      <c r="C12" t="s">
        <v>780</v>
      </c>
      <c r="D12" t="s">
        <v>781</v>
      </c>
      <c r="E12">
        <v>4408593</v>
      </c>
      <c r="F12" t="s">
        <v>742</v>
      </c>
      <c r="G12" t="s">
        <v>782</v>
      </c>
      <c r="H12" t="s">
        <v>783</v>
      </c>
      <c r="I12" s="12">
        <v>45721</v>
      </c>
      <c r="J12">
        <v>1</v>
      </c>
    </row>
    <row r="13" spans="1:10">
      <c r="A13" t="s">
        <v>784</v>
      </c>
      <c r="B13">
        <v>33118201</v>
      </c>
      <c r="C13" t="s">
        <v>785</v>
      </c>
      <c r="D13" t="s">
        <v>786</v>
      </c>
      <c r="E13">
        <v>4408593</v>
      </c>
      <c r="F13" t="s">
        <v>742</v>
      </c>
      <c r="G13" t="s">
        <v>782</v>
      </c>
      <c r="H13" t="s">
        <v>787</v>
      </c>
      <c r="I13" s="12">
        <v>45636</v>
      </c>
      <c r="J13">
        <v>1</v>
      </c>
    </row>
    <row r="14" spans="1:10">
      <c r="A14" t="s">
        <v>788</v>
      </c>
      <c r="B14">
        <v>33118203</v>
      </c>
      <c r="C14" t="s">
        <v>789</v>
      </c>
      <c r="D14" t="s">
        <v>790</v>
      </c>
      <c r="E14">
        <v>4408593</v>
      </c>
      <c r="F14" t="s">
        <v>742</v>
      </c>
      <c r="G14" t="s">
        <v>782</v>
      </c>
      <c r="H14" t="s">
        <v>787</v>
      </c>
      <c r="I14" s="12">
        <v>45636</v>
      </c>
      <c r="J14">
        <v>1</v>
      </c>
    </row>
    <row r="15" spans="1:10">
      <c r="A15" t="s">
        <v>791</v>
      </c>
      <c r="B15">
        <v>37119401</v>
      </c>
      <c r="C15" t="s">
        <v>792</v>
      </c>
      <c r="D15" t="s">
        <v>793</v>
      </c>
      <c r="E15">
        <v>4508714</v>
      </c>
      <c r="F15" t="s">
        <v>742</v>
      </c>
      <c r="G15" t="s">
        <v>743</v>
      </c>
      <c r="H15" t="s">
        <v>744</v>
      </c>
      <c r="I15" s="12">
        <v>45638</v>
      </c>
      <c r="J15">
        <v>1</v>
      </c>
    </row>
    <row r="16" spans="1:10">
      <c r="A16" t="s">
        <v>794</v>
      </c>
      <c r="B16">
        <v>42350801</v>
      </c>
      <c r="C16" t="s">
        <v>795</v>
      </c>
      <c r="D16" t="s">
        <v>796</v>
      </c>
      <c r="E16">
        <v>4508714</v>
      </c>
      <c r="F16" t="s">
        <v>742</v>
      </c>
      <c r="G16" t="s">
        <v>743</v>
      </c>
      <c r="H16" t="s">
        <v>797</v>
      </c>
      <c r="I16" s="12">
        <v>45635</v>
      </c>
      <c r="J16">
        <v>1</v>
      </c>
    </row>
    <row r="17" spans="1:10">
      <c r="A17" t="s">
        <v>798</v>
      </c>
      <c r="B17">
        <v>47000370</v>
      </c>
      <c r="C17" t="s">
        <v>799</v>
      </c>
      <c r="D17" t="s">
        <v>800</v>
      </c>
      <c r="E17">
        <v>4508714</v>
      </c>
      <c r="F17" t="s">
        <v>742</v>
      </c>
      <c r="G17" t="s">
        <v>743</v>
      </c>
      <c r="H17" t="s">
        <v>801</v>
      </c>
      <c r="I17" s="12">
        <v>46098</v>
      </c>
      <c r="J17">
        <v>1</v>
      </c>
    </row>
    <row r="18" spans="1:10">
      <c r="A18" t="s">
        <v>802</v>
      </c>
      <c r="B18">
        <v>47001390</v>
      </c>
      <c r="C18" t="s">
        <v>803</v>
      </c>
      <c r="D18" t="s">
        <v>804</v>
      </c>
      <c r="E18">
        <v>4508714</v>
      </c>
      <c r="F18" t="s">
        <v>742</v>
      </c>
      <c r="G18" t="s">
        <v>743</v>
      </c>
      <c r="H18" t="s">
        <v>805</v>
      </c>
      <c r="I18" s="12">
        <v>45772</v>
      </c>
      <c r="J18">
        <v>1</v>
      </c>
    </row>
    <row r="19" spans="1:10">
      <c r="A19" t="s">
        <v>806</v>
      </c>
      <c r="B19">
        <v>71034910</v>
      </c>
      <c r="C19" t="s">
        <v>807</v>
      </c>
      <c r="D19" t="s">
        <v>808</v>
      </c>
      <c r="E19">
        <v>4508714</v>
      </c>
      <c r="F19" t="s">
        <v>742</v>
      </c>
      <c r="G19" t="s">
        <v>743</v>
      </c>
      <c r="H19" t="s">
        <v>805</v>
      </c>
      <c r="I19" s="12">
        <v>45772</v>
      </c>
      <c r="J19">
        <v>1</v>
      </c>
    </row>
    <row r="20" spans="1:10">
      <c r="A20" t="s">
        <v>809</v>
      </c>
      <c r="B20">
        <v>71045437</v>
      </c>
      <c r="C20" t="s">
        <v>810</v>
      </c>
      <c r="D20" t="s">
        <v>811</v>
      </c>
      <c r="E20">
        <v>4508714</v>
      </c>
      <c r="F20" t="s">
        <v>742</v>
      </c>
      <c r="G20" t="s">
        <v>743</v>
      </c>
      <c r="H20" t="s">
        <v>812</v>
      </c>
      <c r="I20" s="12">
        <v>45931</v>
      </c>
      <c r="J20">
        <v>1</v>
      </c>
    </row>
    <row r="21" spans="1:10">
      <c r="A21" t="s">
        <v>813</v>
      </c>
      <c r="B21">
        <v>71047296</v>
      </c>
      <c r="C21" t="s">
        <v>814</v>
      </c>
      <c r="D21" t="s">
        <v>815</v>
      </c>
      <c r="E21">
        <v>4508714</v>
      </c>
      <c r="F21" t="s">
        <v>742</v>
      </c>
      <c r="G21" t="s">
        <v>743</v>
      </c>
      <c r="H21" t="s">
        <v>816</v>
      </c>
      <c r="I21" s="12">
        <v>45597</v>
      </c>
      <c r="J21">
        <v>1</v>
      </c>
    </row>
    <row r="22" spans="1:10">
      <c r="A22" t="s">
        <v>817</v>
      </c>
      <c r="B22">
        <v>71048600</v>
      </c>
      <c r="C22" t="s">
        <v>818</v>
      </c>
      <c r="D22" t="s">
        <v>819</v>
      </c>
      <c r="E22">
        <v>4508714</v>
      </c>
      <c r="F22" t="s">
        <v>742</v>
      </c>
      <c r="G22" t="s">
        <v>743</v>
      </c>
      <c r="H22" t="s">
        <v>762</v>
      </c>
      <c r="I22" s="12">
        <v>45622</v>
      </c>
      <c r="J22">
        <v>1</v>
      </c>
    </row>
    <row r="23" spans="1:10">
      <c r="A23" t="s">
        <v>820</v>
      </c>
      <c r="B23">
        <v>71057123</v>
      </c>
      <c r="C23" t="s">
        <v>821</v>
      </c>
      <c r="D23" t="s">
        <v>822</v>
      </c>
      <c r="E23">
        <v>4408592</v>
      </c>
      <c r="F23" t="s">
        <v>742</v>
      </c>
      <c r="G23" t="s">
        <v>823</v>
      </c>
      <c r="H23" t="s">
        <v>824</v>
      </c>
      <c r="I23" s="12">
        <v>45981</v>
      </c>
      <c r="J23">
        <v>1</v>
      </c>
    </row>
    <row r="24" spans="1:10">
      <c r="A24" t="s">
        <v>825</v>
      </c>
      <c r="B24">
        <v>71058736</v>
      </c>
      <c r="C24" t="s">
        <v>826</v>
      </c>
      <c r="D24" t="s">
        <v>827</v>
      </c>
      <c r="E24">
        <v>4508675</v>
      </c>
      <c r="F24" t="s">
        <v>742</v>
      </c>
      <c r="G24" t="s">
        <v>828</v>
      </c>
      <c r="H24" t="s">
        <v>829</v>
      </c>
      <c r="I24" s="12">
        <v>45687</v>
      </c>
      <c r="J24">
        <v>1</v>
      </c>
    </row>
    <row r="25" spans="1:10">
      <c r="A25" t="s">
        <v>830</v>
      </c>
      <c r="B25">
        <v>71060072</v>
      </c>
      <c r="C25" t="s">
        <v>831</v>
      </c>
      <c r="D25" t="s">
        <v>832</v>
      </c>
      <c r="E25">
        <v>4408593</v>
      </c>
      <c r="F25" t="s">
        <v>742</v>
      </c>
      <c r="G25" t="s">
        <v>782</v>
      </c>
      <c r="H25" t="s">
        <v>833</v>
      </c>
      <c r="I25" s="12">
        <v>45526</v>
      </c>
      <c r="J25">
        <v>1</v>
      </c>
    </row>
    <row r="26" spans="1:10">
      <c r="A26" t="s">
        <v>834</v>
      </c>
      <c r="B26">
        <v>71060738</v>
      </c>
      <c r="C26" t="s">
        <v>835</v>
      </c>
      <c r="D26" t="s">
        <v>836</v>
      </c>
      <c r="E26">
        <v>4508714</v>
      </c>
      <c r="F26" t="s">
        <v>742</v>
      </c>
      <c r="G26" t="s">
        <v>743</v>
      </c>
      <c r="H26" t="s">
        <v>762</v>
      </c>
      <c r="I26" s="12">
        <v>45622</v>
      </c>
      <c r="J26">
        <v>1</v>
      </c>
    </row>
    <row r="27" spans="1:10">
      <c r="A27" t="s">
        <v>834</v>
      </c>
      <c r="B27">
        <v>71060738</v>
      </c>
      <c r="C27" t="s">
        <v>837</v>
      </c>
      <c r="D27" t="s">
        <v>836</v>
      </c>
      <c r="E27">
        <v>4508714</v>
      </c>
      <c r="F27" t="s">
        <v>742</v>
      </c>
      <c r="G27" t="s">
        <v>743</v>
      </c>
      <c r="H27" t="s">
        <v>762</v>
      </c>
      <c r="I27" s="12">
        <v>45622</v>
      </c>
      <c r="J27">
        <v>1</v>
      </c>
    </row>
    <row r="28" spans="1:10">
      <c r="A28" t="s">
        <v>838</v>
      </c>
      <c r="B28">
        <v>71063492</v>
      </c>
      <c r="C28" t="s">
        <v>839</v>
      </c>
      <c r="D28" t="s">
        <v>840</v>
      </c>
      <c r="E28">
        <v>4408593</v>
      </c>
      <c r="F28" t="s">
        <v>742</v>
      </c>
      <c r="G28" t="s">
        <v>782</v>
      </c>
      <c r="H28" t="s">
        <v>841</v>
      </c>
      <c r="I28" s="12">
        <v>45681</v>
      </c>
      <c r="J28">
        <v>1</v>
      </c>
    </row>
    <row r="29" spans="1:10">
      <c r="A29" t="s">
        <v>842</v>
      </c>
      <c r="B29">
        <v>71065033</v>
      </c>
      <c r="C29" t="s">
        <v>843</v>
      </c>
      <c r="D29" t="s">
        <v>844</v>
      </c>
      <c r="E29">
        <v>4508714</v>
      </c>
      <c r="F29" t="s">
        <v>742</v>
      </c>
      <c r="G29" t="s">
        <v>743</v>
      </c>
      <c r="H29" t="s">
        <v>845</v>
      </c>
      <c r="I29" s="12">
        <v>45659</v>
      </c>
      <c r="J29">
        <v>1</v>
      </c>
    </row>
    <row r="30" spans="1:10">
      <c r="A30" t="s">
        <v>846</v>
      </c>
      <c r="B30">
        <v>71065044</v>
      </c>
      <c r="C30" t="s">
        <v>847</v>
      </c>
      <c r="D30" t="s">
        <v>848</v>
      </c>
      <c r="E30">
        <v>4508714</v>
      </c>
      <c r="F30" t="s">
        <v>742</v>
      </c>
      <c r="G30" t="s">
        <v>743</v>
      </c>
      <c r="H30" t="s">
        <v>845</v>
      </c>
      <c r="I30" s="12">
        <v>45659</v>
      </c>
      <c r="J30">
        <v>1</v>
      </c>
    </row>
    <row r="31" spans="1:10">
      <c r="A31" t="s">
        <v>849</v>
      </c>
      <c r="B31">
        <v>76021240</v>
      </c>
      <c r="C31" t="s">
        <v>850</v>
      </c>
      <c r="D31" t="s">
        <v>851</v>
      </c>
      <c r="E31">
        <v>4508714</v>
      </c>
      <c r="F31" t="s">
        <v>742</v>
      </c>
      <c r="G31" t="s">
        <v>743</v>
      </c>
      <c r="H31" t="s">
        <v>852</v>
      </c>
      <c r="I31" s="12">
        <v>45545</v>
      </c>
      <c r="J31">
        <v>1</v>
      </c>
    </row>
    <row r="32" spans="1:10">
      <c r="A32" t="s">
        <v>853</v>
      </c>
      <c r="B32">
        <v>76026691</v>
      </c>
      <c r="C32" t="s">
        <v>854</v>
      </c>
      <c r="D32" t="s">
        <v>855</v>
      </c>
      <c r="E32">
        <v>4508714</v>
      </c>
      <c r="F32" t="s">
        <v>742</v>
      </c>
      <c r="G32" t="s">
        <v>743</v>
      </c>
      <c r="H32" t="s">
        <v>856</v>
      </c>
      <c r="I32" s="12">
        <v>45628</v>
      </c>
      <c r="J32">
        <v>1</v>
      </c>
    </row>
    <row r="33" spans="1:10">
      <c r="A33" t="s">
        <v>857</v>
      </c>
      <c r="B33">
        <v>76032657</v>
      </c>
      <c r="C33" t="s">
        <v>858</v>
      </c>
      <c r="D33" t="s">
        <v>859</v>
      </c>
      <c r="E33">
        <v>4508714</v>
      </c>
      <c r="F33" t="s">
        <v>742</v>
      </c>
      <c r="G33" t="s">
        <v>743</v>
      </c>
      <c r="H33" t="s">
        <v>860</v>
      </c>
      <c r="I33" s="12">
        <v>45604</v>
      </c>
      <c r="J33">
        <v>1</v>
      </c>
    </row>
    <row r="34" spans="1:10">
      <c r="A34" t="s">
        <v>861</v>
      </c>
      <c r="B34">
        <v>76033191</v>
      </c>
      <c r="C34" t="s">
        <v>862</v>
      </c>
      <c r="D34" t="s">
        <v>863</v>
      </c>
      <c r="E34">
        <v>4508714</v>
      </c>
      <c r="F34" t="s">
        <v>742</v>
      </c>
      <c r="G34" t="s">
        <v>743</v>
      </c>
      <c r="H34" t="s">
        <v>864</v>
      </c>
      <c r="I34" s="12">
        <v>45601</v>
      </c>
      <c r="J34">
        <v>1</v>
      </c>
    </row>
    <row r="35" spans="1:10">
      <c r="A35" t="s">
        <v>865</v>
      </c>
      <c r="B35">
        <v>76033777</v>
      </c>
      <c r="C35" t="s">
        <v>866</v>
      </c>
      <c r="D35" t="s">
        <v>867</v>
      </c>
      <c r="E35">
        <v>4408593</v>
      </c>
      <c r="F35" t="s">
        <v>742</v>
      </c>
      <c r="G35" t="s">
        <v>782</v>
      </c>
      <c r="H35" t="s">
        <v>868</v>
      </c>
      <c r="I35" s="12">
        <v>45273</v>
      </c>
      <c r="J35">
        <v>1</v>
      </c>
    </row>
    <row r="36" spans="1:10">
      <c r="A36" t="s">
        <v>869</v>
      </c>
      <c r="B36">
        <v>76040226</v>
      </c>
      <c r="C36" t="s">
        <v>870</v>
      </c>
      <c r="D36" t="s">
        <v>871</v>
      </c>
      <c r="E36">
        <v>4508714</v>
      </c>
      <c r="F36" t="s">
        <v>742</v>
      </c>
      <c r="G36" t="s">
        <v>743</v>
      </c>
      <c r="H36" t="s">
        <v>871</v>
      </c>
      <c r="I36" s="12">
        <v>45628</v>
      </c>
      <c r="J36">
        <v>1</v>
      </c>
    </row>
    <row r="37" spans="1:10">
      <c r="A37" t="s">
        <v>872</v>
      </c>
      <c r="B37">
        <v>76062941</v>
      </c>
      <c r="C37" t="s">
        <v>873</v>
      </c>
      <c r="D37" t="s">
        <v>874</v>
      </c>
      <c r="E37">
        <v>4408593</v>
      </c>
      <c r="F37" t="s">
        <v>742</v>
      </c>
      <c r="G37" t="s">
        <v>782</v>
      </c>
      <c r="H37" t="s">
        <v>875</v>
      </c>
      <c r="I37" s="12">
        <v>45763</v>
      </c>
      <c r="J37">
        <v>1</v>
      </c>
    </row>
    <row r="38" spans="1:10">
      <c r="A38" t="s">
        <v>876</v>
      </c>
      <c r="B38">
        <v>76066086</v>
      </c>
      <c r="C38" t="s">
        <v>877</v>
      </c>
      <c r="D38" t="s">
        <v>878</v>
      </c>
      <c r="E38">
        <v>4408593</v>
      </c>
      <c r="F38" t="s">
        <v>742</v>
      </c>
      <c r="G38" t="s">
        <v>782</v>
      </c>
      <c r="H38" t="s">
        <v>879</v>
      </c>
      <c r="I38" s="12">
        <v>45657</v>
      </c>
      <c r="J38">
        <v>1</v>
      </c>
    </row>
    <row r="39" spans="1:10">
      <c r="A39" t="s">
        <v>880</v>
      </c>
      <c r="B39">
        <v>76067577</v>
      </c>
      <c r="C39" t="s">
        <v>881</v>
      </c>
      <c r="D39" t="s">
        <v>882</v>
      </c>
      <c r="E39">
        <v>4508714</v>
      </c>
      <c r="F39" t="s">
        <v>742</v>
      </c>
      <c r="G39" t="s">
        <v>743</v>
      </c>
      <c r="H39" t="s">
        <v>883</v>
      </c>
      <c r="I39" s="12">
        <v>45748</v>
      </c>
      <c r="J39">
        <v>1</v>
      </c>
    </row>
    <row r="40" spans="1:10">
      <c r="A40" t="s">
        <v>884</v>
      </c>
      <c r="B40">
        <v>76072153</v>
      </c>
      <c r="C40" t="s">
        <v>885</v>
      </c>
      <c r="D40" t="s">
        <v>886</v>
      </c>
      <c r="E40">
        <v>4508714</v>
      </c>
      <c r="F40" t="s">
        <v>742</v>
      </c>
      <c r="G40" t="s">
        <v>743</v>
      </c>
      <c r="H40" t="s">
        <v>762</v>
      </c>
      <c r="I40" s="12">
        <v>45622</v>
      </c>
      <c r="J40">
        <v>1</v>
      </c>
    </row>
    <row r="41" spans="1:10">
      <c r="A41" t="s">
        <v>887</v>
      </c>
      <c r="B41">
        <v>76072262</v>
      </c>
      <c r="C41" t="s">
        <v>888</v>
      </c>
      <c r="D41" t="s">
        <v>889</v>
      </c>
      <c r="E41">
        <v>4508714</v>
      </c>
      <c r="F41" t="s">
        <v>742</v>
      </c>
      <c r="G41" t="s">
        <v>743</v>
      </c>
      <c r="H41" t="s">
        <v>852</v>
      </c>
      <c r="I41" s="12">
        <v>45545</v>
      </c>
      <c r="J41">
        <v>1</v>
      </c>
    </row>
    <row r="42" spans="1:10">
      <c r="A42" t="s">
        <v>890</v>
      </c>
      <c r="B42">
        <v>76072437</v>
      </c>
      <c r="C42" t="s">
        <v>891</v>
      </c>
      <c r="D42" t="s">
        <v>892</v>
      </c>
      <c r="E42">
        <v>4508714</v>
      </c>
      <c r="F42" t="s">
        <v>742</v>
      </c>
      <c r="G42" t="s">
        <v>743</v>
      </c>
      <c r="H42" t="s">
        <v>751</v>
      </c>
      <c r="I42" s="12">
        <v>45747</v>
      </c>
      <c r="J42">
        <v>1</v>
      </c>
    </row>
    <row r="43" spans="1:10">
      <c r="A43" t="s">
        <v>893</v>
      </c>
      <c r="B43">
        <v>76073606</v>
      </c>
      <c r="C43" t="s">
        <v>894</v>
      </c>
      <c r="D43" t="s">
        <v>895</v>
      </c>
      <c r="E43">
        <v>4408592</v>
      </c>
      <c r="F43" t="s">
        <v>742</v>
      </c>
      <c r="G43" t="s">
        <v>823</v>
      </c>
      <c r="H43" t="s">
        <v>896</v>
      </c>
      <c r="I43" s="12">
        <v>45846</v>
      </c>
      <c r="J43">
        <v>1</v>
      </c>
    </row>
    <row r="44" spans="1:10">
      <c r="A44" t="s">
        <v>897</v>
      </c>
      <c r="B44">
        <v>76073739</v>
      </c>
      <c r="C44" t="s">
        <v>898</v>
      </c>
      <c r="D44" t="s">
        <v>899</v>
      </c>
      <c r="E44">
        <v>4508714</v>
      </c>
      <c r="F44" t="s">
        <v>742</v>
      </c>
      <c r="G44" t="s">
        <v>743</v>
      </c>
      <c r="H44" t="s">
        <v>900</v>
      </c>
      <c r="I44" s="12">
        <v>45726</v>
      </c>
      <c r="J44">
        <v>1</v>
      </c>
    </row>
    <row r="45" spans="1:10">
      <c r="A45" t="s">
        <v>901</v>
      </c>
      <c r="B45">
        <v>76074276</v>
      </c>
      <c r="C45" t="s">
        <v>902</v>
      </c>
      <c r="D45" t="s">
        <v>903</v>
      </c>
      <c r="E45">
        <v>4508685</v>
      </c>
      <c r="F45" t="s">
        <v>742</v>
      </c>
      <c r="G45" t="s">
        <v>904</v>
      </c>
      <c r="H45" t="s">
        <v>905</v>
      </c>
      <c r="I45" s="12">
        <v>45581</v>
      </c>
      <c r="J45">
        <v>2</v>
      </c>
    </row>
    <row r="46" spans="1:10">
      <c r="A46" t="s">
        <v>906</v>
      </c>
      <c r="B46">
        <v>76075454</v>
      </c>
      <c r="C46" t="s">
        <v>907</v>
      </c>
      <c r="D46" t="s">
        <v>908</v>
      </c>
      <c r="E46">
        <v>4408594</v>
      </c>
      <c r="F46" t="s">
        <v>742</v>
      </c>
      <c r="G46" t="s">
        <v>909</v>
      </c>
      <c r="H46" t="s">
        <v>910</v>
      </c>
      <c r="I46" s="12">
        <v>44530</v>
      </c>
      <c r="J46">
        <v>1</v>
      </c>
    </row>
    <row r="47" spans="1:10">
      <c r="A47" t="s">
        <v>911</v>
      </c>
      <c r="B47">
        <v>76091258</v>
      </c>
      <c r="C47" t="s">
        <v>912</v>
      </c>
      <c r="D47" t="s">
        <v>913</v>
      </c>
      <c r="E47">
        <v>4508714</v>
      </c>
      <c r="F47" t="s">
        <v>742</v>
      </c>
      <c r="G47" t="s">
        <v>743</v>
      </c>
      <c r="H47" t="s">
        <v>900</v>
      </c>
      <c r="I47" s="12">
        <v>45726</v>
      </c>
      <c r="J47">
        <v>1</v>
      </c>
    </row>
    <row r="48" spans="1:10">
      <c r="A48" t="s">
        <v>914</v>
      </c>
      <c r="B48">
        <v>76127638</v>
      </c>
      <c r="C48" t="s">
        <v>915</v>
      </c>
      <c r="D48" t="s">
        <v>916</v>
      </c>
      <c r="E48">
        <v>4508714</v>
      </c>
      <c r="F48" t="s">
        <v>742</v>
      </c>
      <c r="G48" t="s">
        <v>743</v>
      </c>
      <c r="H48" t="s">
        <v>762</v>
      </c>
      <c r="I48" s="12">
        <v>45622</v>
      </c>
      <c r="J48">
        <v>1</v>
      </c>
    </row>
    <row r="49" spans="1:10">
      <c r="A49" t="s">
        <v>914</v>
      </c>
      <c r="B49">
        <v>76127638</v>
      </c>
      <c r="C49" t="s">
        <v>917</v>
      </c>
      <c r="D49" t="s">
        <v>916</v>
      </c>
      <c r="E49">
        <v>4508714</v>
      </c>
      <c r="F49" t="s">
        <v>742</v>
      </c>
      <c r="G49" t="s">
        <v>743</v>
      </c>
      <c r="H49" t="s">
        <v>762</v>
      </c>
      <c r="I49" s="12">
        <v>45622</v>
      </c>
      <c r="J49">
        <v>1</v>
      </c>
    </row>
    <row r="50" spans="1:10">
      <c r="A50" t="s">
        <v>918</v>
      </c>
      <c r="B50">
        <v>76127639</v>
      </c>
      <c r="C50" t="s">
        <v>919</v>
      </c>
      <c r="D50" t="s">
        <v>920</v>
      </c>
      <c r="E50">
        <v>4508714</v>
      </c>
      <c r="F50" t="s">
        <v>742</v>
      </c>
      <c r="G50" t="s">
        <v>743</v>
      </c>
      <c r="H50" t="s">
        <v>762</v>
      </c>
      <c r="I50" s="12">
        <v>45622</v>
      </c>
      <c r="J50" t="s">
        <v>921</v>
      </c>
    </row>
    <row r="51" spans="1:10">
      <c r="A51" t="s">
        <v>922</v>
      </c>
      <c r="B51">
        <v>76127658</v>
      </c>
      <c r="C51" t="s">
        <v>923</v>
      </c>
      <c r="D51" t="s">
        <v>924</v>
      </c>
      <c r="E51">
        <v>4508714</v>
      </c>
      <c r="F51" t="s">
        <v>742</v>
      </c>
      <c r="G51" t="s">
        <v>743</v>
      </c>
      <c r="H51" t="s">
        <v>762</v>
      </c>
      <c r="I51" s="12">
        <v>45622</v>
      </c>
      <c r="J51">
        <v>1</v>
      </c>
    </row>
    <row r="52" spans="1:10">
      <c r="A52" t="s">
        <v>922</v>
      </c>
      <c r="B52">
        <v>76127658</v>
      </c>
      <c r="C52" t="s">
        <v>925</v>
      </c>
      <c r="D52" t="s">
        <v>924</v>
      </c>
      <c r="E52">
        <v>4508714</v>
      </c>
      <c r="F52" t="s">
        <v>742</v>
      </c>
      <c r="G52" t="s">
        <v>743</v>
      </c>
      <c r="H52" t="s">
        <v>762</v>
      </c>
      <c r="I52" s="12">
        <v>45622</v>
      </c>
      <c r="J52">
        <v>1</v>
      </c>
    </row>
    <row r="53" spans="1:10">
      <c r="A53" t="s">
        <v>926</v>
      </c>
      <c r="B53">
        <v>76127659</v>
      </c>
      <c r="C53" t="s">
        <v>927</v>
      </c>
      <c r="D53" t="s">
        <v>928</v>
      </c>
      <c r="E53">
        <v>4508714</v>
      </c>
      <c r="F53" t="s">
        <v>742</v>
      </c>
      <c r="G53" t="s">
        <v>743</v>
      </c>
      <c r="H53" t="s">
        <v>762</v>
      </c>
      <c r="I53" s="12">
        <v>45622</v>
      </c>
      <c r="J53">
        <v>1</v>
      </c>
    </row>
    <row r="54" spans="1:10">
      <c r="A54" t="s">
        <v>929</v>
      </c>
      <c r="B54">
        <v>76127679</v>
      </c>
      <c r="C54" t="s">
        <v>930</v>
      </c>
      <c r="D54" t="s">
        <v>931</v>
      </c>
      <c r="E54">
        <v>4508714</v>
      </c>
      <c r="F54" t="s">
        <v>742</v>
      </c>
      <c r="G54" t="s">
        <v>743</v>
      </c>
      <c r="H54" t="s">
        <v>762</v>
      </c>
      <c r="I54" s="12">
        <v>45622</v>
      </c>
      <c r="J54">
        <v>1</v>
      </c>
    </row>
    <row r="55" spans="1:10">
      <c r="A55" t="s">
        <v>929</v>
      </c>
      <c r="B55">
        <v>76127679</v>
      </c>
      <c r="C55" t="s">
        <v>932</v>
      </c>
      <c r="D55" t="s">
        <v>931</v>
      </c>
      <c r="E55">
        <v>4508714</v>
      </c>
      <c r="F55" t="s">
        <v>742</v>
      </c>
      <c r="G55" t="s">
        <v>743</v>
      </c>
      <c r="H55" t="s">
        <v>762</v>
      </c>
      <c r="I55" s="12">
        <v>45622</v>
      </c>
      <c r="J55">
        <v>1</v>
      </c>
    </row>
    <row r="56" spans="1:10">
      <c r="A56" t="s">
        <v>933</v>
      </c>
      <c r="B56">
        <v>76139117</v>
      </c>
      <c r="C56" t="s">
        <v>934</v>
      </c>
      <c r="D56" t="s">
        <v>935</v>
      </c>
      <c r="E56">
        <v>4508714</v>
      </c>
      <c r="F56" t="s">
        <v>742</v>
      </c>
      <c r="G56" t="s">
        <v>743</v>
      </c>
      <c r="H56" t="s">
        <v>762</v>
      </c>
      <c r="I56" s="12">
        <v>45622</v>
      </c>
      <c r="J56">
        <v>1</v>
      </c>
    </row>
    <row r="57" spans="1:10">
      <c r="A57" t="s">
        <v>936</v>
      </c>
      <c r="B57">
        <v>76150784</v>
      </c>
      <c r="C57" t="s">
        <v>937</v>
      </c>
      <c r="D57" t="s">
        <v>938</v>
      </c>
      <c r="E57">
        <v>4508714</v>
      </c>
      <c r="F57" t="s">
        <v>742</v>
      </c>
      <c r="G57" t="s">
        <v>743</v>
      </c>
      <c r="H57" t="s">
        <v>939</v>
      </c>
      <c r="I57" s="12">
        <v>46085</v>
      </c>
      <c r="J57">
        <v>1</v>
      </c>
    </row>
    <row r="58" spans="1:10">
      <c r="A58" t="s">
        <v>940</v>
      </c>
      <c r="B58">
        <v>76155716</v>
      </c>
      <c r="C58" t="s">
        <v>941</v>
      </c>
      <c r="D58" t="s">
        <v>942</v>
      </c>
      <c r="E58">
        <v>4508714</v>
      </c>
      <c r="F58" t="s">
        <v>742</v>
      </c>
      <c r="G58" t="s">
        <v>743</v>
      </c>
      <c r="H58" t="s">
        <v>762</v>
      </c>
      <c r="I58" s="12">
        <v>45622</v>
      </c>
      <c r="J58">
        <v>1</v>
      </c>
    </row>
    <row r="59" spans="1:10">
      <c r="A59" t="s">
        <v>943</v>
      </c>
      <c r="B59">
        <v>76159995</v>
      </c>
      <c r="C59" t="s">
        <v>944</v>
      </c>
      <c r="D59" t="s">
        <v>945</v>
      </c>
      <c r="E59">
        <v>4508714</v>
      </c>
      <c r="F59" t="s">
        <v>742</v>
      </c>
      <c r="G59" t="s">
        <v>743</v>
      </c>
      <c r="H59" t="s">
        <v>762</v>
      </c>
      <c r="I59" s="12">
        <v>45622</v>
      </c>
      <c r="J59">
        <v>1</v>
      </c>
    </row>
    <row r="60" spans="1:10">
      <c r="A60" t="s">
        <v>946</v>
      </c>
      <c r="B60">
        <v>76160175</v>
      </c>
      <c r="C60" t="s">
        <v>947</v>
      </c>
      <c r="D60" t="s">
        <v>948</v>
      </c>
      <c r="E60">
        <v>4508714</v>
      </c>
      <c r="F60" t="s">
        <v>742</v>
      </c>
      <c r="G60" t="s">
        <v>743</v>
      </c>
      <c r="H60" t="s">
        <v>900</v>
      </c>
      <c r="I60" s="12">
        <v>45726</v>
      </c>
      <c r="J60">
        <v>1</v>
      </c>
    </row>
    <row r="61" spans="1:10">
      <c r="A61" t="s">
        <v>949</v>
      </c>
      <c r="B61">
        <v>76160177</v>
      </c>
      <c r="C61" t="s">
        <v>950</v>
      </c>
      <c r="D61" t="s">
        <v>951</v>
      </c>
      <c r="E61">
        <v>4508714</v>
      </c>
      <c r="F61" t="s">
        <v>742</v>
      </c>
      <c r="G61" t="s">
        <v>743</v>
      </c>
      <c r="H61" t="s">
        <v>900</v>
      </c>
      <c r="I61" s="12">
        <v>45726</v>
      </c>
      <c r="J61">
        <v>1</v>
      </c>
    </row>
    <row r="62" spans="1:10">
      <c r="A62" t="s">
        <v>952</v>
      </c>
      <c r="B62">
        <v>76160178</v>
      </c>
      <c r="C62" t="s">
        <v>953</v>
      </c>
      <c r="D62" t="s">
        <v>954</v>
      </c>
      <c r="E62">
        <v>4508714</v>
      </c>
      <c r="F62" t="s">
        <v>742</v>
      </c>
      <c r="G62" t="s">
        <v>743</v>
      </c>
      <c r="H62" t="s">
        <v>900</v>
      </c>
      <c r="I62" s="12">
        <v>45726</v>
      </c>
      <c r="J62">
        <v>1</v>
      </c>
    </row>
    <row r="63" spans="1:10">
      <c r="A63" t="s">
        <v>955</v>
      </c>
      <c r="B63">
        <v>76160180</v>
      </c>
      <c r="C63" t="s">
        <v>956</v>
      </c>
      <c r="D63" t="s">
        <v>957</v>
      </c>
      <c r="E63">
        <v>4508714</v>
      </c>
      <c r="F63" t="s">
        <v>742</v>
      </c>
      <c r="G63" t="s">
        <v>743</v>
      </c>
      <c r="H63" t="s">
        <v>900</v>
      </c>
      <c r="I63" s="12">
        <v>45726</v>
      </c>
      <c r="J63">
        <v>1</v>
      </c>
    </row>
    <row r="64" spans="1:10">
      <c r="A64" t="s">
        <v>958</v>
      </c>
      <c r="B64">
        <v>76160182</v>
      </c>
      <c r="C64" t="s">
        <v>959</v>
      </c>
      <c r="D64" t="s">
        <v>960</v>
      </c>
      <c r="E64">
        <v>4508714</v>
      </c>
      <c r="F64" t="s">
        <v>742</v>
      </c>
      <c r="G64" t="s">
        <v>743</v>
      </c>
      <c r="H64" t="s">
        <v>900</v>
      </c>
      <c r="I64" s="12">
        <v>45726</v>
      </c>
      <c r="J64">
        <v>1</v>
      </c>
    </row>
    <row r="65" spans="1:10">
      <c r="A65" t="s">
        <v>961</v>
      </c>
      <c r="B65">
        <v>76160183</v>
      </c>
      <c r="C65" t="s">
        <v>962</v>
      </c>
      <c r="D65" t="s">
        <v>963</v>
      </c>
      <c r="E65">
        <v>4508714</v>
      </c>
      <c r="F65" t="s">
        <v>742</v>
      </c>
      <c r="G65" t="s">
        <v>743</v>
      </c>
      <c r="H65" t="s">
        <v>900</v>
      </c>
      <c r="I65" s="12">
        <v>45726</v>
      </c>
      <c r="J65">
        <v>1</v>
      </c>
    </row>
    <row r="66" spans="1:10">
      <c r="A66" t="s">
        <v>964</v>
      </c>
      <c r="B66">
        <v>76163024</v>
      </c>
      <c r="C66" t="s">
        <v>965</v>
      </c>
      <c r="D66" t="s">
        <v>966</v>
      </c>
      <c r="E66">
        <v>4508714</v>
      </c>
      <c r="F66" t="s">
        <v>742</v>
      </c>
      <c r="G66" t="s">
        <v>743</v>
      </c>
      <c r="H66" t="s">
        <v>967</v>
      </c>
      <c r="I66" s="12">
        <v>45946</v>
      </c>
      <c r="J66">
        <v>1</v>
      </c>
    </row>
    <row r="67" spans="1:10">
      <c r="A67" t="s">
        <v>968</v>
      </c>
      <c r="B67">
        <v>76164325</v>
      </c>
      <c r="C67" t="s">
        <v>969</v>
      </c>
      <c r="D67" t="s">
        <v>970</v>
      </c>
      <c r="E67">
        <v>4508714</v>
      </c>
      <c r="F67" t="s">
        <v>742</v>
      </c>
      <c r="G67" t="s">
        <v>743</v>
      </c>
      <c r="H67" t="s">
        <v>971</v>
      </c>
      <c r="I67" s="12">
        <v>45659</v>
      </c>
      <c r="J67">
        <v>1</v>
      </c>
    </row>
    <row r="68" spans="1:10">
      <c r="A68" t="s">
        <v>972</v>
      </c>
      <c r="B68">
        <v>76164497</v>
      </c>
      <c r="C68" t="s">
        <v>973</v>
      </c>
      <c r="D68" t="s">
        <v>974</v>
      </c>
      <c r="E68">
        <v>4508685</v>
      </c>
      <c r="F68" t="s">
        <v>742</v>
      </c>
      <c r="G68" t="s">
        <v>904</v>
      </c>
      <c r="H68" t="s">
        <v>975</v>
      </c>
      <c r="I68" s="12">
        <v>46023</v>
      </c>
      <c r="J68">
        <v>1</v>
      </c>
    </row>
    <row r="69" spans="1:10">
      <c r="A69" t="s">
        <v>976</v>
      </c>
      <c r="B69">
        <v>76167620</v>
      </c>
      <c r="C69" t="s">
        <v>977</v>
      </c>
      <c r="D69" t="s">
        <v>978</v>
      </c>
      <c r="E69">
        <v>4508714</v>
      </c>
      <c r="F69" t="s">
        <v>742</v>
      </c>
      <c r="G69" t="s">
        <v>743</v>
      </c>
      <c r="H69" t="s">
        <v>762</v>
      </c>
      <c r="I69" s="12">
        <v>45622</v>
      </c>
      <c r="J69">
        <v>1</v>
      </c>
    </row>
    <row r="70" spans="1:10">
      <c r="A70" t="s">
        <v>979</v>
      </c>
      <c r="B70">
        <v>76169598</v>
      </c>
      <c r="C70" t="s">
        <v>980</v>
      </c>
      <c r="D70" t="s">
        <v>981</v>
      </c>
      <c r="E70">
        <v>4408592</v>
      </c>
      <c r="F70" t="s">
        <v>742</v>
      </c>
      <c r="G70" t="s">
        <v>823</v>
      </c>
      <c r="H70" t="s">
        <v>910</v>
      </c>
      <c r="I70" s="12">
        <v>44880</v>
      </c>
      <c r="J70">
        <v>1</v>
      </c>
    </row>
    <row r="71" spans="1:10">
      <c r="A71" t="s">
        <v>982</v>
      </c>
      <c r="B71">
        <v>76171302</v>
      </c>
      <c r="C71" t="s">
        <v>983</v>
      </c>
      <c r="D71" t="s">
        <v>984</v>
      </c>
      <c r="E71">
        <v>4508714</v>
      </c>
      <c r="F71" t="s">
        <v>742</v>
      </c>
      <c r="G71" t="s">
        <v>743</v>
      </c>
      <c r="H71" t="s">
        <v>985</v>
      </c>
      <c r="I71" s="12">
        <v>45776</v>
      </c>
      <c r="J71">
        <v>1</v>
      </c>
    </row>
    <row r="72" spans="1:10">
      <c r="A72" t="s">
        <v>986</v>
      </c>
      <c r="B72">
        <v>76173070</v>
      </c>
      <c r="C72" t="s">
        <v>987</v>
      </c>
      <c r="D72" t="s">
        <v>988</v>
      </c>
      <c r="E72">
        <v>4508714</v>
      </c>
      <c r="F72" t="s">
        <v>742</v>
      </c>
      <c r="G72" t="s">
        <v>743</v>
      </c>
      <c r="H72" t="s">
        <v>812</v>
      </c>
      <c r="I72" s="12">
        <v>45931</v>
      </c>
      <c r="J72">
        <v>1</v>
      </c>
    </row>
    <row r="73" spans="1:10">
      <c r="A73" t="s">
        <v>989</v>
      </c>
      <c r="B73">
        <v>76173078</v>
      </c>
      <c r="C73" t="s">
        <v>990</v>
      </c>
      <c r="D73" t="s">
        <v>991</v>
      </c>
      <c r="E73">
        <v>4508714</v>
      </c>
      <c r="F73" t="s">
        <v>742</v>
      </c>
      <c r="G73" t="s">
        <v>743</v>
      </c>
      <c r="H73" t="s">
        <v>812</v>
      </c>
      <c r="I73" s="12">
        <v>45931</v>
      </c>
      <c r="J73">
        <v>1</v>
      </c>
    </row>
    <row r="74" spans="1:10">
      <c r="A74" t="s">
        <v>992</v>
      </c>
      <c r="B74">
        <v>76180485</v>
      </c>
      <c r="C74" t="s">
        <v>993</v>
      </c>
      <c r="D74" t="s">
        <v>994</v>
      </c>
      <c r="E74">
        <v>4508714</v>
      </c>
      <c r="F74" t="s">
        <v>742</v>
      </c>
      <c r="G74" t="s">
        <v>743</v>
      </c>
      <c r="H74" t="s">
        <v>762</v>
      </c>
      <c r="I74" s="12">
        <v>45622</v>
      </c>
      <c r="J74">
        <v>1</v>
      </c>
    </row>
    <row r="75" spans="1:10">
      <c r="A75" t="s">
        <v>995</v>
      </c>
      <c r="B75">
        <v>76180714</v>
      </c>
      <c r="C75" t="s">
        <v>996</v>
      </c>
      <c r="D75" t="s">
        <v>997</v>
      </c>
      <c r="E75">
        <v>4508714</v>
      </c>
      <c r="F75" t="s">
        <v>742</v>
      </c>
      <c r="G75" t="s">
        <v>743</v>
      </c>
      <c r="H75" t="s">
        <v>998</v>
      </c>
      <c r="I75" s="12">
        <v>45966</v>
      </c>
      <c r="J75">
        <v>1</v>
      </c>
    </row>
    <row r="76" spans="1:10">
      <c r="A76" t="s">
        <v>999</v>
      </c>
      <c r="B76">
        <v>76180734</v>
      </c>
      <c r="C76" t="s">
        <v>1000</v>
      </c>
      <c r="D76" t="s">
        <v>1001</v>
      </c>
      <c r="E76">
        <v>4508714</v>
      </c>
      <c r="F76" t="s">
        <v>742</v>
      </c>
      <c r="G76" t="s">
        <v>743</v>
      </c>
      <c r="H76" t="s">
        <v>998</v>
      </c>
      <c r="I76" s="12">
        <v>45814</v>
      </c>
      <c r="J76">
        <v>1</v>
      </c>
    </row>
    <row r="77" spans="1:10">
      <c r="A77" t="s">
        <v>1002</v>
      </c>
      <c r="B77">
        <v>76184710</v>
      </c>
      <c r="C77" t="s">
        <v>1003</v>
      </c>
      <c r="D77" t="s">
        <v>1004</v>
      </c>
      <c r="E77">
        <v>4508714</v>
      </c>
      <c r="F77" t="s">
        <v>742</v>
      </c>
      <c r="G77" t="s">
        <v>743</v>
      </c>
      <c r="H77" t="s">
        <v>762</v>
      </c>
      <c r="I77" s="12">
        <v>45622</v>
      </c>
      <c r="J77">
        <v>1</v>
      </c>
    </row>
    <row r="78" spans="1:10">
      <c r="A78" t="s">
        <v>1005</v>
      </c>
      <c r="B78">
        <v>76191269</v>
      </c>
      <c r="C78" t="s">
        <v>1006</v>
      </c>
      <c r="D78" t="s">
        <v>1007</v>
      </c>
      <c r="E78">
        <v>4508714</v>
      </c>
      <c r="F78" t="s">
        <v>742</v>
      </c>
      <c r="G78" t="s">
        <v>743</v>
      </c>
      <c r="H78" t="s">
        <v>900</v>
      </c>
      <c r="I78" s="12">
        <v>45726</v>
      </c>
      <c r="J78">
        <v>1</v>
      </c>
    </row>
    <row r="79" spans="1:10">
      <c r="A79" t="s">
        <v>1008</v>
      </c>
      <c r="B79">
        <v>76195666</v>
      </c>
      <c r="C79" t="s">
        <v>1009</v>
      </c>
      <c r="D79" t="s">
        <v>1010</v>
      </c>
      <c r="E79">
        <v>4408593</v>
      </c>
      <c r="F79" t="s">
        <v>742</v>
      </c>
      <c r="G79" t="s">
        <v>782</v>
      </c>
      <c r="H79" t="s">
        <v>1011</v>
      </c>
      <c r="I79" s="12">
        <v>45656</v>
      </c>
      <c r="J79">
        <v>1</v>
      </c>
    </row>
    <row r="80" spans="1:10">
      <c r="A80" t="s">
        <v>1012</v>
      </c>
      <c r="B80">
        <v>76204642</v>
      </c>
      <c r="C80" t="s">
        <v>1013</v>
      </c>
      <c r="D80" t="s">
        <v>1014</v>
      </c>
      <c r="E80">
        <v>4508714</v>
      </c>
      <c r="F80" t="s">
        <v>742</v>
      </c>
      <c r="G80" t="s">
        <v>743</v>
      </c>
      <c r="H80" t="s">
        <v>762</v>
      </c>
      <c r="I80" s="12">
        <v>45622</v>
      </c>
      <c r="J80">
        <v>1</v>
      </c>
    </row>
    <row r="81" spans="1:10">
      <c r="A81" t="s">
        <v>1015</v>
      </c>
      <c r="B81">
        <v>76205123</v>
      </c>
      <c r="C81" t="s">
        <v>1016</v>
      </c>
      <c r="D81" t="s">
        <v>1017</v>
      </c>
      <c r="E81">
        <v>4508714</v>
      </c>
      <c r="F81" t="s">
        <v>742</v>
      </c>
      <c r="G81" t="s">
        <v>743</v>
      </c>
      <c r="H81" t="s">
        <v>762</v>
      </c>
      <c r="I81" s="12">
        <v>45622</v>
      </c>
      <c r="J81">
        <v>1</v>
      </c>
    </row>
    <row r="82" spans="1:10">
      <c r="A82" t="s">
        <v>1018</v>
      </c>
      <c r="B82">
        <v>76206438</v>
      </c>
      <c r="C82" t="s">
        <v>1019</v>
      </c>
      <c r="D82" t="s">
        <v>1020</v>
      </c>
      <c r="E82">
        <v>4508714</v>
      </c>
      <c r="F82" t="s">
        <v>742</v>
      </c>
      <c r="G82" t="s">
        <v>743</v>
      </c>
      <c r="H82" t="s">
        <v>852</v>
      </c>
      <c r="I82" s="12">
        <v>45545</v>
      </c>
      <c r="J82">
        <v>1</v>
      </c>
    </row>
    <row r="83" spans="1:10">
      <c r="A83" t="s">
        <v>1021</v>
      </c>
      <c r="B83">
        <v>76206444</v>
      </c>
      <c r="C83" t="s">
        <v>1022</v>
      </c>
      <c r="D83" t="s">
        <v>1023</v>
      </c>
      <c r="E83">
        <v>4508714</v>
      </c>
      <c r="F83" t="s">
        <v>742</v>
      </c>
      <c r="G83" t="s">
        <v>743</v>
      </c>
      <c r="H83" t="s">
        <v>852</v>
      </c>
      <c r="I83" s="12">
        <v>45545</v>
      </c>
      <c r="J83">
        <v>1</v>
      </c>
    </row>
    <row r="84" spans="1:10">
      <c r="A84" t="s">
        <v>1024</v>
      </c>
      <c r="B84">
        <v>76206448</v>
      </c>
      <c r="C84" t="s">
        <v>1025</v>
      </c>
      <c r="D84" t="s">
        <v>1026</v>
      </c>
      <c r="E84">
        <v>4508714</v>
      </c>
      <c r="F84" t="s">
        <v>742</v>
      </c>
      <c r="G84" t="s">
        <v>743</v>
      </c>
      <c r="H84" t="s">
        <v>852</v>
      </c>
      <c r="I84" s="12">
        <v>45545</v>
      </c>
      <c r="J84">
        <v>1</v>
      </c>
    </row>
    <row r="85" spans="1:10">
      <c r="A85" t="s">
        <v>1027</v>
      </c>
      <c r="B85">
        <v>76206960</v>
      </c>
      <c r="C85" t="s">
        <v>1028</v>
      </c>
      <c r="D85" t="s">
        <v>1029</v>
      </c>
      <c r="E85">
        <v>4408593</v>
      </c>
      <c r="F85" t="s">
        <v>742</v>
      </c>
      <c r="G85" t="s">
        <v>782</v>
      </c>
      <c r="H85" t="s">
        <v>1030</v>
      </c>
      <c r="I85" s="12">
        <v>45922</v>
      </c>
      <c r="J85">
        <v>1</v>
      </c>
    </row>
    <row r="86" spans="1:10">
      <c r="A86" t="s">
        <v>1031</v>
      </c>
      <c r="B86">
        <v>76208633</v>
      </c>
      <c r="C86" t="s">
        <v>1032</v>
      </c>
      <c r="D86" t="s">
        <v>1033</v>
      </c>
      <c r="E86">
        <v>4508675</v>
      </c>
      <c r="F86" t="s">
        <v>742</v>
      </c>
      <c r="G86" t="s">
        <v>828</v>
      </c>
      <c r="H86" t="s">
        <v>1034</v>
      </c>
      <c r="I86" s="12">
        <v>45293</v>
      </c>
      <c r="J86">
        <v>1</v>
      </c>
    </row>
    <row r="87" spans="1:10">
      <c r="A87" t="s">
        <v>1035</v>
      </c>
      <c r="B87">
        <v>76209898</v>
      </c>
      <c r="C87" t="s">
        <v>1036</v>
      </c>
      <c r="D87" t="s">
        <v>1037</v>
      </c>
      <c r="E87">
        <v>4408592</v>
      </c>
      <c r="F87" t="s">
        <v>742</v>
      </c>
      <c r="G87" t="s">
        <v>823</v>
      </c>
      <c r="H87" t="s">
        <v>1038</v>
      </c>
      <c r="I87" s="12">
        <v>45597</v>
      </c>
      <c r="J87">
        <v>1</v>
      </c>
    </row>
    <row r="88" spans="1:10">
      <c r="A88" t="s">
        <v>1039</v>
      </c>
      <c r="B88">
        <v>76211125</v>
      </c>
      <c r="C88" t="s">
        <v>1040</v>
      </c>
      <c r="D88" t="s">
        <v>1041</v>
      </c>
      <c r="E88">
        <v>4508714</v>
      </c>
      <c r="F88" t="s">
        <v>742</v>
      </c>
      <c r="G88" t="s">
        <v>743</v>
      </c>
      <c r="H88" t="s">
        <v>1042</v>
      </c>
      <c r="I88" s="12">
        <v>45628</v>
      </c>
      <c r="J88">
        <v>1</v>
      </c>
    </row>
    <row r="89" spans="1:10">
      <c r="A89" t="s">
        <v>1043</v>
      </c>
      <c r="B89">
        <v>76211329</v>
      </c>
      <c r="C89" t="s">
        <v>1044</v>
      </c>
      <c r="D89" t="s">
        <v>1045</v>
      </c>
      <c r="E89">
        <v>4508714</v>
      </c>
      <c r="F89" t="s">
        <v>742</v>
      </c>
      <c r="G89" t="s">
        <v>743</v>
      </c>
      <c r="H89" t="s">
        <v>812</v>
      </c>
      <c r="I89" s="12">
        <v>45931</v>
      </c>
      <c r="J89">
        <v>1</v>
      </c>
    </row>
    <row r="90" spans="1:10">
      <c r="A90" t="s">
        <v>1046</v>
      </c>
      <c r="B90">
        <v>76213073</v>
      </c>
      <c r="C90" t="s">
        <v>1047</v>
      </c>
      <c r="D90" t="s">
        <v>1048</v>
      </c>
      <c r="E90">
        <v>4508675</v>
      </c>
      <c r="F90" t="s">
        <v>742</v>
      </c>
      <c r="G90" t="s">
        <v>828</v>
      </c>
      <c r="H90" t="s">
        <v>1049</v>
      </c>
      <c r="I90" s="12">
        <v>45653</v>
      </c>
      <c r="J90">
        <v>1</v>
      </c>
    </row>
    <row r="91" spans="1:10">
      <c r="A91" t="s">
        <v>1050</v>
      </c>
      <c r="B91">
        <v>76213177</v>
      </c>
      <c r="C91" t="s">
        <v>1051</v>
      </c>
      <c r="D91" t="s">
        <v>1052</v>
      </c>
      <c r="E91">
        <v>4508714</v>
      </c>
      <c r="F91" t="s">
        <v>742</v>
      </c>
      <c r="G91" t="s">
        <v>743</v>
      </c>
      <c r="H91" t="s">
        <v>762</v>
      </c>
      <c r="I91" s="12">
        <v>45622</v>
      </c>
      <c r="J91">
        <v>1</v>
      </c>
    </row>
    <row r="92" spans="1:10">
      <c r="A92" t="s">
        <v>1053</v>
      </c>
      <c r="B92">
        <v>76213235</v>
      </c>
      <c r="C92" t="s">
        <v>1054</v>
      </c>
      <c r="D92" t="s">
        <v>1055</v>
      </c>
      <c r="E92">
        <v>4508714</v>
      </c>
      <c r="F92" t="s">
        <v>742</v>
      </c>
      <c r="G92" t="s">
        <v>743</v>
      </c>
      <c r="H92" t="s">
        <v>1056</v>
      </c>
      <c r="I92" s="12">
        <v>45411</v>
      </c>
      <c r="J92">
        <v>1</v>
      </c>
    </row>
    <row r="93" spans="1:10">
      <c r="A93" t="s">
        <v>1057</v>
      </c>
      <c r="B93">
        <v>76215823</v>
      </c>
      <c r="C93" t="s">
        <v>1058</v>
      </c>
      <c r="D93" t="s">
        <v>1059</v>
      </c>
      <c r="E93">
        <v>4408593</v>
      </c>
      <c r="F93" t="s">
        <v>742</v>
      </c>
      <c r="G93" t="s">
        <v>782</v>
      </c>
      <c r="H93" t="s">
        <v>1060</v>
      </c>
      <c r="I93" s="12">
        <v>45614</v>
      </c>
      <c r="J93">
        <v>1</v>
      </c>
    </row>
    <row r="94" spans="1:10">
      <c r="A94" t="s">
        <v>1061</v>
      </c>
      <c r="B94">
        <v>76215994</v>
      </c>
      <c r="C94" t="s">
        <v>1062</v>
      </c>
      <c r="D94" t="s">
        <v>1063</v>
      </c>
      <c r="E94">
        <v>4508714</v>
      </c>
      <c r="F94" t="s">
        <v>742</v>
      </c>
      <c r="G94" t="s">
        <v>743</v>
      </c>
      <c r="H94" t="s">
        <v>856</v>
      </c>
      <c r="I94" s="12">
        <v>45628</v>
      </c>
      <c r="J94">
        <v>1</v>
      </c>
    </row>
    <row r="95" spans="1:10">
      <c r="A95" t="s">
        <v>1064</v>
      </c>
      <c r="B95">
        <v>76216403</v>
      </c>
      <c r="C95" t="s">
        <v>1065</v>
      </c>
      <c r="D95" t="s">
        <v>1066</v>
      </c>
      <c r="E95">
        <v>4508714</v>
      </c>
      <c r="F95" t="s">
        <v>742</v>
      </c>
      <c r="G95" t="s">
        <v>743</v>
      </c>
      <c r="H95" t="s">
        <v>762</v>
      </c>
      <c r="I95" s="12">
        <v>45622</v>
      </c>
      <c r="J95">
        <v>1</v>
      </c>
    </row>
    <row r="96" spans="1:10">
      <c r="A96" t="s">
        <v>1067</v>
      </c>
      <c r="B96">
        <v>76216404</v>
      </c>
      <c r="C96" t="s">
        <v>1068</v>
      </c>
      <c r="D96" t="s">
        <v>1069</v>
      </c>
      <c r="E96">
        <v>4508714</v>
      </c>
      <c r="F96" t="s">
        <v>742</v>
      </c>
      <c r="G96" t="s">
        <v>743</v>
      </c>
      <c r="H96" t="s">
        <v>762</v>
      </c>
      <c r="I96" s="12">
        <v>45622</v>
      </c>
      <c r="J96">
        <v>1</v>
      </c>
    </row>
    <row r="97" spans="1:10">
      <c r="A97" t="s">
        <v>1070</v>
      </c>
      <c r="B97">
        <v>76217325</v>
      </c>
      <c r="C97" t="s">
        <v>1071</v>
      </c>
      <c r="D97" t="s">
        <v>1072</v>
      </c>
      <c r="E97">
        <v>4508714</v>
      </c>
      <c r="F97" t="s">
        <v>742</v>
      </c>
      <c r="G97" t="s">
        <v>743</v>
      </c>
      <c r="H97" t="s">
        <v>812</v>
      </c>
      <c r="I97" s="12">
        <v>45931</v>
      </c>
      <c r="J97">
        <v>1</v>
      </c>
    </row>
    <row r="98" spans="1:10">
      <c r="A98" t="s">
        <v>1073</v>
      </c>
      <c r="B98">
        <v>76219467</v>
      </c>
      <c r="C98" t="s">
        <v>1074</v>
      </c>
      <c r="D98" t="s">
        <v>1075</v>
      </c>
      <c r="E98">
        <v>4508714</v>
      </c>
      <c r="F98" t="s">
        <v>742</v>
      </c>
      <c r="G98" t="s">
        <v>743</v>
      </c>
      <c r="H98" t="s">
        <v>762</v>
      </c>
      <c r="I98" s="12">
        <v>45622</v>
      </c>
      <c r="J98">
        <v>1</v>
      </c>
    </row>
    <row r="99" spans="1:10">
      <c r="A99" t="s">
        <v>1076</v>
      </c>
      <c r="B99">
        <v>76220417</v>
      </c>
      <c r="C99" t="s">
        <v>1077</v>
      </c>
      <c r="D99" t="s">
        <v>1078</v>
      </c>
      <c r="E99">
        <v>4508714</v>
      </c>
      <c r="F99" t="s">
        <v>742</v>
      </c>
      <c r="G99" t="s">
        <v>743</v>
      </c>
      <c r="H99" t="s">
        <v>805</v>
      </c>
      <c r="I99" s="12">
        <v>45772</v>
      </c>
      <c r="J99">
        <v>1</v>
      </c>
    </row>
    <row r="100" spans="1:10">
      <c r="A100" t="s">
        <v>1079</v>
      </c>
      <c r="B100">
        <v>76220481</v>
      </c>
      <c r="C100" t="s">
        <v>1080</v>
      </c>
      <c r="D100" t="s">
        <v>1081</v>
      </c>
      <c r="E100">
        <v>4508714</v>
      </c>
      <c r="F100" t="s">
        <v>742</v>
      </c>
      <c r="G100" t="s">
        <v>743</v>
      </c>
      <c r="H100" t="s">
        <v>762</v>
      </c>
      <c r="I100" s="12">
        <v>45622</v>
      </c>
      <c r="J100">
        <v>1</v>
      </c>
    </row>
    <row r="101" spans="1:10">
      <c r="A101" t="s">
        <v>1082</v>
      </c>
      <c r="B101">
        <v>76224416</v>
      </c>
      <c r="C101" t="s">
        <v>1083</v>
      </c>
      <c r="D101" t="s">
        <v>1084</v>
      </c>
      <c r="E101">
        <v>4508714</v>
      </c>
      <c r="F101" t="s">
        <v>742</v>
      </c>
      <c r="G101" t="s">
        <v>743</v>
      </c>
      <c r="H101" t="s">
        <v>860</v>
      </c>
      <c r="I101" s="12">
        <v>45604</v>
      </c>
      <c r="J101">
        <v>1</v>
      </c>
    </row>
    <row r="102" spans="1:10">
      <c r="A102" t="s">
        <v>1085</v>
      </c>
      <c r="B102">
        <v>76224482</v>
      </c>
      <c r="C102" t="s">
        <v>1086</v>
      </c>
      <c r="D102" t="s">
        <v>1087</v>
      </c>
      <c r="E102">
        <v>4508714</v>
      </c>
      <c r="F102" t="s">
        <v>742</v>
      </c>
      <c r="G102" t="s">
        <v>743</v>
      </c>
      <c r="H102" t="s">
        <v>1088</v>
      </c>
      <c r="I102" s="12">
        <v>46051</v>
      </c>
      <c r="J102">
        <v>1</v>
      </c>
    </row>
    <row r="103" spans="1:10">
      <c r="A103" t="s">
        <v>1089</v>
      </c>
      <c r="B103">
        <v>76225236</v>
      </c>
      <c r="C103" t="s">
        <v>1090</v>
      </c>
      <c r="D103" t="s">
        <v>1091</v>
      </c>
      <c r="E103">
        <v>4508714</v>
      </c>
      <c r="F103" t="s">
        <v>742</v>
      </c>
      <c r="G103" t="s">
        <v>743</v>
      </c>
      <c r="H103" t="s">
        <v>1092</v>
      </c>
      <c r="I103" s="12">
        <v>45925</v>
      </c>
      <c r="J103">
        <v>1</v>
      </c>
    </row>
    <row r="104" spans="1:10">
      <c r="A104" t="s">
        <v>1093</v>
      </c>
      <c r="B104">
        <v>76226264</v>
      </c>
      <c r="C104" t="s">
        <v>1094</v>
      </c>
      <c r="D104" t="s">
        <v>1095</v>
      </c>
      <c r="E104">
        <v>4508714</v>
      </c>
      <c r="F104" t="s">
        <v>742</v>
      </c>
      <c r="G104" t="s">
        <v>743</v>
      </c>
      <c r="H104" t="s">
        <v>1096</v>
      </c>
      <c r="I104" s="12">
        <v>45961</v>
      </c>
      <c r="J104">
        <v>1</v>
      </c>
    </row>
    <row r="105" spans="1:10">
      <c r="A105" t="s">
        <v>1097</v>
      </c>
      <c r="B105">
        <v>76226267</v>
      </c>
      <c r="C105" t="s">
        <v>1098</v>
      </c>
      <c r="D105" t="s">
        <v>1099</v>
      </c>
      <c r="E105">
        <v>4508714</v>
      </c>
      <c r="F105" t="s">
        <v>742</v>
      </c>
      <c r="G105" t="s">
        <v>743</v>
      </c>
      <c r="H105" t="s">
        <v>1096</v>
      </c>
      <c r="I105" s="12">
        <v>45961</v>
      </c>
      <c r="J105">
        <v>1</v>
      </c>
    </row>
    <row r="106" spans="1:10">
      <c r="A106" t="s">
        <v>1100</v>
      </c>
      <c r="B106">
        <v>76226269</v>
      </c>
      <c r="C106" t="s">
        <v>1101</v>
      </c>
      <c r="D106" t="s">
        <v>1102</v>
      </c>
      <c r="E106">
        <v>4508714</v>
      </c>
      <c r="F106" t="s">
        <v>742</v>
      </c>
      <c r="G106" t="s">
        <v>743</v>
      </c>
      <c r="H106" t="s">
        <v>1096</v>
      </c>
      <c r="I106" s="12">
        <v>45961</v>
      </c>
      <c r="J106">
        <v>1</v>
      </c>
    </row>
    <row r="107" spans="1:10">
      <c r="A107" t="s">
        <v>1103</v>
      </c>
      <c r="B107">
        <v>76226270</v>
      </c>
      <c r="C107" t="s">
        <v>1104</v>
      </c>
      <c r="D107" t="s">
        <v>1105</v>
      </c>
      <c r="E107">
        <v>4508714</v>
      </c>
      <c r="F107" t="s">
        <v>742</v>
      </c>
      <c r="G107" t="s">
        <v>743</v>
      </c>
      <c r="H107" t="s">
        <v>1096</v>
      </c>
      <c r="I107" s="12">
        <v>45961</v>
      </c>
      <c r="J107">
        <v>1</v>
      </c>
    </row>
    <row r="108" spans="1:10">
      <c r="A108" t="s">
        <v>1106</v>
      </c>
      <c r="B108">
        <v>76226276</v>
      </c>
      <c r="C108" t="s">
        <v>1107</v>
      </c>
      <c r="D108" t="s">
        <v>1108</v>
      </c>
      <c r="E108">
        <v>4508714</v>
      </c>
      <c r="F108" t="s">
        <v>742</v>
      </c>
      <c r="G108" t="s">
        <v>743</v>
      </c>
      <c r="H108" t="s">
        <v>1096</v>
      </c>
      <c r="I108" s="12">
        <v>45961</v>
      </c>
      <c r="J108">
        <v>1</v>
      </c>
    </row>
    <row r="109" spans="1:10">
      <c r="A109" t="s">
        <v>1109</v>
      </c>
      <c r="B109">
        <v>76226715</v>
      </c>
      <c r="C109" t="s">
        <v>1110</v>
      </c>
      <c r="D109" t="s">
        <v>1111</v>
      </c>
      <c r="E109">
        <v>4508714</v>
      </c>
      <c r="F109" t="s">
        <v>742</v>
      </c>
      <c r="G109" t="s">
        <v>743</v>
      </c>
      <c r="H109" t="s">
        <v>762</v>
      </c>
      <c r="I109" s="12">
        <v>45622</v>
      </c>
      <c r="J109">
        <v>1</v>
      </c>
    </row>
    <row r="110" spans="1:10">
      <c r="A110" t="s">
        <v>1112</v>
      </c>
      <c r="B110">
        <v>76226950</v>
      </c>
      <c r="C110" t="s">
        <v>1113</v>
      </c>
      <c r="D110" t="s">
        <v>1114</v>
      </c>
      <c r="E110">
        <v>4508714</v>
      </c>
      <c r="F110" t="s">
        <v>742</v>
      </c>
      <c r="G110" t="s">
        <v>743</v>
      </c>
      <c r="H110" t="s">
        <v>1115</v>
      </c>
      <c r="I110" s="12">
        <v>45919</v>
      </c>
      <c r="J110">
        <v>1</v>
      </c>
    </row>
    <row r="111" spans="1:10">
      <c r="A111" t="s">
        <v>1116</v>
      </c>
      <c r="B111">
        <v>76234097</v>
      </c>
      <c r="C111" t="s">
        <v>1117</v>
      </c>
      <c r="D111" t="s">
        <v>1118</v>
      </c>
      <c r="E111">
        <v>4508714</v>
      </c>
      <c r="F111" t="s">
        <v>742</v>
      </c>
      <c r="G111" t="s">
        <v>743</v>
      </c>
      <c r="H111" t="s">
        <v>1119</v>
      </c>
      <c r="I111" s="12">
        <v>45705</v>
      </c>
      <c r="J111">
        <v>1</v>
      </c>
    </row>
    <row r="112" spans="1:10">
      <c r="A112" t="s">
        <v>1120</v>
      </c>
      <c r="B112">
        <v>76235484</v>
      </c>
      <c r="C112" t="s">
        <v>1121</v>
      </c>
      <c r="D112" t="s">
        <v>1122</v>
      </c>
      <c r="E112">
        <v>4508714</v>
      </c>
      <c r="F112" t="s">
        <v>742</v>
      </c>
      <c r="G112" t="s">
        <v>743</v>
      </c>
      <c r="H112" t="s">
        <v>762</v>
      </c>
      <c r="I112" s="12">
        <v>45622</v>
      </c>
      <c r="J112">
        <v>1</v>
      </c>
    </row>
    <row r="113" spans="1:10">
      <c r="A113" t="s">
        <v>1123</v>
      </c>
      <c r="B113">
        <v>76235485</v>
      </c>
      <c r="C113" t="s">
        <v>1124</v>
      </c>
      <c r="D113" t="s">
        <v>1125</v>
      </c>
      <c r="E113">
        <v>4508714</v>
      </c>
      <c r="F113" t="s">
        <v>742</v>
      </c>
      <c r="G113" t="s">
        <v>743</v>
      </c>
      <c r="H113" t="s">
        <v>762</v>
      </c>
      <c r="I113" s="12">
        <v>45622</v>
      </c>
      <c r="J113">
        <v>1</v>
      </c>
    </row>
    <row r="114" spans="1:10">
      <c r="A114" t="s">
        <v>1126</v>
      </c>
      <c r="B114">
        <v>76235488</v>
      </c>
      <c r="C114" t="s">
        <v>1127</v>
      </c>
      <c r="D114" t="s">
        <v>1128</v>
      </c>
      <c r="E114">
        <v>4508714</v>
      </c>
      <c r="F114" t="s">
        <v>742</v>
      </c>
      <c r="G114" t="s">
        <v>743</v>
      </c>
      <c r="H114" t="s">
        <v>762</v>
      </c>
      <c r="I114" s="12">
        <v>45622</v>
      </c>
      <c r="J114">
        <v>1</v>
      </c>
    </row>
    <row r="115" spans="1:10">
      <c r="A115" t="s">
        <v>1129</v>
      </c>
      <c r="B115">
        <v>76235494</v>
      </c>
      <c r="C115" t="s">
        <v>1130</v>
      </c>
      <c r="D115" t="s">
        <v>1131</v>
      </c>
      <c r="E115">
        <v>4508714</v>
      </c>
      <c r="F115" t="s">
        <v>742</v>
      </c>
      <c r="G115" t="s">
        <v>743</v>
      </c>
      <c r="H115" t="s">
        <v>762</v>
      </c>
      <c r="I115" s="12">
        <v>45622</v>
      </c>
      <c r="J115">
        <v>1</v>
      </c>
    </row>
    <row r="116" spans="1:10">
      <c r="A116" t="s">
        <v>1132</v>
      </c>
      <c r="B116">
        <v>76235496</v>
      </c>
      <c r="C116" t="s">
        <v>1133</v>
      </c>
      <c r="D116" t="s">
        <v>1134</v>
      </c>
      <c r="E116">
        <v>4508714</v>
      </c>
      <c r="F116" t="s">
        <v>742</v>
      </c>
      <c r="G116" t="s">
        <v>743</v>
      </c>
      <c r="H116" t="s">
        <v>762</v>
      </c>
      <c r="I116" s="12">
        <v>45622</v>
      </c>
      <c r="J116">
        <v>1</v>
      </c>
    </row>
    <row r="117" spans="1:10">
      <c r="A117" t="s">
        <v>1135</v>
      </c>
      <c r="B117">
        <v>76236747</v>
      </c>
      <c r="C117" t="s">
        <v>1136</v>
      </c>
      <c r="D117" t="s">
        <v>1137</v>
      </c>
      <c r="E117">
        <v>4508714</v>
      </c>
      <c r="F117" t="s">
        <v>742</v>
      </c>
      <c r="G117" t="s">
        <v>743</v>
      </c>
      <c r="H117" t="s">
        <v>1138</v>
      </c>
      <c r="I117" s="12">
        <v>45236</v>
      </c>
      <c r="J117">
        <v>1</v>
      </c>
    </row>
    <row r="118" spans="1:10">
      <c r="A118" t="s">
        <v>1139</v>
      </c>
      <c r="B118">
        <v>76238643</v>
      </c>
      <c r="C118" t="s">
        <v>1140</v>
      </c>
      <c r="D118" t="s">
        <v>1141</v>
      </c>
      <c r="E118">
        <v>4508714</v>
      </c>
      <c r="F118" t="s">
        <v>742</v>
      </c>
      <c r="G118" t="s">
        <v>743</v>
      </c>
      <c r="H118" t="s">
        <v>762</v>
      </c>
      <c r="I118" s="12">
        <v>45622</v>
      </c>
      <c r="J118">
        <v>1</v>
      </c>
    </row>
    <row r="119" spans="1:10">
      <c r="A119" t="s">
        <v>1142</v>
      </c>
      <c r="B119">
        <v>76238647</v>
      </c>
      <c r="C119" t="s">
        <v>1143</v>
      </c>
      <c r="D119" t="s">
        <v>1144</v>
      </c>
      <c r="E119">
        <v>4508714</v>
      </c>
      <c r="F119" t="s">
        <v>742</v>
      </c>
      <c r="G119" t="s">
        <v>743</v>
      </c>
      <c r="H119" t="s">
        <v>762</v>
      </c>
      <c r="I119" s="12">
        <v>45622</v>
      </c>
      <c r="J119">
        <v>1</v>
      </c>
    </row>
    <row r="120" spans="1:10">
      <c r="A120" t="s">
        <v>1145</v>
      </c>
      <c r="B120">
        <v>76241289</v>
      </c>
      <c r="C120" t="s">
        <v>1146</v>
      </c>
      <c r="D120" t="s">
        <v>1147</v>
      </c>
      <c r="E120">
        <v>4408592</v>
      </c>
      <c r="F120" t="s">
        <v>742</v>
      </c>
      <c r="G120" t="s">
        <v>823</v>
      </c>
      <c r="H120" t="s">
        <v>1148</v>
      </c>
      <c r="I120" s="12">
        <v>45198</v>
      </c>
      <c r="J120">
        <v>1</v>
      </c>
    </row>
    <row r="121" spans="1:10">
      <c r="A121" t="s">
        <v>1149</v>
      </c>
      <c r="B121">
        <v>76241360</v>
      </c>
      <c r="C121" t="s">
        <v>1150</v>
      </c>
      <c r="D121" t="s">
        <v>1151</v>
      </c>
      <c r="E121">
        <v>4408593</v>
      </c>
      <c r="F121" t="s">
        <v>742</v>
      </c>
      <c r="G121" t="s">
        <v>782</v>
      </c>
      <c r="H121" t="s">
        <v>1152</v>
      </c>
      <c r="I121" s="12">
        <v>45786</v>
      </c>
      <c r="J121">
        <v>1</v>
      </c>
    </row>
    <row r="122" spans="1:10">
      <c r="A122" t="s">
        <v>1153</v>
      </c>
      <c r="B122">
        <v>76241979</v>
      </c>
      <c r="C122" t="s">
        <v>1154</v>
      </c>
      <c r="D122" t="s">
        <v>1155</v>
      </c>
      <c r="E122">
        <v>4508714</v>
      </c>
      <c r="F122" t="s">
        <v>742</v>
      </c>
      <c r="G122" t="s">
        <v>743</v>
      </c>
      <c r="H122" t="s">
        <v>1156</v>
      </c>
      <c r="I122" s="12">
        <v>45628</v>
      </c>
      <c r="J122">
        <v>1</v>
      </c>
    </row>
    <row r="123" spans="1:10">
      <c r="A123" t="s">
        <v>1157</v>
      </c>
      <c r="B123">
        <v>76243194</v>
      </c>
      <c r="C123" t="s">
        <v>1158</v>
      </c>
      <c r="D123" t="s">
        <v>1159</v>
      </c>
      <c r="E123">
        <v>4508675</v>
      </c>
      <c r="F123" t="s">
        <v>742</v>
      </c>
      <c r="G123" t="s">
        <v>828</v>
      </c>
      <c r="H123" t="s">
        <v>1160</v>
      </c>
      <c r="I123" s="12">
        <v>45264</v>
      </c>
      <c r="J123">
        <v>1</v>
      </c>
    </row>
    <row r="124" spans="1:10">
      <c r="A124" t="s">
        <v>1161</v>
      </c>
      <c r="B124">
        <v>76243560</v>
      </c>
      <c r="C124" t="s">
        <v>1162</v>
      </c>
      <c r="D124" t="s">
        <v>1163</v>
      </c>
      <c r="E124">
        <v>4508675</v>
      </c>
      <c r="F124" t="s">
        <v>742</v>
      </c>
      <c r="G124" t="s">
        <v>828</v>
      </c>
      <c r="H124" t="s">
        <v>1164</v>
      </c>
      <c r="I124" s="12">
        <v>45910</v>
      </c>
      <c r="J124">
        <v>1</v>
      </c>
    </row>
    <row r="125" spans="1:10">
      <c r="A125" t="s">
        <v>1165</v>
      </c>
      <c r="B125">
        <v>76244542</v>
      </c>
      <c r="C125" t="s">
        <v>1166</v>
      </c>
      <c r="D125" t="s">
        <v>1167</v>
      </c>
      <c r="E125">
        <v>4508714</v>
      </c>
      <c r="F125" t="s">
        <v>742</v>
      </c>
      <c r="G125" t="s">
        <v>743</v>
      </c>
      <c r="H125" t="s">
        <v>852</v>
      </c>
      <c r="I125" s="12">
        <v>45545</v>
      </c>
      <c r="J125">
        <v>1</v>
      </c>
    </row>
    <row r="126" spans="1:10">
      <c r="A126" t="s">
        <v>1168</v>
      </c>
      <c r="B126">
        <v>76244599</v>
      </c>
      <c r="C126" t="s">
        <v>1169</v>
      </c>
      <c r="D126" t="s">
        <v>1170</v>
      </c>
      <c r="E126">
        <v>4408593</v>
      </c>
      <c r="F126" t="s">
        <v>742</v>
      </c>
      <c r="G126" t="s">
        <v>782</v>
      </c>
      <c r="H126" t="s">
        <v>1171</v>
      </c>
      <c r="I126" s="12">
        <v>45618</v>
      </c>
      <c r="J126">
        <v>1</v>
      </c>
    </row>
    <row r="127" spans="1:10">
      <c r="A127" t="s">
        <v>1172</v>
      </c>
      <c r="B127">
        <v>76244695</v>
      </c>
      <c r="C127" t="s">
        <v>1173</v>
      </c>
      <c r="D127" t="s">
        <v>1174</v>
      </c>
      <c r="E127">
        <v>4508714</v>
      </c>
      <c r="F127" t="s">
        <v>742</v>
      </c>
      <c r="G127" t="s">
        <v>743</v>
      </c>
      <c r="H127" t="s">
        <v>1175</v>
      </c>
      <c r="I127" s="12">
        <v>45622</v>
      </c>
      <c r="J127">
        <v>1</v>
      </c>
    </row>
    <row r="128" spans="1:10">
      <c r="A128" t="s">
        <v>1176</v>
      </c>
      <c r="B128">
        <v>76245067</v>
      </c>
      <c r="C128" t="s">
        <v>1177</v>
      </c>
      <c r="D128" t="s">
        <v>1178</v>
      </c>
      <c r="E128">
        <v>4508714</v>
      </c>
      <c r="F128" t="s">
        <v>742</v>
      </c>
      <c r="G128" t="s">
        <v>743</v>
      </c>
      <c r="H128" t="s">
        <v>1179</v>
      </c>
      <c r="I128" s="12">
        <v>45635</v>
      </c>
      <c r="J128">
        <v>1</v>
      </c>
    </row>
    <row r="129" spans="1:10">
      <c r="A129" t="s">
        <v>1180</v>
      </c>
      <c r="B129">
        <v>76245731</v>
      </c>
      <c r="C129" t="s">
        <v>1181</v>
      </c>
      <c r="D129" t="s">
        <v>1182</v>
      </c>
      <c r="E129">
        <v>4408593</v>
      </c>
      <c r="F129" t="s">
        <v>742</v>
      </c>
      <c r="G129" t="s">
        <v>782</v>
      </c>
      <c r="H129" t="s">
        <v>1183</v>
      </c>
      <c r="I129" s="12">
        <v>45441</v>
      </c>
      <c r="J129">
        <v>1</v>
      </c>
    </row>
    <row r="130" spans="1:10">
      <c r="A130" t="s">
        <v>1184</v>
      </c>
      <c r="B130">
        <v>76245733</v>
      </c>
      <c r="C130" t="s">
        <v>1185</v>
      </c>
      <c r="D130" t="s">
        <v>1186</v>
      </c>
      <c r="E130">
        <v>4508714</v>
      </c>
      <c r="F130" t="s">
        <v>742</v>
      </c>
      <c r="G130" t="s">
        <v>743</v>
      </c>
      <c r="H130" t="s">
        <v>812</v>
      </c>
      <c r="I130" s="12">
        <v>45931</v>
      </c>
      <c r="J130">
        <v>1</v>
      </c>
    </row>
    <row r="131" spans="1:10">
      <c r="A131" t="s">
        <v>1187</v>
      </c>
      <c r="B131">
        <v>76246621</v>
      </c>
      <c r="C131" t="s">
        <v>1188</v>
      </c>
      <c r="D131" t="s">
        <v>1189</v>
      </c>
      <c r="E131">
        <v>4508714</v>
      </c>
      <c r="F131" t="s">
        <v>742</v>
      </c>
      <c r="G131" t="s">
        <v>743</v>
      </c>
      <c r="H131" t="s">
        <v>1190</v>
      </c>
      <c r="I131" s="12">
        <v>46106</v>
      </c>
      <c r="J131">
        <v>1</v>
      </c>
    </row>
    <row r="132" spans="1:10">
      <c r="A132" t="s">
        <v>1191</v>
      </c>
      <c r="B132">
        <v>76250570</v>
      </c>
      <c r="C132" t="s">
        <v>1192</v>
      </c>
      <c r="D132" t="s">
        <v>1193</v>
      </c>
      <c r="E132">
        <v>4408592</v>
      </c>
      <c r="F132" t="s">
        <v>742</v>
      </c>
      <c r="G132" t="s">
        <v>823</v>
      </c>
      <c r="H132" t="s">
        <v>1194</v>
      </c>
      <c r="I132" s="12">
        <v>45505</v>
      </c>
      <c r="J132">
        <v>1</v>
      </c>
    </row>
    <row r="133" spans="1:10">
      <c r="A133" t="s">
        <v>1195</v>
      </c>
      <c r="B133">
        <v>76250571</v>
      </c>
      <c r="C133" t="s">
        <v>1196</v>
      </c>
      <c r="D133" t="s">
        <v>1197</v>
      </c>
      <c r="E133">
        <v>4408592</v>
      </c>
      <c r="F133" t="s">
        <v>742</v>
      </c>
      <c r="G133" t="s">
        <v>823</v>
      </c>
      <c r="H133" t="s">
        <v>1194</v>
      </c>
      <c r="I133" s="12">
        <v>45505</v>
      </c>
      <c r="J133">
        <v>1</v>
      </c>
    </row>
    <row r="134" spans="1:10">
      <c r="A134" t="s">
        <v>1198</v>
      </c>
      <c r="B134">
        <v>76252743</v>
      </c>
      <c r="C134" t="s">
        <v>1199</v>
      </c>
      <c r="D134" t="s">
        <v>1200</v>
      </c>
      <c r="E134">
        <v>4508714</v>
      </c>
      <c r="F134" t="s">
        <v>742</v>
      </c>
      <c r="G134" t="s">
        <v>743</v>
      </c>
      <c r="H134" t="s">
        <v>1179</v>
      </c>
      <c r="I134" s="12">
        <v>45645</v>
      </c>
      <c r="J134">
        <v>1</v>
      </c>
    </row>
    <row r="135" spans="1:10">
      <c r="A135" t="s">
        <v>1201</v>
      </c>
      <c r="B135">
        <v>76254215</v>
      </c>
      <c r="C135" t="s">
        <v>1202</v>
      </c>
      <c r="D135" t="s">
        <v>1203</v>
      </c>
      <c r="E135">
        <v>4508691</v>
      </c>
      <c r="F135" t="s">
        <v>742</v>
      </c>
      <c r="G135" t="s">
        <v>1204</v>
      </c>
      <c r="H135" t="s">
        <v>1205</v>
      </c>
      <c r="I135" s="12">
        <v>45975</v>
      </c>
      <c r="J135">
        <v>1</v>
      </c>
    </row>
    <row r="136" spans="1:10">
      <c r="A136" t="s">
        <v>1206</v>
      </c>
      <c r="B136">
        <v>76254533</v>
      </c>
      <c r="C136" t="s">
        <v>1207</v>
      </c>
      <c r="D136" t="s">
        <v>1208</v>
      </c>
      <c r="E136">
        <v>4408592</v>
      </c>
      <c r="F136" t="s">
        <v>742</v>
      </c>
      <c r="G136" t="s">
        <v>823</v>
      </c>
      <c r="H136" t="s">
        <v>1209</v>
      </c>
      <c r="I136" s="12">
        <v>45775</v>
      </c>
      <c r="J136">
        <v>1</v>
      </c>
    </row>
    <row r="137" spans="1:10">
      <c r="A137" t="s">
        <v>1210</v>
      </c>
      <c r="B137">
        <v>76254620</v>
      </c>
      <c r="C137" t="s">
        <v>1211</v>
      </c>
      <c r="D137" t="s">
        <v>1212</v>
      </c>
      <c r="E137">
        <v>4408593</v>
      </c>
      <c r="F137" t="s">
        <v>742</v>
      </c>
      <c r="G137" t="s">
        <v>782</v>
      </c>
      <c r="H137" t="s">
        <v>1213</v>
      </c>
      <c r="I137" s="12">
        <v>45804</v>
      </c>
      <c r="J137">
        <v>1</v>
      </c>
    </row>
    <row r="138" spans="1:10">
      <c r="A138" t="s">
        <v>1214</v>
      </c>
      <c r="B138">
        <v>76255685</v>
      </c>
      <c r="C138" t="s">
        <v>1215</v>
      </c>
      <c r="D138" t="s">
        <v>1216</v>
      </c>
      <c r="E138">
        <v>4508714</v>
      </c>
      <c r="F138" t="s">
        <v>742</v>
      </c>
      <c r="G138" t="s">
        <v>743</v>
      </c>
      <c r="H138" t="s">
        <v>1217</v>
      </c>
      <c r="I138" s="12">
        <v>45824</v>
      </c>
      <c r="J138">
        <v>1</v>
      </c>
    </row>
    <row r="139" spans="1:10">
      <c r="A139" t="s">
        <v>1218</v>
      </c>
      <c r="B139">
        <v>76255914</v>
      </c>
      <c r="C139" t="s">
        <v>1219</v>
      </c>
      <c r="D139" t="s">
        <v>1220</v>
      </c>
      <c r="E139">
        <v>4408592</v>
      </c>
      <c r="F139" t="s">
        <v>742</v>
      </c>
      <c r="G139" t="s">
        <v>823</v>
      </c>
      <c r="H139" t="s">
        <v>1221</v>
      </c>
      <c r="I139" s="12">
        <v>45852</v>
      </c>
      <c r="J139">
        <v>1</v>
      </c>
    </row>
    <row r="140" spans="1:10">
      <c r="A140" t="s">
        <v>1222</v>
      </c>
      <c r="B140">
        <v>76256229</v>
      </c>
      <c r="C140" t="s">
        <v>1223</v>
      </c>
      <c r="D140" t="s">
        <v>1224</v>
      </c>
      <c r="E140">
        <v>4508714</v>
      </c>
      <c r="F140" t="s">
        <v>742</v>
      </c>
      <c r="G140" t="s">
        <v>743</v>
      </c>
      <c r="H140" t="s">
        <v>1224</v>
      </c>
      <c r="I140" s="12">
        <v>45849</v>
      </c>
      <c r="J140">
        <v>1</v>
      </c>
    </row>
    <row r="141" spans="1:10">
      <c r="A141" t="s">
        <v>1225</v>
      </c>
      <c r="B141">
        <v>76256300</v>
      </c>
      <c r="C141" t="s">
        <v>1226</v>
      </c>
      <c r="D141" t="s">
        <v>1227</v>
      </c>
      <c r="E141">
        <v>4508714</v>
      </c>
      <c r="F141" t="s">
        <v>742</v>
      </c>
      <c r="G141" t="s">
        <v>743</v>
      </c>
      <c r="H141" t="s">
        <v>1228</v>
      </c>
      <c r="I141" s="12">
        <v>45896</v>
      </c>
      <c r="J141">
        <v>1</v>
      </c>
    </row>
    <row r="142" spans="1:10">
      <c r="A142" t="s">
        <v>1229</v>
      </c>
      <c r="B142">
        <v>76256626</v>
      </c>
      <c r="C142" t="s">
        <v>1230</v>
      </c>
      <c r="D142" t="s">
        <v>1231</v>
      </c>
      <c r="E142">
        <v>4508714</v>
      </c>
      <c r="F142" t="s">
        <v>742</v>
      </c>
      <c r="G142" t="s">
        <v>743</v>
      </c>
      <c r="H142" t="s">
        <v>1232</v>
      </c>
      <c r="I142" s="12">
        <v>45904</v>
      </c>
      <c r="J142">
        <v>1</v>
      </c>
    </row>
    <row r="143" spans="1:10">
      <c r="A143" t="s">
        <v>1233</v>
      </c>
      <c r="B143">
        <v>76256631</v>
      </c>
      <c r="C143" t="s">
        <v>1234</v>
      </c>
      <c r="D143" t="s">
        <v>1235</v>
      </c>
      <c r="E143">
        <v>4508714</v>
      </c>
      <c r="F143" t="s">
        <v>742</v>
      </c>
      <c r="G143" t="s">
        <v>743</v>
      </c>
      <c r="H143" t="s">
        <v>1232</v>
      </c>
      <c r="I143" s="12">
        <v>45904</v>
      </c>
      <c r="J143">
        <v>1</v>
      </c>
    </row>
    <row r="144" spans="1:10">
      <c r="A144" t="s">
        <v>1236</v>
      </c>
      <c r="B144">
        <v>76256639</v>
      </c>
      <c r="C144" t="s">
        <v>1237</v>
      </c>
      <c r="D144" t="s">
        <v>1238</v>
      </c>
      <c r="E144">
        <v>4508714</v>
      </c>
      <c r="F144" t="s">
        <v>742</v>
      </c>
      <c r="G144" t="s">
        <v>743</v>
      </c>
      <c r="H144" t="s">
        <v>1232</v>
      </c>
      <c r="I144" s="12">
        <v>45904</v>
      </c>
      <c r="J144">
        <v>1</v>
      </c>
    </row>
    <row r="145" spans="1:10">
      <c r="A145" t="s">
        <v>1239</v>
      </c>
      <c r="B145">
        <v>76257313</v>
      </c>
      <c r="C145" t="s">
        <v>1240</v>
      </c>
      <c r="D145" t="s">
        <v>1241</v>
      </c>
      <c r="E145">
        <v>4508714</v>
      </c>
      <c r="F145" t="s">
        <v>742</v>
      </c>
      <c r="G145" t="s">
        <v>743</v>
      </c>
      <c r="H145" t="s">
        <v>1241</v>
      </c>
      <c r="I145" s="12">
        <v>45940</v>
      </c>
      <c r="J145">
        <v>1</v>
      </c>
    </row>
    <row r="146" spans="1:10">
      <c r="A146" t="s">
        <v>1242</v>
      </c>
      <c r="B146">
        <v>76258017</v>
      </c>
      <c r="C146" t="s">
        <v>1243</v>
      </c>
      <c r="D146" t="s">
        <v>1244</v>
      </c>
      <c r="E146">
        <v>4508714</v>
      </c>
      <c r="F146" t="s">
        <v>742</v>
      </c>
      <c r="G146" t="s">
        <v>743</v>
      </c>
      <c r="H146" t="s">
        <v>1245</v>
      </c>
      <c r="I146" s="12">
        <v>45978</v>
      </c>
      <c r="J146">
        <v>1</v>
      </c>
    </row>
    <row r="147" spans="1:10">
      <c r="A147" t="s">
        <v>1246</v>
      </c>
      <c r="B147">
        <v>76258384</v>
      </c>
      <c r="C147" t="s">
        <v>1247</v>
      </c>
      <c r="D147" t="s">
        <v>1248</v>
      </c>
      <c r="E147">
        <v>4508714</v>
      </c>
      <c r="F147" t="s">
        <v>742</v>
      </c>
      <c r="G147" t="s">
        <v>743</v>
      </c>
      <c r="H147" t="s">
        <v>1249</v>
      </c>
      <c r="I147" s="12">
        <v>46019</v>
      </c>
      <c r="J147">
        <v>1</v>
      </c>
    </row>
    <row r="148" spans="1:10">
      <c r="A148" t="s">
        <v>1250</v>
      </c>
      <c r="B148">
        <v>76259838</v>
      </c>
      <c r="C148" t="s">
        <v>1251</v>
      </c>
      <c r="D148" t="s">
        <v>1252</v>
      </c>
      <c r="E148">
        <v>4508714</v>
      </c>
      <c r="F148" t="s">
        <v>742</v>
      </c>
      <c r="G148" t="s">
        <v>743</v>
      </c>
      <c r="H148" t="s">
        <v>1253</v>
      </c>
      <c r="I148" s="12">
        <v>46101</v>
      </c>
      <c r="J148">
        <v>1</v>
      </c>
    </row>
    <row r="149" spans="1:10">
      <c r="A149" t="s">
        <v>1254</v>
      </c>
      <c r="B149">
        <v>76259847</v>
      </c>
      <c r="C149" t="s">
        <v>1255</v>
      </c>
      <c r="D149" t="s">
        <v>1256</v>
      </c>
      <c r="E149">
        <v>4508714</v>
      </c>
      <c r="F149" t="s">
        <v>742</v>
      </c>
      <c r="G149" t="s">
        <v>743</v>
      </c>
      <c r="H149" t="s">
        <v>1253</v>
      </c>
      <c r="I149" s="12">
        <v>46101</v>
      </c>
      <c r="J149">
        <v>1</v>
      </c>
    </row>
    <row r="150" spans="1:10">
      <c r="J150">
        <f>SUM(J2:J149)</f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72944-5D38-4603-8F52-266BA41FD402}">
  <sheetPr>
    <tabColor rgb="FFFFFF00"/>
  </sheetPr>
  <dimension ref="A1:J28"/>
  <sheetViews>
    <sheetView workbookViewId="0">
      <selection activeCell="A21" sqref="A21:A28"/>
    </sheetView>
  </sheetViews>
  <sheetFormatPr defaultRowHeight="15"/>
  <cols>
    <col min="1" max="1" width="31" bestFit="1" customWidth="1"/>
    <col min="2" max="2" width="28" bestFit="1" customWidth="1"/>
    <col min="3" max="3" width="15.7109375" bestFit="1" customWidth="1"/>
    <col min="4" max="4" width="32.7109375" bestFit="1" customWidth="1"/>
    <col min="5" max="5" width="25.85546875" bestFit="1" customWidth="1"/>
    <col min="8" max="8" width="9" bestFit="1" customWidth="1"/>
  </cols>
  <sheetData>
    <row r="1" spans="1:10">
      <c r="A1" t="s">
        <v>1257</v>
      </c>
      <c r="B1" t="s">
        <v>1258</v>
      </c>
      <c r="C1" t="s">
        <v>22</v>
      </c>
      <c r="D1" t="s">
        <v>1259</v>
      </c>
      <c r="E1" t="s">
        <v>1260</v>
      </c>
      <c r="H1" t="s">
        <v>1261</v>
      </c>
      <c r="I1" t="s">
        <v>22</v>
      </c>
      <c r="J1" t="s">
        <v>1257</v>
      </c>
    </row>
    <row r="2" spans="1:10">
      <c r="A2" t="s">
        <v>1262</v>
      </c>
      <c r="B2" t="s">
        <v>1263</v>
      </c>
      <c r="C2">
        <v>76202516</v>
      </c>
      <c r="D2" t="s">
        <v>1264</v>
      </c>
      <c r="H2" t="str">
        <f>TRIM(I2)</f>
        <v>25149301</v>
      </c>
      <c r="I2">
        <v>25149301</v>
      </c>
      <c r="J2" t="s">
        <v>1265</v>
      </c>
    </row>
    <row r="3" spans="1:10">
      <c r="A3" t="s">
        <v>1266</v>
      </c>
      <c r="B3" t="s">
        <v>1267</v>
      </c>
      <c r="C3">
        <v>71043922</v>
      </c>
      <c r="H3" t="str">
        <f t="shared" ref="H3:H24" si="0">TRIM(I3)</f>
        <v>25149306</v>
      </c>
      <c r="I3">
        <v>25149306</v>
      </c>
      <c r="J3" t="s">
        <v>1268</v>
      </c>
    </row>
    <row r="4" spans="1:10">
      <c r="A4" t="s">
        <v>415</v>
      </c>
      <c r="B4" t="s">
        <v>1267</v>
      </c>
      <c r="C4">
        <v>71042332</v>
      </c>
      <c r="H4" t="str">
        <f t="shared" si="0"/>
        <v>71042332</v>
      </c>
      <c r="I4">
        <v>71042332</v>
      </c>
      <c r="J4" t="s">
        <v>415</v>
      </c>
    </row>
    <row r="5" spans="1:10">
      <c r="A5" t="s">
        <v>921</v>
      </c>
      <c r="B5" t="s">
        <v>1267</v>
      </c>
      <c r="C5">
        <v>76204181</v>
      </c>
      <c r="H5" t="str">
        <f t="shared" si="0"/>
        <v>71043922</v>
      </c>
      <c r="I5">
        <v>71043922</v>
      </c>
      <c r="J5" t="s">
        <v>1266</v>
      </c>
    </row>
    <row r="6" spans="1:10">
      <c r="A6" t="s">
        <v>117</v>
      </c>
      <c r="B6" t="s">
        <v>1263</v>
      </c>
      <c r="C6">
        <v>76204182</v>
      </c>
      <c r="D6" t="s">
        <v>1264</v>
      </c>
      <c r="H6" t="str">
        <f t="shared" si="0"/>
        <v>76001666</v>
      </c>
      <c r="I6">
        <v>76001666</v>
      </c>
      <c r="J6" t="s">
        <v>65</v>
      </c>
    </row>
    <row r="7" spans="1:10">
      <c r="A7" t="s">
        <v>1268</v>
      </c>
      <c r="B7" t="s">
        <v>1269</v>
      </c>
      <c r="C7">
        <v>25149306</v>
      </c>
      <c r="E7" t="s">
        <v>1264</v>
      </c>
      <c r="H7" t="str">
        <f t="shared" si="0"/>
        <v>76028715</v>
      </c>
      <c r="I7">
        <v>76028715</v>
      </c>
      <c r="J7" t="s">
        <v>75</v>
      </c>
    </row>
    <row r="8" spans="1:10">
      <c r="A8" t="s">
        <v>1265</v>
      </c>
      <c r="B8" t="s">
        <v>1269</v>
      </c>
      <c r="C8">
        <v>25149301</v>
      </c>
      <c r="E8" t="s">
        <v>1264</v>
      </c>
      <c r="H8" t="str">
        <f t="shared" si="0"/>
        <v>76051500</v>
      </c>
      <c r="I8">
        <v>76051500</v>
      </c>
      <c r="J8" t="s">
        <v>81</v>
      </c>
    </row>
    <row r="9" spans="1:10">
      <c r="A9" t="s">
        <v>141</v>
      </c>
      <c r="B9" t="s">
        <v>1263</v>
      </c>
      <c r="C9">
        <v>76225712</v>
      </c>
      <c r="D9" t="s">
        <v>67</v>
      </c>
      <c r="H9" t="str">
        <f t="shared" si="0"/>
        <v>76074807</v>
      </c>
      <c r="I9">
        <v>76074807</v>
      </c>
      <c r="J9" t="s">
        <v>1270</v>
      </c>
    </row>
    <row r="10" spans="1:10">
      <c r="A10" t="s">
        <v>75</v>
      </c>
      <c r="B10" t="s">
        <v>1263</v>
      </c>
      <c r="C10">
        <v>76028715</v>
      </c>
      <c r="D10" t="s">
        <v>67</v>
      </c>
      <c r="H10" t="str">
        <f t="shared" si="0"/>
        <v>76097658</v>
      </c>
      <c r="I10">
        <v>76097658</v>
      </c>
      <c r="J10" t="s">
        <v>87</v>
      </c>
    </row>
    <row r="11" spans="1:10">
      <c r="A11" t="s">
        <v>65</v>
      </c>
      <c r="B11" t="s">
        <v>1263</v>
      </c>
      <c r="C11">
        <v>76001666</v>
      </c>
      <c r="D11" t="s">
        <v>67</v>
      </c>
      <c r="H11" t="str">
        <f t="shared" si="0"/>
        <v>76202516</v>
      </c>
      <c r="I11">
        <v>76202516</v>
      </c>
      <c r="J11" t="s">
        <v>1262</v>
      </c>
    </row>
    <row r="12" spans="1:10">
      <c r="A12" t="s">
        <v>132</v>
      </c>
      <c r="B12" t="s">
        <v>1263</v>
      </c>
      <c r="C12">
        <v>76217358</v>
      </c>
      <c r="D12" t="s">
        <v>67</v>
      </c>
      <c r="H12" t="str">
        <f t="shared" si="0"/>
        <v>76204181</v>
      </c>
      <c r="I12">
        <v>76204181</v>
      </c>
      <c r="J12" t="s">
        <v>921</v>
      </c>
    </row>
    <row r="13" spans="1:10">
      <c r="A13" t="s">
        <v>87</v>
      </c>
      <c r="B13" t="s">
        <v>1263</v>
      </c>
      <c r="C13">
        <v>76097658</v>
      </c>
      <c r="D13" t="s">
        <v>67</v>
      </c>
      <c r="H13" t="str">
        <f t="shared" si="0"/>
        <v>76204182</v>
      </c>
      <c r="I13">
        <v>76204182</v>
      </c>
      <c r="J13" t="s">
        <v>117</v>
      </c>
    </row>
    <row r="14" spans="1:10">
      <c r="A14" t="s">
        <v>1270</v>
      </c>
      <c r="B14" t="s">
        <v>1271</v>
      </c>
      <c r="C14">
        <v>76074807</v>
      </c>
      <c r="H14" t="str">
        <f t="shared" si="0"/>
        <v>76209246</v>
      </c>
      <c r="I14">
        <v>76209246</v>
      </c>
      <c r="J14" t="s">
        <v>1272</v>
      </c>
    </row>
    <row r="15" spans="1:10">
      <c r="A15" t="s">
        <v>81</v>
      </c>
      <c r="B15" t="s">
        <v>1263</v>
      </c>
      <c r="C15">
        <v>76051500</v>
      </c>
      <c r="D15" t="s">
        <v>67</v>
      </c>
      <c r="H15" t="str">
        <f t="shared" si="0"/>
        <v>76217358</v>
      </c>
      <c r="I15">
        <v>76217358</v>
      </c>
      <c r="J15" t="s">
        <v>132</v>
      </c>
    </row>
    <row r="16" spans="1:10">
      <c r="A16" s="26" t="s">
        <v>1272</v>
      </c>
      <c r="B16" t="s">
        <v>1269</v>
      </c>
      <c r="C16">
        <v>76209246</v>
      </c>
      <c r="D16" t="s">
        <v>0</v>
      </c>
      <c r="E16" t="s">
        <v>67</v>
      </c>
      <c r="H16" t="str">
        <f t="shared" si="0"/>
        <v>76225712</v>
      </c>
      <c r="I16">
        <v>76225712</v>
      </c>
      <c r="J16" t="s">
        <v>141</v>
      </c>
    </row>
    <row r="17" spans="1:10">
      <c r="H17" t="str">
        <f t="shared" si="0"/>
        <v>76227679</v>
      </c>
      <c r="I17" t="s">
        <v>149</v>
      </c>
      <c r="J17" t="s">
        <v>150</v>
      </c>
    </row>
    <row r="18" spans="1:10">
      <c r="H18" t="str">
        <f t="shared" si="0"/>
        <v>76228316</v>
      </c>
      <c r="I18" t="s">
        <v>161</v>
      </c>
      <c r="J18" t="s">
        <v>162</v>
      </c>
    </row>
    <row r="19" spans="1:10">
      <c r="H19" t="str">
        <f t="shared" si="0"/>
        <v>76229253</v>
      </c>
      <c r="I19" t="s">
        <v>170</v>
      </c>
      <c r="J19" t="s">
        <v>171</v>
      </c>
    </row>
    <row r="20" spans="1:10">
      <c r="A20" t="s">
        <v>1273</v>
      </c>
      <c r="H20" t="str">
        <f t="shared" si="0"/>
        <v>76238760</v>
      </c>
      <c r="I20" t="s">
        <v>233</v>
      </c>
      <c r="J20" t="s">
        <v>234</v>
      </c>
    </row>
    <row r="21" spans="1:10">
      <c r="A21" t="s">
        <v>149</v>
      </c>
      <c r="B21" t="s">
        <v>150</v>
      </c>
      <c r="H21" t="str">
        <f t="shared" si="0"/>
        <v>76241447</v>
      </c>
      <c r="I21" t="s">
        <v>251</v>
      </c>
      <c r="J21" t="s">
        <v>252</v>
      </c>
    </row>
    <row r="22" spans="1:10">
      <c r="A22" t="s">
        <v>161</v>
      </c>
      <c r="B22" t="s">
        <v>162</v>
      </c>
      <c r="H22" t="str">
        <f t="shared" si="0"/>
        <v>76241522</v>
      </c>
      <c r="I22" t="s">
        <v>254</v>
      </c>
      <c r="J22" t="s">
        <v>255</v>
      </c>
    </row>
    <row r="23" spans="1:10">
      <c r="A23" t="s">
        <v>170</v>
      </c>
      <c r="B23" t="s">
        <v>171</v>
      </c>
      <c r="H23" t="str">
        <f t="shared" si="0"/>
        <v>76245003</v>
      </c>
      <c r="I23" t="s">
        <v>266</v>
      </c>
      <c r="J23" t="s">
        <v>267</v>
      </c>
    </row>
    <row r="24" spans="1:10">
      <c r="A24" t="s">
        <v>233</v>
      </c>
      <c r="B24" t="s">
        <v>234</v>
      </c>
      <c r="H24" t="str">
        <f t="shared" si="0"/>
        <v>76250378</v>
      </c>
      <c r="I24" t="s">
        <v>278</v>
      </c>
      <c r="J24" t="s">
        <v>279</v>
      </c>
    </row>
    <row r="25" spans="1:10">
      <c r="A25" t="s">
        <v>251</v>
      </c>
      <c r="B25" t="s">
        <v>252</v>
      </c>
    </row>
    <row r="26" spans="1:10">
      <c r="A26" t="s">
        <v>254</v>
      </c>
      <c r="B26" t="s">
        <v>255</v>
      </c>
    </row>
    <row r="27" spans="1:10">
      <c r="A27" t="s">
        <v>266</v>
      </c>
      <c r="B27" t="s">
        <v>267</v>
      </c>
    </row>
    <row r="28" spans="1:10">
      <c r="A28" t="s">
        <v>278</v>
      </c>
      <c r="B28" t="s">
        <v>279</v>
      </c>
    </row>
  </sheetData>
  <sortState xmlns:xlrd2="http://schemas.microsoft.com/office/spreadsheetml/2017/richdata2" ref="I2:J28">
    <sortCondition ref="I2:I28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50193-5FDC-4992-959C-4A671504EB10}">
  <sheetPr filterMode="1">
    <tabColor rgb="FFFFFF00"/>
  </sheetPr>
  <dimension ref="A1:K34"/>
  <sheetViews>
    <sheetView zoomScale="90" zoomScaleNormal="90" workbookViewId="0">
      <selection activeCell="J4" sqref="J4"/>
    </sheetView>
  </sheetViews>
  <sheetFormatPr defaultRowHeight="15"/>
  <cols>
    <col min="1" max="1" width="21.7109375" customWidth="1"/>
    <col min="2" max="2" width="44.42578125" bestFit="1" customWidth="1"/>
    <col min="3" max="3" width="10.5703125" bestFit="1" customWidth="1"/>
    <col min="4" max="4" width="15.7109375" bestFit="1" customWidth="1"/>
    <col min="5" max="5" width="17.140625" bestFit="1" customWidth="1"/>
    <col min="6" max="6" width="10.7109375" bestFit="1" customWidth="1"/>
    <col min="7" max="7" width="20.28515625" style="12" bestFit="1" customWidth="1"/>
    <col min="8" max="8" width="27" customWidth="1"/>
    <col min="9" max="9" width="16.85546875" customWidth="1"/>
    <col min="10" max="10" width="28.28515625" bestFit="1" customWidth="1"/>
    <col min="11" max="11" width="24.140625" bestFit="1" customWidth="1"/>
  </cols>
  <sheetData>
    <row r="1" spans="1:11" s="1" customFormat="1">
      <c r="A1" s="1" t="s">
        <v>22</v>
      </c>
      <c r="B1" s="1" t="s">
        <v>23</v>
      </c>
      <c r="C1" s="1" t="s">
        <v>1274</v>
      </c>
      <c r="D1" s="1" t="s">
        <v>24</v>
      </c>
      <c r="E1" s="1" t="s">
        <v>1275</v>
      </c>
      <c r="F1" s="1" t="s">
        <v>1276</v>
      </c>
      <c r="G1" s="27" t="s">
        <v>1277</v>
      </c>
      <c r="H1" s="1" t="s">
        <v>1278</v>
      </c>
      <c r="I1" s="1" t="s">
        <v>1279</v>
      </c>
      <c r="J1" s="1" t="s">
        <v>1280</v>
      </c>
      <c r="K1" s="1" t="s">
        <v>1258</v>
      </c>
    </row>
    <row r="2" spans="1:11" hidden="1">
      <c r="A2" t="str">
        <f>TRIM(C2)</f>
        <v>08310080</v>
      </c>
      <c r="B2" t="s">
        <v>1281</v>
      </c>
      <c r="C2" s="39" t="s">
        <v>1282</v>
      </c>
      <c r="D2" t="s">
        <v>1283</v>
      </c>
      <c r="E2" t="s">
        <v>1284</v>
      </c>
      <c r="F2">
        <v>6240</v>
      </c>
      <c r="G2" s="12">
        <v>46121.6565162037</v>
      </c>
      <c r="H2" t="e">
        <f>VLOOKUP(C2,'CDK asked to retain list'!$C$2:$C$16,1,0)</f>
        <v>#N/A</v>
      </c>
      <c r="J2" t="s">
        <v>306</v>
      </c>
    </row>
    <row r="3" spans="1:11" hidden="1">
      <c r="A3" t="str">
        <f t="shared" ref="A3:A34" si="0">TRIM(C3)</f>
        <v>13345702</v>
      </c>
      <c r="B3" t="s">
        <v>1285</v>
      </c>
      <c r="C3">
        <v>13345702</v>
      </c>
      <c r="D3" t="s">
        <v>1286</v>
      </c>
      <c r="E3" t="s">
        <v>1287</v>
      </c>
      <c r="F3">
        <v>3102</v>
      </c>
      <c r="G3" s="12">
        <v>46121.664305555554</v>
      </c>
      <c r="H3" t="e">
        <f>VLOOKUP(C3,'CDK asked to retain list'!$C$2:$C$16,1,0)</f>
        <v>#N/A</v>
      </c>
      <c r="J3" t="s">
        <v>306</v>
      </c>
    </row>
    <row r="4" spans="1:11">
      <c r="A4" t="str">
        <f t="shared" si="0"/>
        <v>25149301</v>
      </c>
      <c r="B4" t="s">
        <v>1265</v>
      </c>
      <c r="C4">
        <v>25149301</v>
      </c>
      <c r="D4" t="s">
        <v>1288</v>
      </c>
      <c r="E4" t="s">
        <v>1289</v>
      </c>
      <c r="F4">
        <v>6567</v>
      </c>
      <c r="G4" s="12">
        <v>46121.6641087963</v>
      </c>
      <c r="H4" t="s">
        <v>67</v>
      </c>
      <c r="J4">
        <f>VLOOKUP(C4,'TV May Monthly Billing Sites'!$D:$F,1,0)</f>
        <v>25149301</v>
      </c>
    </row>
    <row r="5" spans="1:11" hidden="1">
      <c r="A5" s="14" t="str">
        <f t="shared" si="0"/>
        <v>25149302</v>
      </c>
      <c r="B5" s="14" t="s">
        <v>415</v>
      </c>
      <c r="C5" s="14">
        <v>25149302</v>
      </c>
      <c r="D5" s="14" t="s">
        <v>416</v>
      </c>
      <c r="E5" s="14" t="s">
        <v>1290</v>
      </c>
      <c r="F5" s="14">
        <v>6623</v>
      </c>
      <c r="G5" s="36">
        <v>46121.653356481482</v>
      </c>
      <c r="H5" s="14" t="e">
        <f>VLOOKUP(C5,'CDK asked to retain list'!$C$2:$C$16,1,0)</f>
        <v>#N/A</v>
      </c>
      <c r="I5" s="14"/>
      <c r="J5" s="14">
        <f>VLOOKUP(C5,'TV May Monthly Billing Sites'!$D:$F,1,0)</f>
        <v>25149302</v>
      </c>
      <c r="K5" s="14" t="s">
        <v>1291</v>
      </c>
    </row>
    <row r="6" spans="1:11" hidden="1">
      <c r="A6" t="str">
        <f t="shared" si="0"/>
        <v>25149303</v>
      </c>
      <c r="B6" t="s">
        <v>1292</v>
      </c>
      <c r="C6">
        <v>25149303</v>
      </c>
      <c r="D6" t="s">
        <v>1293</v>
      </c>
      <c r="E6" t="s">
        <v>1294</v>
      </c>
      <c r="F6">
        <v>6565</v>
      </c>
      <c r="G6" s="12">
        <v>46121.624340277776</v>
      </c>
      <c r="H6" t="e">
        <f>VLOOKUP(C6,'CDK asked to retain list'!$C$2:$C$16,1,0)</f>
        <v>#N/A</v>
      </c>
      <c r="J6" t="s">
        <v>306</v>
      </c>
    </row>
    <row r="7" spans="1:11">
      <c r="A7" t="str">
        <f t="shared" si="0"/>
        <v>25149306</v>
      </c>
      <c r="B7" t="s">
        <v>1268</v>
      </c>
      <c r="C7">
        <v>25149306</v>
      </c>
      <c r="D7" t="s">
        <v>1295</v>
      </c>
      <c r="E7" t="s">
        <v>1296</v>
      </c>
      <c r="F7">
        <v>6712</v>
      </c>
      <c r="G7" s="12">
        <v>46113.745891203704</v>
      </c>
      <c r="H7" t="s">
        <v>67</v>
      </c>
      <c r="J7">
        <f>VLOOKUP(C7,'TV May Monthly Billing Sites'!$D:$F,1,0)</f>
        <v>25149306</v>
      </c>
      <c r="K7" t="s">
        <v>0</v>
      </c>
    </row>
    <row r="8" spans="1:11">
      <c r="A8" t="str">
        <f t="shared" si="0"/>
        <v>71043922</v>
      </c>
      <c r="B8" t="s">
        <v>1266</v>
      </c>
      <c r="C8">
        <v>71043922</v>
      </c>
      <c r="D8" t="s">
        <v>1297</v>
      </c>
      <c r="E8" t="s">
        <v>1298</v>
      </c>
      <c r="F8">
        <v>5152</v>
      </c>
      <c r="G8" s="12">
        <v>46121.661840277775</v>
      </c>
      <c r="H8" t="s">
        <v>67</v>
      </c>
      <c r="J8">
        <f>VLOOKUP(C8,'TV May Monthly Billing Sites'!$D:$F,1,0)</f>
        <v>71043922</v>
      </c>
    </row>
    <row r="9" spans="1:11" hidden="1">
      <c r="A9" t="str">
        <f t="shared" si="0"/>
        <v>71046175</v>
      </c>
      <c r="B9" t="s">
        <v>1299</v>
      </c>
      <c r="C9">
        <v>71046175</v>
      </c>
      <c r="D9" t="s">
        <v>1300</v>
      </c>
      <c r="E9" t="s">
        <v>1301</v>
      </c>
      <c r="F9">
        <v>5679</v>
      </c>
      <c r="G9" s="12">
        <v>46121.551053240742</v>
      </c>
      <c r="H9" t="e">
        <f>VLOOKUP(C9,'CDK asked to retain list'!$C$2:$C$16,1,0)</f>
        <v>#N/A</v>
      </c>
      <c r="J9" t="s">
        <v>306</v>
      </c>
    </row>
    <row r="10" spans="1:11" hidden="1">
      <c r="A10" t="str">
        <f t="shared" si="0"/>
        <v>71048561</v>
      </c>
      <c r="B10" t="s">
        <v>1302</v>
      </c>
      <c r="C10">
        <v>71048561</v>
      </c>
      <c r="D10" t="s">
        <v>1303</v>
      </c>
      <c r="E10" t="s">
        <v>1304</v>
      </c>
      <c r="F10">
        <v>6258</v>
      </c>
      <c r="G10" s="12">
        <v>46121.654270833336</v>
      </c>
      <c r="H10" t="e">
        <f>VLOOKUP(C10,'CDK asked to retain list'!$C$2:$C$16,1,0)</f>
        <v>#N/A</v>
      </c>
      <c r="J10" t="s">
        <v>306</v>
      </c>
    </row>
    <row r="11" spans="1:11">
      <c r="A11" t="str">
        <f t="shared" si="0"/>
        <v>76001666</v>
      </c>
      <c r="B11" t="s">
        <v>65</v>
      </c>
      <c r="C11">
        <v>76001666</v>
      </c>
      <c r="D11" t="s">
        <v>66</v>
      </c>
      <c r="E11" t="s">
        <v>1305</v>
      </c>
      <c r="F11">
        <v>2297</v>
      </c>
      <c r="G11" s="12">
        <v>46120.754212962966</v>
      </c>
      <c r="H11" t="s">
        <v>67</v>
      </c>
      <c r="I11">
        <v>76254215</v>
      </c>
      <c r="J11">
        <f>VLOOKUP(C11,'TV May Monthly Billing Sites'!$D:$F,1,0)</f>
        <v>76001666</v>
      </c>
    </row>
    <row r="12" spans="1:11">
      <c r="A12" t="str">
        <f t="shared" si="0"/>
        <v>76028715</v>
      </c>
      <c r="B12" t="s">
        <v>75</v>
      </c>
      <c r="C12">
        <v>76028715</v>
      </c>
      <c r="D12" t="s">
        <v>76</v>
      </c>
      <c r="E12" t="s">
        <v>1306</v>
      </c>
      <c r="F12">
        <v>2728</v>
      </c>
      <c r="G12" s="12">
        <v>46121.652233796296</v>
      </c>
      <c r="H12" t="s">
        <v>67</v>
      </c>
      <c r="I12">
        <v>76244599</v>
      </c>
      <c r="J12">
        <f>VLOOKUP(C12,'TV May Monthly Billing Sites'!$D:$F,1,0)</f>
        <v>76028715</v>
      </c>
    </row>
    <row r="13" spans="1:11">
      <c r="A13" t="str">
        <f t="shared" si="0"/>
        <v>76051500</v>
      </c>
      <c r="B13" t="s">
        <v>81</v>
      </c>
      <c r="C13">
        <v>76051500</v>
      </c>
      <c r="D13" t="s">
        <v>82</v>
      </c>
      <c r="E13" t="s">
        <v>1307</v>
      </c>
      <c r="F13">
        <v>5632</v>
      </c>
      <c r="G13" s="12">
        <v>46121.656307870369</v>
      </c>
      <c r="H13" t="s">
        <v>67</v>
      </c>
      <c r="I13">
        <v>76258384</v>
      </c>
      <c r="J13">
        <f>VLOOKUP(C13,'TV May Monthly Billing Sites'!$D:$F,1,0)</f>
        <v>76051500</v>
      </c>
    </row>
    <row r="14" spans="1:11" hidden="1">
      <c r="A14" t="str">
        <f t="shared" si="0"/>
        <v>76064391</v>
      </c>
      <c r="B14" t="s">
        <v>1308</v>
      </c>
      <c r="C14">
        <v>76064391</v>
      </c>
      <c r="D14" t="s">
        <v>1309</v>
      </c>
      <c r="E14" t="s">
        <v>1310</v>
      </c>
      <c r="F14">
        <v>3380</v>
      </c>
      <c r="G14" s="12">
        <v>46121.634085648147</v>
      </c>
      <c r="H14" t="e">
        <f>VLOOKUP(C14,'CDK asked to retain list'!$C$2:$C$16,1,0)</f>
        <v>#N/A</v>
      </c>
      <c r="J14" t="s">
        <v>306</v>
      </c>
    </row>
    <row r="15" spans="1:11">
      <c r="A15" t="str">
        <f t="shared" si="0"/>
        <v>76074807</v>
      </c>
      <c r="B15" t="s">
        <v>1270</v>
      </c>
      <c r="C15">
        <v>76074807</v>
      </c>
      <c r="D15" t="s">
        <v>1311</v>
      </c>
      <c r="E15" t="s">
        <v>1312</v>
      </c>
      <c r="F15">
        <v>2155</v>
      </c>
      <c r="G15" s="12">
        <v>46121.591226851851</v>
      </c>
      <c r="H15" t="s">
        <v>67</v>
      </c>
      <c r="I15">
        <v>76252069</v>
      </c>
      <c r="J15" t="s">
        <v>306</v>
      </c>
    </row>
    <row r="16" spans="1:11">
      <c r="A16" t="str">
        <f t="shared" si="0"/>
        <v>76074807</v>
      </c>
      <c r="B16" t="s">
        <v>1270</v>
      </c>
      <c r="C16">
        <v>76074807</v>
      </c>
      <c r="D16" t="s">
        <v>1313</v>
      </c>
      <c r="E16" t="s">
        <v>1312</v>
      </c>
      <c r="F16">
        <v>2155</v>
      </c>
      <c r="G16" s="12">
        <v>46121.591226851851</v>
      </c>
      <c r="H16" t="s">
        <v>67</v>
      </c>
      <c r="J16" t="s">
        <v>306</v>
      </c>
    </row>
    <row r="17" spans="1:11" hidden="1">
      <c r="A17" t="str">
        <f t="shared" si="0"/>
        <v>76082339</v>
      </c>
      <c r="B17" t="s">
        <v>1314</v>
      </c>
      <c r="C17">
        <v>76082339</v>
      </c>
      <c r="D17" t="s">
        <v>1315</v>
      </c>
      <c r="E17" t="s">
        <v>1316</v>
      </c>
      <c r="F17">
        <v>3096</v>
      </c>
      <c r="G17" s="12">
        <v>46121.638715277775</v>
      </c>
      <c r="H17" t="e">
        <f>VLOOKUP(C17,'CDK asked to retain list'!$C$2:$C$16,1,0)</f>
        <v>#N/A</v>
      </c>
      <c r="J17" t="s">
        <v>306</v>
      </c>
    </row>
    <row r="18" spans="1:11">
      <c r="A18" t="str">
        <f t="shared" si="0"/>
        <v>76097658</v>
      </c>
      <c r="B18" t="s">
        <v>87</v>
      </c>
      <c r="C18">
        <v>76097658</v>
      </c>
      <c r="D18" t="s">
        <v>88</v>
      </c>
      <c r="E18" t="s">
        <v>1317</v>
      </c>
      <c r="F18">
        <v>7901</v>
      </c>
      <c r="G18" s="12">
        <v>46120.765208333331</v>
      </c>
      <c r="H18" t="s">
        <v>67</v>
      </c>
      <c r="I18">
        <v>76257430</v>
      </c>
      <c r="J18">
        <f>VLOOKUP(C18,'TV May Monthly Billing Sites'!$D:$F,1,0)</f>
        <v>76097658</v>
      </c>
    </row>
    <row r="19" spans="1:11" hidden="1">
      <c r="A19" t="str">
        <f t="shared" si="0"/>
        <v>76141529</v>
      </c>
      <c r="B19" t="s">
        <v>1318</v>
      </c>
      <c r="C19">
        <v>76141529</v>
      </c>
      <c r="D19" t="s">
        <v>1319</v>
      </c>
      <c r="E19" t="s">
        <v>1320</v>
      </c>
      <c r="F19">
        <v>3779</v>
      </c>
      <c r="G19" s="12">
        <v>46121.662083333336</v>
      </c>
      <c r="H19" t="e">
        <f>VLOOKUP(C19,'CDK asked to retain list'!$C$2:$C$16,1,0)</f>
        <v>#N/A</v>
      </c>
      <c r="J19" t="s">
        <v>306</v>
      </c>
    </row>
    <row r="20" spans="1:11" hidden="1">
      <c r="A20" t="str">
        <f t="shared" si="0"/>
        <v>76141532</v>
      </c>
      <c r="B20" t="s">
        <v>1321</v>
      </c>
      <c r="C20">
        <v>76141532</v>
      </c>
      <c r="D20" t="s">
        <v>1322</v>
      </c>
      <c r="E20" t="s">
        <v>1323</v>
      </c>
      <c r="F20">
        <v>3655</v>
      </c>
      <c r="G20" s="12">
        <v>46121.618541666663</v>
      </c>
      <c r="H20" t="e">
        <f>VLOOKUP(C20,'CDK asked to retain list'!$C$2:$C$16,1,0)</f>
        <v>#N/A</v>
      </c>
      <c r="J20" t="s">
        <v>306</v>
      </c>
    </row>
    <row r="21" spans="1:11" hidden="1">
      <c r="A21" t="str">
        <f t="shared" si="0"/>
        <v>76153399</v>
      </c>
      <c r="B21" t="s">
        <v>1324</v>
      </c>
      <c r="C21">
        <v>76153399</v>
      </c>
      <c r="D21" t="s">
        <v>1325</v>
      </c>
      <c r="E21" t="s">
        <v>1326</v>
      </c>
      <c r="F21">
        <v>6259</v>
      </c>
      <c r="G21" s="12">
        <v>46121.644409722219</v>
      </c>
      <c r="H21" t="e">
        <f>VLOOKUP(C21,'CDK asked to retain list'!$C$2:$C$16,1,0)</f>
        <v>#N/A</v>
      </c>
      <c r="J21" t="s">
        <v>306</v>
      </c>
    </row>
    <row r="22" spans="1:11" hidden="1">
      <c r="A22" s="14" t="str">
        <f t="shared" si="0"/>
        <v>76157327</v>
      </c>
      <c r="B22" s="14" t="s">
        <v>93</v>
      </c>
      <c r="C22" s="14">
        <v>76157327</v>
      </c>
      <c r="D22" s="14" t="s">
        <v>94</v>
      </c>
      <c r="E22" s="14" t="s">
        <v>1327</v>
      </c>
      <c r="F22" s="14">
        <v>2804</v>
      </c>
      <c r="G22" s="36">
        <v>46120.80369212963</v>
      </c>
      <c r="H22" s="14" t="e">
        <f>VLOOKUP(C22,'CDK asked to retain list'!$C$2:$C$16,1,0)</f>
        <v>#N/A</v>
      </c>
      <c r="I22" s="14"/>
      <c r="J22" s="14">
        <f>VLOOKUP(C22,'TV May Monthly Billing Sites'!$D:$F,1,0)</f>
        <v>76157327</v>
      </c>
      <c r="K22" s="14" t="s">
        <v>1328</v>
      </c>
    </row>
    <row r="23" spans="1:11" hidden="1">
      <c r="A23" s="14" t="str">
        <f t="shared" si="0"/>
        <v>76166159</v>
      </c>
      <c r="B23" s="14" t="s">
        <v>1329</v>
      </c>
      <c r="C23" s="14">
        <v>76166159</v>
      </c>
      <c r="D23" s="14" t="s">
        <v>1330</v>
      </c>
      <c r="E23" s="14" t="s">
        <v>1331</v>
      </c>
      <c r="F23" s="14">
        <v>5917</v>
      </c>
      <c r="G23" s="36">
        <v>46115.706469907411</v>
      </c>
      <c r="H23" s="14" t="e">
        <f>VLOOKUP(C23,'CDK asked to retain list'!$C$2:$C$16,1,0)</f>
        <v>#N/A</v>
      </c>
      <c r="I23" s="14"/>
      <c r="J23" s="14" t="s">
        <v>306</v>
      </c>
      <c r="K23" s="14" t="s">
        <v>1332</v>
      </c>
    </row>
    <row r="24" spans="1:11" hidden="1">
      <c r="A24" t="str">
        <f t="shared" si="0"/>
        <v>76174859</v>
      </c>
      <c r="B24" t="s">
        <v>1333</v>
      </c>
      <c r="C24">
        <v>76174859</v>
      </c>
      <c r="D24" t="s">
        <v>1334</v>
      </c>
      <c r="E24" t="s">
        <v>1335</v>
      </c>
      <c r="F24">
        <v>6100</v>
      </c>
      <c r="G24" s="12">
        <v>46121.648194444446</v>
      </c>
      <c r="H24" t="e">
        <f>VLOOKUP(C24,'CDK asked to retain list'!$C$2:$C$16,1,0)</f>
        <v>#N/A</v>
      </c>
      <c r="J24" t="s">
        <v>306</v>
      </c>
    </row>
    <row r="25" spans="1:11" hidden="1">
      <c r="A25" t="str">
        <f t="shared" si="0"/>
        <v>76180664</v>
      </c>
      <c r="B25" t="s">
        <v>1336</v>
      </c>
      <c r="C25">
        <v>76180664</v>
      </c>
      <c r="D25" t="s">
        <v>1337</v>
      </c>
      <c r="E25" t="s">
        <v>1338</v>
      </c>
      <c r="F25">
        <v>6257</v>
      </c>
      <c r="G25" s="12">
        <v>46121.60297453704</v>
      </c>
      <c r="H25" t="e">
        <f>VLOOKUP(C25,'CDK asked to retain list'!$C$2:$C$16,1,0)</f>
        <v>#N/A</v>
      </c>
      <c r="I25">
        <v>76256639</v>
      </c>
      <c r="J25" t="s">
        <v>306</v>
      </c>
      <c r="K25" t="s">
        <v>1339</v>
      </c>
    </row>
    <row r="26" spans="1:11">
      <c r="A26" t="str">
        <f t="shared" si="0"/>
        <v>76202516</v>
      </c>
      <c r="B26" t="s">
        <v>114</v>
      </c>
      <c r="C26">
        <v>76202516</v>
      </c>
      <c r="D26" t="s">
        <v>115</v>
      </c>
      <c r="E26" t="s">
        <v>1340</v>
      </c>
      <c r="F26">
        <v>3929</v>
      </c>
      <c r="G26" s="12">
        <v>46121.639340277776</v>
      </c>
      <c r="H26" t="s">
        <v>67</v>
      </c>
      <c r="J26">
        <f>VLOOKUP(C26,'TV May Monthly Billing Sites'!$D:$F,1,0)</f>
        <v>76202516</v>
      </c>
    </row>
    <row r="27" spans="1:11">
      <c r="A27" t="str">
        <f t="shared" si="0"/>
        <v>76204181</v>
      </c>
      <c r="B27" t="s">
        <v>921</v>
      </c>
      <c r="C27">
        <v>76204181</v>
      </c>
      <c r="D27" t="s">
        <v>1341</v>
      </c>
      <c r="E27" t="s">
        <v>1342</v>
      </c>
      <c r="F27">
        <v>3075</v>
      </c>
      <c r="G27" s="12">
        <v>46121.618611111109</v>
      </c>
      <c r="H27" t="s">
        <v>67</v>
      </c>
      <c r="J27">
        <f>VLOOKUP(C27,'TV May Monthly Billing Sites'!$D:$F,1,0)</f>
        <v>76204181</v>
      </c>
    </row>
    <row r="28" spans="1:11">
      <c r="A28" t="str">
        <f t="shared" si="0"/>
        <v>76204182</v>
      </c>
      <c r="B28" t="s">
        <v>117</v>
      </c>
      <c r="C28">
        <v>76204182</v>
      </c>
      <c r="D28" t="s">
        <v>118</v>
      </c>
      <c r="E28" t="s">
        <v>1343</v>
      </c>
      <c r="F28">
        <v>3074</v>
      </c>
      <c r="G28" s="12">
        <v>46121.664120370369</v>
      </c>
      <c r="H28" t="s">
        <v>67</v>
      </c>
      <c r="J28">
        <f>VLOOKUP(C28,'TV May Monthly Billing Sites'!$D:$F,1,0)</f>
        <v>76204182</v>
      </c>
    </row>
    <row r="29" spans="1:11" hidden="1">
      <c r="A29" t="str">
        <f t="shared" si="0"/>
        <v>76204947</v>
      </c>
      <c r="B29" t="s">
        <v>1344</v>
      </c>
      <c r="C29">
        <v>76204947</v>
      </c>
      <c r="D29" t="s">
        <v>1345</v>
      </c>
      <c r="E29" t="s">
        <v>1346</v>
      </c>
      <c r="F29">
        <v>4803</v>
      </c>
      <c r="G29" s="12">
        <v>46121.511493055557</v>
      </c>
      <c r="H29" t="e">
        <f>VLOOKUP(C29,'CDK asked to retain list'!$C$2:$C$16,1,0)</f>
        <v>#N/A</v>
      </c>
      <c r="J29" t="s">
        <v>306</v>
      </c>
    </row>
    <row r="30" spans="1:11" hidden="1">
      <c r="A30" t="str">
        <f t="shared" si="0"/>
        <v>76207079</v>
      </c>
      <c r="B30" t="s">
        <v>1347</v>
      </c>
      <c r="C30">
        <v>76207079</v>
      </c>
      <c r="D30" t="s">
        <v>1348</v>
      </c>
      <c r="E30" t="s">
        <v>1349</v>
      </c>
      <c r="F30">
        <v>4544</v>
      </c>
      <c r="G30" s="12">
        <v>46121.627824074072</v>
      </c>
      <c r="H30" t="e">
        <f>VLOOKUP(C30,'CDK asked to retain list'!$C$2:$C$16,1,0)</f>
        <v>#N/A</v>
      </c>
      <c r="J30" t="s">
        <v>306</v>
      </c>
    </row>
    <row r="31" spans="1:11">
      <c r="A31" t="str">
        <f t="shared" si="0"/>
        <v>76209246</v>
      </c>
      <c r="B31" t="s">
        <v>1272</v>
      </c>
      <c r="C31">
        <v>76209246</v>
      </c>
      <c r="D31" t="s">
        <v>1350</v>
      </c>
      <c r="E31" t="s">
        <v>1351</v>
      </c>
      <c r="F31">
        <v>6937</v>
      </c>
      <c r="G31" s="12">
        <v>46121.654247685183</v>
      </c>
      <c r="H31" t="s">
        <v>67</v>
      </c>
      <c r="J31" t="s">
        <v>1352</v>
      </c>
    </row>
    <row r="32" spans="1:11">
      <c r="A32" t="str">
        <f t="shared" si="0"/>
        <v>76217358</v>
      </c>
      <c r="B32" t="s">
        <v>132</v>
      </c>
      <c r="C32">
        <v>76217358</v>
      </c>
      <c r="D32" t="s">
        <v>133</v>
      </c>
      <c r="E32" t="s">
        <v>1353</v>
      </c>
      <c r="F32">
        <v>2784</v>
      </c>
      <c r="G32" s="12">
        <v>46121.647337962961</v>
      </c>
      <c r="H32" t="s">
        <v>67</v>
      </c>
      <c r="I32">
        <v>76244695</v>
      </c>
      <c r="J32">
        <f>VLOOKUP(C32,'TV May Monthly Billing Sites'!$D:$F,1,0)</f>
        <v>76217358</v>
      </c>
    </row>
    <row r="33" spans="1:10" hidden="1">
      <c r="A33" t="str">
        <f t="shared" si="0"/>
        <v>76219463</v>
      </c>
      <c r="B33" t="s">
        <v>1354</v>
      </c>
      <c r="C33">
        <v>76219463</v>
      </c>
      <c r="D33" t="s">
        <v>1355</v>
      </c>
      <c r="E33" t="s">
        <v>1356</v>
      </c>
      <c r="F33">
        <v>2375</v>
      </c>
      <c r="G33" s="12">
        <v>46121.663703703707</v>
      </c>
      <c r="H33" t="e">
        <f>VLOOKUP(C33,'CDK asked to retain list'!$C$2:$C$16,1,0)</f>
        <v>#N/A</v>
      </c>
      <c r="J33" t="s">
        <v>306</v>
      </c>
    </row>
    <row r="34" spans="1:10">
      <c r="A34" t="str">
        <f t="shared" si="0"/>
        <v>76225712</v>
      </c>
      <c r="B34" t="s">
        <v>141</v>
      </c>
      <c r="C34">
        <v>76225712</v>
      </c>
      <c r="D34" t="s">
        <v>142</v>
      </c>
      <c r="E34" t="s">
        <v>1357</v>
      </c>
      <c r="F34">
        <v>2749</v>
      </c>
      <c r="G34" s="12">
        <v>46121.661527777775</v>
      </c>
      <c r="H34" t="s">
        <v>67</v>
      </c>
      <c r="I34">
        <v>76257313</v>
      </c>
      <c r="J34">
        <f>VLOOKUP(C34,'TV May Monthly Billing Sites'!$D:$F,1,0)</f>
        <v>76225712</v>
      </c>
    </row>
  </sheetData>
  <autoFilter ref="B1:J34" xr:uid="{BB350193-5FDC-4992-959C-4A671504EB10}">
    <filterColumn colId="6">
      <filters>
        <filter val="Yes"/>
      </filters>
    </filterColumn>
  </autoFilter>
  <sortState xmlns:xlrd2="http://schemas.microsoft.com/office/spreadsheetml/2017/richdata2" ref="B2:I34">
    <sortCondition ref="C2:C34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9FEAF-4F61-4C4B-B0E8-76F04612678F}">
  <sheetPr>
    <tabColor rgb="FFFFFF00"/>
  </sheetPr>
  <dimension ref="A1:H98"/>
  <sheetViews>
    <sheetView workbookViewId="0">
      <selection activeCell="J20" sqref="J20"/>
    </sheetView>
  </sheetViews>
  <sheetFormatPr defaultRowHeight="15"/>
  <cols>
    <col min="2" max="2" width="49.140625" bestFit="1" customWidth="1"/>
    <col min="3" max="3" width="19.85546875" bestFit="1" customWidth="1"/>
    <col min="4" max="4" width="18.85546875" bestFit="1" customWidth="1"/>
    <col min="5" max="5" width="19" bestFit="1" customWidth="1"/>
  </cols>
  <sheetData>
    <row r="1" spans="1:8">
      <c r="A1" t="s">
        <v>22</v>
      </c>
      <c r="B1" t="s">
        <v>1358</v>
      </c>
      <c r="C1" t="s">
        <v>1359</v>
      </c>
      <c r="D1" t="s">
        <v>1360</v>
      </c>
      <c r="E1" t="s">
        <v>1361</v>
      </c>
      <c r="F1" t="s">
        <v>1362</v>
      </c>
      <c r="G1" t="s">
        <v>1363</v>
      </c>
      <c r="H1" t="s">
        <v>1364</v>
      </c>
    </row>
    <row r="2" spans="1:8">
      <c r="A2" t="str">
        <f>"0"&amp;TRIM(C2)</f>
        <v>01196701</v>
      </c>
      <c r="B2" t="s">
        <v>1365</v>
      </c>
      <c r="C2">
        <v>1196701</v>
      </c>
      <c r="D2">
        <v>845834</v>
      </c>
      <c r="E2" s="12">
        <v>46092</v>
      </c>
      <c r="H2" t="s">
        <v>1366</v>
      </c>
    </row>
    <row r="3" spans="1:8">
      <c r="A3" t="str">
        <f t="shared" ref="A3:A11" si="0">"0"&amp;TRIM(C3)</f>
        <v>01325978</v>
      </c>
      <c r="B3" t="s">
        <v>1367</v>
      </c>
      <c r="C3">
        <v>1325978</v>
      </c>
      <c r="D3">
        <v>512350</v>
      </c>
      <c r="E3" s="12">
        <v>46091</v>
      </c>
      <c r="F3" t="s">
        <v>1368</v>
      </c>
      <c r="H3" t="s">
        <v>1366</v>
      </c>
    </row>
    <row r="4" spans="1:8">
      <c r="A4" t="str">
        <f t="shared" si="0"/>
        <v>05139104</v>
      </c>
      <c r="B4" t="s">
        <v>1369</v>
      </c>
      <c r="C4">
        <v>5139104</v>
      </c>
      <c r="D4">
        <v>466845</v>
      </c>
      <c r="E4" s="12">
        <v>46091</v>
      </c>
      <c r="F4" t="s">
        <v>1370</v>
      </c>
      <c r="H4" t="s">
        <v>1366</v>
      </c>
    </row>
    <row r="5" spans="1:8">
      <c r="A5" t="str">
        <f t="shared" si="0"/>
        <v>05236442</v>
      </c>
      <c r="B5" t="s">
        <v>41</v>
      </c>
      <c r="C5">
        <v>5236442</v>
      </c>
      <c r="D5">
        <v>62045</v>
      </c>
      <c r="E5" s="12">
        <v>46143</v>
      </c>
      <c r="F5" t="s">
        <v>1371</v>
      </c>
    </row>
    <row r="6" spans="1:8">
      <c r="A6" t="str">
        <f t="shared" si="0"/>
        <v>07615206</v>
      </c>
      <c r="B6" t="s">
        <v>1372</v>
      </c>
      <c r="C6">
        <v>7615206</v>
      </c>
      <c r="D6" t="s">
        <v>1373</v>
      </c>
      <c r="E6" s="12">
        <v>46093</v>
      </c>
      <c r="H6" t="s">
        <v>1366</v>
      </c>
    </row>
    <row r="7" spans="1:8">
      <c r="A7" t="str">
        <f t="shared" si="0"/>
        <v>07621134</v>
      </c>
      <c r="B7" t="s">
        <v>1374</v>
      </c>
      <c r="C7">
        <v>7621134</v>
      </c>
      <c r="D7">
        <v>544664</v>
      </c>
      <c r="E7" s="12">
        <v>46091</v>
      </c>
      <c r="F7" t="s">
        <v>1368</v>
      </c>
      <c r="H7" t="s">
        <v>1366</v>
      </c>
    </row>
    <row r="8" spans="1:8">
      <c r="A8" t="str">
        <f t="shared" si="0"/>
        <v>07624170</v>
      </c>
      <c r="B8" t="s">
        <v>1375</v>
      </c>
      <c r="C8">
        <v>7624170</v>
      </c>
      <c r="D8">
        <v>768457</v>
      </c>
      <c r="E8" s="12">
        <v>46092</v>
      </c>
      <c r="H8" t="s">
        <v>1366</v>
      </c>
    </row>
    <row r="9" spans="1:8">
      <c r="A9" t="str">
        <f t="shared" si="0"/>
        <v>08300018</v>
      </c>
      <c r="B9" t="s">
        <v>1376</v>
      </c>
      <c r="C9">
        <v>8300018</v>
      </c>
      <c r="D9">
        <v>282414</v>
      </c>
      <c r="E9" s="12">
        <v>46146</v>
      </c>
      <c r="F9" t="s">
        <v>1377</v>
      </c>
    </row>
    <row r="10" spans="1:8">
      <c r="A10" t="str">
        <f t="shared" si="0"/>
        <v>08300127</v>
      </c>
      <c r="B10" t="s">
        <v>1378</v>
      </c>
      <c r="C10">
        <v>8300127</v>
      </c>
      <c r="D10">
        <v>188030</v>
      </c>
      <c r="E10" s="12">
        <v>46059</v>
      </c>
      <c r="F10" t="s">
        <v>1368</v>
      </c>
      <c r="G10" t="s">
        <v>306</v>
      </c>
    </row>
    <row r="11" spans="1:8">
      <c r="A11" t="str">
        <f t="shared" si="0"/>
        <v>09800035</v>
      </c>
      <c r="B11" t="s">
        <v>1379</v>
      </c>
      <c r="C11">
        <v>9800035</v>
      </c>
      <c r="D11">
        <v>6554</v>
      </c>
      <c r="E11" s="12">
        <v>46027</v>
      </c>
      <c r="G11" t="s">
        <v>67</v>
      </c>
    </row>
    <row r="12" spans="1:8">
      <c r="A12" t="str">
        <f t="shared" ref="A12:A43" si="1">TRIM(C12)</f>
        <v>17314868</v>
      </c>
      <c r="B12" t="s">
        <v>1380</v>
      </c>
      <c r="C12">
        <v>17314868</v>
      </c>
      <c r="D12">
        <v>305057</v>
      </c>
      <c r="E12" s="12">
        <v>46042</v>
      </c>
      <c r="F12" t="s">
        <v>1370</v>
      </c>
      <c r="G12" t="s">
        <v>67</v>
      </c>
      <c r="H12" t="s">
        <v>1381</v>
      </c>
    </row>
    <row r="13" spans="1:8">
      <c r="A13" t="str">
        <f t="shared" si="1"/>
        <v>17315776</v>
      </c>
      <c r="B13" t="s">
        <v>1382</v>
      </c>
      <c r="C13">
        <v>17315776</v>
      </c>
      <c r="D13">
        <v>163617</v>
      </c>
      <c r="E13" s="12">
        <v>46093</v>
      </c>
      <c r="F13" t="s">
        <v>1368</v>
      </c>
      <c r="H13" t="s">
        <v>1366</v>
      </c>
    </row>
    <row r="14" spans="1:8">
      <c r="A14" t="str">
        <f t="shared" si="1"/>
        <v>37002901</v>
      </c>
      <c r="B14" t="s">
        <v>1383</v>
      </c>
      <c r="C14">
        <v>37002901</v>
      </c>
      <c r="D14">
        <v>664881</v>
      </c>
      <c r="E14" s="12">
        <v>46093</v>
      </c>
      <c r="H14" t="s">
        <v>1366</v>
      </c>
    </row>
    <row r="15" spans="1:8">
      <c r="A15" t="str">
        <f t="shared" si="1"/>
        <v>37011801</v>
      </c>
      <c r="B15" t="s">
        <v>1384</v>
      </c>
      <c r="C15">
        <v>37011801</v>
      </c>
      <c r="D15">
        <v>305755</v>
      </c>
      <c r="E15" s="12">
        <v>46090</v>
      </c>
      <c r="G15" t="s">
        <v>67</v>
      </c>
      <c r="H15" t="s">
        <v>1366</v>
      </c>
    </row>
    <row r="16" spans="1:8">
      <c r="A16" t="str">
        <f t="shared" si="1"/>
        <v>37011804</v>
      </c>
      <c r="B16" t="s">
        <v>1385</v>
      </c>
      <c r="C16">
        <v>37011804</v>
      </c>
      <c r="D16">
        <v>526414</v>
      </c>
      <c r="E16" s="12">
        <v>46090</v>
      </c>
      <c r="F16" t="s">
        <v>1368</v>
      </c>
      <c r="G16" t="s">
        <v>67</v>
      </c>
      <c r="H16" t="s">
        <v>1366</v>
      </c>
    </row>
    <row r="17" spans="1:8">
      <c r="A17" t="str">
        <f t="shared" si="1"/>
        <v>43996001</v>
      </c>
      <c r="B17" t="s">
        <v>1386</v>
      </c>
      <c r="C17">
        <v>43996001</v>
      </c>
      <c r="D17">
        <v>451374</v>
      </c>
      <c r="E17" s="12">
        <v>46146</v>
      </c>
      <c r="F17" t="s">
        <v>1387</v>
      </c>
    </row>
    <row r="18" spans="1:8">
      <c r="A18" t="str">
        <f t="shared" si="1"/>
        <v>71038202</v>
      </c>
      <c r="B18" t="s">
        <v>1388</v>
      </c>
      <c r="C18">
        <v>71038202</v>
      </c>
      <c r="D18">
        <v>560288</v>
      </c>
      <c r="E18" s="12">
        <v>46141</v>
      </c>
      <c r="F18" t="s">
        <v>1389</v>
      </c>
    </row>
    <row r="19" spans="1:8">
      <c r="A19" t="str">
        <f t="shared" si="1"/>
        <v>71046604</v>
      </c>
      <c r="B19" t="s">
        <v>1390</v>
      </c>
      <c r="C19">
        <v>71046604</v>
      </c>
      <c r="D19">
        <v>526554</v>
      </c>
      <c r="E19" s="12">
        <v>46093</v>
      </c>
      <c r="H19" t="s">
        <v>1366</v>
      </c>
    </row>
    <row r="20" spans="1:8">
      <c r="A20" t="str">
        <f t="shared" si="1"/>
        <v>71052821</v>
      </c>
      <c r="B20" t="s">
        <v>1391</v>
      </c>
      <c r="C20">
        <v>71052821</v>
      </c>
      <c r="D20">
        <v>513030</v>
      </c>
      <c r="E20" s="12">
        <v>46119</v>
      </c>
      <c r="F20" t="s">
        <v>1392</v>
      </c>
    </row>
    <row r="21" spans="1:8">
      <c r="A21" t="str">
        <f t="shared" si="1"/>
        <v>71052902</v>
      </c>
      <c r="B21" t="s">
        <v>1393</v>
      </c>
      <c r="C21">
        <v>71052902</v>
      </c>
      <c r="D21">
        <v>358008</v>
      </c>
      <c r="E21" s="12">
        <v>46093</v>
      </c>
      <c r="F21" t="s">
        <v>1394</v>
      </c>
      <c r="H21" t="s">
        <v>1366</v>
      </c>
    </row>
    <row r="22" spans="1:8">
      <c r="A22" t="str">
        <f t="shared" si="1"/>
        <v>71065039</v>
      </c>
      <c r="B22" t="s">
        <v>1395</v>
      </c>
      <c r="C22">
        <v>71065039</v>
      </c>
      <c r="D22">
        <v>308822</v>
      </c>
      <c r="E22" s="12">
        <v>46142</v>
      </c>
      <c r="F22" t="s">
        <v>1396</v>
      </c>
    </row>
    <row r="23" spans="1:8">
      <c r="A23" t="str">
        <f t="shared" si="1"/>
        <v>76002916</v>
      </c>
      <c r="B23" t="s">
        <v>1397</v>
      </c>
      <c r="C23">
        <v>76002916</v>
      </c>
      <c r="D23">
        <v>2139</v>
      </c>
      <c r="E23" s="12">
        <v>46031</v>
      </c>
      <c r="G23" t="s">
        <v>306</v>
      </c>
    </row>
    <row r="24" spans="1:8">
      <c r="A24" t="str">
        <f t="shared" si="1"/>
        <v>76012651</v>
      </c>
      <c r="B24" t="s">
        <v>1398</v>
      </c>
      <c r="C24">
        <v>76012651</v>
      </c>
      <c r="D24">
        <v>350208</v>
      </c>
      <c r="E24" s="12">
        <v>46093</v>
      </c>
      <c r="F24" t="s">
        <v>1368</v>
      </c>
      <c r="H24" t="s">
        <v>1366</v>
      </c>
    </row>
    <row r="25" spans="1:8">
      <c r="A25" t="str">
        <f t="shared" si="1"/>
        <v>76024029</v>
      </c>
      <c r="B25" t="s">
        <v>1399</v>
      </c>
      <c r="C25">
        <v>76024029</v>
      </c>
      <c r="D25">
        <v>385244</v>
      </c>
      <c r="E25" s="12">
        <v>46142</v>
      </c>
    </row>
    <row r="26" spans="1:8">
      <c r="A26" t="str">
        <f t="shared" si="1"/>
        <v>76024700</v>
      </c>
      <c r="B26" t="s">
        <v>1400</v>
      </c>
      <c r="C26">
        <v>76024700</v>
      </c>
      <c r="D26">
        <v>506664</v>
      </c>
      <c r="E26" s="12">
        <v>46093</v>
      </c>
      <c r="F26" t="s">
        <v>1368</v>
      </c>
      <c r="H26" t="s">
        <v>1366</v>
      </c>
    </row>
    <row r="27" spans="1:8">
      <c r="A27" t="str">
        <f t="shared" si="1"/>
        <v>76027610</v>
      </c>
      <c r="B27" t="s">
        <v>1401</v>
      </c>
      <c r="C27">
        <v>76027610</v>
      </c>
      <c r="D27">
        <v>580262</v>
      </c>
      <c r="E27" s="12">
        <v>46142</v>
      </c>
      <c r="F27" t="s">
        <v>1402</v>
      </c>
    </row>
    <row r="28" spans="1:8">
      <c r="A28" t="str">
        <f t="shared" si="1"/>
        <v>76038829</v>
      </c>
      <c r="B28" t="s">
        <v>1403</v>
      </c>
      <c r="C28">
        <v>76038829</v>
      </c>
      <c r="D28">
        <v>822458</v>
      </c>
      <c r="E28" s="12">
        <v>46042</v>
      </c>
      <c r="F28" t="s">
        <v>1370</v>
      </c>
      <c r="H28" t="s">
        <v>1404</v>
      </c>
    </row>
    <row r="29" spans="1:8">
      <c r="A29" t="str">
        <f t="shared" si="1"/>
        <v>76039933</v>
      </c>
      <c r="B29" t="s">
        <v>1405</v>
      </c>
      <c r="C29">
        <v>76039933</v>
      </c>
      <c r="D29" t="s">
        <v>1406</v>
      </c>
      <c r="E29" s="12">
        <v>46092</v>
      </c>
      <c r="H29" t="s">
        <v>1366</v>
      </c>
    </row>
    <row r="30" spans="1:8">
      <c r="A30" t="str">
        <f t="shared" si="1"/>
        <v>76042015</v>
      </c>
      <c r="B30" t="s">
        <v>1407</v>
      </c>
      <c r="C30">
        <v>76042015</v>
      </c>
      <c r="D30">
        <v>304806</v>
      </c>
      <c r="E30" s="12">
        <v>46093</v>
      </c>
      <c r="F30" t="s">
        <v>1371</v>
      </c>
      <c r="H30" t="s">
        <v>1366</v>
      </c>
    </row>
    <row r="31" spans="1:8">
      <c r="A31" t="str">
        <f t="shared" si="1"/>
        <v>76043277</v>
      </c>
      <c r="B31" t="s">
        <v>1408</v>
      </c>
      <c r="C31">
        <v>76043277</v>
      </c>
      <c r="D31">
        <v>545776</v>
      </c>
      <c r="E31" s="12">
        <v>46146</v>
      </c>
      <c r="F31" t="s">
        <v>1387</v>
      </c>
    </row>
    <row r="32" spans="1:8">
      <c r="A32" t="str">
        <f t="shared" si="1"/>
        <v>76043322</v>
      </c>
      <c r="B32" t="s">
        <v>1409</v>
      </c>
      <c r="C32">
        <v>76043322</v>
      </c>
      <c r="D32">
        <v>647815</v>
      </c>
      <c r="E32" s="12">
        <v>46091</v>
      </c>
      <c r="F32" t="s">
        <v>1394</v>
      </c>
      <c r="H32" t="s">
        <v>1366</v>
      </c>
    </row>
    <row r="33" spans="1:8">
      <c r="A33" t="str">
        <f t="shared" si="1"/>
        <v>76054901</v>
      </c>
      <c r="B33" t="s">
        <v>1410</v>
      </c>
      <c r="C33">
        <v>76054901</v>
      </c>
      <c r="D33">
        <v>72400</v>
      </c>
      <c r="E33" s="12">
        <v>46093</v>
      </c>
      <c r="F33" t="s">
        <v>1371</v>
      </c>
      <c r="H33" t="s">
        <v>1366</v>
      </c>
    </row>
    <row r="34" spans="1:8">
      <c r="A34" t="str">
        <f t="shared" si="1"/>
        <v>76057761</v>
      </c>
      <c r="B34" t="s">
        <v>1411</v>
      </c>
      <c r="C34">
        <v>76057761</v>
      </c>
      <c r="D34">
        <v>803007</v>
      </c>
      <c r="E34" s="12">
        <v>46128</v>
      </c>
      <c r="F34" t="s">
        <v>1412</v>
      </c>
    </row>
    <row r="35" spans="1:8">
      <c r="A35" t="str">
        <f t="shared" si="1"/>
        <v>76062180</v>
      </c>
      <c r="B35" t="s">
        <v>1413</v>
      </c>
      <c r="C35">
        <v>76062180</v>
      </c>
      <c r="D35">
        <v>31421</v>
      </c>
      <c r="E35" s="12">
        <v>46134</v>
      </c>
      <c r="F35" t="s">
        <v>1414</v>
      </c>
    </row>
    <row r="36" spans="1:8">
      <c r="A36" t="str">
        <f t="shared" si="1"/>
        <v>76066680</v>
      </c>
      <c r="B36" t="s">
        <v>1415</v>
      </c>
      <c r="C36">
        <v>76066680</v>
      </c>
      <c r="D36">
        <v>41080</v>
      </c>
      <c r="E36" s="12">
        <v>46090</v>
      </c>
      <c r="F36" t="s">
        <v>1368</v>
      </c>
      <c r="G36" t="s">
        <v>67</v>
      </c>
      <c r="H36" t="s">
        <v>1416</v>
      </c>
    </row>
    <row r="37" spans="1:8">
      <c r="A37" t="str">
        <f t="shared" si="1"/>
        <v>76072111</v>
      </c>
      <c r="B37" t="s">
        <v>1417</v>
      </c>
      <c r="C37">
        <v>76072111</v>
      </c>
      <c r="D37">
        <v>865628</v>
      </c>
      <c r="E37" s="12">
        <v>46093</v>
      </c>
      <c r="H37" t="s">
        <v>1366</v>
      </c>
    </row>
    <row r="38" spans="1:8">
      <c r="A38" t="str">
        <f t="shared" si="1"/>
        <v>76073768</v>
      </c>
      <c r="B38" t="s">
        <v>1418</v>
      </c>
      <c r="C38">
        <v>76073768</v>
      </c>
      <c r="D38">
        <v>418053</v>
      </c>
      <c r="E38" s="12">
        <v>46093</v>
      </c>
      <c r="F38" t="s">
        <v>1368</v>
      </c>
      <c r="H38" t="s">
        <v>1366</v>
      </c>
    </row>
    <row r="39" spans="1:8">
      <c r="A39" t="str">
        <f t="shared" si="1"/>
        <v>76080698</v>
      </c>
      <c r="B39" t="s">
        <v>1419</v>
      </c>
      <c r="C39">
        <v>76080698</v>
      </c>
      <c r="D39">
        <v>608705</v>
      </c>
      <c r="E39" s="12">
        <v>46091</v>
      </c>
      <c r="F39" t="s">
        <v>1368</v>
      </c>
      <c r="H39" t="s">
        <v>1366</v>
      </c>
    </row>
    <row r="40" spans="1:8">
      <c r="A40" t="str">
        <f t="shared" si="1"/>
        <v>76140116</v>
      </c>
      <c r="B40" t="s">
        <v>1420</v>
      </c>
      <c r="C40">
        <v>76140116</v>
      </c>
      <c r="D40">
        <v>138421</v>
      </c>
      <c r="E40" s="12">
        <v>46092</v>
      </c>
      <c r="H40" t="s">
        <v>1366</v>
      </c>
    </row>
    <row r="41" spans="1:8">
      <c r="A41" t="str">
        <f t="shared" si="1"/>
        <v>76140762</v>
      </c>
      <c r="B41" t="s">
        <v>1421</v>
      </c>
      <c r="C41">
        <v>76140762</v>
      </c>
      <c r="D41">
        <v>268346</v>
      </c>
      <c r="E41" s="12">
        <v>46093</v>
      </c>
      <c r="F41" t="s">
        <v>1368</v>
      </c>
      <c r="H41" t="s">
        <v>1366</v>
      </c>
    </row>
    <row r="42" spans="1:8">
      <c r="A42" t="str">
        <f t="shared" si="1"/>
        <v>76150784</v>
      </c>
      <c r="B42" t="s">
        <v>1422</v>
      </c>
      <c r="C42">
        <v>76150784</v>
      </c>
      <c r="D42">
        <v>656278</v>
      </c>
      <c r="E42" s="12">
        <v>46142</v>
      </c>
      <c r="F42" t="s">
        <v>1394</v>
      </c>
    </row>
    <row r="43" spans="1:8">
      <c r="A43" t="str">
        <f t="shared" si="1"/>
        <v>76162825</v>
      </c>
      <c r="B43" t="s">
        <v>1423</v>
      </c>
      <c r="C43">
        <v>76162825</v>
      </c>
      <c r="D43">
        <v>525525</v>
      </c>
      <c r="E43" s="12">
        <v>46092</v>
      </c>
      <c r="H43" t="s">
        <v>1424</v>
      </c>
    </row>
    <row r="44" spans="1:8">
      <c r="A44" t="str">
        <f t="shared" ref="A44:A75" si="2">TRIM(C44)</f>
        <v>76169426</v>
      </c>
      <c r="B44" t="s">
        <v>1425</v>
      </c>
      <c r="C44">
        <v>76169426</v>
      </c>
      <c r="D44">
        <v>29456</v>
      </c>
      <c r="E44" s="12">
        <v>46093</v>
      </c>
      <c r="F44" t="s">
        <v>1368</v>
      </c>
      <c r="H44" t="s">
        <v>1366</v>
      </c>
    </row>
    <row r="45" spans="1:8">
      <c r="A45" t="str">
        <f t="shared" si="2"/>
        <v>76171302</v>
      </c>
      <c r="B45" t="s">
        <v>1426</v>
      </c>
      <c r="C45">
        <v>76171302</v>
      </c>
      <c r="D45">
        <v>7196</v>
      </c>
      <c r="E45" s="12">
        <v>46044</v>
      </c>
      <c r="G45" t="s">
        <v>306</v>
      </c>
    </row>
    <row r="46" spans="1:8">
      <c r="A46" t="str">
        <f t="shared" si="2"/>
        <v>76171893</v>
      </c>
      <c r="B46" t="s">
        <v>1427</v>
      </c>
      <c r="C46">
        <v>76171893</v>
      </c>
      <c r="D46">
        <v>2143</v>
      </c>
      <c r="E46" s="12">
        <v>46031</v>
      </c>
      <c r="G46" t="s">
        <v>67</v>
      </c>
    </row>
    <row r="47" spans="1:8">
      <c r="A47" t="str">
        <f t="shared" si="2"/>
        <v>76173064</v>
      </c>
      <c r="B47" t="s">
        <v>1428</v>
      </c>
      <c r="C47">
        <v>76173064</v>
      </c>
      <c r="D47">
        <v>524662</v>
      </c>
      <c r="E47" s="12">
        <v>46146</v>
      </c>
      <c r="F47" t="s">
        <v>1392</v>
      </c>
    </row>
    <row r="48" spans="1:8">
      <c r="A48" t="str">
        <f t="shared" si="2"/>
        <v>76174379</v>
      </c>
      <c r="B48" t="s">
        <v>1429</v>
      </c>
      <c r="C48">
        <v>76174379</v>
      </c>
      <c r="D48">
        <v>6815</v>
      </c>
      <c r="E48" s="12">
        <v>46044</v>
      </c>
      <c r="G48" t="s">
        <v>306</v>
      </c>
      <c r="H48" t="s">
        <v>1430</v>
      </c>
    </row>
    <row r="49" spans="1:8">
      <c r="A49" t="str">
        <f t="shared" si="2"/>
        <v>76175175</v>
      </c>
      <c r="B49" t="s">
        <v>1431</v>
      </c>
      <c r="C49">
        <v>76175175</v>
      </c>
      <c r="D49">
        <v>740077</v>
      </c>
      <c r="E49" s="12">
        <v>46142</v>
      </c>
      <c r="F49" t="s">
        <v>1370</v>
      </c>
    </row>
    <row r="50" spans="1:8">
      <c r="A50" t="str">
        <f t="shared" si="2"/>
        <v>76181637</v>
      </c>
      <c r="B50" t="s">
        <v>1432</v>
      </c>
      <c r="C50">
        <v>76181637</v>
      </c>
      <c r="E50" s="12">
        <v>46091</v>
      </c>
      <c r="H50" t="s">
        <v>1433</v>
      </c>
    </row>
    <row r="51" spans="1:8">
      <c r="A51" t="str">
        <f t="shared" si="2"/>
        <v>76195666</v>
      </c>
      <c r="B51" t="s">
        <v>1434</v>
      </c>
      <c r="C51">
        <v>76195666</v>
      </c>
      <c r="D51">
        <v>341726</v>
      </c>
      <c r="E51" s="12">
        <v>46091</v>
      </c>
      <c r="F51" t="s">
        <v>1368</v>
      </c>
      <c r="H51" t="s">
        <v>1366</v>
      </c>
    </row>
    <row r="52" spans="1:8">
      <c r="A52" t="str">
        <f t="shared" si="2"/>
        <v>76195919</v>
      </c>
      <c r="B52" t="s">
        <v>1435</v>
      </c>
      <c r="C52">
        <v>76195919</v>
      </c>
      <c r="D52">
        <v>644558</v>
      </c>
      <c r="E52" s="12">
        <v>46028</v>
      </c>
      <c r="F52" t="s">
        <v>1394</v>
      </c>
      <c r="G52" t="s">
        <v>306</v>
      </c>
    </row>
    <row r="53" spans="1:8">
      <c r="A53" t="str">
        <f t="shared" si="2"/>
        <v>76197109</v>
      </c>
      <c r="B53" t="s">
        <v>1436</v>
      </c>
      <c r="C53">
        <v>76197109</v>
      </c>
      <c r="D53">
        <v>520422</v>
      </c>
      <c r="E53" s="12">
        <v>46143</v>
      </c>
      <c r="F53" t="s">
        <v>1371</v>
      </c>
    </row>
    <row r="54" spans="1:8">
      <c r="A54" t="str">
        <f t="shared" si="2"/>
        <v>76201836</v>
      </c>
      <c r="B54" t="s">
        <v>1437</v>
      </c>
      <c r="C54">
        <v>76201836</v>
      </c>
      <c r="D54">
        <v>814547</v>
      </c>
      <c r="E54" s="12">
        <v>46146</v>
      </c>
      <c r="F54" t="s">
        <v>1392</v>
      </c>
    </row>
    <row r="55" spans="1:8">
      <c r="A55" t="str">
        <f t="shared" si="2"/>
        <v>76202065</v>
      </c>
      <c r="B55" t="s">
        <v>1438</v>
      </c>
      <c r="C55">
        <v>76202065</v>
      </c>
      <c r="D55">
        <v>105473</v>
      </c>
      <c r="E55" s="12">
        <v>46092</v>
      </c>
      <c r="H55" t="s">
        <v>1366</v>
      </c>
    </row>
    <row r="56" spans="1:8">
      <c r="A56" t="str">
        <f t="shared" si="2"/>
        <v>76203882</v>
      </c>
      <c r="B56" t="s">
        <v>1439</v>
      </c>
      <c r="C56">
        <v>76203882</v>
      </c>
      <c r="D56">
        <v>432400</v>
      </c>
      <c r="E56" s="12">
        <v>46090</v>
      </c>
      <c r="F56" t="s">
        <v>1368</v>
      </c>
      <c r="G56" t="s">
        <v>67</v>
      </c>
      <c r="H56" t="s">
        <v>1366</v>
      </c>
    </row>
    <row r="57" spans="1:8">
      <c r="A57" t="str">
        <f t="shared" si="2"/>
        <v>76205088</v>
      </c>
      <c r="B57" t="s">
        <v>1440</v>
      </c>
      <c r="C57">
        <v>76205088</v>
      </c>
      <c r="D57">
        <v>716374</v>
      </c>
      <c r="E57" s="12">
        <v>46028</v>
      </c>
      <c r="F57" t="s">
        <v>1394</v>
      </c>
      <c r="G57" t="s">
        <v>67</v>
      </c>
    </row>
    <row r="58" spans="1:8">
      <c r="A58" t="str">
        <f t="shared" si="2"/>
        <v>76206328</v>
      </c>
      <c r="B58" t="s">
        <v>1441</v>
      </c>
      <c r="C58">
        <v>76206328</v>
      </c>
      <c r="D58">
        <v>261150</v>
      </c>
      <c r="E58" s="12">
        <v>46093</v>
      </c>
      <c r="F58" t="s">
        <v>1368</v>
      </c>
      <c r="H58" t="s">
        <v>1366</v>
      </c>
    </row>
    <row r="59" spans="1:8">
      <c r="A59" t="str">
        <f t="shared" si="2"/>
        <v>76208069</v>
      </c>
      <c r="B59" t="s">
        <v>1442</v>
      </c>
      <c r="C59">
        <v>76208069</v>
      </c>
      <c r="D59">
        <v>812855</v>
      </c>
      <c r="E59" s="12">
        <v>46092</v>
      </c>
      <c r="H59" t="s">
        <v>1366</v>
      </c>
    </row>
    <row r="60" spans="1:8">
      <c r="A60" t="str">
        <f t="shared" si="2"/>
        <v>76209123</v>
      </c>
      <c r="B60" t="s">
        <v>1443</v>
      </c>
      <c r="C60">
        <v>76209123</v>
      </c>
      <c r="D60">
        <v>355724</v>
      </c>
      <c r="E60" s="12">
        <v>46029</v>
      </c>
      <c r="G60" t="s">
        <v>1264</v>
      </c>
    </row>
    <row r="61" spans="1:8">
      <c r="A61" t="str">
        <f t="shared" si="2"/>
        <v>76211326</v>
      </c>
      <c r="B61" t="s">
        <v>1444</v>
      </c>
      <c r="C61">
        <v>76211326</v>
      </c>
      <c r="D61">
        <v>818818</v>
      </c>
      <c r="E61" s="12">
        <v>46142</v>
      </c>
      <c r="F61" t="s">
        <v>1371</v>
      </c>
    </row>
    <row r="62" spans="1:8">
      <c r="A62" t="str">
        <f t="shared" si="2"/>
        <v>76211612</v>
      </c>
      <c r="B62" t="s">
        <v>1445</v>
      </c>
      <c r="C62">
        <v>76211612</v>
      </c>
      <c r="D62">
        <v>704100</v>
      </c>
      <c r="E62" s="12">
        <v>46092</v>
      </c>
      <c r="H62" t="s">
        <v>1366</v>
      </c>
    </row>
    <row r="63" spans="1:8">
      <c r="A63" t="str">
        <f t="shared" si="2"/>
        <v>76211737</v>
      </c>
      <c r="B63" t="s">
        <v>1446</v>
      </c>
      <c r="C63">
        <v>76211737</v>
      </c>
      <c r="D63">
        <v>55041</v>
      </c>
      <c r="E63" s="12">
        <v>46091</v>
      </c>
      <c r="F63" t="s">
        <v>1368</v>
      </c>
      <c r="H63" t="s">
        <v>1366</v>
      </c>
    </row>
    <row r="64" spans="1:8">
      <c r="A64" t="str">
        <f t="shared" si="2"/>
        <v>76212091</v>
      </c>
      <c r="B64" t="s">
        <v>1447</v>
      </c>
      <c r="C64">
        <v>76212091</v>
      </c>
      <c r="D64">
        <v>318737</v>
      </c>
      <c r="E64" s="12">
        <v>46091</v>
      </c>
      <c r="F64" t="s">
        <v>1368</v>
      </c>
      <c r="H64" t="s">
        <v>1366</v>
      </c>
    </row>
    <row r="65" spans="1:8">
      <c r="A65" t="str">
        <f t="shared" si="2"/>
        <v>76214618</v>
      </c>
      <c r="B65" t="s">
        <v>1448</v>
      </c>
      <c r="C65">
        <v>76214618</v>
      </c>
      <c r="D65">
        <v>85167</v>
      </c>
      <c r="E65" s="12">
        <v>46091</v>
      </c>
      <c r="F65" t="s">
        <v>1368</v>
      </c>
      <c r="H65" t="s">
        <v>1449</v>
      </c>
    </row>
    <row r="66" spans="1:8">
      <c r="A66" t="str">
        <f t="shared" si="2"/>
        <v>76215823</v>
      </c>
      <c r="B66" t="s">
        <v>1450</v>
      </c>
      <c r="C66">
        <v>76215823</v>
      </c>
      <c r="D66">
        <v>260582</v>
      </c>
      <c r="E66" s="12">
        <v>46093</v>
      </c>
      <c r="H66" t="s">
        <v>1366</v>
      </c>
    </row>
    <row r="67" spans="1:8">
      <c r="A67" t="str">
        <f t="shared" si="2"/>
        <v>76218326</v>
      </c>
      <c r="B67" t="s">
        <v>1451</v>
      </c>
      <c r="C67">
        <v>76218326</v>
      </c>
      <c r="D67">
        <v>545638</v>
      </c>
      <c r="E67" s="12">
        <v>46092</v>
      </c>
      <c r="H67" t="s">
        <v>1366</v>
      </c>
    </row>
    <row r="68" spans="1:8">
      <c r="A68" t="str">
        <f t="shared" si="2"/>
        <v>76218622</v>
      </c>
      <c r="B68" t="s">
        <v>1452</v>
      </c>
      <c r="C68">
        <v>76218622</v>
      </c>
      <c r="D68">
        <v>651677</v>
      </c>
      <c r="E68" s="12">
        <v>46092</v>
      </c>
      <c r="H68" t="s">
        <v>1366</v>
      </c>
    </row>
    <row r="69" spans="1:8">
      <c r="A69" t="str">
        <f t="shared" si="2"/>
        <v>76220778</v>
      </c>
      <c r="B69" t="s">
        <v>1453</v>
      </c>
      <c r="C69">
        <v>76220778</v>
      </c>
      <c r="D69">
        <v>785637</v>
      </c>
      <c r="E69" s="12">
        <v>46091</v>
      </c>
      <c r="F69" t="s">
        <v>1368</v>
      </c>
      <c r="H69" t="s">
        <v>1366</v>
      </c>
    </row>
    <row r="70" spans="1:8">
      <c r="A70" t="str">
        <f t="shared" si="2"/>
        <v>76220929</v>
      </c>
      <c r="B70" t="s">
        <v>1454</v>
      </c>
      <c r="C70">
        <v>76220929</v>
      </c>
      <c r="D70">
        <v>483846</v>
      </c>
      <c r="E70" s="12">
        <v>46092</v>
      </c>
      <c r="H70" t="s">
        <v>1366</v>
      </c>
    </row>
    <row r="71" spans="1:8">
      <c r="A71" t="str">
        <f t="shared" si="2"/>
        <v>76220930</v>
      </c>
      <c r="B71" t="s">
        <v>1455</v>
      </c>
      <c r="C71">
        <v>76220930</v>
      </c>
      <c r="D71">
        <v>412605</v>
      </c>
      <c r="E71" s="12">
        <v>46092</v>
      </c>
      <c r="H71" t="s">
        <v>1366</v>
      </c>
    </row>
    <row r="72" spans="1:8">
      <c r="A72" t="str">
        <f t="shared" si="2"/>
        <v>76221166</v>
      </c>
      <c r="B72" t="s">
        <v>1456</v>
      </c>
      <c r="C72">
        <v>76221166</v>
      </c>
      <c r="D72">
        <v>338516</v>
      </c>
      <c r="E72" s="12">
        <v>46092</v>
      </c>
      <c r="H72" t="s">
        <v>1457</v>
      </c>
    </row>
    <row r="73" spans="1:8">
      <c r="A73" t="str">
        <f t="shared" si="2"/>
        <v>76223745</v>
      </c>
      <c r="B73" t="s">
        <v>1458</v>
      </c>
      <c r="C73">
        <v>76223745</v>
      </c>
      <c r="E73" s="12">
        <v>46093</v>
      </c>
      <c r="F73" t="s">
        <v>1368</v>
      </c>
      <c r="H73" t="s">
        <v>1459</v>
      </c>
    </row>
    <row r="74" spans="1:8">
      <c r="A74" t="str">
        <f t="shared" si="2"/>
        <v>76224033</v>
      </c>
      <c r="B74" t="s">
        <v>1460</v>
      </c>
      <c r="C74">
        <v>76224033</v>
      </c>
      <c r="D74">
        <v>103784</v>
      </c>
      <c r="E74" s="12">
        <v>46092</v>
      </c>
      <c r="H74" t="s">
        <v>1366</v>
      </c>
    </row>
    <row r="75" spans="1:8">
      <c r="A75" t="str">
        <f t="shared" si="2"/>
        <v>76224072</v>
      </c>
      <c r="B75" t="s">
        <v>1461</v>
      </c>
      <c r="C75">
        <v>76224072</v>
      </c>
      <c r="D75">
        <v>134285</v>
      </c>
      <c r="E75" s="12">
        <v>46093</v>
      </c>
      <c r="H75" t="s">
        <v>1366</v>
      </c>
    </row>
    <row r="76" spans="1:8">
      <c r="A76" t="str">
        <f t="shared" ref="A76:A98" si="3">TRIM(C76)</f>
        <v>76227448</v>
      </c>
      <c r="B76" t="s">
        <v>1462</v>
      </c>
      <c r="C76">
        <v>76227448</v>
      </c>
      <c r="D76" t="s">
        <v>1463</v>
      </c>
      <c r="E76" s="12">
        <v>46092</v>
      </c>
      <c r="H76" t="s">
        <v>1366</v>
      </c>
    </row>
    <row r="77" spans="1:8">
      <c r="A77" t="str">
        <f t="shared" si="3"/>
        <v>76227701</v>
      </c>
      <c r="B77" t="s">
        <v>1464</v>
      </c>
      <c r="C77">
        <v>76227701</v>
      </c>
      <c r="D77">
        <v>217301</v>
      </c>
      <c r="E77" s="12">
        <v>46093</v>
      </c>
      <c r="F77" t="s">
        <v>1394</v>
      </c>
      <c r="H77" t="s">
        <v>1366</v>
      </c>
    </row>
    <row r="78" spans="1:8">
      <c r="A78" t="str">
        <f t="shared" si="3"/>
        <v>76227703</v>
      </c>
      <c r="B78" t="s">
        <v>1465</v>
      </c>
      <c r="C78">
        <v>76227703</v>
      </c>
      <c r="D78">
        <v>83583</v>
      </c>
      <c r="E78" s="12">
        <v>46093</v>
      </c>
      <c r="H78" t="s">
        <v>1366</v>
      </c>
    </row>
    <row r="79" spans="1:8">
      <c r="A79" t="str">
        <f t="shared" si="3"/>
        <v>76230499</v>
      </c>
      <c r="B79" t="s">
        <v>1466</v>
      </c>
      <c r="C79">
        <v>76230499</v>
      </c>
      <c r="D79">
        <v>431473</v>
      </c>
      <c r="E79" s="12">
        <v>46090</v>
      </c>
      <c r="G79" t="s">
        <v>67</v>
      </c>
      <c r="H79" t="s">
        <v>1467</v>
      </c>
    </row>
    <row r="80" spans="1:8">
      <c r="A80" t="str">
        <f t="shared" si="3"/>
        <v>76231547</v>
      </c>
      <c r="B80" t="s">
        <v>1468</v>
      </c>
      <c r="C80">
        <v>76231547</v>
      </c>
      <c r="D80">
        <v>451775</v>
      </c>
      <c r="E80" s="12">
        <v>46091</v>
      </c>
      <c r="F80" t="s">
        <v>1368</v>
      </c>
      <c r="H80" t="s">
        <v>1366</v>
      </c>
    </row>
    <row r="81" spans="1:8">
      <c r="A81" t="str">
        <f t="shared" si="3"/>
        <v>76234979</v>
      </c>
      <c r="B81" t="s">
        <v>1469</v>
      </c>
      <c r="C81">
        <v>76234979</v>
      </c>
      <c r="D81">
        <v>883308</v>
      </c>
      <c r="E81" s="12">
        <v>46090</v>
      </c>
      <c r="G81" t="s">
        <v>67</v>
      </c>
      <c r="H81" t="s">
        <v>1366</v>
      </c>
    </row>
    <row r="82" spans="1:8">
      <c r="A82" t="str">
        <f t="shared" si="3"/>
        <v>76234982</v>
      </c>
      <c r="B82" t="s">
        <v>1470</v>
      </c>
      <c r="C82">
        <v>76234982</v>
      </c>
      <c r="D82">
        <v>801215</v>
      </c>
      <c r="E82" s="12">
        <v>46090</v>
      </c>
      <c r="G82" t="s">
        <v>67</v>
      </c>
      <c r="H82" t="s">
        <v>1366</v>
      </c>
    </row>
    <row r="83" spans="1:8">
      <c r="A83" t="str">
        <f t="shared" si="3"/>
        <v>76235392</v>
      </c>
      <c r="B83" t="s">
        <v>1471</v>
      </c>
      <c r="C83">
        <v>76235392</v>
      </c>
      <c r="D83">
        <v>312505</v>
      </c>
      <c r="E83" s="12">
        <v>46091</v>
      </c>
      <c r="F83" t="s">
        <v>1368</v>
      </c>
      <c r="H83" t="s">
        <v>1366</v>
      </c>
    </row>
    <row r="84" spans="1:8">
      <c r="A84" t="str">
        <f t="shared" si="3"/>
        <v>76235642</v>
      </c>
      <c r="B84" t="s">
        <v>1472</v>
      </c>
      <c r="C84">
        <v>76235642</v>
      </c>
      <c r="D84">
        <v>805601</v>
      </c>
      <c r="E84" s="12">
        <v>46091</v>
      </c>
      <c r="F84" t="s">
        <v>1368</v>
      </c>
      <c r="H84" t="s">
        <v>1366</v>
      </c>
    </row>
    <row r="85" spans="1:8">
      <c r="A85" t="str">
        <f t="shared" si="3"/>
        <v>76236423</v>
      </c>
      <c r="B85" t="s">
        <v>1473</v>
      </c>
      <c r="C85">
        <v>76236423</v>
      </c>
      <c r="D85">
        <v>972035</v>
      </c>
      <c r="E85" s="12">
        <v>46142</v>
      </c>
      <c r="F85" t="s">
        <v>1474</v>
      </c>
    </row>
    <row r="86" spans="1:8">
      <c r="A86" t="str">
        <f t="shared" si="3"/>
        <v>76237278</v>
      </c>
      <c r="B86" t="s">
        <v>1475</v>
      </c>
      <c r="C86">
        <v>76237278</v>
      </c>
      <c r="D86">
        <v>347281</v>
      </c>
      <c r="E86" s="12">
        <v>46091</v>
      </c>
      <c r="F86" t="s">
        <v>1368</v>
      </c>
      <c r="H86" t="s">
        <v>1366</v>
      </c>
    </row>
    <row r="87" spans="1:8">
      <c r="A87" t="str">
        <f t="shared" si="3"/>
        <v>76237579</v>
      </c>
      <c r="B87" t="s">
        <v>1476</v>
      </c>
      <c r="C87">
        <v>76237579</v>
      </c>
      <c r="D87">
        <v>325873</v>
      </c>
      <c r="E87" s="12">
        <v>46091</v>
      </c>
      <c r="F87" t="s">
        <v>1477</v>
      </c>
      <c r="H87" t="s">
        <v>1366</v>
      </c>
    </row>
    <row r="88" spans="1:8">
      <c r="A88" t="str">
        <f t="shared" si="3"/>
        <v>76238024</v>
      </c>
      <c r="B88" t="s">
        <v>1478</v>
      </c>
      <c r="C88">
        <v>76238024</v>
      </c>
      <c r="D88">
        <v>5321</v>
      </c>
      <c r="E88" s="12">
        <v>46031</v>
      </c>
      <c r="G88" t="s">
        <v>67</v>
      </c>
    </row>
    <row r="89" spans="1:8">
      <c r="A89" t="str">
        <f t="shared" si="3"/>
        <v>76241969</v>
      </c>
      <c r="B89" t="s">
        <v>1479</v>
      </c>
      <c r="C89">
        <v>76241969</v>
      </c>
      <c r="D89">
        <v>4363</v>
      </c>
      <c r="E89" s="12">
        <v>46031</v>
      </c>
      <c r="G89" t="s">
        <v>306</v>
      </c>
    </row>
    <row r="90" spans="1:8">
      <c r="A90" t="str">
        <f t="shared" si="3"/>
        <v>76244657</v>
      </c>
      <c r="B90" t="s">
        <v>1480</v>
      </c>
      <c r="C90">
        <v>76244657</v>
      </c>
      <c r="D90">
        <v>41784</v>
      </c>
      <c r="E90" s="12">
        <v>46091</v>
      </c>
      <c r="F90" t="s">
        <v>1368</v>
      </c>
      <c r="H90" t="s">
        <v>1366</v>
      </c>
    </row>
    <row r="91" spans="1:8">
      <c r="A91" t="str">
        <f t="shared" si="3"/>
        <v>76245040</v>
      </c>
      <c r="B91" t="s">
        <v>1481</v>
      </c>
      <c r="C91">
        <v>76245040</v>
      </c>
      <c r="D91">
        <v>680015</v>
      </c>
      <c r="E91" s="12">
        <v>46146</v>
      </c>
      <c r="F91" t="s">
        <v>1482</v>
      </c>
    </row>
    <row r="92" spans="1:8">
      <c r="A92" t="str">
        <f t="shared" si="3"/>
        <v>76245731</v>
      </c>
      <c r="B92" t="s">
        <v>1483</v>
      </c>
      <c r="C92">
        <v>76245731</v>
      </c>
      <c r="D92">
        <v>243570</v>
      </c>
      <c r="E92" s="12">
        <v>46059</v>
      </c>
      <c r="F92" t="s">
        <v>1484</v>
      </c>
      <c r="G92" t="s">
        <v>306</v>
      </c>
    </row>
    <row r="93" spans="1:8">
      <c r="A93" t="str">
        <f t="shared" si="3"/>
        <v>76245931</v>
      </c>
      <c r="B93" t="s">
        <v>1485</v>
      </c>
      <c r="C93">
        <v>76245931</v>
      </c>
      <c r="D93">
        <v>5702</v>
      </c>
      <c r="E93" s="12">
        <v>46027</v>
      </c>
      <c r="H93" t="s">
        <v>1486</v>
      </c>
    </row>
    <row r="94" spans="1:8">
      <c r="A94" t="str">
        <f t="shared" si="3"/>
        <v>76246309</v>
      </c>
      <c r="B94" t="s">
        <v>1487</v>
      </c>
      <c r="C94">
        <v>76246309</v>
      </c>
      <c r="D94">
        <v>188030</v>
      </c>
      <c r="E94" s="12">
        <v>46063</v>
      </c>
      <c r="H94" t="s">
        <v>1488</v>
      </c>
    </row>
    <row r="95" spans="1:8">
      <c r="A95" t="str">
        <f t="shared" si="3"/>
        <v>76254419</v>
      </c>
      <c r="B95" t="s">
        <v>1489</v>
      </c>
      <c r="C95">
        <v>76254419</v>
      </c>
      <c r="D95">
        <v>6082</v>
      </c>
      <c r="E95" s="12">
        <v>46031</v>
      </c>
      <c r="G95" t="s">
        <v>67</v>
      </c>
    </row>
    <row r="96" spans="1:8">
      <c r="A96" t="str">
        <f t="shared" si="3"/>
        <v>76254420</v>
      </c>
      <c r="B96" t="s">
        <v>1490</v>
      </c>
      <c r="C96">
        <v>76254420</v>
      </c>
      <c r="D96">
        <v>6083</v>
      </c>
      <c r="E96" s="12">
        <v>46031</v>
      </c>
      <c r="G96" t="s">
        <v>67</v>
      </c>
    </row>
    <row r="97" spans="1:8">
      <c r="A97" t="str">
        <f t="shared" si="3"/>
        <v>76258093</v>
      </c>
      <c r="B97" t="s">
        <v>1491</v>
      </c>
      <c r="C97">
        <v>76258093</v>
      </c>
      <c r="D97">
        <v>31503</v>
      </c>
      <c r="E97" s="12">
        <v>46143</v>
      </c>
      <c r="F97" t="s">
        <v>1371</v>
      </c>
    </row>
    <row r="98" spans="1:8">
      <c r="A98" t="str">
        <f t="shared" si="3"/>
        <v>76231813 or 37011802</v>
      </c>
      <c r="B98" t="s">
        <v>1492</v>
      </c>
      <c r="C98" t="s">
        <v>1493</v>
      </c>
      <c r="D98">
        <v>280076</v>
      </c>
      <c r="E98" s="12">
        <v>46090</v>
      </c>
      <c r="H98" t="s">
        <v>1494</v>
      </c>
    </row>
  </sheetData>
  <sortState xmlns:xlrd2="http://schemas.microsoft.com/office/spreadsheetml/2017/richdata2" ref="A2:K99">
    <sortCondition ref="A2:A99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24A11-E9DC-42F3-96F2-3BE73E8831B1}">
  <sheetPr>
    <tabColor rgb="FFFFC000"/>
  </sheetPr>
  <dimension ref="A1:M1788"/>
  <sheetViews>
    <sheetView tabSelected="1" topLeftCell="F1" zoomScaleNormal="100" workbookViewId="0">
      <selection activeCell="D1" sqref="D1:D1048576"/>
    </sheetView>
  </sheetViews>
  <sheetFormatPr defaultRowHeight="15"/>
  <cols>
    <col min="2" max="2" width="62.28515625" bestFit="1" customWidth="1"/>
    <col min="3" max="3" width="15.7109375" bestFit="1" customWidth="1"/>
    <col min="4" max="4" width="12.28515625" bestFit="1" customWidth="1"/>
    <col min="5" max="5" width="11.28515625" bestFit="1" customWidth="1"/>
    <col min="6" max="6" width="32.28515625" customWidth="1"/>
    <col min="7" max="7" width="12.7109375" bestFit="1" customWidth="1"/>
    <col min="8" max="8" width="26.7109375" customWidth="1"/>
    <col min="9" max="9" width="30.140625" customWidth="1"/>
    <col min="10" max="10" width="24.42578125" bestFit="1" customWidth="1"/>
    <col min="11" max="11" width="28.28515625" bestFit="1" customWidth="1"/>
    <col min="12" max="12" width="20.140625" bestFit="1" customWidth="1"/>
  </cols>
  <sheetData>
    <row r="1" spans="1:13" s="13" customFormat="1">
      <c r="A1" s="13" t="s">
        <v>22</v>
      </c>
      <c r="B1" s="13" t="s">
        <v>23</v>
      </c>
      <c r="C1" s="13" t="s">
        <v>24</v>
      </c>
      <c r="D1" s="13" t="s">
        <v>25</v>
      </c>
      <c r="E1" s="13" t="s">
        <v>26</v>
      </c>
      <c r="F1" s="13" t="s">
        <v>27</v>
      </c>
      <c r="G1" s="13" t="s">
        <v>376</v>
      </c>
      <c r="H1" s="13" t="s">
        <v>1495</v>
      </c>
      <c r="I1" s="13" t="s">
        <v>1496</v>
      </c>
      <c r="J1" s="13" t="s">
        <v>1497</v>
      </c>
      <c r="K1" s="13" t="s">
        <v>1498</v>
      </c>
      <c r="L1" s="13" t="s">
        <v>1499</v>
      </c>
      <c r="M1" s="37" t="s">
        <v>1500</v>
      </c>
    </row>
    <row r="2" spans="1:13">
      <c r="A2" t="str">
        <f t="shared" ref="A2:A33" si="0">"0"&amp;TRIM(D2)</f>
        <v>01012201</v>
      </c>
      <c r="B2" t="s">
        <v>379</v>
      </c>
      <c r="C2" t="s">
        <v>380</v>
      </c>
      <c r="D2">
        <v>1012201</v>
      </c>
      <c r="E2">
        <v>3001502</v>
      </c>
      <c r="F2" t="s">
        <v>39</v>
      </c>
      <c r="G2">
        <v>300</v>
      </c>
      <c r="H2" t="e">
        <f>VLOOKUP(A2,'SV Child INS Apr'!$A:$H,1,0)</f>
        <v>#N/A</v>
      </c>
      <c r="I2" t="e">
        <f>VLOOKUP(B2,'SV Child INS Apr'!$D:$F,1,0)</f>
        <v>#N/A</v>
      </c>
      <c r="J2" t="str">
        <f>VLOOKUP(A2,'SV Child BLG Apr'!$A:$J,1,0)</f>
        <v>01012201</v>
      </c>
      <c r="L2" t="str">
        <f>VLOOKUP(A2,'TV Apr Prorated Billing Sites'!$A:$I,1,0)</f>
        <v>01012201</v>
      </c>
      <c r="M2" t="e">
        <f>VLOOKUP(A2,'CDK asked to retain list'!$H$1:$J$24,1,0)</f>
        <v>#N/A</v>
      </c>
    </row>
    <row r="3" spans="1:13">
      <c r="A3" t="str">
        <f t="shared" si="0"/>
        <v>01012202</v>
      </c>
      <c r="B3" t="s">
        <v>382</v>
      </c>
      <c r="C3" t="s">
        <v>383</v>
      </c>
      <c r="D3">
        <v>1012202</v>
      </c>
      <c r="E3">
        <v>3001510</v>
      </c>
      <c r="F3" t="s">
        <v>39</v>
      </c>
      <c r="G3">
        <v>300</v>
      </c>
      <c r="H3" t="e">
        <f>VLOOKUP(A3,'SV Child INS Apr'!$A:$H,1,0)</f>
        <v>#N/A</v>
      </c>
      <c r="I3" t="e">
        <f>VLOOKUP(B3,'SV Child INS Apr'!$D:$F,1,0)</f>
        <v>#N/A</v>
      </c>
      <c r="J3" t="str">
        <f>VLOOKUP(A3,'SV Child BLG Apr'!$A:$J,1,0)</f>
        <v>01012202</v>
      </c>
      <c r="L3" t="str">
        <f>VLOOKUP(A3,'TV Apr Prorated Billing Sites'!$A:$I,1,0)</f>
        <v>01012202</v>
      </c>
      <c r="M3" t="e">
        <f>VLOOKUP(A3,'CDK asked to retain list'!$H$1:$J$24,1,0)</f>
        <v>#N/A</v>
      </c>
    </row>
    <row r="4" spans="1:13">
      <c r="A4" t="str">
        <f t="shared" si="0"/>
        <v>01012401</v>
      </c>
      <c r="B4" t="s">
        <v>1501</v>
      </c>
      <c r="C4" t="s">
        <v>1502</v>
      </c>
      <c r="D4">
        <v>1012401</v>
      </c>
      <c r="E4">
        <v>2500033</v>
      </c>
      <c r="F4" t="s">
        <v>39</v>
      </c>
      <c r="G4">
        <v>300</v>
      </c>
      <c r="H4" t="str">
        <f>VLOOKUP(A4,'SV Child INS Apr'!$A:$H,1,0)</f>
        <v>01012401</v>
      </c>
      <c r="L4" t="e">
        <f>VLOOKUP(A4,'TV Apr Prorated Billing Sites'!$A:$I,1,0)</f>
        <v>#N/A</v>
      </c>
    </row>
    <row r="5" spans="1:13">
      <c r="A5" t="str">
        <f t="shared" si="0"/>
        <v>01013001</v>
      </c>
      <c r="B5" t="s">
        <v>1503</v>
      </c>
      <c r="C5" t="s">
        <v>1504</v>
      </c>
      <c r="D5">
        <v>1013001</v>
      </c>
      <c r="E5">
        <v>2503657</v>
      </c>
      <c r="F5" t="s">
        <v>39</v>
      </c>
      <c r="G5">
        <v>300</v>
      </c>
      <c r="H5" t="str">
        <f>VLOOKUP(A5,'SV Child INS Apr'!$A:$H,1,0)</f>
        <v>01013001</v>
      </c>
      <c r="L5" t="e">
        <f>VLOOKUP(A5,'TV Apr Prorated Billing Sites'!$A:$I,1,0)</f>
        <v>#N/A</v>
      </c>
    </row>
    <row r="6" spans="1:13">
      <c r="A6" t="str">
        <f t="shared" si="0"/>
        <v>01013501</v>
      </c>
      <c r="B6" t="s">
        <v>385</v>
      </c>
      <c r="C6" t="s">
        <v>386</v>
      </c>
      <c r="D6">
        <v>1013501</v>
      </c>
      <c r="E6">
        <v>10027</v>
      </c>
      <c r="F6" t="s">
        <v>39</v>
      </c>
      <c r="G6">
        <v>300</v>
      </c>
      <c r="H6" t="e">
        <f>VLOOKUP(A6,'SV Child INS Apr'!$A:$H,1,0)</f>
        <v>#N/A</v>
      </c>
      <c r="I6" t="e">
        <f>VLOOKUP(B6,'SV Child INS Apr'!$D:$F,1,0)</f>
        <v>#N/A</v>
      </c>
      <c r="J6" t="str">
        <f>VLOOKUP(A6,'SV Child BLG Apr'!$A:$J,1,0)</f>
        <v>01013501</v>
      </c>
      <c r="L6" t="e">
        <f>VLOOKUP(A6,'TV Apr Prorated Billing Sites'!$A:$I,1,0)</f>
        <v>#N/A</v>
      </c>
      <c r="M6" t="e">
        <f>VLOOKUP(A6,'CDK asked to retain list'!$H$1:$J$24,1,0)</f>
        <v>#N/A</v>
      </c>
    </row>
    <row r="7" spans="1:13">
      <c r="A7" t="str">
        <f t="shared" si="0"/>
        <v>01013502</v>
      </c>
      <c r="B7" t="s">
        <v>388</v>
      </c>
      <c r="C7" t="s">
        <v>389</v>
      </c>
      <c r="D7">
        <v>1013502</v>
      </c>
      <c r="E7">
        <v>10028</v>
      </c>
      <c r="F7" t="s">
        <v>39</v>
      </c>
      <c r="G7">
        <v>300</v>
      </c>
      <c r="H7" t="e">
        <f>VLOOKUP(A7,'SV Child INS Apr'!$A:$H,1,0)</f>
        <v>#N/A</v>
      </c>
      <c r="I7" t="e">
        <f>VLOOKUP(B7,'SV Child INS Apr'!$D:$F,1,0)</f>
        <v>#N/A</v>
      </c>
      <c r="J7" t="str">
        <f>VLOOKUP(A7,'SV Child BLG Apr'!$A:$J,1,0)</f>
        <v>01013502</v>
      </c>
      <c r="L7" t="e">
        <f>VLOOKUP(A7,'TV Apr Prorated Billing Sites'!$A:$I,1,0)</f>
        <v>#N/A</v>
      </c>
      <c r="M7" t="e">
        <f>VLOOKUP(A7,'CDK asked to retain list'!$H$1:$J$24,1,0)</f>
        <v>#N/A</v>
      </c>
    </row>
    <row r="8" spans="1:13">
      <c r="A8" t="str">
        <f t="shared" si="0"/>
        <v>01017901</v>
      </c>
      <c r="B8" t="s">
        <v>1505</v>
      </c>
      <c r="C8" t="s">
        <v>1506</v>
      </c>
      <c r="D8">
        <v>1017901</v>
      </c>
      <c r="E8">
        <v>123013</v>
      </c>
      <c r="F8" t="s">
        <v>39</v>
      </c>
      <c r="G8">
        <v>300</v>
      </c>
      <c r="H8" t="str">
        <f>VLOOKUP(A8,'SV Child INS Apr'!$A:$H,1,0)</f>
        <v>01017901</v>
      </c>
      <c r="L8" t="e">
        <f>VLOOKUP(A8,'TV Apr Prorated Billing Sites'!$A:$I,1,0)</f>
        <v>#N/A</v>
      </c>
    </row>
    <row r="9" spans="1:13">
      <c r="A9" t="str">
        <f t="shared" si="0"/>
        <v>01023201</v>
      </c>
      <c r="B9" t="s">
        <v>1507</v>
      </c>
      <c r="C9" t="s">
        <v>1508</v>
      </c>
      <c r="D9">
        <v>1023201</v>
      </c>
      <c r="E9">
        <v>1500194</v>
      </c>
      <c r="F9" t="s">
        <v>39</v>
      </c>
      <c r="G9">
        <v>300</v>
      </c>
      <c r="H9" t="str">
        <f>VLOOKUP(A9,'SV Child INS Apr'!$A:$H,1,0)</f>
        <v>01023201</v>
      </c>
      <c r="L9" t="e">
        <f>VLOOKUP(A9,'TV Apr Prorated Billing Sites'!$A:$I,1,0)</f>
        <v>#N/A</v>
      </c>
    </row>
    <row r="10" spans="1:13">
      <c r="A10" t="str">
        <f t="shared" si="0"/>
        <v>01027202</v>
      </c>
      <c r="B10" t="s">
        <v>1509</v>
      </c>
      <c r="C10" t="s">
        <v>1510</v>
      </c>
      <c r="D10">
        <v>1027202</v>
      </c>
      <c r="E10">
        <v>2500877</v>
      </c>
      <c r="F10" t="s">
        <v>39</v>
      </c>
      <c r="G10">
        <v>300</v>
      </c>
      <c r="H10" t="str">
        <f>VLOOKUP(A10,'SV Child INS Apr'!$A:$H,1,0)</f>
        <v>01027202</v>
      </c>
      <c r="L10" t="e">
        <f>VLOOKUP(A10,'TV Apr Prorated Billing Sites'!$A:$I,1,0)</f>
        <v>#N/A</v>
      </c>
    </row>
    <row r="11" spans="1:13">
      <c r="A11" t="str">
        <f t="shared" si="0"/>
        <v>01027210</v>
      </c>
      <c r="B11" t="s">
        <v>1511</v>
      </c>
      <c r="C11" t="s">
        <v>1512</v>
      </c>
      <c r="D11">
        <v>1027210</v>
      </c>
      <c r="E11">
        <v>2500896</v>
      </c>
      <c r="F11" t="s">
        <v>39</v>
      </c>
      <c r="G11">
        <v>300</v>
      </c>
      <c r="H11" t="str">
        <f>VLOOKUP(A11,'SV Child INS Apr'!$A:$H,1,0)</f>
        <v>01027210</v>
      </c>
      <c r="L11" t="e">
        <f>VLOOKUP(A11,'TV Apr Prorated Billing Sites'!$A:$I,1,0)</f>
        <v>#N/A</v>
      </c>
    </row>
    <row r="12" spans="1:13">
      <c r="A12" t="str">
        <f t="shared" si="0"/>
        <v>01028106</v>
      </c>
      <c r="B12" t="s">
        <v>1513</v>
      </c>
      <c r="C12" t="s">
        <v>1514</v>
      </c>
      <c r="D12">
        <v>1028106</v>
      </c>
      <c r="E12">
        <v>3378</v>
      </c>
      <c r="F12" t="s">
        <v>39</v>
      </c>
      <c r="G12">
        <v>450</v>
      </c>
      <c r="H12" t="str">
        <f>VLOOKUP(A12,'SV Child INS Apr'!$A:$H,1,0)</f>
        <v>01028106</v>
      </c>
      <c r="L12" t="e">
        <f>VLOOKUP(A12,'TV Apr Prorated Billing Sites'!$A:$I,1,0)</f>
        <v>#N/A</v>
      </c>
    </row>
    <row r="13" spans="1:13">
      <c r="A13" t="str">
        <f t="shared" si="0"/>
        <v>01029201</v>
      </c>
      <c r="B13" t="s">
        <v>1515</v>
      </c>
      <c r="C13" t="s">
        <v>1516</v>
      </c>
      <c r="D13">
        <v>1029201</v>
      </c>
      <c r="E13">
        <v>3000869</v>
      </c>
      <c r="F13" t="s">
        <v>39</v>
      </c>
      <c r="G13">
        <v>300</v>
      </c>
      <c r="H13" t="str">
        <f>VLOOKUP(A13,'SV Child INS Apr'!$A:$H,1,0)</f>
        <v>01029201</v>
      </c>
      <c r="L13" t="e">
        <f>VLOOKUP(A13,'TV Apr Prorated Billing Sites'!$A:$I,1,0)</f>
        <v>#N/A</v>
      </c>
    </row>
    <row r="14" spans="1:13">
      <c r="A14" t="str">
        <f t="shared" si="0"/>
        <v>01029202</v>
      </c>
      <c r="B14" t="s">
        <v>1517</v>
      </c>
      <c r="C14" t="s">
        <v>1518</v>
      </c>
      <c r="D14">
        <v>1029202</v>
      </c>
      <c r="E14">
        <v>3000870</v>
      </c>
      <c r="F14" t="s">
        <v>39</v>
      </c>
      <c r="G14">
        <v>300</v>
      </c>
      <c r="H14" t="str">
        <f>VLOOKUP(A14,'SV Child INS Apr'!$A:$H,1,0)</f>
        <v>01029202</v>
      </c>
      <c r="L14" t="e">
        <f>VLOOKUP(A14,'TV Apr Prorated Billing Sites'!$A:$I,1,0)</f>
        <v>#N/A</v>
      </c>
    </row>
    <row r="15" spans="1:13">
      <c r="A15" t="str">
        <f t="shared" si="0"/>
        <v>01029501</v>
      </c>
      <c r="B15" t="s">
        <v>391</v>
      </c>
      <c r="C15" t="s">
        <v>392</v>
      </c>
      <c r="D15">
        <v>1029501</v>
      </c>
      <c r="E15">
        <v>2001100</v>
      </c>
      <c r="F15" t="s">
        <v>39</v>
      </c>
      <c r="G15">
        <v>300</v>
      </c>
      <c r="H15" t="e">
        <f>VLOOKUP(A15,'SV Child INS Apr'!$A:$H,1,0)</f>
        <v>#N/A</v>
      </c>
      <c r="I15" t="e">
        <f>VLOOKUP(B15,'SV Child INS Apr'!$D:$F,1,0)</f>
        <v>#N/A</v>
      </c>
      <c r="J15" t="str">
        <f>VLOOKUP(A15,'SV Child BLG Apr'!$A:$J,1,0)</f>
        <v>01029501</v>
      </c>
      <c r="L15" t="e">
        <f>VLOOKUP(A15,'TV Apr Prorated Billing Sites'!$A:$I,1,0)</f>
        <v>#N/A</v>
      </c>
      <c r="M15" t="e">
        <f>VLOOKUP(A15,'CDK asked to retain list'!$H$1:$J$24,1,0)</f>
        <v>#N/A</v>
      </c>
    </row>
    <row r="16" spans="1:13">
      <c r="A16" t="str">
        <f t="shared" si="0"/>
        <v>01029901</v>
      </c>
      <c r="B16" t="s">
        <v>1519</v>
      </c>
      <c r="C16" t="s">
        <v>1520</v>
      </c>
      <c r="D16">
        <v>1029901</v>
      </c>
      <c r="E16">
        <v>13134</v>
      </c>
      <c r="F16" t="s">
        <v>39</v>
      </c>
      <c r="G16">
        <v>450</v>
      </c>
      <c r="H16" t="str">
        <f>VLOOKUP(A16,'SV Child INS Apr'!$A:$H,1,0)</f>
        <v>01029901</v>
      </c>
      <c r="L16" t="e">
        <f>VLOOKUP(A16,'TV Apr Prorated Billing Sites'!$A:$I,1,0)</f>
        <v>#N/A</v>
      </c>
    </row>
    <row r="17" spans="1:12">
      <c r="A17" t="str">
        <f t="shared" si="0"/>
        <v>01029905</v>
      </c>
      <c r="B17" t="s">
        <v>1521</v>
      </c>
      <c r="C17" t="s">
        <v>1522</v>
      </c>
      <c r="D17">
        <v>1029905</v>
      </c>
      <c r="E17">
        <v>2500591</v>
      </c>
      <c r="F17" t="s">
        <v>39</v>
      </c>
      <c r="G17">
        <v>300</v>
      </c>
      <c r="H17" t="str">
        <f>VLOOKUP(A17,'SV Child INS Apr'!$A:$H,1,0)</f>
        <v>01029905</v>
      </c>
      <c r="L17" t="e">
        <f>VLOOKUP(A17,'TV Apr Prorated Billing Sites'!$A:$I,1,0)</f>
        <v>#N/A</v>
      </c>
    </row>
    <row r="18" spans="1:12">
      <c r="A18" t="str">
        <f t="shared" si="0"/>
        <v>01029906</v>
      </c>
      <c r="B18" t="s">
        <v>1523</v>
      </c>
      <c r="C18" t="s">
        <v>1524</v>
      </c>
      <c r="D18">
        <v>1029906</v>
      </c>
      <c r="E18">
        <v>13139</v>
      </c>
      <c r="F18" t="s">
        <v>39</v>
      </c>
      <c r="G18">
        <v>450</v>
      </c>
      <c r="H18" t="str">
        <f>VLOOKUP(A18,'SV Child INS Apr'!$A:$H,1,0)</f>
        <v>01029906</v>
      </c>
      <c r="L18" t="e">
        <f>VLOOKUP(A18,'TV Apr Prorated Billing Sites'!$A:$I,1,0)</f>
        <v>#N/A</v>
      </c>
    </row>
    <row r="19" spans="1:12">
      <c r="A19" t="str">
        <f t="shared" si="0"/>
        <v>01046402</v>
      </c>
      <c r="B19" t="s">
        <v>1525</v>
      </c>
      <c r="C19" t="s">
        <v>1526</v>
      </c>
      <c r="D19">
        <v>1046402</v>
      </c>
      <c r="E19">
        <v>2003102</v>
      </c>
      <c r="F19" t="s">
        <v>39</v>
      </c>
      <c r="G19">
        <v>300</v>
      </c>
      <c r="H19" t="str">
        <f>VLOOKUP(A19,'SV Child INS Apr'!$A:$H,1,0)</f>
        <v>01046402</v>
      </c>
      <c r="L19" t="e">
        <f>VLOOKUP(A19,'TV Apr Prorated Billing Sites'!$A:$I,1,0)</f>
        <v>#N/A</v>
      </c>
    </row>
    <row r="20" spans="1:12">
      <c r="A20" t="str">
        <f t="shared" si="0"/>
        <v>01046701</v>
      </c>
      <c r="B20" t="s">
        <v>1527</v>
      </c>
      <c r="C20" t="s">
        <v>1528</v>
      </c>
      <c r="D20">
        <v>1046701</v>
      </c>
      <c r="E20">
        <v>2503537</v>
      </c>
      <c r="F20" t="s">
        <v>39</v>
      </c>
      <c r="G20">
        <v>300</v>
      </c>
      <c r="H20" t="str">
        <f>VLOOKUP(A20,'SV Child INS Apr'!$A:$H,1,0)</f>
        <v>01046701</v>
      </c>
      <c r="L20" t="e">
        <f>VLOOKUP(A20,'TV Apr Prorated Billing Sites'!$A:$I,1,0)</f>
        <v>#N/A</v>
      </c>
    </row>
    <row r="21" spans="1:12">
      <c r="A21" t="str">
        <f t="shared" si="0"/>
        <v>01071601</v>
      </c>
      <c r="B21" t="s">
        <v>1529</v>
      </c>
      <c r="C21" t="s">
        <v>1530</v>
      </c>
      <c r="D21">
        <v>1071601</v>
      </c>
      <c r="E21">
        <v>2502506</v>
      </c>
      <c r="F21" t="s">
        <v>39</v>
      </c>
      <c r="G21">
        <v>300</v>
      </c>
      <c r="H21" t="str">
        <f>VLOOKUP(A21,'SV Child INS Apr'!$A:$H,1,0)</f>
        <v>01071601</v>
      </c>
      <c r="L21" t="e">
        <f>VLOOKUP(A21,'TV Apr Prorated Billing Sites'!$A:$I,1,0)</f>
        <v>#N/A</v>
      </c>
    </row>
    <row r="22" spans="1:12">
      <c r="A22" t="str">
        <f t="shared" si="0"/>
        <v>01154301</v>
      </c>
      <c r="B22" t="s">
        <v>1531</v>
      </c>
      <c r="C22" t="s">
        <v>1532</v>
      </c>
      <c r="D22">
        <v>1154301</v>
      </c>
      <c r="E22">
        <v>3000851</v>
      </c>
      <c r="F22" t="s">
        <v>39</v>
      </c>
      <c r="G22">
        <v>300</v>
      </c>
      <c r="H22" t="str">
        <f>VLOOKUP(A22,'SV Child INS Apr'!$A:$H,1,0)</f>
        <v>01154301</v>
      </c>
      <c r="L22" t="e">
        <f>VLOOKUP(A22,'TV Apr Prorated Billing Sites'!$A:$I,1,0)</f>
        <v>#N/A</v>
      </c>
    </row>
    <row r="23" spans="1:12">
      <c r="A23" t="str">
        <f t="shared" si="0"/>
        <v>01188402</v>
      </c>
      <c r="B23" t="s">
        <v>1533</v>
      </c>
      <c r="C23" t="s">
        <v>1534</v>
      </c>
      <c r="D23">
        <v>1188402</v>
      </c>
      <c r="E23">
        <v>2500234</v>
      </c>
      <c r="F23" t="s">
        <v>39</v>
      </c>
      <c r="G23">
        <v>300</v>
      </c>
      <c r="H23" t="str">
        <f>VLOOKUP(A23,'SV Child INS Apr'!$A:$H,1,0)</f>
        <v>01188402</v>
      </c>
      <c r="L23" t="e">
        <f>VLOOKUP(A23,'TV Apr Prorated Billing Sites'!$A:$I,1,0)</f>
        <v>#N/A</v>
      </c>
    </row>
    <row r="24" spans="1:12">
      <c r="A24" t="str">
        <f t="shared" si="0"/>
        <v>01214101</v>
      </c>
      <c r="B24" t="s">
        <v>1535</v>
      </c>
      <c r="C24" t="s">
        <v>1536</v>
      </c>
      <c r="D24">
        <v>1214101</v>
      </c>
      <c r="E24">
        <v>2500137</v>
      </c>
      <c r="F24" t="s">
        <v>39</v>
      </c>
      <c r="G24">
        <v>300</v>
      </c>
      <c r="H24" t="str">
        <f>VLOOKUP(A24,'SV Child INS Apr'!$A:$H,1,0)</f>
        <v>01214101</v>
      </c>
      <c r="L24" t="e">
        <f>VLOOKUP(A24,'TV Apr Prorated Billing Sites'!$A:$I,1,0)</f>
        <v>#N/A</v>
      </c>
    </row>
    <row r="25" spans="1:12">
      <c r="A25" t="str">
        <f t="shared" si="0"/>
        <v>01214106</v>
      </c>
      <c r="B25" t="s">
        <v>1537</v>
      </c>
      <c r="C25" t="s">
        <v>1538</v>
      </c>
      <c r="D25">
        <v>1214106</v>
      </c>
      <c r="E25">
        <v>2500760</v>
      </c>
      <c r="F25" t="s">
        <v>39</v>
      </c>
      <c r="G25">
        <v>300</v>
      </c>
      <c r="H25" t="str">
        <f>VLOOKUP(A25,'SV Child INS Apr'!$A:$H,1,0)</f>
        <v>01214106</v>
      </c>
      <c r="L25" t="e">
        <f>VLOOKUP(A25,'TV Apr Prorated Billing Sites'!$A:$I,1,0)</f>
        <v>#N/A</v>
      </c>
    </row>
    <row r="26" spans="1:12">
      <c r="A26" t="str">
        <f t="shared" si="0"/>
        <v>01247501</v>
      </c>
      <c r="B26" t="s">
        <v>1539</v>
      </c>
      <c r="C26" t="s">
        <v>1540</v>
      </c>
      <c r="D26">
        <v>1247501</v>
      </c>
      <c r="E26">
        <v>2002829</v>
      </c>
      <c r="F26" t="s">
        <v>39</v>
      </c>
      <c r="G26">
        <v>300</v>
      </c>
      <c r="H26" t="str">
        <f>VLOOKUP(A26,'SV Child INS Apr'!$A:$H,1,0)</f>
        <v>01247501</v>
      </c>
      <c r="L26" t="e">
        <f>VLOOKUP(A26,'TV Apr Prorated Billing Sites'!$A:$I,1,0)</f>
        <v>#N/A</v>
      </c>
    </row>
    <row r="27" spans="1:12">
      <c r="A27" t="str">
        <f t="shared" si="0"/>
        <v>01262401</v>
      </c>
      <c r="B27" t="s">
        <v>1541</v>
      </c>
      <c r="C27" t="s">
        <v>1542</v>
      </c>
      <c r="D27">
        <v>1262401</v>
      </c>
      <c r="E27">
        <v>2000706</v>
      </c>
      <c r="F27" t="s">
        <v>39</v>
      </c>
      <c r="G27">
        <v>300</v>
      </c>
      <c r="H27" t="str">
        <f>VLOOKUP(A27,'SV Child INS Apr'!$A:$H,1,0)</f>
        <v>01262401</v>
      </c>
      <c r="L27" t="e">
        <f>VLOOKUP(A27,'TV Apr Prorated Billing Sites'!$A:$I,1,0)</f>
        <v>#N/A</v>
      </c>
    </row>
    <row r="28" spans="1:12">
      <c r="A28" t="str">
        <f t="shared" si="0"/>
        <v>01275801</v>
      </c>
      <c r="B28" t="s">
        <v>1543</v>
      </c>
      <c r="C28" t="s">
        <v>1544</v>
      </c>
      <c r="D28">
        <v>1275801</v>
      </c>
      <c r="E28">
        <v>2001574</v>
      </c>
      <c r="F28" t="s">
        <v>39</v>
      </c>
      <c r="G28">
        <v>300</v>
      </c>
      <c r="H28" t="str">
        <f>VLOOKUP(A28,'SV Child INS Apr'!$A:$H,1,0)</f>
        <v>01275801</v>
      </c>
      <c r="L28" t="e">
        <f>VLOOKUP(A28,'TV Apr Prorated Billing Sites'!$A:$I,1,0)</f>
        <v>#N/A</v>
      </c>
    </row>
    <row r="29" spans="1:12">
      <c r="A29" t="str">
        <f t="shared" si="0"/>
        <v>01312701</v>
      </c>
      <c r="B29" t="s">
        <v>1545</v>
      </c>
      <c r="C29" t="s">
        <v>1546</v>
      </c>
      <c r="D29">
        <v>1312701</v>
      </c>
      <c r="E29">
        <v>2502652</v>
      </c>
      <c r="F29" t="s">
        <v>39</v>
      </c>
      <c r="G29">
        <v>300</v>
      </c>
      <c r="H29" t="str">
        <f>VLOOKUP(A29,'SV Child INS Apr'!$A:$H,1,0)</f>
        <v>01312701</v>
      </c>
      <c r="L29" t="e">
        <f>VLOOKUP(A29,'TV Apr Prorated Billing Sites'!$A:$I,1,0)</f>
        <v>#N/A</v>
      </c>
    </row>
    <row r="30" spans="1:12">
      <c r="A30" t="str">
        <f t="shared" si="0"/>
        <v>01322901</v>
      </c>
      <c r="B30" t="s">
        <v>1547</v>
      </c>
      <c r="C30" t="s">
        <v>1548</v>
      </c>
      <c r="D30">
        <v>1322901</v>
      </c>
      <c r="E30">
        <v>3000418</v>
      </c>
      <c r="F30" t="s">
        <v>39</v>
      </c>
      <c r="G30">
        <v>300</v>
      </c>
      <c r="H30" t="str">
        <f>VLOOKUP(A30,'SV Child INS Apr'!$A:$H,1,0)</f>
        <v>01322901</v>
      </c>
      <c r="L30" t="e">
        <f>VLOOKUP(A30,'TV Apr Prorated Billing Sites'!$A:$I,1,0)</f>
        <v>#N/A</v>
      </c>
    </row>
    <row r="31" spans="1:12">
      <c r="A31" t="str">
        <f t="shared" si="0"/>
        <v>01325654</v>
      </c>
      <c r="B31" t="s">
        <v>1549</v>
      </c>
      <c r="C31" t="s">
        <v>1550</v>
      </c>
      <c r="D31">
        <v>1325654</v>
      </c>
      <c r="E31">
        <v>3000691</v>
      </c>
      <c r="F31" t="s">
        <v>39</v>
      </c>
      <c r="G31">
        <v>300</v>
      </c>
      <c r="H31" t="str">
        <f>VLOOKUP(A31,'SV Child INS Apr'!$A:$H,1,0)</f>
        <v>01325654</v>
      </c>
      <c r="L31" t="e">
        <f>VLOOKUP(A31,'TV Apr Prorated Billing Sites'!$A:$I,1,0)</f>
        <v>#N/A</v>
      </c>
    </row>
    <row r="32" spans="1:12">
      <c r="A32" t="str">
        <f t="shared" si="0"/>
        <v>01325667</v>
      </c>
      <c r="B32" t="s">
        <v>1551</v>
      </c>
      <c r="C32" t="s">
        <v>1552</v>
      </c>
      <c r="D32">
        <v>1325667</v>
      </c>
      <c r="E32">
        <v>13103</v>
      </c>
      <c r="F32" t="s">
        <v>39</v>
      </c>
      <c r="G32">
        <v>450</v>
      </c>
      <c r="H32" t="str">
        <f>VLOOKUP(A32,'SV Child INS Apr'!$A:$H,1,0)</f>
        <v>01325667</v>
      </c>
      <c r="L32" t="e">
        <f>VLOOKUP(A32,'TV Apr Prorated Billing Sites'!$A:$I,1,0)</f>
        <v>#N/A</v>
      </c>
    </row>
    <row r="33" spans="1:13">
      <c r="A33" t="str">
        <f t="shared" si="0"/>
        <v>01325739</v>
      </c>
      <c r="B33" t="s">
        <v>394</v>
      </c>
      <c r="C33" t="s">
        <v>395</v>
      </c>
      <c r="D33">
        <v>1325739</v>
      </c>
      <c r="E33">
        <v>2000912</v>
      </c>
      <c r="F33" t="s">
        <v>39</v>
      </c>
      <c r="G33">
        <v>300</v>
      </c>
      <c r="H33" t="e">
        <f>VLOOKUP(A33,'SV Child INS Apr'!$A:$H,1,0)</f>
        <v>#N/A</v>
      </c>
      <c r="I33" t="e">
        <f>VLOOKUP(B33,'SV Child INS Apr'!$D:$F,1,0)</f>
        <v>#N/A</v>
      </c>
      <c r="J33" t="str">
        <f>VLOOKUP(A33,'SV Child BLG Apr'!$A:$J,1,0)</f>
        <v>01325739</v>
      </c>
      <c r="L33" t="e">
        <f>VLOOKUP(A33,'TV Apr Prorated Billing Sites'!$A:$I,1,0)</f>
        <v>#N/A</v>
      </c>
      <c r="M33" t="e">
        <f>VLOOKUP(A33,'CDK asked to retain list'!$H$1:$J$24,1,0)</f>
        <v>#N/A</v>
      </c>
    </row>
    <row r="34" spans="1:13">
      <c r="A34" t="str">
        <f t="shared" ref="A34:A65" si="1">"0"&amp;TRIM(D34)</f>
        <v>01326145</v>
      </c>
      <c r="B34" t="s">
        <v>397</v>
      </c>
      <c r="C34" t="s">
        <v>398</v>
      </c>
      <c r="D34">
        <v>1326145</v>
      </c>
      <c r="E34">
        <v>2500576</v>
      </c>
      <c r="F34" t="s">
        <v>39</v>
      </c>
      <c r="G34">
        <v>300</v>
      </c>
      <c r="H34" t="e">
        <f>VLOOKUP(A34,'SV Child INS Apr'!$A:$H,1,0)</f>
        <v>#N/A</v>
      </c>
      <c r="I34" t="e">
        <f>VLOOKUP(B34,'SV Child INS Apr'!$D:$F,1,0)</f>
        <v>#N/A</v>
      </c>
      <c r="J34" t="str">
        <f>VLOOKUP(A34,'SV Child BLG Apr'!$A:$J,1,0)</f>
        <v>01326145</v>
      </c>
      <c r="L34" t="str">
        <f>VLOOKUP(A34,'TV Apr Prorated Billing Sites'!$A:$I,1,0)</f>
        <v>01326145</v>
      </c>
      <c r="M34" t="e">
        <f>VLOOKUP(A34,'CDK asked to retain list'!$H$1:$J$24,1,0)</f>
        <v>#N/A</v>
      </c>
    </row>
    <row r="35" spans="1:13">
      <c r="A35" t="str">
        <f t="shared" si="1"/>
        <v>01326209</v>
      </c>
      <c r="B35" t="s">
        <v>1553</v>
      </c>
      <c r="C35" t="s">
        <v>1554</v>
      </c>
      <c r="D35">
        <v>1326209</v>
      </c>
      <c r="E35">
        <v>2500593</v>
      </c>
      <c r="F35" t="s">
        <v>39</v>
      </c>
      <c r="G35">
        <v>300</v>
      </c>
      <c r="H35" t="str">
        <f>VLOOKUP(A35,'SV Child INS Apr'!$A:$H,1,0)</f>
        <v>01326209</v>
      </c>
      <c r="L35" t="e">
        <f>VLOOKUP(A35,'TV Apr Prorated Billing Sites'!$A:$I,1,0)</f>
        <v>#N/A</v>
      </c>
    </row>
    <row r="36" spans="1:13">
      <c r="A36" t="str">
        <f t="shared" si="1"/>
        <v>01326302</v>
      </c>
      <c r="B36" t="s">
        <v>1555</v>
      </c>
      <c r="C36" t="s">
        <v>1556</v>
      </c>
      <c r="D36">
        <v>1326302</v>
      </c>
      <c r="E36">
        <v>1500193</v>
      </c>
      <c r="F36" t="s">
        <v>39</v>
      </c>
      <c r="G36">
        <v>300</v>
      </c>
      <c r="H36" t="str">
        <f>VLOOKUP(A36,'SV Child INS Apr'!$A:$H,1,0)</f>
        <v>01326302</v>
      </c>
      <c r="L36" t="e">
        <f>VLOOKUP(A36,'TV Apr Prorated Billing Sites'!$A:$I,1,0)</f>
        <v>#N/A</v>
      </c>
    </row>
    <row r="37" spans="1:13">
      <c r="A37" t="str">
        <f t="shared" si="1"/>
        <v>01326328</v>
      </c>
      <c r="B37" t="s">
        <v>1557</v>
      </c>
      <c r="C37" t="s">
        <v>1558</v>
      </c>
      <c r="D37">
        <v>1326328</v>
      </c>
      <c r="E37">
        <v>1500195</v>
      </c>
      <c r="F37" t="s">
        <v>39</v>
      </c>
      <c r="G37">
        <v>300</v>
      </c>
      <c r="H37" t="str">
        <f>VLOOKUP(A37,'SV Child INS Apr'!$A:$H,1,0)</f>
        <v>01326328</v>
      </c>
      <c r="L37" t="e">
        <f>VLOOKUP(A37,'TV Apr Prorated Billing Sites'!$A:$I,1,0)</f>
        <v>#N/A</v>
      </c>
    </row>
    <row r="38" spans="1:13">
      <c r="A38" t="str">
        <f t="shared" si="1"/>
        <v>01326343</v>
      </c>
      <c r="B38" t="s">
        <v>1559</v>
      </c>
      <c r="C38" t="s">
        <v>1560</v>
      </c>
      <c r="D38">
        <v>1326343</v>
      </c>
      <c r="E38">
        <v>3100</v>
      </c>
      <c r="F38" t="s">
        <v>39</v>
      </c>
      <c r="G38">
        <v>300</v>
      </c>
      <c r="H38" t="str">
        <f>VLOOKUP(A38,'SV Child INS Apr'!$A:$H,1,0)</f>
        <v>01326343</v>
      </c>
      <c r="L38" t="e">
        <f>VLOOKUP(A38,'TV Apr Prorated Billing Sites'!$A:$I,1,0)</f>
        <v>#N/A</v>
      </c>
    </row>
    <row r="39" spans="1:13">
      <c r="A39" t="str">
        <f t="shared" si="1"/>
        <v>01326417</v>
      </c>
      <c r="B39" t="s">
        <v>1561</v>
      </c>
      <c r="C39" t="s">
        <v>1562</v>
      </c>
      <c r="D39">
        <v>1326417</v>
      </c>
      <c r="E39">
        <v>2002977</v>
      </c>
      <c r="F39" t="s">
        <v>39</v>
      </c>
      <c r="G39">
        <v>300</v>
      </c>
      <c r="H39" t="e">
        <f>VLOOKUP(A39,'SV Child INS Apr'!$A:$H,1,0)</f>
        <v>#N/A</v>
      </c>
      <c r="I39" t="str">
        <f>VLOOKUP(B39,'SV Child INS Apr'!$D:$F,1,0)</f>
        <v>MOTOR MILE HYUNDAI</v>
      </c>
      <c r="L39" t="e">
        <f>VLOOKUP(A39,'TV Apr Prorated Billing Sites'!$A:$I,1,0)</f>
        <v>#N/A</v>
      </c>
    </row>
    <row r="40" spans="1:13">
      <c r="A40" t="str">
        <f t="shared" si="1"/>
        <v>01326450</v>
      </c>
      <c r="B40" t="s">
        <v>1563</v>
      </c>
      <c r="C40" t="s">
        <v>1564</v>
      </c>
      <c r="D40">
        <v>1326450</v>
      </c>
      <c r="E40" t="s">
        <v>438</v>
      </c>
      <c r="F40" t="s">
        <v>39</v>
      </c>
      <c r="G40">
        <v>300</v>
      </c>
      <c r="H40" t="str">
        <f>VLOOKUP(A40,'SV Child INS Apr'!$A:$H,1,0)</f>
        <v>01326450</v>
      </c>
      <c r="L40" t="e">
        <f>VLOOKUP(A40,'TV Apr Prorated Billing Sites'!$A:$I,1,0)</f>
        <v>#N/A</v>
      </c>
    </row>
    <row r="41" spans="1:13">
      <c r="A41" t="str">
        <f t="shared" si="1"/>
        <v>01326689</v>
      </c>
      <c r="B41" t="s">
        <v>1565</v>
      </c>
      <c r="C41" t="s">
        <v>1566</v>
      </c>
      <c r="D41">
        <v>1326689</v>
      </c>
      <c r="E41">
        <v>2501221</v>
      </c>
      <c r="F41" t="s">
        <v>39</v>
      </c>
      <c r="G41">
        <v>300</v>
      </c>
      <c r="H41" t="str">
        <f>VLOOKUP(A41,'SV Child INS Apr'!$A:$H,1,0)</f>
        <v>01326689</v>
      </c>
      <c r="L41" t="e">
        <f>VLOOKUP(A41,'TV Apr Prorated Billing Sites'!$A:$I,1,0)</f>
        <v>#N/A</v>
      </c>
    </row>
    <row r="42" spans="1:13">
      <c r="A42" t="str">
        <f t="shared" si="1"/>
        <v>01326804</v>
      </c>
      <c r="B42" t="s">
        <v>1567</v>
      </c>
      <c r="C42" t="s">
        <v>1568</v>
      </c>
      <c r="D42">
        <v>1326804</v>
      </c>
      <c r="E42">
        <v>4138</v>
      </c>
      <c r="F42" t="s">
        <v>39</v>
      </c>
      <c r="G42">
        <v>300</v>
      </c>
      <c r="H42" t="str">
        <f>VLOOKUP(A42,'SV Child INS Apr'!$A:$H,1,0)</f>
        <v>01326804</v>
      </c>
      <c r="L42" t="e">
        <f>VLOOKUP(A42,'TV Apr Prorated Billing Sites'!$A:$I,1,0)</f>
        <v>#N/A</v>
      </c>
    </row>
    <row r="43" spans="1:13">
      <c r="A43" t="str">
        <f t="shared" si="1"/>
        <v>01326917</v>
      </c>
      <c r="B43" t="s">
        <v>1569</v>
      </c>
      <c r="C43" t="s">
        <v>1570</v>
      </c>
      <c r="D43">
        <v>1326917</v>
      </c>
      <c r="E43">
        <v>2500240</v>
      </c>
      <c r="F43" t="s">
        <v>39</v>
      </c>
      <c r="G43">
        <v>300</v>
      </c>
      <c r="H43" t="str">
        <f>VLOOKUP(A43,'SV Child INS Apr'!$A:$H,1,0)</f>
        <v>01326917</v>
      </c>
      <c r="L43" t="e">
        <f>VLOOKUP(A43,'TV Apr Prorated Billing Sites'!$A:$I,1,0)</f>
        <v>#N/A</v>
      </c>
    </row>
    <row r="44" spans="1:13">
      <c r="A44" t="str">
        <f t="shared" si="1"/>
        <v>01327435</v>
      </c>
      <c r="B44" t="s">
        <v>1571</v>
      </c>
      <c r="C44" t="s">
        <v>1572</v>
      </c>
      <c r="D44">
        <v>1327435</v>
      </c>
      <c r="E44">
        <v>2500588</v>
      </c>
      <c r="F44" t="s">
        <v>39</v>
      </c>
      <c r="G44">
        <v>300</v>
      </c>
      <c r="H44" t="str">
        <f>VLOOKUP(A44,'SV Child INS Apr'!$A:$H,1,0)</f>
        <v>01327435</v>
      </c>
      <c r="L44" t="e">
        <f>VLOOKUP(A44,'TV Apr Prorated Billing Sites'!$A:$I,1,0)</f>
        <v>#N/A</v>
      </c>
    </row>
    <row r="45" spans="1:13">
      <c r="A45" t="str">
        <f t="shared" si="1"/>
        <v>01327499</v>
      </c>
      <c r="B45" t="s">
        <v>1573</v>
      </c>
      <c r="C45" t="s">
        <v>1574</v>
      </c>
      <c r="D45">
        <v>1327499</v>
      </c>
      <c r="E45">
        <v>2001702</v>
      </c>
      <c r="F45" t="s">
        <v>39</v>
      </c>
      <c r="G45">
        <v>300</v>
      </c>
      <c r="H45" t="str">
        <f>VLOOKUP(A45,'SV Child INS Apr'!$A:$H,1,0)</f>
        <v>01327499</v>
      </c>
      <c r="L45" t="e">
        <f>VLOOKUP(A45,'TV Apr Prorated Billing Sites'!$A:$I,1,0)</f>
        <v>#N/A</v>
      </c>
    </row>
    <row r="46" spans="1:13">
      <c r="A46" t="str">
        <f t="shared" si="1"/>
        <v>04508714</v>
      </c>
      <c r="B46" t="s">
        <v>1575</v>
      </c>
      <c r="C46" t="s">
        <v>1576</v>
      </c>
      <c r="D46">
        <v>4508714</v>
      </c>
      <c r="E46">
        <v>2503385</v>
      </c>
      <c r="F46" t="s">
        <v>39</v>
      </c>
      <c r="G46">
        <v>300</v>
      </c>
      <c r="H46" t="e">
        <f>VLOOKUP(A46,'SV Child INS Apr'!$A:$H,1,0)</f>
        <v>#N/A</v>
      </c>
      <c r="I46" t="str">
        <f>VLOOKUP(B46,'SV Child INS Apr'!$D:$F,1,0)</f>
        <v>ROPER KIA</v>
      </c>
      <c r="L46" t="e">
        <f>VLOOKUP(A46,'TV Apr Prorated Billing Sites'!$A:$I,1,0)</f>
        <v>#N/A</v>
      </c>
    </row>
    <row r="47" spans="1:13">
      <c r="A47" t="str">
        <f t="shared" si="1"/>
        <v>05021101</v>
      </c>
      <c r="B47" t="s">
        <v>1577</v>
      </c>
      <c r="C47" t="s">
        <v>1578</v>
      </c>
      <c r="D47">
        <v>5021101</v>
      </c>
      <c r="E47">
        <v>2502087</v>
      </c>
      <c r="F47" t="s">
        <v>39</v>
      </c>
      <c r="G47">
        <v>450</v>
      </c>
      <c r="H47" t="str">
        <f>VLOOKUP(A47,'SV Child INS Apr'!$A:$H,1,0)</f>
        <v>05021101</v>
      </c>
      <c r="L47" t="e">
        <f>VLOOKUP(A47,'TV Apr Prorated Billing Sites'!$A:$I,1,0)</f>
        <v>#N/A</v>
      </c>
    </row>
    <row r="48" spans="1:13">
      <c r="A48" t="str">
        <f t="shared" si="1"/>
        <v>05088801</v>
      </c>
      <c r="B48" t="s">
        <v>37</v>
      </c>
      <c r="C48" t="s">
        <v>38</v>
      </c>
      <c r="D48">
        <v>5088801</v>
      </c>
      <c r="E48">
        <v>2503075</v>
      </c>
      <c r="F48" t="s">
        <v>39</v>
      </c>
      <c r="G48">
        <v>300</v>
      </c>
      <c r="H48" t="e">
        <f>VLOOKUP(A48,'SV Child INS Apr'!$A:$H,1,0)</f>
        <v>#N/A</v>
      </c>
      <c r="I48" t="e">
        <f>VLOOKUP(B48,'SV Child INS Apr'!$D:$F,1,0)</f>
        <v>#N/A</v>
      </c>
      <c r="J48" t="e">
        <f>VLOOKUP(A48,'SV Child BLG Apr'!$A:$J,1,0)</f>
        <v>#N/A</v>
      </c>
      <c r="K48" t="e">
        <f>VLOOKUP(B48,'SV Child BLG Apr'!$D:$I,1,0)</f>
        <v>#N/A</v>
      </c>
      <c r="L48" t="e">
        <f>VLOOKUP(A48,'TV Apr Prorated Billing Sites'!$A:$I,1,0)</f>
        <v>#N/A</v>
      </c>
    </row>
    <row r="49" spans="1:12">
      <c r="A49" t="str">
        <f t="shared" si="1"/>
        <v>05120806</v>
      </c>
      <c r="B49" t="s">
        <v>1579</v>
      </c>
      <c r="C49" t="s">
        <v>1580</v>
      </c>
      <c r="D49">
        <v>5120806</v>
      </c>
      <c r="E49">
        <v>2002171</v>
      </c>
      <c r="F49" t="s">
        <v>39</v>
      </c>
      <c r="G49">
        <v>450</v>
      </c>
      <c r="H49" t="str">
        <f>VLOOKUP(A49,'SV Child INS Apr'!$A:$H,1,0)</f>
        <v>05120806</v>
      </c>
      <c r="L49" t="e">
        <f>VLOOKUP(A49,'TV Apr Prorated Billing Sites'!$A:$I,1,0)</f>
        <v>#N/A</v>
      </c>
    </row>
    <row r="50" spans="1:12">
      <c r="A50" t="str">
        <f t="shared" si="1"/>
        <v>05157307</v>
      </c>
      <c r="B50" t="s">
        <v>1581</v>
      </c>
      <c r="C50" t="s">
        <v>1582</v>
      </c>
      <c r="D50">
        <v>5157307</v>
      </c>
      <c r="E50">
        <v>2002175</v>
      </c>
      <c r="F50" t="s">
        <v>39</v>
      </c>
      <c r="G50">
        <v>450</v>
      </c>
      <c r="H50" t="str">
        <f>VLOOKUP(A50,'SV Child INS Apr'!$A:$H,1,0)</f>
        <v>05157307</v>
      </c>
      <c r="L50" t="e">
        <f>VLOOKUP(A50,'TV Apr Prorated Billing Sites'!$A:$I,1,0)</f>
        <v>#N/A</v>
      </c>
    </row>
    <row r="51" spans="1:12">
      <c r="A51" t="str">
        <f t="shared" si="1"/>
        <v>05163201</v>
      </c>
      <c r="B51" t="s">
        <v>1583</v>
      </c>
      <c r="C51" t="s">
        <v>1584</v>
      </c>
      <c r="D51">
        <v>5163201</v>
      </c>
      <c r="E51">
        <v>2001236</v>
      </c>
      <c r="F51" t="s">
        <v>39</v>
      </c>
      <c r="G51">
        <v>300</v>
      </c>
      <c r="H51" t="str">
        <f>VLOOKUP(A51,'SV Child INS Apr'!$A:$H,1,0)</f>
        <v>05163201</v>
      </c>
      <c r="L51" t="e">
        <f>VLOOKUP(A51,'TV Apr Prorated Billing Sites'!$A:$I,1,0)</f>
        <v>#N/A</v>
      </c>
    </row>
    <row r="52" spans="1:12">
      <c r="A52" t="str">
        <f t="shared" si="1"/>
        <v>05163202</v>
      </c>
      <c r="B52" t="s">
        <v>1585</v>
      </c>
      <c r="C52" t="s">
        <v>1586</v>
      </c>
      <c r="D52">
        <v>5163202</v>
      </c>
      <c r="E52">
        <v>2001237</v>
      </c>
      <c r="F52" t="s">
        <v>39</v>
      </c>
      <c r="G52">
        <v>300</v>
      </c>
      <c r="H52" t="str">
        <f>VLOOKUP(A52,'SV Child INS Apr'!$A:$H,1,0)</f>
        <v>05163202</v>
      </c>
      <c r="L52" t="e">
        <f>VLOOKUP(A52,'TV Apr Prorated Billing Sites'!$A:$I,1,0)</f>
        <v>#N/A</v>
      </c>
    </row>
    <row r="53" spans="1:12">
      <c r="A53" t="str">
        <f t="shared" si="1"/>
        <v>05172601</v>
      </c>
      <c r="B53" t="s">
        <v>1587</v>
      </c>
      <c r="C53" t="s">
        <v>1588</v>
      </c>
      <c r="D53">
        <v>5172601</v>
      </c>
      <c r="E53">
        <v>2502511</v>
      </c>
      <c r="F53" t="s">
        <v>39</v>
      </c>
      <c r="G53">
        <v>450</v>
      </c>
      <c r="H53" t="str">
        <f>VLOOKUP(A53,'SV Child INS Apr'!$A:$H,1,0)</f>
        <v>05172601</v>
      </c>
      <c r="L53" t="e">
        <f>VLOOKUP(A53,'TV Apr Prorated Billing Sites'!$A:$I,1,0)</f>
        <v>#N/A</v>
      </c>
    </row>
    <row r="54" spans="1:12">
      <c r="A54" t="str">
        <f t="shared" si="1"/>
        <v>05172603</v>
      </c>
      <c r="B54" t="s">
        <v>1589</v>
      </c>
      <c r="C54" t="s">
        <v>1590</v>
      </c>
      <c r="D54">
        <v>5172603</v>
      </c>
      <c r="E54">
        <v>2502464</v>
      </c>
      <c r="F54" t="s">
        <v>39</v>
      </c>
      <c r="G54">
        <v>450</v>
      </c>
      <c r="H54" t="str">
        <f>VLOOKUP(A54,'SV Child INS Apr'!$A:$H,1,0)</f>
        <v>05172603</v>
      </c>
      <c r="L54" t="e">
        <f>VLOOKUP(A54,'TV Apr Prorated Billing Sites'!$A:$I,1,0)</f>
        <v>#N/A</v>
      </c>
    </row>
    <row r="55" spans="1:12">
      <c r="A55" t="str">
        <f t="shared" si="1"/>
        <v>05228101</v>
      </c>
      <c r="B55" t="s">
        <v>1591</v>
      </c>
      <c r="C55" t="s">
        <v>1592</v>
      </c>
      <c r="D55">
        <v>5228101</v>
      </c>
      <c r="E55">
        <v>2000341</v>
      </c>
      <c r="F55" t="s">
        <v>39</v>
      </c>
      <c r="G55">
        <v>450</v>
      </c>
      <c r="H55" t="str">
        <f>VLOOKUP(A55,'SV Child INS Apr'!$A:$H,1,0)</f>
        <v>05228101</v>
      </c>
      <c r="L55" t="e">
        <f>VLOOKUP(A55,'TV Apr Prorated Billing Sites'!$A:$I,1,0)</f>
        <v>#N/A</v>
      </c>
    </row>
    <row r="56" spans="1:12">
      <c r="A56" t="str">
        <f t="shared" si="1"/>
        <v>05228102</v>
      </c>
      <c r="B56" t="s">
        <v>1593</v>
      </c>
      <c r="C56" t="s">
        <v>1594</v>
      </c>
      <c r="D56">
        <v>5228102</v>
      </c>
      <c r="E56">
        <v>3136</v>
      </c>
      <c r="F56" t="s">
        <v>39</v>
      </c>
      <c r="G56">
        <v>450</v>
      </c>
      <c r="H56" t="str">
        <f>VLOOKUP(A56,'SV Child INS Apr'!$A:$H,1,0)</f>
        <v>05228102</v>
      </c>
      <c r="L56" t="e">
        <f>VLOOKUP(A56,'TV Apr Prorated Billing Sites'!$A:$I,1,0)</f>
        <v>#N/A</v>
      </c>
    </row>
    <row r="57" spans="1:12">
      <c r="A57" t="str">
        <f t="shared" si="1"/>
        <v>05228501</v>
      </c>
      <c r="B57" t="s">
        <v>1595</v>
      </c>
      <c r="C57" t="s">
        <v>1596</v>
      </c>
      <c r="D57">
        <v>5228501</v>
      </c>
      <c r="E57">
        <v>2003012</v>
      </c>
      <c r="F57" t="s">
        <v>39</v>
      </c>
      <c r="G57">
        <v>300</v>
      </c>
      <c r="H57" t="str">
        <f>VLOOKUP(A57,'SV Child INS Apr'!$A:$H,1,0)</f>
        <v>05228501</v>
      </c>
      <c r="L57" t="e">
        <f>VLOOKUP(A57,'TV Apr Prorated Billing Sites'!$A:$I,1,0)</f>
        <v>#N/A</v>
      </c>
    </row>
    <row r="58" spans="1:12">
      <c r="A58" t="str">
        <f t="shared" si="1"/>
        <v>05236216</v>
      </c>
      <c r="B58" t="s">
        <v>1597</v>
      </c>
      <c r="C58" t="s">
        <v>1598</v>
      </c>
      <c r="D58">
        <v>5236216</v>
      </c>
      <c r="E58">
        <v>2000368</v>
      </c>
      <c r="F58" t="s">
        <v>39</v>
      </c>
      <c r="G58">
        <v>300</v>
      </c>
      <c r="H58" t="str">
        <f>VLOOKUP(A58,'SV Child INS Apr'!$A:$H,1,0)</f>
        <v>05236216</v>
      </c>
      <c r="L58" t="e">
        <f>VLOOKUP(A58,'TV Apr Prorated Billing Sites'!$A:$I,1,0)</f>
        <v>#N/A</v>
      </c>
    </row>
    <row r="59" spans="1:12">
      <c r="A59" t="str">
        <f t="shared" si="1"/>
        <v>05236425</v>
      </c>
      <c r="B59" t="s">
        <v>1599</v>
      </c>
      <c r="C59" t="s">
        <v>1600</v>
      </c>
      <c r="D59">
        <v>5236425</v>
      </c>
      <c r="E59">
        <v>2503601</v>
      </c>
      <c r="F59" t="s">
        <v>39</v>
      </c>
      <c r="G59">
        <v>300</v>
      </c>
      <c r="H59" t="str">
        <f>VLOOKUP(A59,'SV Child INS Apr'!$A:$H,1,0)</f>
        <v>05236425</v>
      </c>
      <c r="L59" t="e">
        <f>VLOOKUP(A59,'TV Apr Prorated Billing Sites'!$A:$I,1,0)</f>
        <v>#N/A</v>
      </c>
    </row>
    <row r="60" spans="1:12">
      <c r="A60" t="str">
        <f t="shared" si="1"/>
        <v>05236442</v>
      </c>
      <c r="B60" t="s">
        <v>41</v>
      </c>
      <c r="C60" t="s">
        <v>42</v>
      </c>
      <c r="D60">
        <v>5236442</v>
      </c>
      <c r="E60">
        <v>3001276</v>
      </c>
      <c r="F60" t="s">
        <v>39</v>
      </c>
      <c r="G60">
        <v>400</v>
      </c>
      <c r="H60" t="e">
        <f>VLOOKUP(A60,'SV Child INS Apr'!$A:$H,1,0)</f>
        <v>#N/A</v>
      </c>
      <c r="I60" t="e">
        <f>VLOOKUP(B60,'SV Child INS Apr'!$D:$F,1,0)</f>
        <v>#N/A</v>
      </c>
      <c r="J60" t="e">
        <f>VLOOKUP(A60,'SV Child BLG Apr'!$A:$J,1,0)</f>
        <v>#N/A</v>
      </c>
      <c r="K60" t="e">
        <f>VLOOKUP(B60,'SV Child BLG Apr'!$D:$I,1,0)</f>
        <v>#N/A</v>
      </c>
      <c r="L60" t="e">
        <f>VLOOKUP(A60,'TV Apr Prorated Billing Sites'!$A:$I,1,0)</f>
        <v>#N/A</v>
      </c>
    </row>
    <row r="61" spans="1:12">
      <c r="A61" t="str">
        <f t="shared" si="1"/>
        <v>05236492</v>
      </c>
      <c r="B61" t="s">
        <v>1601</v>
      </c>
      <c r="C61" t="s">
        <v>1602</v>
      </c>
      <c r="D61">
        <v>5236492</v>
      </c>
      <c r="E61">
        <v>2002178</v>
      </c>
      <c r="F61" t="s">
        <v>39</v>
      </c>
      <c r="G61">
        <v>450</v>
      </c>
      <c r="H61" t="str">
        <f>VLOOKUP(A61,'SV Child INS Apr'!$A:$H,1,0)</f>
        <v>05236492</v>
      </c>
      <c r="L61" t="e">
        <f>VLOOKUP(A61,'TV Apr Prorated Billing Sites'!$A:$I,1,0)</f>
        <v>#N/A</v>
      </c>
    </row>
    <row r="62" spans="1:12">
      <c r="A62" t="str">
        <f t="shared" si="1"/>
        <v>05236645</v>
      </c>
      <c r="B62" t="s">
        <v>1603</v>
      </c>
      <c r="C62" t="s">
        <v>1604</v>
      </c>
      <c r="D62">
        <v>5236645</v>
      </c>
      <c r="E62">
        <v>2000417</v>
      </c>
      <c r="F62" t="s">
        <v>39</v>
      </c>
      <c r="G62">
        <v>450</v>
      </c>
      <c r="H62" t="str">
        <f>VLOOKUP(A62,'SV Child INS Apr'!$A:$H,1,0)</f>
        <v>05236645</v>
      </c>
      <c r="L62" t="e">
        <f>VLOOKUP(A62,'TV Apr Prorated Billing Sites'!$A:$I,1,0)</f>
        <v>#N/A</v>
      </c>
    </row>
    <row r="63" spans="1:12">
      <c r="A63" t="str">
        <f t="shared" si="1"/>
        <v>05236759</v>
      </c>
      <c r="B63" t="s">
        <v>1605</v>
      </c>
      <c r="C63" t="s">
        <v>1606</v>
      </c>
      <c r="D63">
        <v>5236759</v>
      </c>
      <c r="E63">
        <v>8096</v>
      </c>
      <c r="F63" t="s">
        <v>39</v>
      </c>
      <c r="G63">
        <v>300</v>
      </c>
      <c r="H63" t="str">
        <f>VLOOKUP(A63,'SV Child INS Apr'!$A:$H,1,0)</f>
        <v>05236759</v>
      </c>
      <c r="L63" t="e">
        <f>VLOOKUP(A63,'TV Apr Prorated Billing Sites'!$A:$I,1,0)</f>
        <v>#N/A</v>
      </c>
    </row>
    <row r="64" spans="1:12">
      <c r="A64" t="str">
        <f t="shared" si="1"/>
        <v>05236822</v>
      </c>
      <c r="B64" t="s">
        <v>1607</v>
      </c>
      <c r="C64" t="s">
        <v>1608</v>
      </c>
      <c r="D64">
        <v>5236822</v>
      </c>
      <c r="E64">
        <v>5031</v>
      </c>
      <c r="F64" t="s">
        <v>39</v>
      </c>
      <c r="G64">
        <v>300</v>
      </c>
      <c r="H64" t="str">
        <f>VLOOKUP(A64,'SV Child INS Apr'!$A:$H,1,0)</f>
        <v>05236822</v>
      </c>
      <c r="L64" t="e">
        <f>VLOOKUP(A64,'TV Apr Prorated Billing Sites'!$A:$I,1,0)</f>
        <v>#N/A</v>
      </c>
    </row>
    <row r="65" spans="1:12">
      <c r="A65" t="str">
        <f t="shared" si="1"/>
        <v>05237164</v>
      </c>
      <c r="B65" t="s">
        <v>1609</v>
      </c>
      <c r="C65" t="s">
        <v>1610</v>
      </c>
      <c r="D65">
        <v>5237164</v>
      </c>
      <c r="E65">
        <v>2001818</v>
      </c>
      <c r="F65" t="s">
        <v>39</v>
      </c>
      <c r="G65">
        <v>300</v>
      </c>
      <c r="H65" t="str">
        <f>VLOOKUP(A65,'SV Child INS Apr'!$A:$H,1,0)</f>
        <v>05237164</v>
      </c>
      <c r="L65" t="e">
        <f>VLOOKUP(A65,'TV Apr Prorated Billing Sites'!$A:$I,1,0)</f>
        <v>#N/A</v>
      </c>
    </row>
    <row r="66" spans="1:12">
      <c r="A66" t="str">
        <f t="shared" ref="A66:A97" si="2">"0"&amp;TRIM(D66)</f>
        <v>05237677</v>
      </c>
      <c r="B66" t="s">
        <v>1611</v>
      </c>
      <c r="C66" t="s">
        <v>1612</v>
      </c>
      <c r="D66">
        <v>5237677</v>
      </c>
      <c r="E66">
        <v>2002983</v>
      </c>
      <c r="F66" t="s">
        <v>39</v>
      </c>
      <c r="G66">
        <v>300</v>
      </c>
      <c r="H66" t="str">
        <f>VLOOKUP(A66,'SV Child INS Apr'!$A:$H,1,0)</f>
        <v>05237677</v>
      </c>
      <c r="L66" t="e">
        <f>VLOOKUP(A66,'TV Apr Prorated Billing Sites'!$A:$I,1,0)</f>
        <v>#N/A</v>
      </c>
    </row>
    <row r="67" spans="1:12">
      <c r="A67" t="str">
        <f t="shared" si="2"/>
        <v>05400118</v>
      </c>
      <c r="B67" t="s">
        <v>1613</v>
      </c>
      <c r="C67" t="s">
        <v>1614</v>
      </c>
      <c r="D67">
        <v>5400118</v>
      </c>
      <c r="E67">
        <v>2501669</v>
      </c>
      <c r="F67" t="s">
        <v>39</v>
      </c>
      <c r="G67">
        <v>300</v>
      </c>
      <c r="H67" t="str">
        <f>VLOOKUP(A67,'SV Child INS Apr'!$A:$H,1,0)</f>
        <v>05400118</v>
      </c>
      <c r="L67" t="e">
        <f>VLOOKUP(A67,'TV Apr Prorated Billing Sites'!$A:$I,1,0)</f>
        <v>#N/A</v>
      </c>
    </row>
    <row r="68" spans="1:12">
      <c r="A68" t="str">
        <f t="shared" si="2"/>
        <v>05400192</v>
      </c>
      <c r="B68" t="s">
        <v>1615</v>
      </c>
      <c r="C68" t="s">
        <v>1616</v>
      </c>
      <c r="D68">
        <v>5400192</v>
      </c>
      <c r="E68">
        <v>2500551</v>
      </c>
      <c r="F68" t="s">
        <v>39</v>
      </c>
      <c r="G68">
        <v>300</v>
      </c>
      <c r="H68" t="str">
        <f>VLOOKUP(A68,'SV Child INS Apr'!$A:$H,1,0)</f>
        <v>05400192</v>
      </c>
      <c r="L68" t="e">
        <f>VLOOKUP(A68,'TV Apr Prorated Billing Sites'!$A:$I,1,0)</f>
        <v>#N/A</v>
      </c>
    </row>
    <row r="69" spans="1:12">
      <c r="A69" t="str">
        <f t="shared" si="2"/>
        <v>05700077</v>
      </c>
      <c r="B69" t="s">
        <v>1617</v>
      </c>
      <c r="C69" t="s">
        <v>1618</v>
      </c>
      <c r="D69">
        <v>5700077</v>
      </c>
      <c r="E69">
        <v>2500687</v>
      </c>
      <c r="F69" t="s">
        <v>39</v>
      </c>
      <c r="G69">
        <v>300</v>
      </c>
      <c r="H69" t="str">
        <f>VLOOKUP(A69,'SV Child INS Apr'!$A:$H,1,0)</f>
        <v>05700077</v>
      </c>
      <c r="L69" t="e">
        <f>VLOOKUP(A69,'TV Apr Prorated Billing Sites'!$A:$I,1,0)</f>
        <v>#N/A</v>
      </c>
    </row>
    <row r="70" spans="1:12">
      <c r="A70" t="str">
        <f t="shared" si="2"/>
        <v>05700078</v>
      </c>
      <c r="B70" t="s">
        <v>1619</v>
      </c>
      <c r="C70" t="s">
        <v>1620</v>
      </c>
      <c r="D70">
        <v>5700078</v>
      </c>
      <c r="E70">
        <v>2500495</v>
      </c>
      <c r="F70" t="s">
        <v>39</v>
      </c>
      <c r="G70">
        <v>300</v>
      </c>
      <c r="H70" t="str">
        <f>VLOOKUP(A70,'SV Child INS Apr'!$A:$H,1,0)</f>
        <v>05700078</v>
      </c>
      <c r="L70" t="e">
        <f>VLOOKUP(A70,'TV Apr Prorated Billing Sites'!$A:$I,1,0)</f>
        <v>#N/A</v>
      </c>
    </row>
    <row r="71" spans="1:12">
      <c r="A71" t="str">
        <f t="shared" si="2"/>
        <v>05700175</v>
      </c>
      <c r="B71" t="s">
        <v>1621</v>
      </c>
      <c r="C71" t="s">
        <v>1622</v>
      </c>
      <c r="D71">
        <v>5700175</v>
      </c>
      <c r="E71">
        <v>9018</v>
      </c>
      <c r="F71" t="s">
        <v>39</v>
      </c>
      <c r="G71">
        <v>300</v>
      </c>
      <c r="H71" t="str">
        <f>VLOOKUP(A71,'SV Child INS Apr'!$A:$H,1,0)</f>
        <v>05700175</v>
      </c>
      <c r="L71" t="e">
        <f>VLOOKUP(A71,'TV Apr Prorated Billing Sites'!$A:$I,1,0)</f>
        <v>#N/A</v>
      </c>
    </row>
    <row r="72" spans="1:12">
      <c r="A72" t="str">
        <f t="shared" si="2"/>
        <v>05710031</v>
      </c>
      <c r="B72" t="s">
        <v>1623</v>
      </c>
      <c r="C72" t="s">
        <v>1624</v>
      </c>
      <c r="D72">
        <v>5710031</v>
      </c>
      <c r="E72">
        <v>212</v>
      </c>
      <c r="F72" t="s">
        <v>39</v>
      </c>
      <c r="G72">
        <v>300</v>
      </c>
      <c r="H72" t="str">
        <f>VLOOKUP(A72,'SV Child INS Apr'!$A:$H,1,0)</f>
        <v>05710031</v>
      </c>
      <c r="L72" t="e">
        <f>VLOOKUP(A72,'TV Apr Prorated Billing Sites'!$A:$I,1,0)</f>
        <v>#N/A</v>
      </c>
    </row>
    <row r="73" spans="1:12">
      <c r="A73" t="str">
        <f t="shared" si="2"/>
        <v>05710042</v>
      </c>
      <c r="B73" t="s">
        <v>1625</v>
      </c>
      <c r="C73" t="s">
        <v>1626</v>
      </c>
      <c r="D73">
        <v>5710042</v>
      </c>
      <c r="E73">
        <v>2501192</v>
      </c>
      <c r="F73" t="s">
        <v>39</v>
      </c>
      <c r="G73">
        <v>300</v>
      </c>
      <c r="H73" t="str">
        <f>VLOOKUP(A73,'SV Child INS Apr'!$A:$H,1,0)</f>
        <v>05710042</v>
      </c>
      <c r="L73" t="e">
        <f>VLOOKUP(A73,'TV Apr Prorated Billing Sites'!$A:$I,1,0)</f>
        <v>#N/A</v>
      </c>
    </row>
    <row r="74" spans="1:12">
      <c r="A74" t="str">
        <f t="shared" si="2"/>
        <v>05710177</v>
      </c>
      <c r="B74" t="s">
        <v>1627</v>
      </c>
      <c r="C74" t="s">
        <v>1628</v>
      </c>
      <c r="D74">
        <v>5710177</v>
      </c>
      <c r="E74">
        <v>2503610</v>
      </c>
      <c r="F74" t="s">
        <v>39</v>
      </c>
      <c r="G74">
        <v>300</v>
      </c>
      <c r="H74" t="str">
        <f>VLOOKUP(A74,'SV Child INS Apr'!$A:$H,1,0)</f>
        <v>05710177</v>
      </c>
      <c r="L74" t="e">
        <f>VLOOKUP(A74,'TV Apr Prorated Billing Sites'!$A:$I,1,0)</f>
        <v>#N/A</v>
      </c>
    </row>
    <row r="75" spans="1:12">
      <c r="A75" t="str">
        <f t="shared" si="2"/>
        <v>05720026</v>
      </c>
      <c r="B75" t="s">
        <v>1629</v>
      </c>
      <c r="C75" t="s">
        <v>1630</v>
      </c>
      <c r="D75">
        <v>5720026</v>
      </c>
      <c r="E75">
        <v>13029</v>
      </c>
      <c r="F75" t="s">
        <v>39</v>
      </c>
      <c r="G75">
        <v>300</v>
      </c>
      <c r="H75" t="str">
        <f>VLOOKUP(A75,'SV Child INS Apr'!$A:$H,1,0)</f>
        <v>05720026</v>
      </c>
      <c r="L75" t="e">
        <f>VLOOKUP(A75,'TV Apr Prorated Billing Sites'!$A:$I,1,0)</f>
        <v>#N/A</v>
      </c>
    </row>
    <row r="76" spans="1:12">
      <c r="A76" t="str">
        <f t="shared" si="2"/>
        <v>05720064</v>
      </c>
      <c r="B76" t="s">
        <v>1631</v>
      </c>
      <c r="C76" t="s">
        <v>1632</v>
      </c>
      <c r="D76">
        <v>5720064</v>
      </c>
      <c r="E76">
        <v>2002571</v>
      </c>
      <c r="F76" t="s">
        <v>39</v>
      </c>
      <c r="G76">
        <v>300</v>
      </c>
      <c r="H76" t="str">
        <f>VLOOKUP(A76,'SV Child INS Apr'!$A:$H,1,0)</f>
        <v>05720064</v>
      </c>
      <c r="L76" t="e">
        <f>VLOOKUP(A76,'TV Apr Prorated Billing Sites'!$A:$I,1,0)</f>
        <v>#N/A</v>
      </c>
    </row>
    <row r="77" spans="1:12">
      <c r="A77" t="str">
        <f t="shared" si="2"/>
        <v>06600066</v>
      </c>
      <c r="B77" t="s">
        <v>1633</v>
      </c>
      <c r="C77" t="s">
        <v>1634</v>
      </c>
      <c r="D77">
        <v>6600066</v>
      </c>
      <c r="E77">
        <v>325</v>
      </c>
      <c r="F77" t="s">
        <v>39</v>
      </c>
      <c r="G77">
        <v>450</v>
      </c>
      <c r="H77" t="str">
        <f>VLOOKUP(A77,'SV Child INS Apr'!$A:$H,1,0)</f>
        <v>06600066</v>
      </c>
      <c r="L77" t="e">
        <f>VLOOKUP(A77,'TV Apr Prorated Billing Sites'!$A:$I,1,0)</f>
        <v>#N/A</v>
      </c>
    </row>
    <row r="78" spans="1:12">
      <c r="A78" t="str">
        <f t="shared" si="2"/>
        <v>06600309</v>
      </c>
      <c r="B78" t="s">
        <v>1635</v>
      </c>
      <c r="C78" t="s">
        <v>1636</v>
      </c>
      <c r="D78">
        <v>6600309</v>
      </c>
      <c r="E78">
        <v>13115</v>
      </c>
      <c r="F78" t="s">
        <v>39</v>
      </c>
      <c r="G78">
        <v>450</v>
      </c>
      <c r="H78" t="str">
        <f>VLOOKUP(A78,'SV Child INS Apr'!$A:$H,1,0)</f>
        <v>06600309</v>
      </c>
      <c r="L78" t="e">
        <f>VLOOKUP(A78,'TV Apr Prorated Billing Sites'!$A:$I,1,0)</f>
        <v>#N/A</v>
      </c>
    </row>
    <row r="79" spans="1:12">
      <c r="A79" t="str">
        <f t="shared" si="2"/>
        <v>06610123</v>
      </c>
      <c r="B79" t="s">
        <v>1637</v>
      </c>
      <c r="C79" t="s">
        <v>1638</v>
      </c>
      <c r="D79">
        <v>6610123</v>
      </c>
      <c r="E79">
        <v>3000323</v>
      </c>
      <c r="F79" t="s">
        <v>39</v>
      </c>
      <c r="G79">
        <v>300</v>
      </c>
      <c r="H79" t="str">
        <f>VLOOKUP(A79,'SV Child INS Apr'!$A:$H,1,0)</f>
        <v>06610123</v>
      </c>
      <c r="L79" t="e">
        <f>VLOOKUP(A79,'TV Apr Prorated Billing Sites'!$A:$I,1,0)</f>
        <v>#N/A</v>
      </c>
    </row>
    <row r="80" spans="1:12">
      <c r="A80" t="str">
        <f t="shared" si="2"/>
        <v>08300012</v>
      </c>
      <c r="B80" t="s">
        <v>1639</v>
      </c>
      <c r="C80" t="s">
        <v>1640</v>
      </c>
      <c r="D80">
        <v>8300012</v>
      </c>
      <c r="E80">
        <v>2502436</v>
      </c>
      <c r="F80" t="s">
        <v>39</v>
      </c>
      <c r="G80">
        <v>450</v>
      </c>
      <c r="H80" t="str">
        <f>VLOOKUP(A80,'SV Child INS Apr'!$A:$H,1,0)</f>
        <v>08300012</v>
      </c>
      <c r="L80" t="e">
        <f>VLOOKUP(A80,'TV Apr Prorated Billing Sites'!$A:$I,1,0)</f>
        <v>#N/A</v>
      </c>
    </row>
    <row r="81" spans="1:13">
      <c r="A81" t="str">
        <f t="shared" si="2"/>
        <v>08300016</v>
      </c>
      <c r="B81" t="s">
        <v>1641</v>
      </c>
      <c r="C81" t="s">
        <v>1642</v>
      </c>
      <c r="D81">
        <v>8300016</v>
      </c>
      <c r="E81">
        <v>2000549</v>
      </c>
      <c r="F81" t="s">
        <v>39</v>
      </c>
      <c r="G81">
        <v>450</v>
      </c>
      <c r="H81" t="str">
        <f>VLOOKUP(A81,'SV Child INS Apr'!$A:$H,1,0)</f>
        <v>08300016</v>
      </c>
      <c r="L81" t="e">
        <f>VLOOKUP(A81,'TV Apr Prorated Billing Sites'!$A:$I,1,0)</f>
        <v>#N/A</v>
      </c>
    </row>
    <row r="82" spans="1:13">
      <c r="A82" t="str">
        <f t="shared" si="2"/>
        <v>08300018</v>
      </c>
      <c r="B82" t="s">
        <v>44</v>
      </c>
      <c r="C82" t="s">
        <v>45</v>
      </c>
      <c r="D82">
        <v>8300018</v>
      </c>
      <c r="E82">
        <v>3000322</v>
      </c>
      <c r="F82" t="s">
        <v>39</v>
      </c>
      <c r="G82">
        <v>300</v>
      </c>
      <c r="H82" t="e">
        <f>VLOOKUP(A82,'SV Child INS Apr'!$A:$H,1,0)</f>
        <v>#N/A</v>
      </c>
      <c r="I82" t="e">
        <f>VLOOKUP(B82,'SV Child INS Apr'!$D:$F,1,0)</f>
        <v>#N/A</v>
      </c>
      <c r="J82" t="e">
        <f>VLOOKUP(A82,'SV Child BLG Apr'!$A:$J,1,0)</f>
        <v>#N/A</v>
      </c>
      <c r="K82" t="e">
        <f>VLOOKUP(B82,'SV Child BLG Apr'!$D:$I,1,0)</f>
        <v>#N/A</v>
      </c>
      <c r="L82" t="e">
        <f>VLOOKUP(A82,'TV Apr Prorated Billing Sites'!$A:$I,1,0)</f>
        <v>#N/A</v>
      </c>
    </row>
    <row r="83" spans="1:13">
      <c r="A83" t="str">
        <f t="shared" si="2"/>
        <v>08300034</v>
      </c>
      <c r="B83" t="s">
        <v>1643</v>
      </c>
      <c r="C83" t="s">
        <v>1644</v>
      </c>
      <c r="D83">
        <v>8300034</v>
      </c>
      <c r="E83">
        <v>6136</v>
      </c>
      <c r="F83" t="s">
        <v>39</v>
      </c>
      <c r="G83">
        <v>300</v>
      </c>
      <c r="H83" t="str">
        <f>VLOOKUP(A83,'SV Child INS Apr'!$A:$H,1,0)</f>
        <v>08300034</v>
      </c>
      <c r="L83" t="e">
        <f>VLOOKUP(A83,'TV Apr Prorated Billing Sites'!$A:$I,1,0)</f>
        <v>#N/A</v>
      </c>
    </row>
    <row r="84" spans="1:13">
      <c r="A84" t="str">
        <f t="shared" si="2"/>
        <v>08300046</v>
      </c>
      <c r="B84" t="s">
        <v>1645</v>
      </c>
      <c r="C84" t="s">
        <v>1646</v>
      </c>
      <c r="D84">
        <v>8300046</v>
      </c>
      <c r="E84">
        <v>2501241</v>
      </c>
      <c r="F84" t="s">
        <v>39</v>
      </c>
      <c r="G84">
        <v>450</v>
      </c>
      <c r="H84" t="str">
        <f>VLOOKUP(A84,'SV Child INS Apr'!$A:$H,1,0)</f>
        <v>08300046</v>
      </c>
      <c r="L84" t="e">
        <f>VLOOKUP(A84,'TV Apr Prorated Billing Sites'!$A:$I,1,0)</f>
        <v>#N/A</v>
      </c>
    </row>
    <row r="85" spans="1:13">
      <c r="A85" t="str">
        <f t="shared" si="2"/>
        <v>08300105</v>
      </c>
      <c r="B85" t="s">
        <v>1647</v>
      </c>
      <c r="C85" t="s">
        <v>1648</v>
      </c>
      <c r="D85">
        <v>8300105</v>
      </c>
      <c r="E85">
        <v>2001705</v>
      </c>
      <c r="F85" t="s">
        <v>39</v>
      </c>
      <c r="G85">
        <v>400</v>
      </c>
      <c r="H85" t="str">
        <f>VLOOKUP(A85,'SV Child INS Apr'!$A:$H,1,0)</f>
        <v>08300105</v>
      </c>
      <c r="L85" t="e">
        <f>VLOOKUP(A85,'TV Apr Prorated Billing Sites'!$A:$I,1,0)</f>
        <v>#N/A</v>
      </c>
    </row>
    <row r="86" spans="1:13">
      <c r="A86" t="str">
        <f t="shared" si="2"/>
        <v>08300163</v>
      </c>
      <c r="B86" t="s">
        <v>1649</v>
      </c>
      <c r="C86" t="s">
        <v>1650</v>
      </c>
      <c r="D86">
        <v>8300163</v>
      </c>
      <c r="E86">
        <v>2500596</v>
      </c>
      <c r="F86" t="s">
        <v>39</v>
      </c>
      <c r="G86">
        <v>400</v>
      </c>
      <c r="H86" t="str">
        <f>VLOOKUP(A86,'SV Child INS Apr'!$A:$H,1,0)</f>
        <v>08300163</v>
      </c>
      <c r="L86" t="e">
        <f>VLOOKUP(A86,'TV Apr Prorated Billing Sites'!$A:$I,1,0)</f>
        <v>#N/A</v>
      </c>
    </row>
    <row r="87" spans="1:13">
      <c r="A87" t="str">
        <f t="shared" si="2"/>
        <v>08300287</v>
      </c>
      <c r="B87" t="s">
        <v>1651</v>
      </c>
      <c r="C87" t="s">
        <v>1652</v>
      </c>
      <c r="D87">
        <v>8300287</v>
      </c>
      <c r="E87">
        <v>2000180</v>
      </c>
      <c r="F87" t="s">
        <v>39</v>
      </c>
      <c r="G87">
        <v>300</v>
      </c>
      <c r="H87" t="str">
        <f>VLOOKUP(A87,'SV Child INS Apr'!$A:$H,1,0)</f>
        <v>08300287</v>
      </c>
      <c r="L87" t="e">
        <f>VLOOKUP(A87,'TV Apr Prorated Billing Sites'!$A:$I,1,0)</f>
        <v>#N/A</v>
      </c>
    </row>
    <row r="88" spans="1:13">
      <c r="A88" t="str">
        <f t="shared" si="2"/>
        <v>08300299</v>
      </c>
      <c r="B88" t="s">
        <v>1653</v>
      </c>
      <c r="C88" t="s">
        <v>1654</v>
      </c>
      <c r="D88">
        <v>8300299</v>
      </c>
      <c r="E88">
        <v>2502776</v>
      </c>
      <c r="F88" t="s">
        <v>39</v>
      </c>
      <c r="G88">
        <v>300</v>
      </c>
      <c r="H88" t="str">
        <f>VLOOKUP(A88,'SV Child INS Apr'!$A:$H,1,0)</f>
        <v>08300299</v>
      </c>
      <c r="L88" t="e">
        <f>VLOOKUP(A88,'TV Apr Prorated Billing Sites'!$A:$I,1,0)</f>
        <v>#N/A</v>
      </c>
    </row>
    <row r="89" spans="1:13">
      <c r="A89" t="str">
        <f t="shared" si="2"/>
        <v>08300299</v>
      </c>
      <c r="B89" t="s">
        <v>1655</v>
      </c>
      <c r="C89" t="s">
        <v>1656</v>
      </c>
      <c r="D89">
        <v>8300299</v>
      </c>
      <c r="E89">
        <v>2502776</v>
      </c>
      <c r="F89" t="s">
        <v>39</v>
      </c>
      <c r="G89">
        <v>300</v>
      </c>
      <c r="H89" t="str">
        <f>VLOOKUP(A89,'SV Child INS Apr'!$A:$H,1,0)</f>
        <v>08300299</v>
      </c>
      <c r="L89" t="e">
        <f>VLOOKUP(A89,'TV Apr Prorated Billing Sites'!$A:$I,1,0)</f>
        <v>#N/A</v>
      </c>
    </row>
    <row r="90" spans="1:13">
      <c r="A90" t="str">
        <f t="shared" si="2"/>
        <v>08310011</v>
      </c>
      <c r="B90" t="s">
        <v>1657</v>
      </c>
      <c r="C90" t="s">
        <v>1658</v>
      </c>
      <c r="D90">
        <v>8310011</v>
      </c>
      <c r="E90">
        <v>3001014</v>
      </c>
      <c r="F90" t="s">
        <v>39</v>
      </c>
      <c r="G90">
        <v>300</v>
      </c>
      <c r="H90" t="str">
        <f>VLOOKUP(A90,'SV Child INS Apr'!$A:$H,1,0)</f>
        <v>08310011</v>
      </c>
      <c r="L90" t="e">
        <f>VLOOKUP(A90,'TV Apr Prorated Billing Sites'!$A:$I,1,0)</f>
        <v>#N/A</v>
      </c>
    </row>
    <row r="91" spans="1:13">
      <c r="A91" t="str">
        <f t="shared" si="2"/>
        <v>08310108</v>
      </c>
      <c r="B91" t="s">
        <v>1659</v>
      </c>
      <c r="C91" t="s">
        <v>1660</v>
      </c>
      <c r="D91">
        <v>8310108</v>
      </c>
      <c r="E91">
        <v>2001531</v>
      </c>
      <c r="F91" t="s">
        <v>39</v>
      </c>
      <c r="G91">
        <v>300</v>
      </c>
      <c r="H91" t="str">
        <f>VLOOKUP(A91,'SV Child INS Apr'!$A:$H,1,0)</f>
        <v>08310108</v>
      </c>
      <c r="L91" t="e">
        <f>VLOOKUP(A91,'TV Apr Prorated Billing Sites'!$A:$I,1,0)</f>
        <v>#N/A</v>
      </c>
    </row>
    <row r="92" spans="1:13">
      <c r="A92" t="str">
        <f t="shared" si="2"/>
        <v>08310123</v>
      </c>
      <c r="B92" t="s">
        <v>1661</v>
      </c>
      <c r="C92" t="s">
        <v>1662</v>
      </c>
      <c r="D92">
        <v>8310123</v>
      </c>
      <c r="E92">
        <v>2500745</v>
      </c>
      <c r="F92" t="s">
        <v>39</v>
      </c>
      <c r="G92">
        <v>300</v>
      </c>
      <c r="H92" t="str">
        <f>VLOOKUP(A92,'SV Child INS Apr'!$A:$H,1,0)</f>
        <v>08310123</v>
      </c>
      <c r="L92" t="e">
        <f>VLOOKUP(A92,'TV Apr Prorated Billing Sites'!$A:$I,1,0)</f>
        <v>#N/A</v>
      </c>
    </row>
    <row r="93" spans="1:13">
      <c r="A93" t="str">
        <f t="shared" si="2"/>
        <v>08320047</v>
      </c>
      <c r="B93" t="s">
        <v>1663</v>
      </c>
      <c r="C93" t="s">
        <v>1664</v>
      </c>
      <c r="D93">
        <v>8320047</v>
      </c>
      <c r="E93">
        <v>3000907</v>
      </c>
      <c r="F93" t="s">
        <v>39</v>
      </c>
      <c r="G93">
        <v>300</v>
      </c>
      <c r="H93" t="str">
        <f>VLOOKUP(A93,'SV Child INS Apr'!$A:$H,1,0)</f>
        <v>08320047</v>
      </c>
      <c r="L93" t="e">
        <f>VLOOKUP(A93,'TV Apr Prorated Billing Sites'!$A:$I,1,0)</f>
        <v>#N/A</v>
      </c>
    </row>
    <row r="94" spans="1:13">
      <c r="A94" t="str">
        <f t="shared" si="2"/>
        <v>08320062</v>
      </c>
      <c r="B94" t="s">
        <v>1665</v>
      </c>
      <c r="C94" t="s">
        <v>1666</v>
      </c>
      <c r="D94">
        <v>8320062</v>
      </c>
      <c r="E94">
        <v>2503320</v>
      </c>
      <c r="F94" t="s">
        <v>39</v>
      </c>
      <c r="G94">
        <v>300</v>
      </c>
      <c r="H94" t="str">
        <f>VLOOKUP(A94,'SV Child INS Apr'!$A:$H,1,0)</f>
        <v>08320062</v>
      </c>
      <c r="L94" t="e">
        <f>VLOOKUP(A94,'TV Apr Prorated Billing Sites'!$A:$I,1,0)</f>
        <v>#N/A</v>
      </c>
    </row>
    <row r="95" spans="1:13">
      <c r="A95" t="str">
        <f t="shared" si="2"/>
        <v>08320081</v>
      </c>
      <c r="B95" t="s">
        <v>400</v>
      </c>
      <c r="C95" t="s">
        <v>401</v>
      </c>
      <c r="D95">
        <v>8320081</v>
      </c>
      <c r="E95">
        <v>2002071</v>
      </c>
      <c r="F95" t="s">
        <v>39</v>
      </c>
      <c r="G95">
        <v>300</v>
      </c>
      <c r="H95" t="e">
        <f>VLOOKUP(A95,'SV Child INS Apr'!$A:$H,1,0)</f>
        <v>#N/A</v>
      </c>
      <c r="I95" t="e">
        <f>VLOOKUP(B95,'SV Child INS Apr'!$D:$F,1,0)</f>
        <v>#N/A</v>
      </c>
      <c r="J95" t="str">
        <f>VLOOKUP(A95,'SV Child BLG Apr'!$A:$J,1,0)</f>
        <v>08320081</v>
      </c>
      <c r="L95" t="e">
        <f>VLOOKUP(A95,'TV Apr Prorated Billing Sites'!$A:$I,1,0)</f>
        <v>#N/A</v>
      </c>
      <c r="M95" t="e">
        <f>VLOOKUP(A95,'CDK asked to retain list'!$H$1:$J$24,1,0)</f>
        <v>#N/A</v>
      </c>
    </row>
    <row r="96" spans="1:13">
      <c r="A96" t="str">
        <f t="shared" si="2"/>
        <v>08320151</v>
      </c>
      <c r="B96" t="s">
        <v>1667</v>
      </c>
      <c r="C96" t="s">
        <v>1668</v>
      </c>
      <c r="D96">
        <v>8320151</v>
      </c>
      <c r="E96">
        <v>2500259</v>
      </c>
      <c r="F96" t="s">
        <v>39</v>
      </c>
      <c r="G96">
        <v>300</v>
      </c>
      <c r="H96" t="str">
        <f>VLOOKUP(A96,'SV Child INS Apr'!$A:$H,1,0)</f>
        <v>08320151</v>
      </c>
      <c r="L96" t="e">
        <f>VLOOKUP(A96,'TV Apr Prorated Billing Sites'!$A:$I,1,0)</f>
        <v>#N/A</v>
      </c>
    </row>
    <row r="97" spans="1:13">
      <c r="A97" t="str">
        <f t="shared" si="2"/>
        <v>09014501</v>
      </c>
      <c r="B97" t="s">
        <v>1669</v>
      </c>
      <c r="C97" t="s">
        <v>1670</v>
      </c>
      <c r="D97">
        <v>9014501</v>
      </c>
      <c r="E97">
        <v>3000950</v>
      </c>
      <c r="F97" t="s">
        <v>39</v>
      </c>
      <c r="G97">
        <v>300</v>
      </c>
      <c r="H97" t="str">
        <f>VLOOKUP(A97,'SV Child INS Apr'!$A:$H,1,0)</f>
        <v>09014501</v>
      </c>
      <c r="L97" t="e">
        <f>VLOOKUP(A97,'TV Apr Prorated Billing Sites'!$A:$I,1,0)</f>
        <v>#N/A</v>
      </c>
    </row>
    <row r="98" spans="1:13">
      <c r="A98" t="str">
        <f t="shared" ref="A98:A104" si="3">"0"&amp;TRIM(D98)</f>
        <v>09025902</v>
      </c>
      <c r="B98" t="s">
        <v>403</v>
      </c>
      <c r="C98" t="s">
        <v>404</v>
      </c>
      <c r="D98">
        <v>9025902</v>
      </c>
      <c r="E98">
        <v>2002697</v>
      </c>
      <c r="F98" t="s">
        <v>39</v>
      </c>
      <c r="G98">
        <v>300</v>
      </c>
      <c r="H98" t="e">
        <f>VLOOKUP(A98,'SV Child INS Apr'!$A:$H,1,0)</f>
        <v>#N/A</v>
      </c>
      <c r="I98" t="e">
        <f>VLOOKUP(B98,'SV Child INS Apr'!$D:$F,1,0)</f>
        <v>#N/A</v>
      </c>
      <c r="J98" t="str">
        <f>VLOOKUP(A98,'SV Child BLG Apr'!$A:$J,1,0)</f>
        <v>09025902</v>
      </c>
      <c r="L98" t="str">
        <f>VLOOKUP(A98,'TV Apr Prorated Billing Sites'!$A:$I,1,0)</f>
        <v>09025902</v>
      </c>
      <c r="M98" t="e">
        <f>VLOOKUP(A98,'CDK asked to retain list'!$H$1:$J$24,1,0)</f>
        <v>#N/A</v>
      </c>
    </row>
    <row r="99" spans="1:13">
      <c r="A99" t="str">
        <f t="shared" si="3"/>
        <v>09082601</v>
      </c>
      <c r="B99" t="s">
        <v>1671</v>
      </c>
      <c r="C99" t="s">
        <v>1672</v>
      </c>
      <c r="D99">
        <v>9082601</v>
      </c>
      <c r="E99">
        <v>3000737</v>
      </c>
      <c r="F99" t="s">
        <v>39</v>
      </c>
      <c r="G99">
        <v>300</v>
      </c>
      <c r="H99" t="str">
        <f>VLOOKUP(A99,'SV Child INS Apr'!$A:$H,1,0)</f>
        <v>09082601</v>
      </c>
      <c r="L99" t="e">
        <f>VLOOKUP(A99,'TV Apr Prorated Billing Sites'!$A:$I,1,0)</f>
        <v>#N/A</v>
      </c>
    </row>
    <row r="100" spans="1:13">
      <c r="A100" t="str">
        <f t="shared" si="3"/>
        <v>09086501</v>
      </c>
      <c r="B100" t="s">
        <v>1673</v>
      </c>
      <c r="C100" t="s">
        <v>1674</v>
      </c>
      <c r="D100">
        <v>9086501</v>
      </c>
      <c r="E100">
        <v>143038</v>
      </c>
      <c r="F100" t="s">
        <v>39</v>
      </c>
      <c r="G100">
        <v>300</v>
      </c>
      <c r="H100" t="str">
        <f>VLOOKUP(A100,'SV Child INS Apr'!$A:$H,1,0)</f>
        <v>09086501</v>
      </c>
      <c r="L100" t="e">
        <f>VLOOKUP(A100,'TV Apr Prorated Billing Sites'!$A:$I,1,0)</f>
        <v>#N/A</v>
      </c>
    </row>
    <row r="101" spans="1:13">
      <c r="A101" t="str">
        <f t="shared" si="3"/>
        <v>09187704</v>
      </c>
      <c r="B101" t="s">
        <v>1675</v>
      </c>
      <c r="C101" t="s">
        <v>1676</v>
      </c>
      <c r="D101">
        <v>9187704</v>
      </c>
      <c r="E101">
        <v>2502362</v>
      </c>
      <c r="F101" t="s">
        <v>39</v>
      </c>
      <c r="G101">
        <v>300</v>
      </c>
      <c r="H101" t="str">
        <f>VLOOKUP(A101,'SV Child INS Apr'!$A:$H,1,0)</f>
        <v>09187704</v>
      </c>
      <c r="L101" t="e">
        <f>VLOOKUP(A101,'TV Apr Prorated Billing Sites'!$A:$I,1,0)</f>
        <v>#N/A</v>
      </c>
    </row>
    <row r="102" spans="1:13">
      <c r="A102" t="str">
        <f t="shared" si="3"/>
        <v>09700114</v>
      </c>
      <c r="B102" t="s">
        <v>1677</v>
      </c>
      <c r="C102" t="s">
        <v>1678</v>
      </c>
      <c r="D102">
        <v>9700114</v>
      </c>
      <c r="E102">
        <v>2000594</v>
      </c>
      <c r="F102" t="s">
        <v>39</v>
      </c>
      <c r="G102">
        <v>300</v>
      </c>
      <c r="H102" t="str">
        <f>VLOOKUP(A102,'SV Child INS Apr'!$A:$H,1,0)</f>
        <v>09700114</v>
      </c>
      <c r="L102" t="e">
        <f>VLOOKUP(A102,'TV Apr Prorated Billing Sites'!$A:$I,1,0)</f>
        <v>#N/A</v>
      </c>
    </row>
    <row r="103" spans="1:13">
      <c r="A103" t="str">
        <f t="shared" si="3"/>
        <v>09700250</v>
      </c>
      <c r="B103" t="s">
        <v>1679</v>
      </c>
      <c r="C103" t="s">
        <v>1680</v>
      </c>
      <c r="D103">
        <v>9700250</v>
      </c>
      <c r="E103">
        <v>2503594</v>
      </c>
      <c r="F103" t="s">
        <v>39</v>
      </c>
      <c r="G103">
        <v>300</v>
      </c>
      <c r="H103" t="str">
        <f>VLOOKUP(A103,'SV Child INS Apr'!$A:$H,1,0)</f>
        <v>09700250</v>
      </c>
      <c r="L103" t="e">
        <f>VLOOKUP(A103,'TV Apr Prorated Billing Sites'!$A:$I,1,0)</f>
        <v>#N/A</v>
      </c>
    </row>
    <row r="104" spans="1:13">
      <c r="A104" t="str">
        <f t="shared" si="3"/>
        <v>09800181</v>
      </c>
      <c r="B104" t="s">
        <v>1681</v>
      </c>
      <c r="C104" t="s">
        <v>1682</v>
      </c>
      <c r="D104">
        <v>9800181</v>
      </c>
      <c r="E104" t="s">
        <v>438</v>
      </c>
      <c r="F104" t="s">
        <v>39</v>
      </c>
      <c r="G104">
        <v>600</v>
      </c>
      <c r="H104" t="str">
        <f>VLOOKUP(A104,'SV Child INS Apr'!$A:$H,1,0)</f>
        <v>09800181</v>
      </c>
      <c r="L104" t="e">
        <f>VLOOKUP(A104,'TV Apr Prorated Billing Sites'!$A:$I,1,0)</f>
        <v>#N/A</v>
      </c>
    </row>
    <row r="105" spans="1:13">
      <c r="A105" t="str">
        <f t="shared" ref="A105:A168" si="4">TRIM(D105)</f>
        <v>10027564</v>
      </c>
      <c r="B105" t="s">
        <v>1683</v>
      </c>
      <c r="C105" t="s">
        <v>1684</v>
      </c>
      <c r="D105">
        <v>10027564</v>
      </c>
      <c r="E105">
        <v>3001858</v>
      </c>
      <c r="F105" t="s">
        <v>39</v>
      </c>
      <c r="G105">
        <v>300</v>
      </c>
      <c r="H105" t="str">
        <f>VLOOKUP(A105,'SV Child INS Apr'!$A:$H,1,0)</f>
        <v>10027564</v>
      </c>
      <c r="L105" t="e">
        <f>VLOOKUP(A105,'TV Apr Prorated Billing Sites'!$A:$I,1,0)</f>
        <v>#N/A</v>
      </c>
    </row>
    <row r="106" spans="1:13">
      <c r="A106" t="str">
        <f t="shared" si="4"/>
        <v>13059104</v>
      </c>
      <c r="B106" t="s">
        <v>1685</v>
      </c>
      <c r="C106" t="s">
        <v>1686</v>
      </c>
      <c r="D106">
        <v>13059104</v>
      </c>
      <c r="E106">
        <v>12088</v>
      </c>
      <c r="F106" t="s">
        <v>39</v>
      </c>
      <c r="G106">
        <v>300</v>
      </c>
      <c r="H106" t="str">
        <f>VLOOKUP(A106,'SV Child INS Apr'!$A:$H,1,0)</f>
        <v>13059104</v>
      </c>
      <c r="L106" t="e">
        <f>VLOOKUP(A106,'TV Apr Prorated Billing Sites'!$A:$I,1,0)</f>
        <v>#N/A</v>
      </c>
    </row>
    <row r="107" spans="1:13">
      <c r="A107" t="str">
        <f t="shared" si="4"/>
        <v>13093301</v>
      </c>
      <c r="B107" t="s">
        <v>47</v>
      </c>
      <c r="C107" t="s">
        <v>48</v>
      </c>
      <c r="D107">
        <v>13093301</v>
      </c>
      <c r="E107">
        <v>2503593</v>
      </c>
      <c r="F107" t="s">
        <v>39</v>
      </c>
      <c r="G107">
        <v>300</v>
      </c>
      <c r="H107" t="e">
        <f>VLOOKUP(A107,'SV Child INS Apr'!$A:$H,1,0)</f>
        <v>#N/A</v>
      </c>
      <c r="I107" t="e">
        <f>VLOOKUP(B107,'SV Child INS Apr'!$D:$F,1,0)</f>
        <v>#N/A</v>
      </c>
      <c r="J107" t="e">
        <f>VLOOKUP(A107,'SV Child BLG Apr'!$A:$J,1,0)</f>
        <v>#N/A</v>
      </c>
      <c r="K107" t="e">
        <f>VLOOKUP(B107,'SV Child BLG Apr'!$D:$I,1,0)</f>
        <v>#N/A</v>
      </c>
      <c r="L107" t="e">
        <f>VLOOKUP(A107,'TV Apr Prorated Billing Sites'!$A:$I,1,0)</f>
        <v>#N/A</v>
      </c>
    </row>
    <row r="108" spans="1:13">
      <c r="A108" t="str">
        <f t="shared" si="4"/>
        <v>13104901</v>
      </c>
      <c r="B108" t="s">
        <v>1687</v>
      </c>
      <c r="C108" t="s">
        <v>1688</v>
      </c>
      <c r="D108">
        <v>13104901</v>
      </c>
      <c r="E108">
        <v>1500085</v>
      </c>
      <c r="F108" t="s">
        <v>39</v>
      </c>
      <c r="G108">
        <v>300</v>
      </c>
      <c r="H108" t="str">
        <f>VLOOKUP(A108,'SV Child INS Apr'!$A:$H,1,0)</f>
        <v>13104901</v>
      </c>
      <c r="L108" t="e">
        <f>VLOOKUP(A108,'TV Apr Prorated Billing Sites'!$A:$I,1,0)</f>
        <v>#N/A</v>
      </c>
    </row>
    <row r="109" spans="1:13">
      <c r="A109" t="str">
        <f t="shared" si="4"/>
        <v>13115401</v>
      </c>
      <c r="B109" t="s">
        <v>1689</v>
      </c>
      <c r="C109" t="s">
        <v>1690</v>
      </c>
      <c r="D109">
        <v>13115401</v>
      </c>
      <c r="E109">
        <v>2500146</v>
      </c>
      <c r="F109" t="s">
        <v>39</v>
      </c>
      <c r="G109">
        <v>300</v>
      </c>
      <c r="H109" t="str">
        <f>VLOOKUP(A109,'SV Child INS Apr'!$A:$H,1,0)</f>
        <v>13115401</v>
      </c>
      <c r="L109" t="e">
        <f>VLOOKUP(A109,'TV Apr Prorated Billing Sites'!$A:$I,1,0)</f>
        <v>#N/A</v>
      </c>
    </row>
    <row r="110" spans="1:13">
      <c r="A110" t="str">
        <f t="shared" si="4"/>
        <v>13221101</v>
      </c>
      <c r="B110" t="s">
        <v>1691</v>
      </c>
      <c r="C110" t="s">
        <v>1692</v>
      </c>
      <c r="D110">
        <v>13221101</v>
      </c>
      <c r="E110">
        <v>2500334</v>
      </c>
      <c r="F110" t="s">
        <v>39</v>
      </c>
      <c r="G110">
        <v>300</v>
      </c>
      <c r="H110" t="str">
        <f>VLOOKUP(A110,'SV Child INS Apr'!$A:$H,1,0)</f>
        <v>13221101</v>
      </c>
      <c r="L110" t="e">
        <f>VLOOKUP(A110,'TV Apr Prorated Billing Sites'!$A:$I,1,0)</f>
        <v>#N/A</v>
      </c>
    </row>
    <row r="111" spans="1:13">
      <c r="A111" t="str">
        <f t="shared" si="4"/>
        <v>13323802</v>
      </c>
      <c r="B111" t="s">
        <v>1693</v>
      </c>
      <c r="C111" t="s">
        <v>1694</v>
      </c>
      <c r="D111">
        <v>13323802</v>
      </c>
      <c r="E111">
        <v>2500252</v>
      </c>
      <c r="F111" t="s">
        <v>39</v>
      </c>
      <c r="G111">
        <v>300</v>
      </c>
      <c r="H111" t="str">
        <f>VLOOKUP(A111,'SV Child INS Apr'!$A:$H,1,0)</f>
        <v>13323802</v>
      </c>
      <c r="L111" t="e">
        <f>VLOOKUP(A111,'TV Apr Prorated Billing Sites'!$A:$I,1,0)</f>
        <v>#N/A</v>
      </c>
    </row>
    <row r="112" spans="1:13">
      <c r="A112" t="str">
        <f t="shared" si="4"/>
        <v>13326501</v>
      </c>
      <c r="B112" t="s">
        <v>1695</v>
      </c>
      <c r="C112" t="s">
        <v>1696</v>
      </c>
      <c r="D112">
        <v>13326501</v>
      </c>
      <c r="E112">
        <v>2001367</v>
      </c>
      <c r="F112" t="s">
        <v>39</v>
      </c>
      <c r="G112">
        <v>300</v>
      </c>
      <c r="H112" t="str">
        <f>VLOOKUP(A112,'SV Child INS Apr'!$A:$H,1,0)</f>
        <v>13326501</v>
      </c>
      <c r="L112" t="e">
        <f>VLOOKUP(A112,'TV Apr Prorated Billing Sites'!$A:$I,1,0)</f>
        <v>#N/A</v>
      </c>
    </row>
    <row r="113" spans="1:12">
      <c r="A113" t="str">
        <f t="shared" si="4"/>
        <v>13337904</v>
      </c>
      <c r="B113" t="s">
        <v>1697</v>
      </c>
      <c r="C113" t="s">
        <v>1698</v>
      </c>
      <c r="D113">
        <v>13337904</v>
      </c>
      <c r="E113">
        <v>2502347</v>
      </c>
      <c r="F113" t="s">
        <v>39</v>
      </c>
      <c r="G113">
        <v>450</v>
      </c>
      <c r="H113" t="str">
        <f>VLOOKUP(A113,'SV Child INS Apr'!$A:$H,1,0)</f>
        <v>13337904</v>
      </c>
      <c r="L113" t="e">
        <f>VLOOKUP(A113,'TV Apr Prorated Billing Sites'!$A:$I,1,0)</f>
        <v>#N/A</v>
      </c>
    </row>
    <row r="114" spans="1:12">
      <c r="A114" t="str">
        <f t="shared" si="4"/>
        <v>13344301</v>
      </c>
      <c r="B114" t="s">
        <v>1699</v>
      </c>
      <c r="C114" t="s">
        <v>1700</v>
      </c>
      <c r="D114">
        <v>13344301</v>
      </c>
      <c r="E114">
        <v>903093</v>
      </c>
      <c r="F114" t="s">
        <v>39</v>
      </c>
      <c r="G114">
        <v>300</v>
      </c>
      <c r="H114" t="str">
        <f>VLOOKUP(A114,'SV Child INS Apr'!$A:$H,1,0)</f>
        <v>13344301</v>
      </c>
      <c r="L114" t="e">
        <f>VLOOKUP(A114,'TV Apr Prorated Billing Sites'!$A:$I,1,0)</f>
        <v>#N/A</v>
      </c>
    </row>
    <row r="115" spans="1:12">
      <c r="A115" t="str">
        <f t="shared" si="4"/>
        <v>13345704</v>
      </c>
      <c r="B115" t="s">
        <v>1701</v>
      </c>
      <c r="C115" t="s">
        <v>1702</v>
      </c>
      <c r="D115">
        <v>13345704</v>
      </c>
      <c r="E115">
        <v>2502475</v>
      </c>
      <c r="F115" t="s">
        <v>39</v>
      </c>
      <c r="G115">
        <v>450</v>
      </c>
      <c r="H115" t="str">
        <f>VLOOKUP(A115,'SV Child INS Apr'!$A:$H,1,0)</f>
        <v>13345704</v>
      </c>
      <c r="L115" t="e">
        <f>VLOOKUP(A115,'TV Apr Prorated Billing Sites'!$A:$I,1,0)</f>
        <v>#N/A</v>
      </c>
    </row>
    <row r="116" spans="1:12">
      <c r="A116" t="str">
        <f t="shared" si="4"/>
        <v>13345705</v>
      </c>
      <c r="B116" t="s">
        <v>1703</v>
      </c>
      <c r="C116" t="s">
        <v>1704</v>
      </c>
      <c r="D116">
        <v>13345705</v>
      </c>
      <c r="E116">
        <v>2502512</v>
      </c>
      <c r="F116" t="s">
        <v>39</v>
      </c>
      <c r="G116">
        <v>450</v>
      </c>
      <c r="H116" t="str">
        <f>VLOOKUP(A116,'SV Child INS Apr'!$A:$H,1,0)</f>
        <v>13345705</v>
      </c>
      <c r="L116" t="e">
        <f>VLOOKUP(A116,'TV Apr Prorated Billing Sites'!$A:$I,1,0)</f>
        <v>#N/A</v>
      </c>
    </row>
    <row r="117" spans="1:12">
      <c r="A117" t="str">
        <f t="shared" si="4"/>
        <v>13345710</v>
      </c>
      <c r="B117" t="s">
        <v>1705</v>
      </c>
      <c r="C117" t="s">
        <v>1706</v>
      </c>
      <c r="D117">
        <v>13345710</v>
      </c>
      <c r="E117">
        <v>2502454</v>
      </c>
      <c r="F117" t="s">
        <v>39</v>
      </c>
      <c r="G117">
        <v>450</v>
      </c>
      <c r="H117" t="str">
        <f>VLOOKUP(A117,'SV Child INS Apr'!$A:$H,1,0)</f>
        <v>13345710</v>
      </c>
      <c r="L117" t="e">
        <f>VLOOKUP(A117,'TV Apr Prorated Billing Sites'!$A:$I,1,0)</f>
        <v>#N/A</v>
      </c>
    </row>
    <row r="118" spans="1:12">
      <c r="A118" t="str">
        <f t="shared" si="4"/>
        <v>13376401</v>
      </c>
      <c r="B118" t="s">
        <v>1707</v>
      </c>
      <c r="C118" t="s">
        <v>1708</v>
      </c>
      <c r="D118">
        <v>13376401</v>
      </c>
      <c r="E118">
        <v>2503165</v>
      </c>
      <c r="F118" t="s">
        <v>39</v>
      </c>
      <c r="G118">
        <v>400</v>
      </c>
      <c r="H118" t="str">
        <f>VLOOKUP(A118,'SV Child INS Apr'!$A:$H,1,0)</f>
        <v>13376401</v>
      </c>
      <c r="L118" t="e">
        <f>VLOOKUP(A118,'TV Apr Prorated Billing Sites'!$A:$I,1,0)</f>
        <v>#N/A</v>
      </c>
    </row>
    <row r="119" spans="1:12">
      <c r="A119" t="str">
        <f t="shared" si="4"/>
        <v>13387401</v>
      </c>
      <c r="B119" t="s">
        <v>1709</v>
      </c>
      <c r="C119" t="s">
        <v>1710</v>
      </c>
      <c r="D119">
        <v>13387401</v>
      </c>
      <c r="E119">
        <v>4200</v>
      </c>
      <c r="F119" t="s">
        <v>39</v>
      </c>
      <c r="G119">
        <v>300</v>
      </c>
      <c r="H119" t="str">
        <f>VLOOKUP(A119,'SV Child INS Apr'!$A:$H,1,0)</f>
        <v>13387401</v>
      </c>
      <c r="L119" t="e">
        <f>VLOOKUP(A119,'TV Apr Prorated Billing Sites'!$A:$I,1,0)</f>
        <v>#N/A</v>
      </c>
    </row>
    <row r="120" spans="1:12">
      <c r="A120" t="str">
        <f t="shared" si="4"/>
        <v>13387403</v>
      </c>
      <c r="B120" t="s">
        <v>1711</v>
      </c>
      <c r="C120" t="s">
        <v>1712</v>
      </c>
      <c r="D120">
        <v>13387403</v>
      </c>
      <c r="E120">
        <v>2500071</v>
      </c>
      <c r="F120" t="s">
        <v>39</v>
      </c>
      <c r="G120">
        <v>300</v>
      </c>
      <c r="H120" t="str">
        <f>VLOOKUP(A120,'SV Child INS Apr'!$A:$H,1,0)</f>
        <v>13387403</v>
      </c>
      <c r="L120" t="e">
        <f>VLOOKUP(A120,'TV Apr Prorated Billing Sites'!$A:$I,1,0)</f>
        <v>#N/A</v>
      </c>
    </row>
    <row r="121" spans="1:12">
      <c r="A121" t="str">
        <f t="shared" si="4"/>
        <v>13387405</v>
      </c>
      <c r="B121" t="s">
        <v>1713</v>
      </c>
      <c r="C121" t="s">
        <v>1714</v>
      </c>
      <c r="D121">
        <v>13387405</v>
      </c>
      <c r="E121">
        <v>2500072</v>
      </c>
      <c r="F121" t="s">
        <v>39</v>
      </c>
      <c r="G121">
        <v>300</v>
      </c>
      <c r="H121" t="str">
        <f>VLOOKUP(A121,'SV Child INS Apr'!$A:$H,1,0)</f>
        <v>13387405</v>
      </c>
      <c r="L121" t="e">
        <f>VLOOKUP(A121,'TV Apr Prorated Billing Sites'!$A:$I,1,0)</f>
        <v>#N/A</v>
      </c>
    </row>
    <row r="122" spans="1:12">
      <c r="A122" t="str">
        <f t="shared" si="4"/>
        <v>13387406</v>
      </c>
      <c r="B122" t="s">
        <v>1715</v>
      </c>
      <c r="C122" t="s">
        <v>1716</v>
      </c>
      <c r="D122">
        <v>13387406</v>
      </c>
      <c r="E122">
        <v>2500688</v>
      </c>
      <c r="F122" t="s">
        <v>39</v>
      </c>
      <c r="G122">
        <v>450</v>
      </c>
      <c r="H122" t="str">
        <f>VLOOKUP(A122,'SV Child INS Apr'!$A:$H,1,0)</f>
        <v>13387406</v>
      </c>
      <c r="L122" t="e">
        <f>VLOOKUP(A122,'TV Apr Prorated Billing Sites'!$A:$I,1,0)</f>
        <v>#N/A</v>
      </c>
    </row>
    <row r="123" spans="1:12">
      <c r="A123" t="str">
        <f t="shared" si="4"/>
        <v>13436001</v>
      </c>
      <c r="B123" t="s">
        <v>1717</v>
      </c>
      <c r="C123" t="s">
        <v>1718</v>
      </c>
      <c r="D123">
        <v>13436001</v>
      </c>
      <c r="E123">
        <v>3000586</v>
      </c>
      <c r="F123" t="s">
        <v>39</v>
      </c>
      <c r="G123">
        <v>400</v>
      </c>
      <c r="H123" t="str">
        <f>VLOOKUP(A123,'SV Child INS Apr'!$A:$H,1,0)</f>
        <v>13436001</v>
      </c>
      <c r="L123" t="e">
        <f>VLOOKUP(A123,'TV Apr Prorated Billing Sites'!$A:$I,1,0)</f>
        <v>#N/A</v>
      </c>
    </row>
    <row r="124" spans="1:12">
      <c r="A124" t="str">
        <f t="shared" si="4"/>
        <v>13494351</v>
      </c>
      <c r="B124" t="s">
        <v>1719</v>
      </c>
      <c r="C124" t="s">
        <v>1720</v>
      </c>
      <c r="D124">
        <v>13494351</v>
      </c>
      <c r="E124">
        <v>2500232</v>
      </c>
      <c r="F124" t="s">
        <v>39</v>
      </c>
      <c r="G124">
        <v>300</v>
      </c>
      <c r="H124" t="str">
        <f>VLOOKUP(A124,'SV Child INS Apr'!$A:$H,1,0)</f>
        <v>13494351</v>
      </c>
      <c r="L124" t="e">
        <f>VLOOKUP(A124,'TV Apr Prorated Billing Sites'!$A:$I,1,0)</f>
        <v>#N/A</v>
      </c>
    </row>
    <row r="125" spans="1:12">
      <c r="A125" t="str">
        <f t="shared" si="4"/>
        <v>13494436</v>
      </c>
      <c r="B125" t="s">
        <v>1721</v>
      </c>
      <c r="C125" t="s">
        <v>1722</v>
      </c>
      <c r="D125">
        <v>13494436</v>
      </c>
      <c r="E125">
        <v>2500393</v>
      </c>
      <c r="F125" t="s">
        <v>39</v>
      </c>
      <c r="G125">
        <v>300</v>
      </c>
      <c r="H125" t="str">
        <f>VLOOKUP(A125,'SV Child INS Apr'!$A:$H,1,0)</f>
        <v>13494436</v>
      </c>
      <c r="L125" t="e">
        <f>VLOOKUP(A125,'TV Apr Prorated Billing Sites'!$A:$I,1,0)</f>
        <v>#N/A</v>
      </c>
    </row>
    <row r="126" spans="1:12">
      <c r="A126" t="str">
        <f t="shared" si="4"/>
        <v>13494512</v>
      </c>
      <c r="B126" t="s">
        <v>1723</v>
      </c>
      <c r="C126" t="s">
        <v>1724</v>
      </c>
      <c r="D126">
        <v>13494512</v>
      </c>
      <c r="E126">
        <v>3001447</v>
      </c>
      <c r="F126" t="s">
        <v>39</v>
      </c>
      <c r="G126">
        <v>300</v>
      </c>
      <c r="H126" t="str">
        <f>VLOOKUP(A126,'SV Child INS Apr'!$A:$H,1,0)</f>
        <v>13494512</v>
      </c>
      <c r="L126" t="e">
        <f>VLOOKUP(A126,'TV Apr Prorated Billing Sites'!$A:$I,1,0)</f>
        <v>#N/A</v>
      </c>
    </row>
    <row r="127" spans="1:12">
      <c r="A127" t="str">
        <f t="shared" si="4"/>
        <v>13494907</v>
      </c>
      <c r="B127" t="s">
        <v>1725</v>
      </c>
      <c r="C127" t="s">
        <v>1726</v>
      </c>
      <c r="D127">
        <v>13494907</v>
      </c>
      <c r="E127">
        <v>3000753</v>
      </c>
      <c r="F127" t="s">
        <v>39</v>
      </c>
      <c r="G127">
        <v>300</v>
      </c>
      <c r="H127" t="str">
        <f>VLOOKUP(A127,'SV Child INS Apr'!$A:$H,1,0)</f>
        <v>13494907</v>
      </c>
      <c r="L127" t="e">
        <f>VLOOKUP(A127,'TV Apr Prorated Billing Sites'!$A:$I,1,0)</f>
        <v>#N/A</v>
      </c>
    </row>
    <row r="128" spans="1:12">
      <c r="A128" t="str">
        <f t="shared" si="4"/>
        <v>13495129</v>
      </c>
      <c r="B128" t="s">
        <v>1727</v>
      </c>
      <c r="C128" t="s">
        <v>1728</v>
      </c>
      <c r="D128">
        <v>13495129</v>
      </c>
      <c r="E128">
        <v>2003128</v>
      </c>
      <c r="F128" t="s">
        <v>39</v>
      </c>
      <c r="G128">
        <v>300</v>
      </c>
      <c r="H128" t="str">
        <f>VLOOKUP(A128,'SV Child INS Apr'!$A:$H,1,0)</f>
        <v>13495129</v>
      </c>
      <c r="L128" t="e">
        <f>VLOOKUP(A128,'TV Apr Prorated Billing Sites'!$A:$I,1,0)</f>
        <v>#N/A</v>
      </c>
    </row>
    <row r="129" spans="1:13">
      <c r="A129" t="str">
        <f t="shared" si="4"/>
        <v>13495264</v>
      </c>
      <c r="B129" t="s">
        <v>1729</v>
      </c>
      <c r="C129" t="s">
        <v>1730</v>
      </c>
      <c r="D129">
        <v>13495264</v>
      </c>
      <c r="E129">
        <v>3000824</v>
      </c>
      <c r="F129" t="s">
        <v>39</v>
      </c>
      <c r="G129">
        <v>300</v>
      </c>
      <c r="H129" t="str">
        <f>VLOOKUP(A129,'SV Child INS Apr'!$A:$H,1,0)</f>
        <v>13495264</v>
      </c>
      <c r="L129" t="e">
        <f>VLOOKUP(A129,'TV Apr Prorated Billing Sites'!$A:$I,1,0)</f>
        <v>#N/A</v>
      </c>
    </row>
    <row r="130" spans="1:13">
      <c r="A130" t="str">
        <f t="shared" si="4"/>
        <v>13495381</v>
      </c>
      <c r="B130" t="s">
        <v>1731</v>
      </c>
      <c r="C130" t="s">
        <v>1732</v>
      </c>
      <c r="D130">
        <v>13495381</v>
      </c>
      <c r="E130">
        <v>4196</v>
      </c>
      <c r="F130" t="s">
        <v>39</v>
      </c>
      <c r="G130">
        <v>450</v>
      </c>
      <c r="H130" t="str">
        <f>VLOOKUP(A130,'SV Child INS Apr'!$A:$H,1,0)</f>
        <v>13495381</v>
      </c>
      <c r="L130" t="e">
        <f>VLOOKUP(A130,'TV Apr Prorated Billing Sites'!$A:$I,1,0)</f>
        <v>#N/A</v>
      </c>
    </row>
    <row r="131" spans="1:13">
      <c r="A131" t="str">
        <f t="shared" si="4"/>
        <v>13495513</v>
      </c>
      <c r="B131" t="s">
        <v>1733</v>
      </c>
      <c r="C131" t="s">
        <v>1734</v>
      </c>
      <c r="D131">
        <v>13495513</v>
      </c>
      <c r="E131">
        <v>2503571</v>
      </c>
      <c r="F131" t="s">
        <v>39</v>
      </c>
      <c r="G131">
        <v>300</v>
      </c>
      <c r="H131" t="str">
        <f>VLOOKUP(A131,'SV Child INS Apr'!$A:$H,1,0)</f>
        <v>13495513</v>
      </c>
      <c r="L131" t="e">
        <f>VLOOKUP(A131,'TV Apr Prorated Billing Sites'!$A:$I,1,0)</f>
        <v>#N/A</v>
      </c>
    </row>
    <row r="132" spans="1:13">
      <c r="A132" t="str">
        <f t="shared" si="4"/>
        <v>13495528</v>
      </c>
      <c r="B132" t="s">
        <v>1735</v>
      </c>
      <c r="C132" t="s">
        <v>1736</v>
      </c>
      <c r="D132">
        <v>13495528</v>
      </c>
      <c r="E132">
        <v>2001684</v>
      </c>
      <c r="F132" t="s">
        <v>39</v>
      </c>
      <c r="G132">
        <v>450</v>
      </c>
      <c r="H132" t="e">
        <f>VLOOKUP(A132,'SV Child INS Apr'!$A:$H,1,0)</f>
        <v>#N/A</v>
      </c>
      <c r="I132" t="str">
        <f>VLOOKUP(B132,'SV Child INS Apr'!$D:$F,1,0)</f>
        <v>O'DANIEL MOTOR SALES</v>
      </c>
      <c r="L132" t="e">
        <f>VLOOKUP(A132,'TV Apr Prorated Billing Sites'!$A:$I,1,0)</f>
        <v>#N/A</v>
      </c>
    </row>
    <row r="133" spans="1:13">
      <c r="A133" t="str">
        <f t="shared" si="4"/>
        <v>13495534</v>
      </c>
      <c r="B133" t="s">
        <v>1737</v>
      </c>
      <c r="C133" t="s">
        <v>1738</v>
      </c>
      <c r="D133">
        <v>13495534</v>
      </c>
      <c r="E133">
        <v>2502326</v>
      </c>
      <c r="F133" t="s">
        <v>39</v>
      </c>
      <c r="G133">
        <v>450</v>
      </c>
      <c r="H133" t="str">
        <f>VLOOKUP(A133,'SV Child INS Apr'!$A:$H,1,0)</f>
        <v>13495534</v>
      </c>
      <c r="L133" t="e">
        <f>VLOOKUP(A133,'TV Apr Prorated Billing Sites'!$A:$I,1,0)</f>
        <v>#N/A</v>
      </c>
    </row>
    <row r="134" spans="1:13">
      <c r="A134" t="str">
        <f t="shared" si="4"/>
        <v>13495554</v>
      </c>
      <c r="B134" t="s">
        <v>1739</v>
      </c>
      <c r="C134" t="s">
        <v>1740</v>
      </c>
      <c r="D134">
        <v>13495554</v>
      </c>
      <c r="E134">
        <v>123007</v>
      </c>
      <c r="F134" t="s">
        <v>39</v>
      </c>
      <c r="G134">
        <v>450</v>
      </c>
      <c r="H134" t="str">
        <f>VLOOKUP(A134,'SV Child INS Apr'!$A:$H,1,0)</f>
        <v>13495554</v>
      </c>
      <c r="L134" t="e">
        <f>VLOOKUP(A134,'TV Apr Prorated Billing Sites'!$A:$I,1,0)</f>
        <v>#N/A</v>
      </c>
    </row>
    <row r="135" spans="1:13">
      <c r="A135" t="str">
        <f t="shared" si="4"/>
        <v>13495591</v>
      </c>
      <c r="B135" t="s">
        <v>1741</v>
      </c>
      <c r="C135" t="s">
        <v>1742</v>
      </c>
      <c r="D135">
        <v>13495591</v>
      </c>
      <c r="E135">
        <v>2502382</v>
      </c>
      <c r="F135" t="s">
        <v>39</v>
      </c>
      <c r="G135">
        <v>300</v>
      </c>
      <c r="H135" t="str">
        <f>VLOOKUP(A135,'SV Child INS Apr'!$A:$H,1,0)</f>
        <v>13495591</v>
      </c>
      <c r="L135" t="e">
        <f>VLOOKUP(A135,'TV Apr Prorated Billing Sites'!$A:$I,1,0)</f>
        <v>#N/A</v>
      </c>
    </row>
    <row r="136" spans="1:13">
      <c r="A136" t="str">
        <f t="shared" si="4"/>
        <v>13496303</v>
      </c>
      <c r="B136" t="s">
        <v>1743</v>
      </c>
      <c r="C136" t="s">
        <v>1744</v>
      </c>
      <c r="D136">
        <v>13496303</v>
      </c>
      <c r="E136">
        <v>9072</v>
      </c>
      <c r="F136" t="s">
        <v>39</v>
      </c>
      <c r="G136">
        <v>300</v>
      </c>
      <c r="H136" t="str">
        <f>VLOOKUP(A136,'SV Child INS Apr'!$A:$H,1,0)</f>
        <v>13496303</v>
      </c>
      <c r="L136" t="e">
        <f>VLOOKUP(A136,'TV Apr Prorated Billing Sites'!$A:$I,1,0)</f>
        <v>#N/A</v>
      </c>
    </row>
    <row r="137" spans="1:13">
      <c r="A137" t="str">
        <f t="shared" si="4"/>
        <v>13496939</v>
      </c>
      <c r="B137" t="s">
        <v>1745</v>
      </c>
      <c r="C137" t="s">
        <v>1746</v>
      </c>
      <c r="D137">
        <v>13496939</v>
      </c>
      <c r="E137">
        <v>2001169</v>
      </c>
      <c r="F137" t="s">
        <v>39</v>
      </c>
      <c r="G137">
        <v>300</v>
      </c>
      <c r="H137" t="str">
        <f>VLOOKUP(A137,'SV Child INS Apr'!$A:$H,1,0)</f>
        <v>13496939</v>
      </c>
      <c r="L137" t="e">
        <f>VLOOKUP(A137,'TV Apr Prorated Billing Sites'!$A:$I,1,0)</f>
        <v>#N/A</v>
      </c>
    </row>
    <row r="138" spans="1:13">
      <c r="A138" t="str">
        <f t="shared" si="4"/>
        <v>13497591</v>
      </c>
      <c r="B138" t="s">
        <v>1747</v>
      </c>
      <c r="C138" t="s">
        <v>1748</v>
      </c>
      <c r="D138">
        <v>13497591</v>
      </c>
      <c r="E138">
        <v>2500736</v>
      </c>
      <c r="F138" t="s">
        <v>39</v>
      </c>
      <c r="G138">
        <v>450</v>
      </c>
      <c r="H138" t="str">
        <f>VLOOKUP(A138,'SV Child INS Apr'!$A:$H,1,0)</f>
        <v>13497591</v>
      </c>
      <c r="L138" t="e">
        <f>VLOOKUP(A138,'TV Apr Prorated Billing Sites'!$A:$I,1,0)</f>
        <v>#N/A</v>
      </c>
    </row>
    <row r="139" spans="1:13">
      <c r="A139" t="str">
        <f t="shared" si="4"/>
        <v>13498058</v>
      </c>
      <c r="B139" t="s">
        <v>406</v>
      </c>
      <c r="C139" t="s">
        <v>407</v>
      </c>
      <c r="D139">
        <v>13498058</v>
      </c>
      <c r="E139">
        <v>3365</v>
      </c>
      <c r="F139" t="s">
        <v>39</v>
      </c>
      <c r="G139">
        <v>300</v>
      </c>
      <c r="H139" t="e">
        <f>VLOOKUP(A139,'SV Child INS Apr'!$A:$H,1,0)</f>
        <v>#N/A</v>
      </c>
      <c r="I139" t="e">
        <f>VLOOKUP(B139,'SV Child INS Apr'!$D:$F,1,0)</f>
        <v>#N/A</v>
      </c>
      <c r="J139" t="str">
        <f>VLOOKUP(A139,'SV Child BLG Apr'!$A:$J,1,0)</f>
        <v>13498058</v>
      </c>
      <c r="L139" t="str">
        <f>VLOOKUP(A139,'TV Apr Prorated Billing Sites'!$A:$I,1,0)</f>
        <v>13498058</v>
      </c>
      <c r="M139" t="e">
        <f>VLOOKUP(A139,'CDK asked to retain list'!$H$1:$J$24,1,0)</f>
        <v>#N/A</v>
      </c>
    </row>
    <row r="140" spans="1:13">
      <c r="A140" t="str">
        <f t="shared" si="4"/>
        <v>13498091</v>
      </c>
      <c r="B140" t="s">
        <v>1749</v>
      </c>
      <c r="C140" t="s">
        <v>1750</v>
      </c>
      <c r="D140">
        <v>13498091</v>
      </c>
      <c r="E140">
        <v>0</v>
      </c>
      <c r="F140" t="s">
        <v>39</v>
      </c>
      <c r="G140">
        <v>400</v>
      </c>
      <c r="H140" t="str">
        <f>VLOOKUP(A140,'SV Child INS Apr'!$A:$H,1,0)</f>
        <v>13498091</v>
      </c>
      <c r="L140" t="e">
        <f>VLOOKUP(A140,'TV Apr Prorated Billing Sites'!$A:$I,1,0)</f>
        <v>#N/A</v>
      </c>
    </row>
    <row r="141" spans="1:13">
      <c r="A141" t="str">
        <f t="shared" si="4"/>
        <v>14090096</v>
      </c>
      <c r="B141" t="s">
        <v>1751</v>
      </c>
      <c r="C141" t="s">
        <v>1752</v>
      </c>
      <c r="D141">
        <v>14090096</v>
      </c>
      <c r="E141">
        <v>10073</v>
      </c>
      <c r="F141" t="s">
        <v>39</v>
      </c>
      <c r="G141">
        <v>300</v>
      </c>
      <c r="H141" t="str">
        <f>VLOOKUP(A141,'SV Child INS Apr'!$A:$H,1,0)</f>
        <v>14090096</v>
      </c>
      <c r="L141" t="e">
        <f>VLOOKUP(A141,'TV Apr Prorated Billing Sites'!$A:$I,1,0)</f>
        <v>#N/A</v>
      </c>
    </row>
    <row r="142" spans="1:13">
      <c r="A142" t="str">
        <f t="shared" si="4"/>
        <v>14090150</v>
      </c>
      <c r="B142" t="s">
        <v>1753</v>
      </c>
      <c r="C142" t="s">
        <v>1754</v>
      </c>
      <c r="D142">
        <v>14090150</v>
      </c>
      <c r="E142">
        <v>0</v>
      </c>
      <c r="F142" t="s">
        <v>39</v>
      </c>
      <c r="G142">
        <v>300</v>
      </c>
      <c r="H142" t="str">
        <f>VLOOKUP(A142,'SV Child INS Apr'!$A:$H,1,0)</f>
        <v>14090150</v>
      </c>
      <c r="L142" t="e">
        <f>VLOOKUP(A142,'TV Apr Prorated Billing Sites'!$A:$I,1,0)</f>
        <v>#N/A</v>
      </c>
    </row>
    <row r="143" spans="1:13">
      <c r="A143" t="str">
        <f t="shared" si="4"/>
        <v>14610284</v>
      </c>
      <c r="B143" t="s">
        <v>1755</v>
      </c>
      <c r="C143" t="s">
        <v>1756</v>
      </c>
      <c r="D143">
        <v>14610284</v>
      </c>
      <c r="E143">
        <v>3001702</v>
      </c>
      <c r="F143" t="s">
        <v>39</v>
      </c>
      <c r="G143">
        <v>300</v>
      </c>
      <c r="H143" t="str">
        <f>VLOOKUP(A143,'SV Child INS Apr'!$A:$H,1,0)</f>
        <v>14610284</v>
      </c>
      <c r="L143" t="e">
        <f>VLOOKUP(A143,'TV Apr Prorated Billing Sites'!$A:$I,1,0)</f>
        <v>#N/A</v>
      </c>
    </row>
    <row r="144" spans="1:13">
      <c r="A144" t="str">
        <f t="shared" si="4"/>
        <v>14610612</v>
      </c>
      <c r="B144" t="s">
        <v>1757</v>
      </c>
      <c r="C144" t="s">
        <v>1758</v>
      </c>
      <c r="D144">
        <v>14610612</v>
      </c>
      <c r="E144">
        <v>2501730</v>
      </c>
      <c r="F144" t="s">
        <v>39</v>
      </c>
      <c r="G144">
        <v>300</v>
      </c>
      <c r="H144" t="str">
        <f>VLOOKUP(A144,'SV Child INS Apr'!$A:$H,1,0)</f>
        <v>14610612</v>
      </c>
      <c r="L144" t="e">
        <f>VLOOKUP(A144,'TV Apr Prorated Billing Sites'!$A:$I,1,0)</f>
        <v>#N/A</v>
      </c>
    </row>
    <row r="145" spans="1:13">
      <c r="A145" t="str">
        <f t="shared" si="4"/>
        <v>17003601</v>
      </c>
      <c r="B145" t="s">
        <v>1759</v>
      </c>
      <c r="C145" t="s">
        <v>1760</v>
      </c>
      <c r="D145">
        <v>17003601</v>
      </c>
      <c r="E145">
        <v>143071</v>
      </c>
      <c r="F145" t="s">
        <v>39</v>
      </c>
      <c r="G145">
        <v>300</v>
      </c>
      <c r="H145" t="str">
        <f>VLOOKUP(A145,'SV Child INS Apr'!$A:$H,1,0)</f>
        <v>17003601</v>
      </c>
      <c r="L145" t="e">
        <f>VLOOKUP(A145,'TV Apr Prorated Billing Sites'!$A:$I,1,0)</f>
        <v>#N/A</v>
      </c>
    </row>
    <row r="146" spans="1:13">
      <c r="A146" t="str">
        <f t="shared" si="4"/>
        <v>17003603</v>
      </c>
      <c r="B146" t="s">
        <v>1761</v>
      </c>
      <c r="C146" t="s">
        <v>1762</v>
      </c>
      <c r="D146">
        <v>17003603</v>
      </c>
      <c r="E146">
        <v>2503400</v>
      </c>
      <c r="F146" t="s">
        <v>39</v>
      </c>
      <c r="G146">
        <v>300</v>
      </c>
      <c r="H146" t="str">
        <f>VLOOKUP(A146,'SV Child INS Apr'!$A:$H,1,0)</f>
        <v>17003603</v>
      </c>
      <c r="L146" t="e">
        <f>VLOOKUP(A146,'TV Apr Prorated Billing Sites'!$A:$I,1,0)</f>
        <v>#N/A</v>
      </c>
    </row>
    <row r="147" spans="1:13">
      <c r="A147" t="str">
        <f t="shared" si="4"/>
        <v>17003901</v>
      </c>
      <c r="B147" t="s">
        <v>1763</v>
      </c>
      <c r="C147" t="s">
        <v>1764</v>
      </c>
      <c r="D147">
        <v>17003901</v>
      </c>
      <c r="E147">
        <v>2000083</v>
      </c>
      <c r="F147" t="s">
        <v>39</v>
      </c>
      <c r="G147">
        <v>300</v>
      </c>
      <c r="H147" t="str">
        <f>VLOOKUP(A147,'SV Child INS Apr'!$A:$H,1,0)</f>
        <v>17003901</v>
      </c>
      <c r="L147" t="e">
        <f>VLOOKUP(A147,'TV Apr Prorated Billing Sites'!$A:$I,1,0)</f>
        <v>#N/A</v>
      </c>
    </row>
    <row r="148" spans="1:13">
      <c r="A148" t="str">
        <f t="shared" si="4"/>
        <v>17093401</v>
      </c>
      <c r="B148" t="s">
        <v>1765</v>
      </c>
      <c r="C148" t="s">
        <v>1766</v>
      </c>
      <c r="D148">
        <v>17093401</v>
      </c>
      <c r="E148">
        <v>11151</v>
      </c>
      <c r="F148" t="s">
        <v>39</v>
      </c>
      <c r="G148">
        <v>300</v>
      </c>
      <c r="H148" t="str">
        <f>VLOOKUP(A148,'SV Child INS Apr'!$A:$H,1,0)</f>
        <v>17093401</v>
      </c>
      <c r="L148" t="e">
        <f>VLOOKUP(A148,'TV Apr Prorated Billing Sites'!$A:$I,1,0)</f>
        <v>#N/A</v>
      </c>
    </row>
    <row r="149" spans="1:13">
      <c r="A149" t="str">
        <f t="shared" si="4"/>
        <v>17117601</v>
      </c>
      <c r="B149" t="s">
        <v>1767</v>
      </c>
      <c r="C149" t="s">
        <v>1768</v>
      </c>
      <c r="D149">
        <v>17117601</v>
      </c>
      <c r="E149">
        <v>123003</v>
      </c>
      <c r="F149" t="s">
        <v>39</v>
      </c>
      <c r="G149">
        <v>300</v>
      </c>
      <c r="H149" t="str">
        <f>VLOOKUP(A149,'SV Child INS Apr'!$A:$H,1,0)</f>
        <v>17117601</v>
      </c>
      <c r="L149" t="e">
        <f>VLOOKUP(A149,'TV Apr Prorated Billing Sites'!$A:$I,1,0)</f>
        <v>#N/A</v>
      </c>
    </row>
    <row r="150" spans="1:13">
      <c r="A150" t="str">
        <f t="shared" si="4"/>
        <v>17121105</v>
      </c>
      <c r="B150" t="s">
        <v>1769</v>
      </c>
      <c r="C150" t="s">
        <v>1770</v>
      </c>
      <c r="D150">
        <v>17121105</v>
      </c>
      <c r="E150">
        <v>2500559</v>
      </c>
      <c r="F150" t="s">
        <v>39</v>
      </c>
      <c r="G150">
        <v>300</v>
      </c>
      <c r="H150" t="str">
        <f>VLOOKUP(A150,'SV Child INS Apr'!$A:$H,1,0)</f>
        <v>17121105</v>
      </c>
      <c r="L150" t="e">
        <f>VLOOKUP(A150,'TV Apr Prorated Billing Sites'!$A:$I,1,0)</f>
        <v>#N/A</v>
      </c>
    </row>
    <row r="151" spans="1:13">
      <c r="A151" t="str">
        <f t="shared" si="4"/>
        <v>17136501</v>
      </c>
      <c r="B151" t="s">
        <v>1771</v>
      </c>
      <c r="C151" t="s">
        <v>1772</v>
      </c>
      <c r="D151">
        <v>17136501</v>
      </c>
      <c r="E151">
        <v>2001069</v>
      </c>
      <c r="F151" t="s">
        <v>39</v>
      </c>
      <c r="G151">
        <v>450</v>
      </c>
      <c r="H151" t="str">
        <f>VLOOKUP(A151,'SV Child INS Apr'!$A:$H,1,0)</f>
        <v>17136501</v>
      </c>
      <c r="L151" t="e">
        <f>VLOOKUP(A151,'TV Apr Prorated Billing Sites'!$A:$I,1,0)</f>
        <v>#N/A</v>
      </c>
    </row>
    <row r="152" spans="1:13">
      <c r="A152" t="str">
        <f t="shared" si="4"/>
        <v>17215201</v>
      </c>
      <c r="B152" t="s">
        <v>1773</v>
      </c>
      <c r="C152" t="s">
        <v>1774</v>
      </c>
      <c r="D152">
        <v>17215201</v>
      </c>
      <c r="E152">
        <v>2503034</v>
      </c>
      <c r="F152" t="s">
        <v>39</v>
      </c>
      <c r="G152">
        <v>450</v>
      </c>
      <c r="H152" t="str">
        <f>VLOOKUP(A152,'SV Child INS Apr'!$A:$H,1,0)</f>
        <v>17215201</v>
      </c>
      <c r="L152" t="e">
        <f>VLOOKUP(A152,'TV Apr Prorated Billing Sites'!$A:$I,1,0)</f>
        <v>#N/A</v>
      </c>
    </row>
    <row r="153" spans="1:13">
      <c r="A153" t="str">
        <f t="shared" si="4"/>
        <v>17237901</v>
      </c>
      <c r="B153" t="s">
        <v>409</v>
      </c>
      <c r="C153" t="s">
        <v>410</v>
      </c>
      <c r="D153">
        <v>17237901</v>
      </c>
      <c r="E153">
        <v>2501985</v>
      </c>
      <c r="F153" t="s">
        <v>39</v>
      </c>
      <c r="G153">
        <v>300</v>
      </c>
      <c r="H153" t="e">
        <f>VLOOKUP(A153,'SV Child INS Apr'!$A:$H,1,0)</f>
        <v>#N/A</v>
      </c>
      <c r="I153" t="e">
        <f>VLOOKUP(B153,'SV Child INS Apr'!$D:$F,1,0)</f>
        <v>#N/A</v>
      </c>
      <c r="J153" t="str">
        <f>VLOOKUP(A153,'SV Child BLG Apr'!$A:$J,1,0)</f>
        <v>17237901</v>
      </c>
      <c r="L153" t="e">
        <f>VLOOKUP(A153,'TV Apr Prorated Billing Sites'!$A:$I,1,0)</f>
        <v>#N/A</v>
      </c>
      <c r="M153" t="e">
        <f>VLOOKUP(A153,'CDK asked to retain list'!$H$1:$J$24,1,0)</f>
        <v>#N/A</v>
      </c>
    </row>
    <row r="154" spans="1:13">
      <c r="A154" t="str">
        <f t="shared" si="4"/>
        <v>17251301</v>
      </c>
      <c r="B154" t="s">
        <v>1775</v>
      </c>
      <c r="C154" t="s">
        <v>1776</v>
      </c>
      <c r="D154">
        <v>17251301</v>
      </c>
      <c r="E154">
        <v>2001974</v>
      </c>
      <c r="F154" t="s">
        <v>39</v>
      </c>
      <c r="G154">
        <v>300</v>
      </c>
      <c r="H154" t="str">
        <f>VLOOKUP(A154,'SV Child INS Apr'!$A:$H,1,0)</f>
        <v>17251301</v>
      </c>
      <c r="L154" t="e">
        <f>VLOOKUP(A154,'TV Apr Prorated Billing Sites'!$A:$I,1,0)</f>
        <v>#N/A</v>
      </c>
    </row>
    <row r="155" spans="1:13">
      <c r="A155" t="str">
        <f t="shared" si="4"/>
        <v>17253201</v>
      </c>
      <c r="B155" t="s">
        <v>1777</v>
      </c>
      <c r="C155" t="s">
        <v>1778</v>
      </c>
      <c r="D155">
        <v>17253201</v>
      </c>
      <c r="E155">
        <v>2000898</v>
      </c>
      <c r="F155" t="s">
        <v>39</v>
      </c>
      <c r="G155">
        <v>450</v>
      </c>
      <c r="H155" t="str">
        <f>VLOOKUP(A155,'SV Child INS Apr'!$A:$H,1,0)</f>
        <v>17253201</v>
      </c>
      <c r="L155" t="e">
        <f>VLOOKUP(A155,'TV Apr Prorated Billing Sites'!$A:$I,1,0)</f>
        <v>#N/A</v>
      </c>
    </row>
    <row r="156" spans="1:13">
      <c r="A156" t="str">
        <f t="shared" si="4"/>
        <v>17298301</v>
      </c>
      <c r="B156" t="s">
        <v>1779</v>
      </c>
      <c r="C156" t="s">
        <v>1780</v>
      </c>
      <c r="D156">
        <v>17298301</v>
      </c>
      <c r="E156">
        <v>3214</v>
      </c>
      <c r="F156" t="s">
        <v>39</v>
      </c>
      <c r="G156">
        <v>300</v>
      </c>
      <c r="H156" t="str">
        <f>VLOOKUP(A156,'SV Child INS Apr'!$A:$H,1,0)</f>
        <v>17298301</v>
      </c>
      <c r="L156" t="e">
        <f>VLOOKUP(A156,'TV Apr Prorated Billing Sites'!$A:$I,1,0)</f>
        <v>#N/A</v>
      </c>
    </row>
    <row r="157" spans="1:13">
      <c r="A157" t="str">
        <f t="shared" si="4"/>
        <v>17315021</v>
      </c>
      <c r="B157" t="s">
        <v>1781</v>
      </c>
      <c r="C157" t="s">
        <v>1782</v>
      </c>
      <c r="D157">
        <v>17315021</v>
      </c>
      <c r="E157">
        <v>5095</v>
      </c>
      <c r="F157" t="s">
        <v>39</v>
      </c>
      <c r="G157">
        <v>300</v>
      </c>
      <c r="H157" t="str">
        <f>VLOOKUP(A157,'SV Child INS Apr'!$A:$H,1,0)</f>
        <v>17315021</v>
      </c>
      <c r="L157" t="e">
        <f>VLOOKUP(A157,'TV Apr Prorated Billing Sites'!$A:$I,1,0)</f>
        <v>#N/A</v>
      </c>
    </row>
    <row r="158" spans="1:13">
      <c r="A158" t="str">
        <f t="shared" si="4"/>
        <v>17315987</v>
      </c>
      <c r="B158" t="s">
        <v>1783</v>
      </c>
      <c r="C158" t="s">
        <v>1784</v>
      </c>
      <c r="D158">
        <v>17315987</v>
      </c>
      <c r="E158">
        <v>13109</v>
      </c>
      <c r="F158" t="s">
        <v>39</v>
      </c>
      <c r="G158">
        <v>450</v>
      </c>
      <c r="H158" t="str">
        <f>VLOOKUP(A158,'SV Child INS Apr'!$A:$H,1,0)</f>
        <v>17315987</v>
      </c>
      <c r="L158" t="e">
        <f>VLOOKUP(A158,'TV Apr Prorated Billing Sites'!$A:$I,1,0)</f>
        <v>#N/A</v>
      </c>
    </row>
    <row r="159" spans="1:13">
      <c r="A159" t="str">
        <f t="shared" si="4"/>
        <v>17316041</v>
      </c>
      <c r="B159" t="s">
        <v>1785</v>
      </c>
      <c r="C159" t="s">
        <v>1786</v>
      </c>
      <c r="D159">
        <v>17316041</v>
      </c>
      <c r="E159">
        <v>2000025</v>
      </c>
      <c r="F159" t="s">
        <v>39</v>
      </c>
      <c r="G159">
        <v>300</v>
      </c>
      <c r="H159" t="str">
        <f>VLOOKUP(A159,'SV Child INS Apr'!$A:$H,1,0)</f>
        <v>17316041</v>
      </c>
      <c r="L159" t="e">
        <f>VLOOKUP(A159,'TV Apr Prorated Billing Sites'!$A:$I,1,0)</f>
        <v>#N/A</v>
      </c>
    </row>
    <row r="160" spans="1:13">
      <c r="A160" t="str">
        <f t="shared" si="4"/>
        <v>21004601</v>
      </c>
      <c r="B160" t="s">
        <v>1787</v>
      </c>
      <c r="C160" t="s">
        <v>1788</v>
      </c>
      <c r="D160">
        <v>21004601</v>
      </c>
      <c r="E160">
        <v>2002830</v>
      </c>
      <c r="F160" t="s">
        <v>39</v>
      </c>
      <c r="G160">
        <v>300</v>
      </c>
      <c r="H160" t="str">
        <f>VLOOKUP(A160,'SV Child INS Apr'!$A:$H,1,0)</f>
        <v>21004601</v>
      </c>
      <c r="L160" t="e">
        <f>VLOOKUP(A160,'TV Apr Prorated Billing Sites'!$A:$I,1,0)</f>
        <v>#N/A</v>
      </c>
    </row>
    <row r="161" spans="1:13">
      <c r="A161" t="str">
        <f t="shared" si="4"/>
        <v>25002601</v>
      </c>
      <c r="B161" t="s">
        <v>1789</v>
      </c>
      <c r="C161" t="s">
        <v>1790</v>
      </c>
      <c r="D161">
        <v>25002601</v>
      </c>
      <c r="E161">
        <v>6167</v>
      </c>
      <c r="F161" t="s">
        <v>39</v>
      </c>
      <c r="G161">
        <v>300</v>
      </c>
      <c r="H161" t="str">
        <f>VLOOKUP(A161,'SV Child INS Apr'!$A:$H,1,0)</f>
        <v>25002601</v>
      </c>
      <c r="L161" t="e">
        <f>VLOOKUP(A161,'TV Apr Prorated Billing Sites'!$A:$I,1,0)</f>
        <v>#N/A</v>
      </c>
    </row>
    <row r="162" spans="1:13">
      <c r="A162" t="str">
        <f t="shared" si="4"/>
        <v>25006301</v>
      </c>
      <c r="B162" t="s">
        <v>1791</v>
      </c>
      <c r="C162" t="s">
        <v>1792</v>
      </c>
      <c r="D162">
        <v>25006301</v>
      </c>
      <c r="E162">
        <v>2002991</v>
      </c>
      <c r="F162" t="s">
        <v>39</v>
      </c>
      <c r="G162">
        <v>300</v>
      </c>
      <c r="H162" t="str">
        <f>VLOOKUP(A162,'SV Child INS Apr'!$A:$H,1,0)</f>
        <v>25006301</v>
      </c>
      <c r="L162" t="e">
        <f>VLOOKUP(A162,'TV Apr Prorated Billing Sites'!$A:$I,1,0)</f>
        <v>#N/A</v>
      </c>
    </row>
    <row r="163" spans="1:13">
      <c r="A163" t="str">
        <f t="shared" si="4"/>
        <v>25007706</v>
      </c>
      <c r="B163" t="s">
        <v>1793</v>
      </c>
      <c r="C163" t="s">
        <v>1794</v>
      </c>
      <c r="D163">
        <v>25007706</v>
      </c>
      <c r="E163">
        <v>2501028</v>
      </c>
      <c r="F163" t="s">
        <v>39</v>
      </c>
      <c r="G163">
        <v>300</v>
      </c>
      <c r="H163" t="str">
        <f>VLOOKUP(A163,'SV Child INS Apr'!$A:$H,1,0)</f>
        <v>25007706</v>
      </c>
      <c r="L163" t="e">
        <f>VLOOKUP(A163,'TV Apr Prorated Billing Sites'!$A:$I,1,0)</f>
        <v>#N/A</v>
      </c>
    </row>
    <row r="164" spans="1:13">
      <c r="A164" t="str">
        <f t="shared" si="4"/>
        <v>25016901</v>
      </c>
      <c r="B164" t="s">
        <v>1795</v>
      </c>
      <c r="C164" t="s">
        <v>1796</v>
      </c>
      <c r="D164">
        <v>25016901</v>
      </c>
      <c r="E164">
        <v>1500033</v>
      </c>
      <c r="F164" t="s">
        <v>39</v>
      </c>
      <c r="G164">
        <v>400</v>
      </c>
      <c r="H164" t="str">
        <f>VLOOKUP(A164,'SV Child INS Apr'!$A:$H,1,0)</f>
        <v>25016901</v>
      </c>
      <c r="L164" t="e">
        <f>VLOOKUP(A164,'TV Apr Prorated Billing Sites'!$A:$I,1,0)</f>
        <v>#N/A</v>
      </c>
    </row>
    <row r="165" spans="1:13">
      <c r="A165" t="str">
        <f t="shared" si="4"/>
        <v>25017001</v>
      </c>
      <c r="B165" t="s">
        <v>1797</v>
      </c>
      <c r="C165" t="s">
        <v>1798</v>
      </c>
      <c r="D165">
        <v>25017001</v>
      </c>
      <c r="E165">
        <v>1500035</v>
      </c>
      <c r="F165" t="s">
        <v>39</v>
      </c>
      <c r="G165">
        <v>400</v>
      </c>
      <c r="H165" t="str">
        <f>VLOOKUP(A165,'SV Child INS Apr'!$A:$H,1,0)</f>
        <v>25017001</v>
      </c>
      <c r="L165" t="e">
        <f>VLOOKUP(A165,'TV Apr Prorated Billing Sites'!$A:$I,1,0)</f>
        <v>#N/A</v>
      </c>
    </row>
    <row r="166" spans="1:13">
      <c r="A166" t="str">
        <f t="shared" si="4"/>
        <v>25024901</v>
      </c>
      <c r="B166" t="s">
        <v>1799</v>
      </c>
      <c r="C166" t="s">
        <v>1800</v>
      </c>
      <c r="D166">
        <v>25024901</v>
      </c>
      <c r="E166">
        <v>12055</v>
      </c>
      <c r="F166" t="s">
        <v>39</v>
      </c>
      <c r="G166">
        <v>300</v>
      </c>
      <c r="H166" t="str">
        <f>VLOOKUP(A166,'SV Child INS Apr'!$A:$H,1,0)</f>
        <v>25024901</v>
      </c>
      <c r="L166" t="e">
        <f>VLOOKUP(A166,'TV Apr Prorated Billing Sites'!$A:$I,1,0)</f>
        <v>#N/A</v>
      </c>
    </row>
    <row r="167" spans="1:13">
      <c r="A167" t="str">
        <f t="shared" si="4"/>
        <v>25045501</v>
      </c>
      <c r="B167" t="s">
        <v>1801</v>
      </c>
      <c r="C167" t="s">
        <v>1802</v>
      </c>
      <c r="D167">
        <v>25045501</v>
      </c>
      <c r="E167">
        <v>2502825</v>
      </c>
      <c r="F167" t="s">
        <v>39</v>
      </c>
      <c r="G167">
        <v>300</v>
      </c>
      <c r="H167" t="str">
        <f>VLOOKUP(A167,'SV Child INS Apr'!$A:$H,1,0)</f>
        <v>25045501</v>
      </c>
      <c r="L167" t="e">
        <f>VLOOKUP(A167,'TV Apr Prorated Billing Sites'!$A:$I,1,0)</f>
        <v>#N/A</v>
      </c>
    </row>
    <row r="168" spans="1:13">
      <c r="A168" t="str">
        <f t="shared" si="4"/>
        <v>25078101</v>
      </c>
      <c r="B168" t="s">
        <v>1803</v>
      </c>
      <c r="C168" t="s">
        <v>1804</v>
      </c>
      <c r="D168">
        <v>25078101</v>
      </c>
      <c r="E168">
        <v>9078</v>
      </c>
      <c r="F168" t="s">
        <v>39</v>
      </c>
      <c r="G168">
        <v>450</v>
      </c>
      <c r="H168" t="str">
        <f>VLOOKUP(A168,'SV Child INS Apr'!$A:$H,1,0)</f>
        <v>25078101</v>
      </c>
      <c r="L168" t="e">
        <f>VLOOKUP(A168,'TV Apr Prorated Billing Sites'!$A:$I,1,0)</f>
        <v>#N/A</v>
      </c>
    </row>
    <row r="169" spans="1:13">
      <c r="A169" t="str">
        <f t="shared" ref="A169:A232" si="5">TRIM(D169)</f>
        <v>25090101</v>
      </c>
      <c r="B169" t="s">
        <v>1805</v>
      </c>
      <c r="C169" t="s">
        <v>1806</v>
      </c>
      <c r="D169">
        <v>25090101</v>
      </c>
      <c r="E169">
        <v>1500076</v>
      </c>
      <c r="F169" t="s">
        <v>39</v>
      </c>
      <c r="G169">
        <v>450</v>
      </c>
      <c r="H169" t="str">
        <f>VLOOKUP(A169,'SV Child INS Apr'!$A:$H,1,0)</f>
        <v>25090101</v>
      </c>
      <c r="L169" t="e">
        <f>VLOOKUP(A169,'TV Apr Prorated Billing Sites'!$A:$I,1,0)</f>
        <v>#N/A</v>
      </c>
    </row>
    <row r="170" spans="1:13">
      <c r="A170" t="str">
        <f t="shared" si="5"/>
        <v>25111201</v>
      </c>
      <c r="B170" t="s">
        <v>412</v>
      </c>
      <c r="C170" t="s">
        <v>413</v>
      </c>
      <c r="D170">
        <v>25111201</v>
      </c>
      <c r="E170">
        <v>2502986</v>
      </c>
      <c r="F170" t="s">
        <v>39</v>
      </c>
      <c r="G170">
        <v>300</v>
      </c>
      <c r="H170" t="e">
        <f>VLOOKUP(A170,'SV Child INS Apr'!$A:$H,1,0)</f>
        <v>#N/A</v>
      </c>
      <c r="I170" t="e">
        <f>VLOOKUP(B170,'SV Child INS Apr'!$D:$F,1,0)</f>
        <v>#N/A</v>
      </c>
      <c r="J170" t="str">
        <f>VLOOKUP(A170,'SV Child BLG Apr'!$A:$J,1,0)</f>
        <v>25111201</v>
      </c>
      <c r="L170" t="e">
        <f>VLOOKUP(A170,'TV Apr Prorated Billing Sites'!$A:$I,1,0)</f>
        <v>#N/A</v>
      </c>
      <c r="M170" t="e">
        <f>VLOOKUP(A170,'CDK asked to retain list'!$H$1:$J$24,1,0)</f>
        <v>#N/A</v>
      </c>
    </row>
    <row r="171" spans="1:13">
      <c r="A171" t="str">
        <f t="shared" si="5"/>
        <v>25123901</v>
      </c>
      <c r="B171" t="s">
        <v>1807</v>
      </c>
      <c r="C171" t="s">
        <v>1808</v>
      </c>
      <c r="D171">
        <v>25123901</v>
      </c>
      <c r="E171">
        <v>1500041</v>
      </c>
      <c r="F171" t="s">
        <v>39</v>
      </c>
      <c r="G171">
        <v>400</v>
      </c>
      <c r="H171" t="str">
        <f>VLOOKUP(A171,'SV Child INS Apr'!$A:$H,1,0)</f>
        <v>25123901</v>
      </c>
      <c r="L171" t="e">
        <f>VLOOKUP(A171,'TV Apr Prorated Billing Sites'!$A:$I,1,0)</f>
        <v>#N/A</v>
      </c>
    </row>
    <row r="172" spans="1:13">
      <c r="A172" t="str">
        <f t="shared" si="5"/>
        <v>25134501</v>
      </c>
      <c r="B172" t="s">
        <v>1809</v>
      </c>
      <c r="C172" t="s">
        <v>1810</v>
      </c>
      <c r="D172">
        <v>25134501</v>
      </c>
      <c r="E172">
        <v>2500219</v>
      </c>
      <c r="F172" t="s">
        <v>39</v>
      </c>
      <c r="G172">
        <v>400</v>
      </c>
      <c r="H172" t="str">
        <f>VLOOKUP(A172,'SV Child INS Apr'!$A:$H,1,0)</f>
        <v>25134501</v>
      </c>
      <c r="L172" t="e">
        <f>VLOOKUP(A172,'TV Apr Prorated Billing Sites'!$A:$I,1,0)</f>
        <v>#N/A</v>
      </c>
    </row>
    <row r="173" spans="1:13">
      <c r="A173" t="str">
        <f t="shared" si="5"/>
        <v>25139702</v>
      </c>
      <c r="B173" t="s">
        <v>1811</v>
      </c>
      <c r="C173" t="s">
        <v>1812</v>
      </c>
      <c r="D173">
        <v>25139702</v>
      </c>
      <c r="E173">
        <v>9039</v>
      </c>
      <c r="F173" t="s">
        <v>39</v>
      </c>
      <c r="G173">
        <v>300</v>
      </c>
      <c r="H173" t="str">
        <f>VLOOKUP(A173,'SV Child INS Apr'!$A:$H,1,0)</f>
        <v>25139702</v>
      </c>
      <c r="L173" t="e">
        <f>VLOOKUP(A173,'TV Apr Prorated Billing Sites'!$A:$I,1,0)</f>
        <v>#N/A</v>
      </c>
    </row>
    <row r="174" spans="1:13">
      <c r="A174" t="str">
        <f t="shared" si="5"/>
        <v>25139901</v>
      </c>
      <c r="B174" t="s">
        <v>1813</v>
      </c>
      <c r="C174" t="s">
        <v>1814</v>
      </c>
      <c r="D174">
        <v>25139901</v>
      </c>
      <c r="E174">
        <v>11134</v>
      </c>
      <c r="F174" t="s">
        <v>39</v>
      </c>
      <c r="G174">
        <v>300</v>
      </c>
      <c r="H174" t="str">
        <f>VLOOKUP(A174,'SV Child INS Apr'!$A:$H,1,0)</f>
        <v>25139901</v>
      </c>
      <c r="L174" t="e">
        <f>VLOOKUP(A174,'TV Apr Prorated Billing Sites'!$A:$I,1,0)</f>
        <v>#N/A</v>
      </c>
    </row>
    <row r="175" spans="1:13">
      <c r="A175" t="str">
        <f t="shared" si="5"/>
        <v>25140301</v>
      </c>
      <c r="B175" t="s">
        <v>1815</v>
      </c>
      <c r="C175" t="s">
        <v>1816</v>
      </c>
      <c r="D175">
        <v>25140301</v>
      </c>
      <c r="E175">
        <v>2001960</v>
      </c>
      <c r="F175" t="s">
        <v>39</v>
      </c>
      <c r="G175">
        <v>300</v>
      </c>
      <c r="H175" t="str">
        <f>VLOOKUP(A175,'SV Child INS Apr'!$A:$H,1,0)</f>
        <v>25140301</v>
      </c>
      <c r="L175" t="e">
        <f>VLOOKUP(A175,'TV Apr Prorated Billing Sites'!$A:$I,1,0)</f>
        <v>#N/A</v>
      </c>
    </row>
    <row r="176" spans="1:13">
      <c r="A176" t="str">
        <f t="shared" si="5"/>
        <v>25142501</v>
      </c>
      <c r="B176" t="s">
        <v>1817</v>
      </c>
      <c r="C176" t="s">
        <v>1818</v>
      </c>
      <c r="D176">
        <v>25142501</v>
      </c>
      <c r="E176">
        <v>2002765</v>
      </c>
      <c r="F176" t="s">
        <v>39</v>
      </c>
      <c r="G176">
        <v>300</v>
      </c>
      <c r="H176" t="str">
        <f>VLOOKUP(A176,'SV Child INS Apr'!$A:$H,1,0)</f>
        <v>25142501</v>
      </c>
      <c r="L176" t="e">
        <f>VLOOKUP(A176,'TV Apr Prorated Billing Sites'!$A:$I,1,0)</f>
        <v>#N/A</v>
      </c>
    </row>
    <row r="177" spans="1:13">
      <c r="A177" t="str">
        <f t="shared" si="5"/>
        <v>25149301</v>
      </c>
      <c r="B177" t="s">
        <v>1265</v>
      </c>
      <c r="C177" t="s">
        <v>1288</v>
      </c>
      <c r="D177">
        <v>25149301</v>
      </c>
      <c r="E177">
        <v>2501277</v>
      </c>
      <c r="F177" t="s">
        <v>39</v>
      </c>
      <c r="G177">
        <v>300</v>
      </c>
      <c r="H177" t="e">
        <f>VLOOKUP(A177,'SV Child INS Apr'!$A:$H,1,0)</f>
        <v>#N/A</v>
      </c>
      <c r="I177" t="e">
        <f>VLOOKUP(B177,'SV Child INS Apr'!$D:$F,1,0)</f>
        <v>#N/A</v>
      </c>
      <c r="J177" t="str">
        <f>VLOOKUP(A177,'SV Child BLG Apr'!$A:$J,1,0)</f>
        <v>25149301</v>
      </c>
      <c r="L177" t="e">
        <f>VLOOKUP(A177,'TV Apr Prorated Billing Sites'!$A:$I,1,0)</f>
        <v>#N/A</v>
      </c>
      <c r="M177" t="str">
        <f>VLOOKUP(A177,'CDK asked to retain list'!$H$1:$J$24,1,0)</f>
        <v>25149301</v>
      </c>
    </row>
    <row r="178" spans="1:13">
      <c r="A178" t="str">
        <f t="shared" si="5"/>
        <v>25149302</v>
      </c>
      <c r="B178" t="s">
        <v>415</v>
      </c>
      <c r="C178" t="s">
        <v>416</v>
      </c>
      <c r="D178">
        <v>25149302</v>
      </c>
      <c r="E178">
        <v>2501174</v>
      </c>
      <c r="F178" t="s">
        <v>39</v>
      </c>
      <c r="G178">
        <v>300</v>
      </c>
      <c r="H178" t="e">
        <f>VLOOKUP(A178,'SV Child INS Apr'!$A:$H,1,0)</f>
        <v>#N/A</v>
      </c>
      <c r="I178" t="e">
        <f>VLOOKUP(B178,'SV Child INS Apr'!$D:$F,1,0)</f>
        <v>#N/A</v>
      </c>
      <c r="J178" t="str">
        <f>VLOOKUP(A178,'SV Child BLG Apr'!$A:$J,1,0)</f>
        <v>25149302</v>
      </c>
      <c r="L178" t="e">
        <f>VLOOKUP(A178,'TV Apr Prorated Billing Sites'!$A:$I,1,0)</f>
        <v>#N/A</v>
      </c>
      <c r="M178" t="e">
        <f>VLOOKUP(A178,'CDK asked to retain list'!$H$1:$J$24,1,0)</f>
        <v>#N/A</v>
      </c>
    </row>
    <row r="179" spans="1:13">
      <c r="A179" t="str">
        <f t="shared" si="5"/>
        <v>25149304</v>
      </c>
      <c r="B179" t="s">
        <v>1819</v>
      </c>
      <c r="C179" t="s">
        <v>1820</v>
      </c>
      <c r="D179">
        <v>25149304</v>
      </c>
      <c r="E179">
        <v>2501315</v>
      </c>
      <c r="F179" t="s">
        <v>39</v>
      </c>
      <c r="G179">
        <v>300</v>
      </c>
      <c r="H179" t="str">
        <f>VLOOKUP(A179,'SV Child INS Apr'!$A:$H,1,0)</f>
        <v>25149304</v>
      </c>
      <c r="L179" t="e">
        <f>VLOOKUP(A179,'TV Apr Prorated Billing Sites'!$A:$I,1,0)</f>
        <v>#N/A</v>
      </c>
    </row>
    <row r="180" spans="1:13">
      <c r="A180" t="str">
        <f t="shared" si="5"/>
        <v>25149306</v>
      </c>
      <c r="B180" t="s">
        <v>1268</v>
      </c>
      <c r="C180" t="s">
        <v>1295</v>
      </c>
      <c r="D180">
        <v>25149306</v>
      </c>
      <c r="E180">
        <v>2501243</v>
      </c>
      <c r="F180" t="s">
        <v>39</v>
      </c>
      <c r="G180">
        <v>300</v>
      </c>
      <c r="H180" t="e">
        <f>VLOOKUP(A180,'SV Child INS Apr'!$A:$H,1,0)</f>
        <v>#N/A</v>
      </c>
      <c r="I180" t="e">
        <f>VLOOKUP(B180,'SV Child INS Apr'!$D:$F,1,0)</f>
        <v>#N/A</v>
      </c>
      <c r="J180" t="str">
        <f>VLOOKUP(A180,'SV Child BLG Apr'!$A:$J,1,0)</f>
        <v>25149306</v>
      </c>
      <c r="L180" t="e">
        <f>VLOOKUP(A180,'TV Apr Prorated Billing Sites'!$A:$I,1,0)</f>
        <v>#N/A</v>
      </c>
      <c r="M180" t="str">
        <f>VLOOKUP(A180,'CDK asked to retain list'!$H$1:$J$24,1,0)</f>
        <v>25149306</v>
      </c>
    </row>
    <row r="181" spans="1:13">
      <c r="A181" t="str">
        <f t="shared" si="5"/>
        <v>25155812</v>
      </c>
      <c r="B181" t="s">
        <v>1821</v>
      </c>
      <c r="C181" t="s">
        <v>1822</v>
      </c>
      <c r="D181">
        <v>25155812</v>
      </c>
      <c r="E181">
        <v>2503322</v>
      </c>
      <c r="F181" t="s">
        <v>39</v>
      </c>
      <c r="G181">
        <v>300</v>
      </c>
      <c r="H181" t="str">
        <f>VLOOKUP(A181,'SV Child INS Apr'!$A:$H,1,0)</f>
        <v>25155812</v>
      </c>
      <c r="L181" t="e">
        <f>VLOOKUP(A181,'TV Apr Prorated Billing Sites'!$A:$I,1,0)</f>
        <v>#N/A</v>
      </c>
    </row>
    <row r="182" spans="1:13">
      <c r="A182" t="str">
        <f t="shared" si="5"/>
        <v>25174709</v>
      </c>
      <c r="B182" t="s">
        <v>1823</v>
      </c>
      <c r="C182" t="s">
        <v>1824</v>
      </c>
      <c r="D182">
        <v>25174709</v>
      </c>
      <c r="E182">
        <v>2502116</v>
      </c>
      <c r="F182" t="s">
        <v>39</v>
      </c>
      <c r="G182">
        <v>400</v>
      </c>
      <c r="H182" t="str">
        <f>VLOOKUP(A182,'SV Child INS Apr'!$A:$H,1,0)</f>
        <v>25174709</v>
      </c>
      <c r="L182" t="e">
        <f>VLOOKUP(A182,'TV Apr Prorated Billing Sites'!$A:$I,1,0)</f>
        <v>#N/A</v>
      </c>
    </row>
    <row r="183" spans="1:13">
      <c r="A183" t="str">
        <f t="shared" si="5"/>
        <v>25181301</v>
      </c>
      <c r="B183" t="s">
        <v>1825</v>
      </c>
      <c r="C183" t="s">
        <v>1826</v>
      </c>
      <c r="D183">
        <v>25181301</v>
      </c>
      <c r="E183">
        <v>2501218</v>
      </c>
      <c r="F183" t="s">
        <v>39</v>
      </c>
      <c r="G183">
        <v>300</v>
      </c>
      <c r="H183" t="str">
        <f>VLOOKUP(A183,'SV Child INS Apr'!$A:$H,1,0)</f>
        <v>25181301</v>
      </c>
      <c r="L183" t="e">
        <f>VLOOKUP(A183,'TV Apr Prorated Billing Sites'!$A:$I,1,0)</f>
        <v>#N/A</v>
      </c>
    </row>
    <row r="184" spans="1:13">
      <c r="A184" t="str">
        <f t="shared" si="5"/>
        <v>25187901</v>
      </c>
      <c r="B184" t="s">
        <v>1827</v>
      </c>
      <c r="C184" t="s">
        <v>1828</v>
      </c>
      <c r="D184">
        <v>25187901</v>
      </c>
      <c r="E184">
        <v>2502958</v>
      </c>
      <c r="F184" t="s">
        <v>39</v>
      </c>
      <c r="G184">
        <v>300</v>
      </c>
      <c r="H184" t="str">
        <f>VLOOKUP(A184,'SV Child INS Apr'!$A:$H,1,0)</f>
        <v>25187901</v>
      </c>
      <c r="L184" t="e">
        <f>VLOOKUP(A184,'TV Apr Prorated Billing Sites'!$A:$I,1,0)</f>
        <v>#N/A</v>
      </c>
    </row>
    <row r="185" spans="1:13">
      <c r="A185" t="str">
        <f t="shared" si="5"/>
        <v>25212301</v>
      </c>
      <c r="B185" t="s">
        <v>1829</v>
      </c>
      <c r="C185" t="s">
        <v>1830</v>
      </c>
      <c r="D185">
        <v>25212301</v>
      </c>
      <c r="E185">
        <v>2503549</v>
      </c>
      <c r="F185" t="s">
        <v>39</v>
      </c>
      <c r="G185">
        <v>300</v>
      </c>
      <c r="H185" t="str">
        <f>VLOOKUP(A185,'SV Child INS Apr'!$A:$H,1,0)</f>
        <v>25212301</v>
      </c>
      <c r="L185" t="e">
        <f>VLOOKUP(A185,'TV Apr Prorated Billing Sites'!$A:$I,1,0)</f>
        <v>#N/A</v>
      </c>
    </row>
    <row r="186" spans="1:13">
      <c r="A186" t="str">
        <f t="shared" si="5"/>
        <v>25212501</v>
      </c>
      <c r="B186" t="s">
        <v>418</v>
      </c>
      <c r="C186" t="s">
        <v>419</v>
      </c>
      <c r="D186">
        <v>25212501</v>
      </c>
      <c r="E186">
        <v>6024</v>
      </c>
      <c r="F186" t="s">
        <v>39</v>
      </c>
      <c r="G186">
        <v>300</v>
      </c>
      <c r="H186" t="e">
        <f>VLOOKUP(A186,'SV Child INS Apr'!$A:$H,1,0)</f>
        <v>#N/A</v>
      </c>
      <c r="I186" t="e">
        <f>VLOOKUP(B186,'SV Child INS Apr'!$D:$F,1,0)</f>
        <v>#N/A</v>
      </c>
      <c r="J186" t="str">
        <f>VLOOKUP(A186,'SV Child BLG Apr'!$A:$J,1,0)</f>
        <v>25212501</v>
      </c>
      <c r="L186" t="str">
        <f>VLOOKUP(A186,'TV Apr Prorated Billing Sites'!$A:$I,1,0)</f>
        <v>25212501</v>
      </c>
      <c r="M186" t="e">
        <f>VLOOKUP(A186,'CDK asked to retain list'!$H$1:$J$24,1,0)</f>
        <v>#N/A</v>
      </c>
    </row>
    <row r="187" spans="1:13">
      <c r="A187" t="str">
        <f t="shared" si="5"/>
        <v>25258301</v>
      </c>
      <c r="B187" t="s">
        <v>1831</v>
      </c>
      <c r="C187" t="s">
        <v>1832</v>
      </c>
      <c r="D187">
        <v>25258301</v>
      </c>
      <c r="E187">
        <v>2503451</v>
      </c>
      <c r="F187" t="s">
        <v>39</v>
      </c>
      <c r="G187">
        <v>300</v>
      </c>
      <c r="H187" t="str">
        <f>VLOOKUP(A187,'SV Child INS Apr'!$A:$H,1,0)</f>
        <v>25258301</v>
      </c>
      <c r="L187" t="e">
        <f>VLOOKUP(A187,'TV Apr Prorated Billing Sites'!$A:$I,1,0)</f>
        <v>#N/A</v>
      </c>
    </row>
    <row r="188" spans="1:13">
      <c r="A188" t="str">
        <f t="shared" si="5"/>
        <v>25297487</v>
      </c>
      <c r="B188" t="s">
        <v>1833</v>
      </c>
      <c r="C188" t="s">
        <v>1834</v>
      </c>
      <c r="D188">
        <v>25297487</v>
      </c>
      <c r="E188">
        <v>2500900</v>
      </c>
      <c r="F188" t="s">
        <v>39</v>
      </c>
      <c r="G188">
        <v>300</v>
      </c>
      <c r="H188" t="str">
        <f>VLOOKUP(A188,'SV Child INS Apr'!$A:$H,1,0)</f>
        <v>25297487</v>
      </c>
      <c r="L188" t="e">
        <f>VLOOKUP(A188,'TV Apr Prorated Billing Sites'!$A:$I,1,0)</f>
        <v>#N/A</v>
      </c>
    </row>
    <row r="189" spans="1:13">
      <c r="A189" t="str">
        <f t="shared" si="5"/>
        <v>25297551</v>
      </c>
      <c r="B189" t="s">
        <v>50</v>
      </c>
      <c r="C189" t="s">
        <v>51</v>
      </c>
      <c r="D189">
        <v>25297551</v>
      </c>
      <c r="E189">
        <v>153</v>
      </c>
      <c r="F189" t="s">
        <v>39</v>
      </c>
      <c r="G189">
        <v>300</v>
      </c>
      <c r="H189" t="e">
        <f>VLOOKUP(A189,'SV Child INS Apr'!$A:$H,1,0)</f>
        <v>#N/A</v>
      </c>
      <c r="I189" t="e">
        <f>VLOOKUP(B189,'SV Child INS Apr'!$D:$F,1,0)</f>
        <v>#N/A</v>
      </c>
      <c r="J189" t="e">
        <f>VLOOKUP(A189,'SV Child BLG Apr'!$A:$J,1,0)</f>
        <v>#N/A</v>
      </c>
      <c r="K189" t="e">
        <f>VLOOKUP(B189,'SV Child BLG Apr'!$D:$I,1,0)</f>
        <v>#N/A</v>
      </c>
      <c r="L189" t="e">
        <f>VLOOKUP(A189,'TV Apr Prorated Billing Sites'!$A:$I,1,0)</f>
        <v>#N/A</v>
      </c>
    </row>
    <row r="190" spans="1:13">
      <c r="A190" t="str">
        <f t="shared" si="5"/>
        <v>25297615</v>
      </c>
      <c r="B190" t="s">
        <v>1835</v>
      </c>
      <c r="C190" t="s">
        <v>1836</v>
      </c>
      <c r="D190">
        <v>25297615</v>
      </c>
      <c r="E190">
        <v>2503474</v>
      </c>
      <c r="F190" t="s">
        <v>39</v>
      </c>
      <c r="G190">
        <v>300</v>
      </c>
      <c r="H190" t="str">
        <f>VLOOKUP(A190,'SV Child INS Apr'!$A:$H,1,0)</f>
        <v>25297615</v>
      </c>
      <c r="L190" t="e">
        <f>VLOOKUP(A190,'TV Apr Prorated Billing Sites'!$A:$I,1,0)</f>
        <v>#N/A</v>
      </c>
    </row>
    <row r="191" spans="1:13">
      <c r="A191" t="str">
        <f t="shared" si="5"/>
        <v>25298066</v>
      </c>
      <c r="B191" t="s">
        <v>1837</v>
      </c>
      <c r="C191" t="s">
        <v>1838</v>
      </c>
      <c r="D191">
        <v>25298066</v>
      </c>
      <c r="E191">
        <v>9095</v>
      </c>
      <c r="F191" t="s">
        <v>39</v>
      </c>
      <c r="G191">
        <v>300</v>
      </c>
      <c r="H191" t="str">
        <f>VLOOKUP(A191,'SV Child INS Apr'!$A:$H,1,0)</f>
        <v>25298066</v>
      </c>
      <c r="L191" t="e">
        <f>VLOOKUP(A191,'TV Apr Prorated Billing Sites'!$A:$I,1,0)</f>
        <v>#N/A</v>
      </c>
    </row>
    <row r="192" spans="1:13">
      <c r="A192" t="str">
        <f t="shared" si="5"/>
        <v>25298067</v>
      </c>
      <c r="B192" t="s">
        <v>1839</v>
      </c>
      <c r="C192" t="s">
        <v>1840</v>
      </c>
      <c r="D192">
        <v>25298067</v>
      </c>
      <c r="E192">
        <v>13055</v>
      </c>
      <c r="F192" t="s">
        <v>39</v>
      </c>
      <c r="G192">
        <v>300</v>
      </c>
      <c r="H192" t="str">
        <f>VLOOKUP(A192,'SV Child INS Apr'!$A:$H,1,0)</f>
        <v>25298067</v>
      </c>
      <c r="L192" t="e">
        <f>VLOOKUP(A192,'TV Apr Prorated Billing Sites'!$A:$I,1,0)</f>
        <v>#N/A</v>
      </c>
    </row>
    <row r="193" spans="1:13">
      <c r="A193" t="str">
        <f t="shared" si="5"/>
        <v>25298068</v>
      </c>
      <c r="B193" t="s">
        <v>1841</v>
      </c>
      <c r="C193" t="s">
        <v>1842</v>
      </c>
      <c r="D193">
        <v>25298068</v>
      </c>
      <c r="E193">
        <v>9096</v>
      </c>
      <c r="F193" t="s">
        <v>39</v>
      </c>
      <c r="G193">
        <v>300</v>
      </c>
      <c r="H193" t="str">
        <f>VLOOKUP(A193,'SV Child INS Apr'!$A:$H,1,0)</f>
        <v>25298068</v>
      </c>
      <c r="L193" t="e">
        <f>VLOOKUP(A193,'TV Apr Prorated Billing Sites'!$A:$I,1,0)</f>
        <v>#N/A</v>
      </c>
    </row>
    <row r="194" spans="1:13">
      <c r="A194" t="str">
        <f t="shared" si="5"/>
        <v>25298130</v>
      </c>
      <c r="B194" t="s">
        <v>1843</v>
      </c>
      <c r="C194" t="s">
        <v>1844</v>
      </c>
      <c r="D194">
        <v>25298130</v>
      </c>
      <c r="E194">
        <v>2002956</v>
      </c>
      <c r="F194" t="s">
        <v>39</v>
      </c>
      <c r="G194">
        <v>300</v>
      </c>
      <c r="H194" t="str">
        <f>VLOOKUP(A194,'SV Child INS Apr'!$A:$H,1,0)</f>
        <v>25298130</v>
      </c>
      <c r="L194" t="e">
        <f>VLOOKUP(A194,'TV Apr Prorated Billing Sites'!$A:$I,1,0)</f>
        <v>#N/A</v>
      </c>
    </row>
    <row r="195" spans="1:13">
      <c r="A195" t="str">
        <f t="shared" si="5"/>
        <v>25298174</v>
      </c>
      <c r="B195" t="s">
        <v>1845</v>
      </c>
      <c r="C195" t="s">
        <v>1846</v>
      </c>
      <c r="D195">
        <v>25298174</v>
      </c>
      <c r="E195">
        <v>2503063</v>
      </c>
      <c r="F195" t="s">
        <v>39</v>
      </c>
      <c r="G195">
        <v>300</v>
      </c>
      <c r="H195" t="str">
        <f>VLOOKUP(A195,'SV Child INS Apr'!$A:$H,1,0)</f>
        <v>25298174</v>
      </c>
      <c r="L195" t="e">
        <f>VLOOKUP(A195,'TV Apr Prorated Billing Sites'!$A:$I,1,0)</f>
        <v>#N/A</v>
      </c>
    </row>
    <row r="196" spans="1:13">
      <c r="A196" t="str">
        <f t="shared" si="5"/>
        <v>25298565</v>
      </c>
      <c r="B196" t="s">
        <v>1847</v>
      </c>
      <c r="C196" t="s">
        <v>1848</v>
      </c>
      <c r="D196">
        <v>25298565</v>
      </c>
      <c r="E196">
        <v>0</v>
      </c>
      <c r="F196" t="s">
        <v>39</v>
      </c>
      <c r="G196">
        <v>400</v>
      </c>
      <c r="H196" t="str">
        <f>VLOOKUP(A196,'SV Child INS Apr'!$A:$H,1,0)</f>
        <v>25298565</v>
      </c>
      <c r="L196" t="e">
        <f>VLOOKUP(A196,'TV Apr Prorated Billing Sites'!$A:$I,1,0)</f>
        <v>#N/A</v>
      </c>
    </row>
    <row r="197" spans="1:13">
      <c r="A197" t="str">
        <f t="shared" si="5"/>
        <v>25298671</v>
      </c>
      <c r="B197" t="s">
        <v>1849</v>
      </c>
      <c r="C197" t="s">
        <v>1850</v>
      </c>
      <c r="D197">
        <v>25298671</v>
      </c>
      <c r="E197">
        <v>2002999</v>
      </c>
      <c r="F197" t="s">
        <v>39</v>
      </c>
      <c r="G197">
        <v>300</v>
      </c>
      <c r="H197" t="str">
        <f>VLOOKUP(A197,'SV Child INS Apr'!$A:$H,1,0)</f>
        <v>25298671</v>
      </c>
      <c r="L197" t="e">
        <f>VLOOKUP(A197,'TV Apr Prorated Billing Sites'!$A:$I,1,0)</f>
        <v>#N/A</v>
      </c>
    </row>
    <row r="198" spans="1:13">
      <c r="A198" t="str">
        <f t="shared" si="5"/>
        <v>25298808</v>
      </c>
      <c r="B198" t="s">
        <v>1851</v>
      </c>
      <c r="C198" t="s">
        <v>1852</v>
      </c>
      <c r="D198">
        <v>25298808</v>
      </c>
      <c r="E198">
        <v>1500122</v>
      </c>
      <c r="F198" t="s">
        <v>39</v>
      </c>
      <c r="G198">
        <v>300</v>
      </c>
      <c r="H198" t="str">
        <f>VLOOKUP(A198,'SV Child INS Apr'!$A:$H,1,0)</f>
        <v>25298808</v>
      </c>
      <c r="L198" t="e">
        <f>VLOOKUP(A198,'TV Apr Prorated Billing Sites'!$A:$I,1,0)</f>
        <v>#N/A</v>
      </c>
    </row>
    <row r="199" spans="1:13">
      <c r="A199" t="str">
        <f t="shared" si="5"/>
        <v>25298851</v>
      </c>
      <c r="B199" t="s">
        <v>1853</v>
      </c>
      <c r="C199" t="s">
        <v>1854</v>
      </c>
      <c r="D199">
        <v>25298851</v>
      </c>
      <c r="E199">
        <v>1500121</v>
      </c>
      <c r="F199" t="s">
        <v>39</v>
      </c>
      <c r="G199">
        <v>300</v>
      </c>
      <c r="H199" t="str">
        <f>VLOOKUP(A199,'SV Child INS Apr'!$A:$H,1,0)</f>
        <v>25298851</v>
      </c>
      <c r="L199" t="e">
        <f>VLOOKUP(A199,'TV Apr Prorated Billing Sites'!$A:$I,1,0)</f>
        <v>#N/A</v>
      </c>
    </row>
    <row r="200" spans="1:13">
      <c r="A200" t="str">
        <f t="shared" si="5"/>
        <v>25298904</v>
      </c>
      <c r="B200" t="s">
        <v>1855</v>
      </c>
      <c r="C200" t="s">
        <v>1856</v>
      </c>
      <c r="D200">
        <v>25298904</v>
      </c>
      <c r="E200">
        <v>10169</v>
      </c>
      <c r="F200" t="s">
        <v>39</v>
      </c>
      <c r="G200">
        <v>300</v>
      </c>
      <c r="H200" t="str">
        <f>VLOOKUP(A200,'SV Child INS Apr'!$A:$H,1,0)</f>
        <v>25298904</v>
      </c>
      <c r="L200" t="e">
        <f>VLOOKUP(A200,'TV Apr Prorated Billing Sites'!$A:$I,1,0)</f>
        <v>#N/A</v>
      </c>
    </row>
    <row r="201" spans="1:13">
      <c r="A201" t="str">
        <f t="shared" si="5"/>
        <v>25298955</v>
      </c>
      <c r="B201" t="s">
        <v>1857</v>
      </c>
      <c r="C201" t="s">
        <v>1858</v>
      </c>
      <c r="D201">
        <v>25298955</v>
      </c>
      <c r="E201">
        <v>2002822</v>
      </c>
      <c r="F201" t="s">
        <v>39</v>
      </c>
      <c r="G201">
        <v>300</v>
      </c>
      <c r="H201" t="str">
        <f>VLOOKUP(A201,'SV Child INS Apr'!$A:$H,1,0)</f>
        <v>25298955</v>
      </c>
      <c r="L201" t="e">
        <f>VLOOKUP(A201,'TV Apr Prorated Billing Sites'!$A:$I,1,0)</f>
        <v>#N/A</v>
      </c>
    </row>
    <row r="202" spans="1:13">
      <c r="A202" t="str">
        <f t="shared" si="5"/>
        <v>25298998</v>
      </c>
      <c r="B202" t="s">
        <v>421</v>
      </c>
      <c r="C202" t="s">
        <v>422</v>
      </c>
      <c r="D202">
        <v>25298998</v>
      </c>
      <c r="E202">
        <v>2000882</v>
      </c>
      <c r="F202" t="s">
        <v>39</v>
      </c>
      <c r="G202">
        <v>300</v>
      </c>
      <c r="H202" t="e">
        <f>VLOOKUP(A202,'SV Child INS Apr'!$A:$H,1,0)</f>
        <v>#N/A</v>
      </c>
      <c r="I202" t="e">
        <f>VLOOKUP(B202,'SV Child INS Apr'!$D:$F,1,0)</f>
        <v>#N/A</v>
      </c>
      <c r="J202" t="str">
        <f>VLOOKUP(A202,'SV Child BLG Apr'!$A:$J,1,0)</f>
        <v>25298998</v>
      </c>
      <c r="L202" t="e">
        <f>VLOOKUP(A202,'TV Apr Prorated Billing Sites'!$A:$I,1,0)</f>
        <v>#N/A</v>
      </c>
      <c r="M202" t="e">
        <f>VLOOKUP(A202,'CDK asked to retain list'!$H$1:$J$24,1,0)</f>
        <v>#N/A</v>
      </c>
    </row>
    <row r="203" spans="1:13">
      <c r="A203" t="str">
        <f t="shared" si="5"/>
        <v>25299004</v>
      </c>
      <c r="B203" t="s">
        <v>1859</v>
      </c>
      <c r="C203" t="s">
        <v>1860</v>
      </c>
      <c r="D203">
        <v>25299004</v>
      </c>
      <c r="E203">
        <v>390</v>
      </c>
      <c r="F203" t="s">
        <v>39</v>
      </c>
      <c r="G203">
        <v>300</v>
      </c>
      <c r="H203" t="str">
        <f>VLOOKUP(A203,'SV Child INS Apr'!$A:$H,1,0)</f>
        <v>25299004</v>
      </c>
      <c r="L203" t="e">
        <f>VLOOKUP(A203,'TV Apr Prorated Billing Sites'!$A:$I,1,0)</f>
        <v>#N/A</v>
      </c>
    </row>
    <row r="204" spans="1:13">
      <c r="A204" t="str">
        <f t="shared" si="5"/>
        <v>25299176</v>
      </c>
      <c r="B204" t="s">
        <v>1861</v>
      </c>
      <c r="C204" t="s">
        <v>1862</v>
      </c>
      <c r="D204">
        <v>25299176</v>
      </c>
      <c r="E204">
        <v>2500697</v>
      </c>
      <c r="F204" t="s">
        <v>39</v>
      </c>
      <c r="G204">
        <v>450</v>
      </c>
      <c r="H204" t="str">
        <f>VLOOKUP(A204,'SV Child INS Apr'!$A:$H,1,0)</f>
        <v>25299176</v>
      </c>
      <c r="L204" t="e">
        <f>VLOOKUP(A204,'TV Apr Prorated Billing Sites'!$A:$I,1,0)</f>
        <v>#N/A</v>
      </c>
    </row>
    <row r="205" spans="1:13">
      <c r="A205" t="str">
        <f t="shared" si="5"/>
        <v>25300178</v>
      </c>
      <c r="B205" t="s">
        <v>1863</v>
      </c>
      <c r="C205" t="s">
        <v>1864</v>
      </c>
      <c r="D205">
        <v>25300178</v>
      </c>
      <c r="E205">
        <v>936</v>
      </c>
      <c r="F205" t="s">
        <v>39</v>
      </c>
      <c r="G205">
        <v>300</v>
      </c>
      <c r="H205" t="str">
        <f>VLOOKUP(A205,'SV Child INS Apr'!$A:$H,1,0)</f>
        <v>25300178</v>
      </c>
      <c r="L205" t="e">
        <f>VLOOKUP(A205,'TV Apr Prorated Billing Sites'!$A:$I,1,0)</f>
        <v>#N/A</v>
      </c>
    </row>
    <row r="206" spans="1:13">
      <c r="A206" t="str">
        <f t="shared" si="5"/>
        <v>25300229</v>
      </c>
      <c r="B206" t="s">
        <v>1865</v>
      </c>
      <c r="C206" t="s">
        <v>1866</v>
      </c>
      <c r="D206">
        <v>25300229</v>
      </c>
      <c r="E206">
        <v>3000630</v>
      </c>
      <c r="F206" t="s">
        <v>39</v>
      </c>
      <c r="G206">
        <v>300</v>
      </c>
      <c r="H206" t="str">
        <f>VLOOKUP(A206,'SV Child INS Apr'!$A:$H,1,0)</f>
        <v>25300229</v>
      </c>
      <c r="L206" t="e">
        <f>VLOOKUP(A206,'TV Apr Prorated Billing Sites'!$A:$I,1,0)</f>
        <v>#N/A</v>
      </c>
    </row>
    <row r="207" spans="1:13">
      <c r="A207" t="str">
        <f t="shared" si="5"/>
        <v>25300489</v>
      </c>
      <c r="B207" t="s">
        <v>1867</v>
      </c>
      <c r="C207" t="s">
        <v>1868</v>
      </c>
      <c r="D207">
        <v>25300489</v>
      </c>
      <c r="E207">
        <v>2027</v>
      </c>
      <c r="F207" t="s">
        <v>39</v>
      </c>
      <c r="G207">
        <v>300</v>
      </c>
      <c r="H207" t="str">
        <f>VLOOKUP(A207,'SV Child INS Apr'!$A:$H,1,0)</f>
        <v>25300489</v>
      </c>
      <c r="L207" t="e">
        <f>VLOOKUP(A207,'TV Apr Prorated Billing Sites'!$A:$I,1,0)</f>
        <v>#N/A</v>
      </c>
    </row>
    <row r="208" spans="1:13">
      <c r="A208" t="str">
        <f t="shared" si="5"/>
        <v>25300521</v>
      </c>
      <c r="B208" t="s">
        <v>1869</v>
      </c>
      <c r="C208" t="s">
        <v>1870</v>
      </c>
      <c r="D208">
        <v>25300521</v>
      </c>
      <c r="E208">
        <v>3001629</v>
      </c>
      <c r="F208" t="s">
        <v>39</v>
      </c>
      <c r="G208">
        <v>300</v>
      </c>
      <c r="H208" t="str">
        <f>VLOOKUP(A208,'SV Child INS Apr'!$A:$H,1,0)</f>
        <v>25300521</v>
      </c>
      <c r="L208" t="e">
        <f>VLOOKUP(A208,'TV Apr Prorated Billing Sites'!$A:$I,1,0)</f>
        <v>#N/A</v>
      </c>
    </row>
    <row r="209" spans="1:13">
      <c r="A209" t="str">
        <f t="shared" si="5"/>
        <v>25300580</v>
      </c>
      <c r="B209" t="s">
        <v>1871</v>
      </c>
      <c r="C209" t="s">
        <v>1872</v>
      </c>
      <c r="D209">
        <v>25300580</v>
      </c>
      <c r="E209">
        <v>2502401</v>
      </c>
      <c r="F209" t="s">
        <v>39</v>
      </c>
      <c r="G209">
        <v>300</v>
      </c>
      <c r="H209" t="str">
        <f>VLOOKUP(A209,'SV Child INS Apr'!$A:$H,1,0)</f>
        <v>25300580</v>
      </c>
      <c r="L209" t="e">
        <f>VLOOKUP(A209,'TV Apr Prorated Billing Sites'!$A:$I,1,0)</f>
        <v>#N/A</v>
      </c>
    </row>
    <row r="210" spans="1:13">
      <c r="A210" t="str">
        <f t="shared" si="5"/>
        <v>25300610</v>
      </c>
      <c r="B210" t="s">
        <v>424</v>
      </c>
      <c r="C210" t="s">
        <v>425</v>
      </c>
      <c r="D210">
        <v>25300610</v>
      </c>
      <c r="E210">
        <v>3002945</v>
      </c>
      <c r="F210" t="s">
        <v>39</v>
      </c>
      <c r="G210">
        <v>300</v>
      </c>
      <c r="H210" t="e">
        <f>VLOOKUP(A210,'SV Child INS Apr'!$A:$H,1,0)</f>
        <v>#N/A</v>
      </c>
      <c r="I210" t="e">
        <f>VLOOKUP(B210,'SV Child INS Apr'!$D:$F,1,0)</f>
        <v>#N/A</v>
      </c>
      <c r="J210" t="str">
        <f>VLOOKUP(A210,'SV Child BLG Apr'!$A:$J,1,0)</f>
        <v>25300610</v>
      </c>
      <c r="L210" t="str">
        <f>VLOOKUP(A210,'TV Apr Prorated Billing Sites'!$A:$I,1,0)</f>
        <v>25300610</v>
      </c>
      <c r="M210" t="e">
        <f>VLOOKUP(A210,'CDK asked to retain list'!$H$1:$J$24,1,0)</f>
        <v>#N/A</v>
      </c>
    </row>
    <row r="211" spans="1:13">
      <c r="A211" t="str">
        <f t="shared" si="5"/>
        <v>29044101</v>
      </c>
      <c r="B211" t="s">
        <v>1873</v>
      </c>
      <c r="C211" t="s">
        <v>1874</v>
      </c>
      <c r="D211">
        <v>29044101</v>
      </c>
      <c r="E211">
        <v>2002003</v>
      </c>
      <c r="F211" t="s">
        <v>39</v>
      </c>
      <c r="G211">
        <v>300</v>
      </c>
      <c r="H211" t="str">
        <f>VLOOKUP(A211,'SV Child INS Apr'!$A:$H,1,0)</f>
        <v>29044101</v>
      </c>
      <c r="L211" t="e">
        <f>VLOOKUP(A211,'TV Apr Prorated Billing Sites'!$A:$I,1,0)</f>
        <v>#N/A</v>
      </c>
    </row>
    <row r="212" spans="1:13">
      <c r="A212" t="str">
        <f t="shared" si="5"/>
        <v>29095701</v>
      </c>
      <c r="B212" t="s">
        <v>1875</v>
      </c>
      <c r="C212" t="s">
        <v>1876</v>
      </c>
      <c r="D212">
        <v>29095701</v>
      </c>
      <c r="E212">
        <v>2500333</v>
      </c>
      <c r="F212" t="s">
        <v>39</v>
      </c>
      <c r="G212">
        <v>300</v>
      </c>
      <c r="H212" t="str">
        <f>VLOOKUP(A212,'SV Child INS Apr'!$A:$H,1,0)</f>
        <v>29095701</v>
      </c>
      <c r="L212" t="e">
        <f>VLOOKUP(A212,'TV Apr Prorated Billing Sites'!$A:$I,1,0)</f>
        <v>#N/A</v>
      </c>
    </row>
    <row r="213" spans="1:13">
      <c r="A213" t="str">
        <f t="shared" si="5"/>
        <v>29111401</v>
      </c>
      <c r="B213" t="s">
        <v>1877</v>
      </c>
      <c r="C213" t="s">
        <v>1878</v>
      </c>
      <c r="D213">
        <v>29111401</v>
      </c>
      <c r="E213">
        <v>2001961</v>
      </c>
      <c r="F213" t="s">
        <v>39</v>
      </c>
      <c r="G213">
        <v>300</v>
      </c>
      <c r="H213" t="str">
        <f>VLOOKUP(A213,'SV Child INS Apr'!$A:$H,1,0)</f>
        <v>29111401</v>
      </c>
      <c r="L213" t="e">
        <f>VLOOKUP(A213,'TV Apr Prorated Billing Sites'!$A:$I,1,0)</f>
        <v>#N/A</v>
      </c>
    </row>
    <row r="214" spans="1:13">
      <c r="A214" t="str">
        <f t="shared" si="5"/>
        <v>29115761</v>
      </c>
      <c r="B214" t="s">
        <v>1879</v>
      </c>
      <c r="C214" t="s">
        <v>1880</v>
      </c>
      <c r="D214">
        <v>29115761</v>
      </c>
      <c r="E214">
        <v>2003115</v>
      </c>
      <c r="F214" t="s">
        <v>39</v>
      </c>
      <c r="G214">
        <v>300</v>
      </c>
      <c r="H214" t="str">
        <f>VLOOKUP(A214,'SV Child INS Apr'!$A:$H,1,0)</f>
        <v>29115761</v>
      </c>
      <c r="L214" t="e">
        <f>VLOOKUP(A214,'TV Apr Prorated Billing Sites'!$A:$I,1,0)</f>
        <v>#N/A</v>
      </c>
    </row>
    <row r="215" spans="1:13">
      <c r="A215" t="str">
        <f t="shared" si="5"/>
        <v>29116172</v>
      </c>
      <c r="B215" t="s">
        <v>1881</v>
      </c>
      <c r="C215" t="s">
        <v>1882</v>
      </c>
      <c r="D215">
        <v>29116172</v>
      </c>
      <c r="E215">
        <v>2003083</v>
      </c>
      <c r="F215" t="s">
        <v>39</v>
      </c>
      <c r="G215">
        <v>300</v>
      </c>
      <c r="H215" t="str">
        <f>VLOOKUP(A215,'SV Child INS Apr'!$A:$H,1,0)</f>
        <v>29116172</v>
      </c>
      <c r="L215" t="e">
        <f>VLOOKUP(A215,'TV Apr Prorated Billing Sites'!$A:$I,1,0)</f>
        <v>#N/A</v>
      </c>
    </row>
    <row r="216" spans="1:13">
      <c r="A216" t="str">
        <f t="shared" si="5"/>
        <v>33001801</v>
      </c>
      <c r="B216" t="s">
        <v>1883</v>
      </c>
      <c r="C216" t="s">
        <v>1884</v>
      </c>
      <c r="D216">
        <v>33001801</v>
      </c>
      <c r="E216">
        <v>3001828</v>
      </c>
      <c r="F216" t="s">
        <v>39</v>
      </c>
      <c r="G216">
        <v>300</v>
      </c>
      <c r="H216" t="str">
        <f>VLOOKUP(A216,'SV Child INS Apr'!$A:$H,1,0)</f>
        <v>33001801</v>
      </c>
      <c r="L216" t="e">
        <f>VLOOKUP(A216,'TV Apr Prorated Billing Sites'!$A:$I,1,0)</f>
        <v>#N/A</v>
      </c>
    </row>
    <row r="217" spans="1:13">
      <c r="A217" t="str">
        <f t="shared" si="5"/>
        <v>33049702</v>
      </c>
      <c r="B217" t="s">
        <v>53</v>
      </c>
      <c r="C217" t="s">
        <v>54</v>
      </c>
      <c r="D217">
        <v>33049702</v>
      </c>
      <c r="E217">
        <v>2700012</v>
      </c>
      <c r="F217" t="s">
        <v>39</v>
      </c>
      <c r="G217">
        <v>300</v>
      </c>
      <c r="H217" t="e">
        <f>VLOOKUP(A217,'SV Child INS Apr'!$A:$H,1,0)</f>
        <v>#N/A</v>
      </c>
      <c r="I217" t="e">
        <f>VLOOKUP(B217,'SV Child INS Apr'!$D:$F,1,0)</f>
        <v>#N/A</v>
      </c>
      <c r="J217" t="e">
        <f>VLOOKUP(A217,'SV Child BLG Apr'!$A:$J,1,0)</f>
        <v>#N/A</v>
      </c>
      <c r="K217" t="e">
        <f>VLOOKUP(B217,'SV Child BLG Apr'!$D:$I,1,0)</f>
        <v>#N/A</v>
      </c>
      <c r="L217" t="e">
        <f>VLOOKUP(A217,'TV Apr Prorated Billing Sites'!$A:$I,1,0)</f>
        <v>#N/A</v>
      </c>
    </row>
    <row r="218" spans="1:13">
      <c r="A218" t="str">
        <f t="shared" si="5"/>
        <v>33053503</v>
      </c>
      <c r="B218" t="s">
        <v>1885</v>
      </c>
      <c r="C218" t="s">
        <v>1886</v>
      </c>
      <c r="D218">
        <v>33053503</v>
      </c>
      <c r="E218">
        <v>2002677</v>
      </c>
      <c r="F218" t="s">
        <v>39</v>
      </c>
      <c r="G218">
        <v>300</v>
      </c>
      <c r="H218" t="str">
        <f>VLOOKUP(A218,'SV Child INS Apr'!$A:$H,1,0)</f>
        <v>33053503</v>
      </c>
      <c r="L218" t="e">
        <f>VLOOKUP(A218,'TV Apr Prorated Billing Sites'!$A:$I,1,0)</f>
        <v>#N/A</v>
      </c>
    </row>
    <row r="219" spans="1:13">
      <c r="A219" t="str">
        <f t="shared" si="5"/>
        <v>33053504</v>
      </c>
      <c r="B219" t="s">
        <v>1887</v>
      </c>
      <c r="C219" t="s">
        <v>1888</v>
      </c>
      <c r="D219">
        <v>33053504</v>
      </c>
      <c r="E219">
        <v>2000840</v>
      </c>
      <c r="F219" t="s">
        <v>39</v>
      </c>
      <c r="G219">
        <v>300</v>
      </c>
      <c r="H219" t="str">
        <f>VLOOKUP(A219,'SV Child INS Apr'!$A:$H,1,0)</f>
        <v>33053504</v>
      </c>
      <c r="L219" t="e">
        <f>VLOOKUP(A219,'TV Apr Prorated Billing Sites'!$A:$I,1,0)</f>
        <v>#N/A</v>
      </c>
    </row>
    <row r="220" spans="1:13">
      <c r="A220" t="str">
        <f t="shared" si="5"/>
        <v>33056001</v>
      </c>
      <c r="B220" t="s">
        <v>1889</v>
      </c>
      <c r="C220" t="s">
        <v>1890</v>
      </c>
      <c r="D220">
        <v>33056001</v>
      </c>
      <c r="E220">
        <v>2003132</v>
      </c>
      <c r="F220" t="s">
        <v>39</v>
      </c>
      <c r="G220">
        <v>300</v>
      </c>
      <c r="H220" t="str">
        <f>VLOOKUP(A220,'SV Child INS Apr'!$A:$H,1,0)</f>
        <v>33056001</v>
      </c>
      <c r="L220" t="e">
        <f>VLOOKUP(A220,'TV Apr Prorated Billing Sites'!$A:$I,1,0)</f>
        <v>#N/A</v>
      </c>
    </row>
    <row r="221" spans="1:13">
      <c r="A221" t="str">
        <f t="shared" si="5"/>
        <v>33062109</v>
      </c>
      <c r="B221" t="s">
        <v>1891</v>
      </c>
      <c r="C221" t="s">
        <v>1892</v>
      </c>
      <c r="D221">
        <v>33062109</v>
      </c>
      <c r="E221">
        <v>2002994</v>
      </c>
      <c r="F221" t="s">
        <v>39</v>
      </c>
      <c r="G221">
        <v>300</v>
      </c>
      <c r="H221" t="str">
        <f>VLOOKUP(A221,'SV Child INS Apr'!$A:$H,1,0)</f>
        <v>33062109</v>
      </c>
      <c r="L221" t="e">
        <f>VLOOKUP(A221,'TV Apr Prorated Billing Sites'!$A:$I,1,0)</f>
        <v>#N/A</v>
      </c>
    </row>
    <row r="222" spans="1:13">
      <c r="A222" t="str">
        <f t="shared" si="5"/>
        <v>33062109</v>
      </c>
      <c r="B222" t="s">
        <v>1893</v>
      </c>
      <c r="C222" t="s">
        <v>1894</v>
      </c>
      <c r="D222">
        <v>33062109</v>
      </c>
      <c r="E222">
        <v>2002994</v>
      </c>
      <c r="F222" t="s">
        <v>39</v>
      </c>
      <c r="G222">
        <v>300</v>
      </c>
      <c r="H222" t="str">
        <f>VLOOKUP(A222,'SV Child INS Apr'!$A:$H,1,0)</f>
        <v>33062109</v>
      </c>
      <c r="L222" t="e">
        <f>VLOOKUP(A222,'TV Apr Prorated Billing Sites'!$A:$I,1,0)</f>
        <v>#N/A</v>
      </c>
    </row>
    <row r="223" spans="1:13">
      <c r="A223" t="str">
        <f t="shared" si="5"/>
        <v>33071001</v>
      </c>
      <c r="B223" t="s">
        <v>1895</v>
      </c>
      <c r="C223" t="s">
        <v>1896</v>
      </c>
      <c r="D223">
        <v>33071001</v>
      </c>
      <c r="E223">
        <v>2003021</v>
      </c>
      <c r="F223" t="s">
        <v>39</v>
      </c>
      <c r="G223">
        <v>300</v>
      </c>
      <c r="H223" t="str">
        <f>VLOOKUP(A223,'SV Child INS Apr'!$A:$H,1,0)</f>
        <v>33071001</v>
      </c>
      <c r="L223" t="e">
        <f>VLOOKUP(A223,'TV Apr Prorated Billing Sites'!$A:$I,1,0)</f>
        <v>#N/A</v>
      </c>
    </row>
    <row r="224" spans="1:13">
      <c r="A224" t="str">
        <f t="shared" si="5"/>
        <v>33077301</v>
      </c>
      <c r="B224" t="s">
        <v>1897</v>
      </c>
      <c r="C224" t="s">
        <v>1898</v>
      </c>
      <c r="D224">
        <v>33077301</v>
      </c>
      <c r="E224">
        <v>2000224</v>
      </c>
      <c r="F224" t="s">
        <v>39</v>
      </c>
      <c r="G224">
        <v>400</v>
      </c>
      <c r="H224" t="str">
        <f>VLOOKUP(A224,'SV Child INS Apr'!$A:$H,1,0)</f>
        <v>33077301</v>
      </c>
      <c r="L224" t="e">
        <f>VLOOKUP(A224,'TV Apr Prorated Billing Sites'!$A:$I,1,0)</f>
        <v>#N/A</v>
      </c>
    </row>
    <row r="225" spans="1:12">
      <c r="A225" t="str">
        <f t="shared" si="5"/>
        <v>33101301</v>
      </c>
      <c r="B225" t="s">
        <v>1899</v>
      </c>
      <c r="C225" t="s">
        <v>1900</v>
      </c>
      <c r="D225">
        <v>33101301</v>
      </c>
      <c r="E225">
        <v>2503353</v>
      </c>
      <c r="F225" t="s">
        <v>39</v>
      </c>
      <c r="G225">
        <v>300</v>
      </c>
      <c r="H225" t="str">
        <f>VLOOKUP(A225,'SV Child INS Apr'!$A:$H,1,0)</f>
        <v>33101301</v>
      </c>
      <c r="L225" t="e">
        <f>VLOOKUP(A225,'TV Apr Prorated Billing Sites'!$A:$I,1,0)</f>
        <v>#N/A</v>
      </c>
    </row>
    <row r="226" spans="1:12">
      <c r="A226" t="str">
        <f t="shared" si="5"/>
        <v>33114901</v>
      </c>
      <c r="B226" t="s">
        <v>1901</v>
      </c>
      <c r="C226" t="s">
        <v>1902</v>
      </c>
      <c r="D226">
        <v>33114901</v>
      </c>
      <c r="E226">
        <v>2000621</v>
      </c>
      <c r="F226" t="s">
        <v>39</v>
      </c>
      <c r="G226">
        <v>300</v>
      </c>
      <c r="H226" t="str">
        <f>VLOOKUP(A226,'SV Child INS Apr'!$A:$H,1,0)</f>
        <v>33114901</v>
      </c>
      <c r="L226" t="e">
        <f>VLOOKUP(A226,'TV Apr Prorated Billing Sites'!$A:$I,1,0)</f>
        <v>#N/A</v>
      </c>
    </row>
    <row r="227" spans="1:12">
      <c r="A227" t="str">
        <f t="shared" si="5"/>
        <v>33172401</v>
      </c>
      <c r="B227" t="s">
        <v>1903</v>
      </c>
      <c r="C227" t="s">
        <v>1904</v>
      </c>
      <c r="D227">
        <v>33172401</v>
      </c>
      <c r="E227">
        <v>2503587</v>
      </c>
      <c r="F227" t="s">
        <v>39</v>
      </c>
      <c r="G227">
        <v>300</v>
      </c>
      <c r="H227" t="str">
        <f>VLOOKUP(A227,'SV Child INS Apr'!$A:$H,1,0)</f>
        <v>33172401</v>
      </c>
      <c r="L227" t="e">
        <f>VLOOKUP(A227,'TV Apr Prorated Billing Sites'!$A:$I,1,0)</f>
        <v>#N/A</v>
      </c>
    </row>
    <row r="228" spans="1:12">
      <c r="A228" t="str">
        <f t="shared" si="5"/>
        <v>33201001</v>
      </c>
      <c r="B228" t="s">
        <v>1905</v>
      </c>
      <c r="C228" t="s">
        <v>1906</v>
      </c>
      <c r="D228">
        <v>33201001</v>
      </c>
      <c r="E228">
        <v>2001904</v>
      </c>
      <c r="F228" t="s">
        <v>39</v>
      </c>
      <c r="G228">
        <v>300</v>
      </c>
      <c r="H228" t="str">
        <f>VLOOKUP(A228,'SV Child INS Apr'!$A:$H,1,0)</f>
        <v>33201001</v>
      </c>
      <c r="L228" t="e">
        <f>VLOOKUP(A228,'TV Apr Prorated Billing Sites'!$A:$I,1,0)</f>
        <v>#N/A</v>
      </c>
    </row>
    <row r="229" spans="1:12">
      <c r="A229" t="str">
        <f t="shared" si="5"/>
        <v>33239001</v>
      </c>
      <c r="B229" t="s">
        <v>1907</v>
      </c>
      <c r="C229" t="s">
        <v>1908</v>
      </c>
      <c r="D229">
        <v>33239001</v>
      </c>
      <c r="E229">
        <v>2000392</v>
      </c>
      <c r="F229" t="s">
        <v>39</v>
      </c>
      <c r="G229">
        <v>300</v>
      </c>
      <c r="H229" t="str">
        <f>VLOOKUP(A229,'SV Child INS Apr'!$A:$H,1,0)</f>
        <v>33239001</v>
      </c>
      <c r="L229" t="e">
        <f>VLOOKUP(A229,'TV Apr Prorated Billing Sites'!$A:$I,1,0)</f>
        <v>#N/A</v>
      </c>
    </row>
    <row r="230" spans="1:12">
      <c r="A230" t="str">
        <f t="shared" si="5"/>
        <v>37002001</v>
      </c>
      <c r="B230" t="s">
        <v>1909</v>
      </c>
      <c r="C230" t="s">
        <v>1910</v>
      </c>
      <c r="D230">
        <v>37002001</v>
      </c>
      <c r="E230">
        <v>2501197</v>
      </c>
      <c r="F230" t="s">
        <v>39</v>
      </c>
      <c r="G230">
        <v>300</v>
      </c>
      <c r="H230" t="str">
        <f>VLOOKUP(A230,'SV Child INS Apr'!$A:$H,1,0)</f>
        <v>37002001</v>
      </c>
      <c r="L230" t="e">
        <f>VLOOKUP(A230,'TV Apr Prorated Billing Sites'!$A:$I,1,0)</f>
        <v>#N/A</v>
      </c>
    </row>
    <row r="231" spans="1:12">
      <c r="A231" t="str">
        <f t="shared" si="5"/>
        <v>37005301</v>
      </c>
      <c r="B231" t="s">
        <v>1911</v>
      </c>
      <c r="C231" t="s">
        <v>1912</v>
      </c>
      <c r="D231">
        <v>37005301</v>
      </c>
      <c r="E231">
        <v>2001494</v>
      </c>
      <c r="F231" t="s">
        <v>39</v>
      </c>
      <c r="G231">
        <v>300</v>
      </c>
      <c r="H231" t="str">
        <f>VLOOKUP(A231,'SV Child INS Apr'!$A:$H,1,0)</f>
        <v>37005301</v>
      </c>
      <c r="L231" t="e">
        <f>VLOOKUP(A231,'TV Apr Prorated Billing Sites'!$A:$I,1,0)</f>
        <v>#N/A</v>
      </c>
    </row>
    <row r="232" spans="1:12">
      <c r="A232" t="str">
        <f t="shared" si="5"/>
        <v>37005801</v>
      </c>
      <c r="B232" t="s">
        <v>1913</v>
      </c>
      <c r="C232" t="s">
        <v>1914</v>
      </c>
      <c r="D232">
        <v>37005801</v>
      </c>
      <c r="E232">
        <v>2503523</v>
      </c>
      <c r="F232" t="s">
        <v>39</v>
      </c>
      <c r="G232">
        <v>300</v>
      </c>
      <c r="H232" t="str">
        <f>VLOOKUP(A232,'SV Child INS Apr'!$A:$H,1,0)</f>
        <v>37005801</v>
      </c>
      <c r="L232" t="e">
        <f>VLOOKUP(A232,'TV Apr Prorated Billing Sites'!$A:$I,1,0)</f>
        <v>#N/A</v>
      </c>
    </row>
    <row r="233" spans="1:12">
      <c r="A233" t="str">
        <f t="shared" ref="A233:A296" si="6">TRIM(D233)</f>
        <v>37014101</v>
      </c>
      <c r="B233" t="s">
        <v>1915</v>
      </c>
      <c r="C233" t="s">
        <v>1916</v>
      </c>
      <c r="D233">
        <v>37014101</v>
      </c>
      <c r="E233">
        <v>3000747</v>
      </c>
      <c r="F233" t="s">
        <v>39</v>
      </c>
      <c r="G233">
        <v>450</v>
      </c>
      <c r="H233" t="str">
        <f>VLOOKUP(A233,'SV Child INS Apr'!$A:$H,1,0)</f>
        <v>37014101</v>
      </c>
      <c r="L233" t="e">
        <f>VLOOKUP(A233,'TV Apr Prorated Billing Sites'!$A:$I,1,0)</f>
        <v>#N/A</v>
      </c>
    </row>
    <row r="234" spans="1:12">
      <c r="A234" t="str">
        <f t="shared" si="6"/>
        <v>37028301</v>
      </c>
      <c r="B234" t="s">
        <v>1917</v>
      </c>
      <c r="C234" t="s">
        <v>1918</v>
      </c>
      <c r="D234">
        <v>37028301</v>
      </c>
      <c r="E234">
        <v>2000635</v>
      </c>
      <c r="F234" t="s">
        <v>39</v>
      </c>
      <c r="G234">
        <v>400</v>
      </c>
      <c r="H234" t="str">
        <f>VLOOKUP(A234,'SV Child INS Apr'!$A:$H,1,0)</f>
        <v>37028301</v>
      </c>
      <c r="L234" t="e">
        <f>VLOOKUP(A234,'TV Apr Prorated Billing Sites'!$A:$I,1,0)</f>
        <v>#N/A</v>
      </c>
    </row>
    <row r="235" spans="1:12">
      <c r="A235" t="str">
        <f t="shared" si="6"/>
        <v>37028301</v>
      </c>
      <c r="B235" t="s">
        <v>1919</v>
      </c>
      <c r="C235" t="s">
        <v>1920</v>
      </c>
      <c r="D235">
        <v>37028301</v>
      </c>
      <c r="E235">
        <v>2000635</v>
      </c>
      <c r="F235" t="s">
        <v>39</v>
      </c>
      <c r="G235">
        <v>400</v>
      </c>
      <c r="H235" t="str">
        <f>VLOOKUP(A235,'SV Child INS Apr'!$A:$H,1,0)</f>
        <v>37028301</v>
      </c>
      <c r="L235" t="e">
        <f>VLOOKUP(A235,'TV Apr Prorated Billing Sites'!$A:$I,1,0)</f>
        <v>#N/A</v>
      </c>
    </row>
    <row r="236" spans="1:12">
      <c r="A236" t="str">
        <f t="shared" si="6"/>
        <v>37126801</v>
      </c>
      <c r="B236" t="s">
        <v>1921</v>
      </c>
      <c r="C236" t="s">
        <v>1922</v>
      </c>
      <c r="D236">
        <v>37126801</v>
      </c>
      <c r="E236">
        <v>2502524</v>
      </c>
      <c r="F236" t="s">
        <v>39</v>
      </c>
      <c r="G236">
        <v>300</v>
      </c>
      <c r="H236" t="str">
        <f>VLOOKUP(A236,'SV Child INS Apr'!$A:$H,1,0)</f>
        <v>37126801</v>
      </c>
      <c r="L236" t="e">
        <f>VLOOKUP(A236,'TV Apr Prorated Billing Sites'!$A:$I,1,0)</f>
        <v>#N/A</v>
      </c>
    </row>
    <row r="237" spans="1:12">
      <c r="A237" t="str">
        <f t="shared" si="6"/>
        <v>37136401</v>
      </c>
      <c r="B237" t="s">
        <v>1923</v>
      </c>
      <c r="C237" t="s">
        <v>1924</v>
      </c>
      <c r="D237">
        <v>37136401</v>
      </c>
      <c r="E237">
        <v>9010</v>
      </c>
      <c r="F237" t="s">
        <v>39</v>
      </c>
      <c r="G237">
        <v>300</v>
      </c>
      <c r="H237" t="str">
        <f>VLOOKUP(A237,'SV Child INS Apr'!$A:$H,1,0)</f>
        <v>37136401</v>
      </c>
      <c r="L237" t="e">
        <f>VLOOKUP(A237,'TV Apr Prorated Billing Sites'!$A:$I,1,0)</f>
        <v>#N/A</v>
      </c>
    </row>
    <row r="238" spans="1:12">
      <c r="A238" t="str">
        <f t="shared" si="6"/>
        <v>37141201</v>
      </c>
      <c r="B238" t="s">
        <v>1213</v>
      </c>
      <c r="C238" t="s">
        <v>1925</v>
      </c>
      <c r="D238">
        <v>37141201</v>
      </c>
      <c r="E238">
        <v>9050</v>
      </c>
      <c r="F238" t="s">
        <v>39</v>
      </c>
      <c r="G238">
        <v>450</v>
      </c>
      <c r="H238" t="str">
        <f>VLOOKUP(A238,'SV Child INS Apr'!$A:$H,1,0)</f>
        <v>37141201</v>
      </c>
      <c r="L238" t="e">
        <f>VLOOKUP(A238,'TV Apr Prorated Billing Sites'!$A:$I,1,0)</f>
        <v>#N/A</v>
      </c>
    </row>
    <row r="239" spans="1:12">
      <c r="A239" t="str">
        <f t="shared" si="6"/>
        <v>37141201</v>
      </c>
      <c r="B239" t="s">
        <v>1926</v>
      </c>
      <c r="C239" t="s">
        <v>1927</v>
      </c>
      <c r="D239">
        <v>37141201</v>
      </c>
      <c r="E239">
        <v>3000813</v>
      </c>
      <c r="F239" t="s">
        <v>39</v>
      </c>
      <c r="G239">
        <v>300</v>
      </c>
      <c r="H239" t="str">
        <f>VLOOKUP(A239,'SV Child INS Apr'!$A:$H,1,0)</f>
        <v>37141201</v>
      </c>
      <c r="L239" t="e">
        <f>VLOOKUP(A239,'TV Apr Prorated Billing Sites'!$A:$I,1,0)</f>
        <v>#N/A</v>
      </c>
    </row>
    <row r="240" spans="1:12">
      <c r="A240" t="str">
        <f t="shared" si="6"/>
        <v>37143501</v>
      </c>
      <c r="B240" t="s">
        <v>1928</v>
      </c>
      <c r="C240" t="s">
        <v>1929</v>
      </c>
      <c r="D240">
        <v>37143501</v>
      </c>
      <c r="E240">
        <v>2500199</v>
      </c>
      <c r="F240" t="s">
        <v>39</v>
      </c>
      <c r="G240">
        <v>300</v>
      </c>
      <c r="H240" t="str">
        <f>VLOOKUP(A240,'SV Child INS Apr'!$A:$H,1,0)</f>
        <v>37143501</v>
      </c>
      <c r="L240" t="e">
        <f>VLOOKUP(A240,'TV Apr Prorated Billing Sites'!$A:$I,1,0)</f>
        <v>#N/A</v>
      </c>
    </row>
    <row r="241" spans="1:12">
      <c r="A241" t="str">
        <f t="shared" si="6"/>
        <v>37158101</v>
      </c>
      <c r="B241" t="s">
        <v>1930</v>
      </c>
      <c r="C241" t="s">
        <v>1931</v>
      </c>
      <c r="D241">
        <v>37158101</v>
      </c>
      <c r="E241">
        <v>2500734</v>
      </c>
      <c r="F241" t="s">
        <v>39</v>
      </c>
      <c r="G241">
        <v>300</v>
      </c>
      <c r="H241" t="str">
        <f>VLOOKUP(A241,'SV Child INS Apr'!$A:$H,1,0)</f>
        <v>37158101</v>
      </c>
      <c r="L241" t="e">
        <f>VLOOKUP(A241,'TV Apr Prorated Billing Sites'!$A:$I,1,0)</f>
        <v>#N/A</v>
      </c>
    </row>
    <row r="242" spans="1:12">
      <c r="A242" t="str">
        <f t="shared" si="6"/>
        <v>37193301</v>
      </c>
      <c r="B242" t="s">
        <v>1932</v>
      </c>
      <c r="C242" t="s">
        <v>1933</v>
      </c>
      <c r="D242">
        <v>37193301</v>
      </c>
      <c r="E242">
        <v>2502950</v>
      </c>
      <c r="F242" t="s">
        <v>39</v>
      </c>
      <c r="G242">
        <v>300</v>
      </c>
      <c r="H242" t="str">
        <f>VLOOKUP(A242,'SV Child INS Apr'!$A:$H,1,0)</f>
        <v>37193301</v>
      </c>
      <c r="L242" t="e">
        <f>VLOOKUP(A242,'TV Apr Prorated Billing Sites'!$A:$I,1,0)</f>
        <v>#N/A</v>
      </c>
    </row>
    <row r="243" spans="1:12">
      <c r="A243" t="str">
        <f t="shared" si="6"/>
        <v>37213002</v>
      </c>
      <c r="B243" t="s">
        <v>1934</v>
      </c>
      <c r="C243" t="s">
        <v>1935</v>
      </c>
      <c r="D243">
        <v>37213002</v>
      </c>
      <c r="E243">
        <v>2503611</v>
      </c>
      <c r="F243" t="s">
        <v>39</v>
      </c>
      <c r="G243">
        <v>300</v>
      </c>
      <c r="H243" t="str">
        <f>VLOOKUP(A243,'SV Child INS Apr'!$A:$H,1,0)</f>
        <v>37213002</v>
      </c>
      <c r="L243" t="e">
        <f>VLOOKUP(A243,'TV Apr Prorated Billing Sites'!$A:$I,1,0)</f>
        <v>#N/A</v>
      </c>
    </row>
    <row r="244" spans="1:12">
      <c r="A244" t="str">
        <f t="shared" si="6"/>
        <v>37216003</v>
      </c>
      <c r="B244" t="s">
        <v>56</v>
      </c>
      <c r="C244" t="s">
        <v>57</v>
      </c>
      <c r="D244">
        <v>37216003</v>
      </c>
      <c r="E244">
        <v>2700001</v>
      </c>
      <c r="F244" t="s">
        <v>39</v>
      </c>
      <c r="G244">
        <v>300</v>
      </c>
      <c r="H244" t="e">
        <f>VLOOKUP(A244,'SV Child INS Apr'!$A:$H,1,0)</f>
        <v>#N/A</v>
      </c>
      <c r="I244" t="e">
        <f>VLOOKUP(B244,'SV Child INS Apr'!$D:$F,1,0)</f>
        <v>#N/A</v>
      </c>
      <c r="J244" t="e">
        <f>VLOOKUP(A244,'SV Child BLG Apr'!$A:$J,1,0)</f>
        <v>#N/A</v>
      </c>
      <c r="K244" t="e">
        <f>VLOOKUP(B244,'SV Child BLG Apr'!$D:$I,1,0)</f>
        <v>#N/A</v>
      </c>
      <c r="L244" t="e">
        <f>VLOOKUP(A244,'TV Apr Prorated Billing Sites'!$A:$I,1,0)</f>
        <v>#N/A</v>
      </c>
    </row>
    <row r="245" spans="1:12">
      <c r="A245" t="str">
        <f t="shared" si="6"/>
        <v>37216292</v>
      </c>
      <c r="B245" t="s">
        <v>1936</v>
      </c>
      <c r="C245" t="s">
        <v>1937</v>
      </c>
      <c r="D245">
        <v>37216292</v>
      </c>
      <c r="E245">
        <v>3176</v>
      </c>
      <c r="F245" t="s">
        <v>39</v>
      </c>
      <c r="G245">
        <v>300</v>
      </c>
      <c r="H245" t="str">
        <f>VLOOKUP(A245,'SV Child INS Apr'!$A:$H,1,0)</f>
        <v>37216292</v>
      </c>
      <c r="L245" t="e">
        <f>VLOOKUP(A245,'TV Apr Prorated Billing Sites'!$A:$I,1,0)</f>
        <v>#N/A</v>
      </c>
    </row>
    <row r="246" spans="1:12">
      <c r="A246" t="str">
        <f t="shared" si="6"/>
        <v>37216293</v>
      </c>
      <c r="B246" t="s">
        <v>1938</v>
      </c>
      <c r="C246" t="s">
        <v>1939</v>
      </c>
      <c r="D246">
        <v>37216293</v>
      </c>
      <c r="E246">
        <v>2502430</v>
      </c>
      <c r="F246" t="s">
        <v>39</v>
      </c>
      <c r="G246">
        <v>300</v>
      </c>
      <c r="H246" t="str">
        <f>VLOOKUP(A246,'SV Child INS Apr'!$A:$H,1,0)</f>
        <v>37216293</v>
      </c>
      <c r="L246" t="e">
        <f>VLOOKUP(A246,'TV Apr Prorated Billing Sites'!$A:$I,1,0)</f>
        <v>#N/A</v>
      </c>
    </row>
    <row r="247" spans="1:12">
      <c r="A247" t="str">
        <f t="shared" si="6"/>
        <v>41002497</v>
      </c>
      <c r="B247" t="s">
        <v>1940</v>
      </c>
      <c r="C247" t="s">
        <v>1941</v>
      </c>
      <c r="D247">
        <v>41002497</v>
      </c>
      <c r="E247">
        <v>2001235</v>
      </c>
      <c r="F247" t="s">
        <v>39</v>
      </c>
      <c r="G247">
        <v>300</v>
      </c>
      <c r="H247" t="str">
        <f>VLOOKUP(A247,'SV Child INS Apr'!$A:$H,1,0)</f>
        <v>41002497</v>
      </c>
      <c r="L247" t="e">
        <f>VLOOKUP(A247,'TV Apr Prorated Billing Sites'!$A:$I,1,0)</f>
        <v>#N/A</v>
      </c>
    </row>
    <row r="248" spans="1:12">
      <c r="A248" t="str">
        <f t="shared" si="6"/>
        <v>41002528</v>
      </c>
      <c r="B248" t="s">
        <v>1942</v>
      </c>
      <c r="C248" t="s">
        <v>1943</v>
      </c>
      <c r="D248">
        <v>41002528</v>
      </c>
      <c r="E248">
        <v>2003098</v>
      </c>
      <c r="F248" t="s">
        <v>39</v>
      </c>
      <c r="G248">
        <v>300</v>
      </c>
      <c r="H248" t="str">
        <f>VLOOKUP(A248,'SV Child INS Apr'!$A:$H,1,0)</f>
        <v>41002528</v>
      </c>
      <c r="L248" t="e">
        <f>VLOOKUP(A248,'TV Apr Prorated Billing Sites'!$A:$I,1,0)</f>
        <v>#N/A</v>
      </c>
    </row>
    <row r="249" spans="1:12">
      <c r="A249" t="str">
        <f t="shared" si="6"/>
        <v>41002552</v>
      </c>
      <c r="B249" t="s">
        <v>1944</v>
      </c>
      <c r="C249" t="s">
        <v>1945</v>
      </c>
      <c r="D249">
        <v>41002552</v>
      </c>
      <c r="E249">
        <v>1500123</v>
      </c>
      <c r="F249" t="s">
        <v>39</v>
      </c>
      <c r="G249">
        <v>300</v>
      </c>
      <c r="H249" t="str">
        <f>VLOOKUP(A249,'SV Child INS Apr'!$A:$H,1,0)</f>
        <v>41002552</v>
      </c>
      <c r="L249" t="e">
        <f>VLOOKUP(A249,'TV Apr Prorated Billing Sites'!$A:$I,1,0)</f>
        <v>#N/A</v>
      </c>
    </row>
    <row r="250" spans="1:12">
      <c r="A250" t="str">
        <f t="shared" si="6"/>
        <v>41442601</v>
      </c>
      <c r="B250" t="s">
        <v>1946</v>
      </c>
      <c r="C250" t="s">
        <v>1947</v>
      </c>
      <c r="D250">
        <v>41442601</v>
      </c>
      <c r="E250">
        <v>3063</v>
      </c>
      <c r="F250" t="s">
        <v>39</v>
      </c>
      <c r="G250">
        <v>300</v>
      </c>
      <c r="H250" t="str">
        <f>VLOOKUP(A250,'SV Child INS Apr'!$A:$H,1,0)</f>
        <v>41442601</v>
      </c>
      <c r="L250" t="e">
        <f>VLOOKUP(A250,'TV Apr Prorated Billing Sites'!$A:$I,1,0)</f>
        <v>#N/A</v>
      </c>
    </row>
    <row r="251" spans="1:12">
      <c r="A251" t="str">
        <f t="shared" si="6"/>
        <v>41529201</v>
      </c>
      <c r="B251" t="s">
        <v>1948</v>
      </c>
      <c r="C251" t="s">
        <v>1949</v>
      </c>
      <c r="D251">
        <v>41529201</v>
      </c>
      <c r="E251">
        <v>8098</v>
      </c>
      <c r="F251" t="s">
        <v>39</v>
      </c>
      <c r="G251">
        <v>300</v>
      </c>
      <c r="H251" t="str">
        <f>VLOOKUP(A251,'SV Child INS Apr'!$A:$H,1,0)</f>
        <v>41529201</v>
      </c>
      <c r="L251" t="e">
        <f>VLOOKUP(A251,'TV Apr Prorated Billing Sites'!$A:$I,1,0)</f>
        <v>#N/A</v>
      </c>
    </row>
    <row r="252" spans="1:12">
      <c r="A252" t="str">
        <f t="shared" si="6"/>
        <v>42522601</v>
      </c>
      <c r="B252" t="s">
        <v>1950</v>
      </c>
      <c r="C252" t="s">
        <v>1951</v>
      </c>
      <c r="D252">
        <v>42522601</v>
      </c>
      <c r="E252">
        <v>2503515</v>
      </c>
      <c r="F252" t="s">
        <v>39</v>
      </c>
      <c r="G252">
        <v>300</v>
      </c>
      <c r="H252" t="str">
        <f>VLOOKUP(A252,'SV Child INS Apr'!$A:$H,1,0)</f>
        <v>42522601</v>
      </c>
      <c r="L252" t="e">
        <f>VLOOKUP(A252,'TV Apr Prorated Billing Sites'!$A:$I,1,0)</f>
        <v>#N/A</v>
      </c>
    </row>
    <row r="253" spans="1:12">
      <c r="A253" t="str">
        <f t="shared" si="6"/>
        <v>42743401</v>
      </c>
      <c r="B253" t="s">
        <v>1952</v>
      </c>
      <c r="C253" t="s">
        <v>1953</v>
      </c>
      <c r="D253">
        <v>42743401</v>
      </c>
      <c r="E253">
        <v>3000833</v>
      </c>
      <c r="F253" t="s">
        <v>39</v>
      </c>
      <c r="G253">
        <v>300</v>
      </c>
      <c r="H253" t="str">
        <f>VLOOKUP(A253,'SV Child INS Apr'!$A:$H,1,0)</f>
        <v>42743401</v>
      </c>
      <c r="L253" t="e">
        <f>VLOOKUP(A253,'TV Apr Prorated Billing Sites'!$A:$I,1,0)</f>
        <v>#N/A</v>
      </c>
    </row>
    <row r="254" spans="1:12">
      <c r="A254" t="str">
        <f t="shared" si="6"/>
        <v>42854401</v>
      </c>
      <c r="B254" t="s">
        <v>1954</v>
      </c>
      <c r="C254" t="s">
        <v>1955</v>
      </c>
      <c r="D254">
        <v>42854401</v>
      </c>
      <c r="E254">
        <v>8033</v>
      </c>
      <c r="F254" t="s">
        <v>39</v>
      </c>
      <c r="G254">
        <v>300</v>
      </c>
      <c r="H254" t="str">
        <f>VLOOKUP(A254,'SV Child INS Apr'!$A:$H,1,0)</f>
        <v>42854401</v>
      </c>
      <c r="L254" t="e">
        <f>VLOOKUP(A254,'TV Apr Prorated Billing Sites'!$A:$I,1,0)</f>
        <v>#N/A</v>
      </c>
    </row>
    <row r="255" spans="1:12">
      <c r="A255" t="str">
        <f t="shared" si="6"/>
        <v>42923501</v>
      </c>
      <c r="B255" t="s">
        <v>1956</v>
      </c>
      <c r="C255" t="s">
        <v>1957</v>
      </c>
      <c r="D255">
        <v>42923501</v>
      </c>
      <c r="E255">
        <v>2501559</v>
      </c>
      <c r="F255" t="s">
        <v>39</v>
      </c>
      <c r="G255">
        <v>300</v>
      </c>
      <c r="H255" t="str">
        <f>VLOOKUP(A255,'SV Child INS Apr'!$A:$H,1,0)</f>
        <v>42923501</v>
      </c>
      <c r="L255" t="e">
        <f>VLOOKUP(A255,'TV Apr Prorated Billing Sites'!$A:$I,1,0)</f>
        <v>#N/A</v>
      </c>
    </row>
    <row r="256" spans="1:12">
      <c r="A256" t="str">
        <f t="shared" si="6"/>
        <v>42944601</v>
      </c>
      <c r="B256" t="s">
        <v>1958</v>
      </c>
      <c r="C256" t="s">
        <v>1959</v>
      </c>
      <c r="D256">
        <v>42944601</v>
      </c>
      <c r="E256">
        <v>2502113</v>
      </c>
      <c r="F256" t="s">
        <v>39</v>
      </c>
      <c r="G256">
        <v>450</v>
      </c>
      <c r="H256" t="e">
        <f>VLOOKUP(A256,'SV Child INS Apr'!$A:$H,1,0)</f>
        <v>#N/A</v>
      </c>
      <c r="I256" t="str">
        <f>VLOOKUP(B256,'SV Child INS Apr'!$D:$F,1,0)</f>
        <v>JACK DANIELS VOLKSWAGEN</v>
      </c>
      <c r="L256" t="e">
        <f>VLOOKUP(A256,'TV Apr Prorated Billing Sites'!$A:$I,1,0)</f>
        <v>#N/A</v>
      </c>
    </row>
    <row r="257" spans="1:13">
      <c r="A257" t="str">
        <f t="shared" si="6"/>
        <v>43381001</v>
      </c>
      <c r="B257" t="s">
        <v>1960</v>
      </c>
      <c r="C257" t="s">
        <v>1961</v>
      </c>
      <c r="D257">
        <v>43381001</v>
      </c>
      <c r="E257">
        <v>2000440</v>
      </c>
      <c r="F257" t="s">
        <v>39</v>
      </c>
      <c r="G257">
        <v>300</v>
      </c>
      <c r="H257" t="str">
        <f>VLOOKUP(A257,'SV Child INS Apr'!$A:$H,1,0)</f>
        <v>43381001</v>
      </c>
      <c r="L257" t="e">
        <f>VLOOKUP(A257,'TV Apr Prorated Billing Sites'!$A:$I,1,0)</f>
        <v>#N/A</v>
      </c>
    </row>
    <row r="258" spans="1:13">
      <c r="A258" t="str">
        <f t="shared" si="6"/>
        <v>43996001</v>
      </c>
      <c r="B258" t="s">
        <v>59</v>
      </c>
      <c r="C258" t="s">
        <v>60</v>
      </c>
      <c r="D258">
        <v>43996001</v>
      </c>
      <c r="E258">
        <v>2502552</v>
      </c>
      <c r="F258" t="s">
        <v>39</v>
      </c>
      <c r="G258">
        <v>450</v>
      </c>
      <c r="H258" t="e">
        <f>VLOOKUP(A258,'SV Child INS Apr'!$A:$H,1,0)</f>
        <v>#N/A</v>
      </c>
      <c r="I258" t="e">
        <f>VLOOKUP(B258,'SV Child INS Apr'!$D:$F,1,0)</f>
        <v>#N/A</v>
      </c>
      <c r="J258" t="e">
        <f>VLOOKUP(A258,'SV Child BLG Apr'!$A:$J,1,0)</f>
        <v>#N/A</v>
      </c>
      <c r="K258" t="e">
        <f>VLOOKUP(B258,'SV Child BLG Apr'!$D:$I,1,0)</f>
        <v>#N/A</v>
      </c>
      <c r="L258" t="e">
        <f>VLOOKUP(A258,'TV Apr Prorated Billing Sites'!$A:$I,1,0)</f>
        <v>#N/A</v>
      </c>
    </row>
    <row r="259" spans="1:13">
      <c r="A259" t="str">
        <f t="shared" si="6"/>
        <v>44780001</v>
      </c>
      <c r="B259" t="s">
        <v>427</v>
      </c>
      <c r="C259" t="s">
        <v>428</v>
      </c>
      <c r="D259">
        <v>44780001</v>
      </c>
      <c r="E259">
        <v>2502046</v>
      </c>
      <c r="F259" t="s">
        <v>39</v>
      </c>
      <c r="G259">
        <v>300</v>
      </c>
      <c r="H259" t="e">
        <f>VLOOKUP(A259,'SV Child INS Apr'!$A:$H,1,0)</f>
        <v>#N/A</v>
      </c>
      <c r="I259" t="e">
        <f>VLOOKUP(B259,'SV Child INS Apr'!$D:$F,1,0)</f>
        <v>#N/A</v>
      </c>
      <c r="J259" t="str">
        <f>VLOOKUP(A259,'SV Child BLG Apr'!$A:$J,1,0)</f>
        <v>44780001</v>
      </c>
      <c r="L259" t="str">
        <f>VLOOKUP(A259,'TV Apr Prorated Billing Sites'!$A:$I,1,0)</f>
        <v>44780001</v>
      </c>
      <c r="M259" t="e">
        <f>VLOOKUP(A259,'CDK asked to retain list'!$H$1:$J$24,1,0)</f>
        <v>#N/A</v>
      </c>
    </row>
    <row r="260" spans="1:13">
      <c r="A260" t="str">
        <f t="shared" si="6"/>
        <v>44815401</v>
      </c>
      <c r="B260" t="s">
        <v>1962</v>
      </c>
      <c r="C260" t="s">
        <v>1963</v>
      </c>
      <c r="D260">
        <v>44815401</v>
      </c>
      <c r="E260">
        <v>2002156</v>
      </c>
      <c r="F260" t="s">
        <v>39</v>
      </c>
      <c r="G260">
        <v>450</v>
      </c>
      <c r="H260" t="str">
        <f>VLOOKUP(A260,'SV Child INS Apr'!$A:$H,1,0)</f>
        <v>44815401</v>
      </c>
      <c r="L260" t="e">
        <f>VLOOKUP(A260,'TV Apr Prorated Billing Sites'!$A:$I,1,0)</f>
        <v>#N/A</v>
      </c>
    </row>
    <row r="261" spans="1:13">
      <c r="A261" t="str">
        <f t="shared" si="6"/>
        <v>45226301</v>
      </c>
      <c r="B261" t="s">
        <v>1964</v>
      </c>
      <c r="C261" t="s">
        <v>1965</v>
      </c>
      <c r="D261">
        <v>45226301</v>
      </c>
      <c r="E261">
        <v>3000247</v>
      </c>
      <c r="F261" t="s">
        <v>39</v>
      </c>
      <c r="G261">
        <v>300</v>
      </c>
      <c r="H261" t="str">
        <f>VLOOKUP(A261,'SV Child INS Apr'!$A:$H,1,0)</f>
        <v>45226301</v>
      </c>
      <c r="L261" t="e">
        <f>VLOOKUP(A261,'TV Apr Prorated Billing Sites'!$A:$I,1,0)</f>
        <v>#N/A</v>
      </c>
    </row>
    <row r="262" spans="1:13">
      <c r="A262" t="str">
        <f t="shared" si="6"/>
        <v>45226301</v>
      </c>
      <c r="B262" t="s">
        <v>1966</v>
      </c>
      <c r="C262" t="s">
        <v>1967</v>
      </c>
      <c r="D262">
        <v>45226301</v>
      </c>
      <c r="E262">
        <v>3000247</v>
      </c>
      <c r="F262" t="s">
        <v>39</v>
      </c>
      <c r="G262">
        <v>300</v>
      </c>
      <c r="H262" t="str">
        <f>VLOOKUP(A262,'SV Child INS Apr'!$A:$H,1,0)</f>
        <v>45226301</v>
      </c>
      <c r="L262" t="e">
        <f>VLOOKUP(A262,'TV Apr Prorated Billing Sites'!$A:$I,1,0)</f>
        <v>#N/A</v>
      </c>
    </row>
    <row r="263" spans="1:13">
      <c r="A263" t="str">
        <f t="shared" si="6"/>
        <v>45602701</v>
      </c>
      <c r="B263" t="s">
        <v>430</v>
      </c>
      <c r="C263" t="s">
        <v>431</v>
      </c>
      <c r="D263">
        <v>45602701</v>
      </c>
      <c r="E263">
        <v>2501852</v>
      </c>
      <c r="F263" t="s">
        <v>39</v>
      </c>
      <c r="G263">
        <v>300</v>
      </c>
      <c r="H263" t="e">
        <f>VLOOKUP(A263,'SV Child INS Apr'!$A:$H,1,0)</f>
        <v>#N/A</v>
      </c>
      <c r="I263" t="e">
        <f>VLOOKUP(B263,'SV Child INS Apr'!$D:$F,1,0)</f>
        <v>#N/A</v>
      </c>
      <c r="J263" t="str">
        <f>VLOOKUP(A263,'SV Child BLG Apr'!$A:$J,1,0)</f>
        <v>45602701</v>
      </c>
      <c r="L263" t="str">
        <f>VLOOKUP(A263,'TV Apr Prorated Billing Sites'!$A:$I,1,0)</f>
        <v>45602701</v>
      </c>
      <c r="M263" t="e">
        <f>VLOOKUP(A263,'CDK asked to retain list'!$H$1:$J$24,1,0)</f>
        <v>#N/A</v>
      </c>
    </row>
    <row r="264" spans="1:13">
      <c r="A264" t="str">
        <f t="shared" si="6"/>
        <v>47001927</v>
      </c>
      <c r="B264" t="s">
        <v>1968</v>
      </c>
      <c r="C264" t="s">
        <v>1969</v>
      </c>
      <c r="D264">
        <v>47001927</v>
      </c>
      <c r="E264">
        <v>2001893</v>
      </c>
      <c r="F264" t="s">
        <v>39</v>
      </c>
      <c r="G264">
        <v>300</v>
      </c>
      <c r="H264" t="str">
        <f>VLOOKUP(A264,'SV Child INS Apr'!$A:$H,1,0)</f>
        <v>47001927</v>
      </c>
      <c r="L264" t="e">
        <f>VLOOKUP(A264,'TV Apr Prorated Billing Sites'!$A:$I,1,0)</f>
        <v>#N/A</v>
      </c>
    </row>
    <row r="265" spans="1:13">
      <c r="A265" t="str">
        <f t="shared" si="6"/>
        <v>52072201</v>
      </c>
      <c r="B265" t="s">
        <v>1970</v>
      </c>
      <c r="C265" t="s">
        <v>1971</v>
      </c>
      <c r="D265">
        <v>52072201</v>
      </c>
      <c r="E265">
        <v>6023</v>
      </c>
      <c r="F265" t="s">
        <v>39</v>
      </c>
      <c r="G265">
        <v>300</v>
      </c>
      <c r="H265" t="str">
        <f>VLOOKUP(A265,'SV Child INS Apr'!$A:$H,1,0)</f>
        <v>52072201</v>
      </c>
      <c r="L265" t="e">
        <f>VLOOKUP(A265,'TV Apr Prorated Billing Sites'!$A:$I,1,0)</f>
        <v>#N/A</v>
      </c>
    </row>
    <row r="266" spans="1:13">
      <c r="A266" t="str">
        <f t="shared" si="6"/>
        <v>52082501</v>
      </c>
      <c r="B266" t="s">
        <v>1972</v>
      </c>
      <c r="C266" t="s">
        <v>1973</v>
      </c>
      <c r="D266">
        <v>52082501</v>
      </c>
      <c r="E266">
        <v>2502688</v>
      </c>
      <c r="F266" t="s">
        <v>39</v>
      </c>
      <c r="G266">
        <v>300</v>
      </c>
      <c r="H266" t="str">
        <f>VLOOKUP(A266,'SV Child INS Apr'!$A:$H,1,0)</f>
        <v>52082501</v>
      </c>
      <c r="L266" t="e">
        <f>VLOOKUP(A266,'TV Apr Prorated Billing Sites'!$A:$I,1,0)</f>
        <v>#N/A</v>
      </c>
    </row>
    <row r="267" spans="1:13">
      <c r="A267" t="str">
        <f t="shared" si="6"/>
        <v>52161001</v>
      </c>
      <c r="B267" t="s">
        <v>1974</v>
      </c>
      <c r="C267" t="s">
        <v>1975</v>
      </c>
      <c r="D267">
        <v>52161001</v>
      </c>
      <c r="E267">
        <v>2503412</v>
      </c>
      <c r="F267" t="s">
        <v>39</v>
      </c>
      <c r="G267">
        <v>300</v>
      </c>
      <c r="H267" t="str">
        <f>VLOOKUP(A267,'SV Child INS Apr'!$A:$H,1,0)</f>
        <v>52161001</v>
      </c>
      <c r="L267" t="e">
        <f>VLOOKUP(A267,'TV Apr Prorated Billing Sites'!$A:$I,1,0)</f>
        <v>#N/A</v>
      </c>
    </row>
    <row r="268" spans="1:13">
      <c r="A268" t="str">
        <f t="shared" si="6"/>
        <v>52214201</v>
      </c>
      <c r="B268" t="s">
        <v>1976</v>
      </c>
      <c r="C268" t="s">
        <v>1977</v>
      </c>
      <c r="D268">
        <v>52214201</v>
      </c>
      <c r="E268">
        <v>2000127</v>
      </c>
      <c r="F268" t="s">
        <v>39</v>
      </c>
      <c r="G268">
        <v>300</v>
      </c>
      <c r="H268" t="str">
        <f>VLOOKUP(A268,'SV Child INS Apr'!$A:$H,1,0)</f>
        <v>52214201</v>
      </c>
      <c r="L268" t="e">
        <f>VLOOKUP(A268,'TV Apr Prorated Billing Sites'!$A:$I,1,0)</f>
        <v>#N/A</v>
      </c>
    </row>
    <row r="269" spans="1:13">
      <c r="A269" t="str">
        <f t="shared" si="6"/>
        <v>52280001</v>
      </c>
      <c r="B269" t="s">
        <v>1978</v>
      </c>
      <c r="C269" t="s">
        <v>1979</v>
      </c>
      <c r="D269">
        <v>52280001</v>
      </c>
      <c r="E269">
        <v>4141</v>
      </c>
      <c r="F269" t="s">
        <v>39</v>
      </c>
      <c r="G269">
        <v>300</v>
      </c>
      <c r="H269" t="str">
        <f>VLOOKUP(A269,'SV Child INS Apr'!$A:$H,1,0)</f>
        <v>52280001</v>
      </c>
      <c r="L269" t="e">
        <f>VLOOKUP(A269,'TV Apr Prorated Billing Sites'!$A:$I,1,0)</f>
        <v>#N/A</v>
      </c>
    </row>
    <row r="270" spans="1:13">
      <c r="A270" t="str">
        <f t="shared" si="6"/>
        <v>52404701</v>
      </c>
      <c r="B270" t="s">
        <v>1980</v>
      </c>
      <c r="C270" t="s">
        <v>1981</v>
      </c>
      <c r="D270">
        <v>52404701</v>
      </c>
      <c r="E270">
        <v>2502349</v>
      </c>
      <c r="F270" t="s">
        <v>39</v>
      </c>
      <c r="G270">
        <v>300</v>
      </c>
      <c r="H270" t="str">
        <f>VLOOKUP(A270,'SV Child INS Apr'!$A:$H,1,0)</f>
        <v>52404701</v>
      </c>
      <c r="L270" t="e">
        <f>VLOOKUP(A270,'TV Apr Prorated Billing Sites'!$A:$I,1,0)</f>
        <v>#N/A</v>
      </c>
    </row>
    <row r="271" spans="1:13">
      <c r="A271" t="str">
        <f t="shared" si="6"/>
        <v>52404701</v>
      </c>
      <c r="B271" t="s">
        <v>1982</v>
      </c>
      <c r="C271" t="s">
        <v>1983</v>
      </c>
      <c r="D271">
        <v>52404701</v>
      </c>
      <c r="E271">
        <v>2501752</v>
      </c>
      <c r="F271" t="s">
        <v>39</v>
      </c>
      <c r="G271">
        <v>450</v>
      </c>
      <c r="H271" t="str">
        <f>VLOOKUP(A271,'SV Child INS Apr'!$A:$H,1,0)</f>
        <v>52404701</v>
      </c>
      <c r="L271" t="e">
        <f>VLOOKUP(A271,'TV Apr Prorated Billing Sites'!$A:$I,1,0)</f>
        <v>#N/A</v>
      </c>
    </row>
    <row r="272" spans="1:13">
      <c r="A272" t="str">
        <f t="shared" si="6"/>
        <v>52484601</v>
      </c>
      <c r="B272" t="s">
        <v>1984</v>
      </c>
      <c r="C272" t="s">
        <v>1985</v>
      </c>
      <c r="D272">
        <v>52484601</v>
      </c>
      <c r="E272">
        <v>8099</v>
      </c>
      <c r="F272" t="s">
        <v>39</v>
      </c>
      <c r="G272">
        <v>300</v>
      </c>
      <c r="H272" t="str">
        <f>VLOOKUP(A272,'SV Child INS Apr'!$A:$H,1,0)</f>
        <v>52484601</v>
      </c>
      <c r="L272" t="e">
        <f>VLOOKUP(A272,'TV Apr Prorated Billing Sites'!$A:$I,1,0)</f>
        <v>#N/A</v>
      </c>
    </row>
    <row r="273" spans="1:13">
      <c r="A273" t="str">
        <f t="shared" si="6"/>
        <v>52694201</v>
      </c>
      <c r="B273" t="s">
        <v>1986</v>
      </c>
      <c r="C273" t="s">
        <v>1987</v>
      </c>
      <c r="D273">
        <v>52694201</v>
      </c>
      <c r="E273">
        <v>7037</v>
      </c>
      <c r="F273" t="s">
        <v>39</v>
      </c>
      <c r="G273">
        <v>300</v>
      </c>
      <c r="H273" t="str">
        <f>VLOOKUP(A273,'SV Child INS Apr'!$A:$H,1,0)</f>
        <v>52694201</v>
      </c>
      <c r="L273" t="e">
        <f>VLOOKUP(A273,'TV Apr Prorated Billing Sites'!$A:$I,1,0)</f>
        <v>#N/A</v>
      </c>
    </row>
    <row r="274" spans="1:13">
      <c r="A274" t="str">
        <f t="shared" si="6"/>
        <v>53385401</v>
      </c>
      <c r="B274" t="s">
        <v>1988</v>
      </c>
      <c r="C274" t="s">
        <v>1989</v>
      </c>
      <c r="D274">
        <v>53385401</v>
      </c>
      <c r="E274">
        <v>2503046</v>
      </c>
      <c r="F274" t="s">
        <v>39</v>
      </c>
      <c r="G274">
        <v>300</v>
      </c>
      <c r="H274" t="str">
        <f>VLOOKUP(A274,'SV Child INS Apr'!$A:$H,1,0)</f>
        <v>53385401</v>
      </c>
      <c r="L274" t="e">
        <f>VLOOKUP(A274,'TV Apr Prorated Billing Sites'!$A:$I,1,0)</f>
        <v>#N/A</v>
      </c>
    </row>
    <row r="275" spans="1:13">
      <c r="A275" t="str">
        <f t="shared" si="6"/>
        <v>53536901</v>
      </c>
      <c r="B275" t="s">
        <v>1990</v>
      </c>
      <c r="C275" t="s">
        <v>1991</v>
      </c>
      <c r="D275">
        <v>53536901</v>
      </c>
      <c r="E275">
        <v>2700002</v>
      </c>
      <c r="F275" t="s">
        <v>39</v>
      </c>
      <c r="G275">
        <v>300</v>
      </c>
      <c r="H275" t="str">
        <f>VLOOKUP(A275,'SV Child INS Apr'!$A:$H,1,0)</f>
        <v>53536901</v>
      </c>
      <c r="L275" t="e">
        <f>VLOOKUP(A275,'TV Apr Prorated Billing Sites'!$A:$I,1,0)</f>
        <v>#N/A</v>
      </c>
    </row>
    <row r="276" spans="1:13">
      <c r="A276" t="str">
        <f t="shared" si="6"/>
        <v>53589301</v>
      </c>
      <c r="B276" t="s">
        <v>1992</v>
      </c>
      <c r="C276" t="s">
        <v>1993</v>
      </c>
      <c r="D276">
        <v>53589301</v>
      </c>
      <c r="E276">
        <v>2501046</v>
      </c>
      <c r="F276" t="s">
        <v>39</v>
      </c>
      <c r="G276">
        <v>300</v>
      </c>
      <c r="H276" t="str">
        <f>VLOOKUP(A276,'SV Child INS Apr'!$A:$H,1,0)</f>
        <v>53589301</v>
      </c>
      <c r="L276" t="e">
        <f>VLOOKUP(A276,'TV Apr Prorated Billing Sites'!$A:$I,1,0)</f>
        <v>#N/A</v>
      </c>
    </row>
    <row r="277" spans="1:13">
      <c r="A277" t="str">
        <f t="shared" si="6"/>
        <v>61000389</v>
      </c>
      <c r="B277" t="s">
        <v>1994</v>
      </c>
      <c r="C277" t="s">
        <v>1995</v>
      </c>
      <c r="D277">
        <v>61000389</v>
      </c>
      <c r="E277">
        <v>2001471</v>
      </c>
      <c r="F277" t="s">
        <v>39</v>
      </c>
      <c r="G277">
        <v>450</v>
      </c>
      <c r="H277" t="str">
        <f>VLOOKUP(A277,'SV Child INS Apr'!$A:$H,1,0)</f>
        <v>61000389</v>
      </c>
      <c r="L277" t="e">
        <f>VLOOKUP(A277,'TV Apr Prorated Billing Sites'!$A:$I,1,0)</f>
        <v>#N/A</v>
      </c>
    </row>
    <row r="278" spans="1:13">
      <c r="A278" t="str">
        <f t="shared" si="6"/>
        <v>61000863</v>
      </c>
      <c r="B278" t="s">
        <v>1996</v>
      </c>
      <c r="C278" t="s">
        <v>1997</v>
      </c>
      <c r="D278">
        <v>61000863</v>
      </c>
      <c r="E278">
        <v>3000638</v>
      </c>
      <c r="F278" t="s">
        <v>39</v>
      </c>
      <c r="G278">
        <v>300</v>
      </c>
      <c r="H278" t="str">
        <f>VLOOKUP(A278,'SV Child INS Apr'!$A:$H,1,0)</f>
        <v>61000863</v>
      </c>
      <c r="L278" t="e">
        <f>VLOOKUP(A278,'TV Apr Prorated Billing Sites'!$A:$I,1,0)</f>
        <v>#N/A</v>
      </c>
    </row>
    <row r="279" spans="1:13">
      <c r="A279" t="str">
        <f t="shared" si="6"/>
        <v>61001516</v>
      </c>
      <c r="B279" t="s">
        <v>1998</v>
      </c>
      <c r="C279" t="s">
        <v>1999</v>
      </c>
      <c r="D279">
        <v>61001516</v>
      </c>
      <c r="E279">
        <v>2001753</v>
      </c>
      <c r="F279" t="s">
        <v>39</v>
      </c>
      <c r="G279">
        <v>300</v>
      </c>
      <c r="H279" t="str">
        <f>VLOOKUP(A279,'SV Child INS Apr'!$A:$H,1,0)</f>
        <v>61001516</v>
      </c>
      <c r="L279" t="e">
        <f>VLOOKUP(A279,'TV Apr Prorated Billing Sites'!$A:$I,1,0)</f>
        <v>#N/A</v>
      </c>
    </row>
    <row r="280" spans="1:13">
      <c r="A280" t="str">
        <f t="shared" si="6"/>
        <v>61001594</v>
      </c>
      <c r="B280" t="s">
        <v>2000</v>
      </c>
      <c r="C280" t="s">
        <v>2001</v>
      </c>
      <c r="D280">
        <v>61001594</v>
      </c>
      <c r="E280">
        <v>2003096</v>
      </c>
      <c r="F280" t="s">
        <v>39</v>
      </c>
      <c r="G280">
        <v>300</v>
      </c>
      <c r="H280" t="str">
        <f>VLOOKUP(A280,'SV Child INS Apr'!$A:$H,1,0)</f>
        <v>61001594</v>
      </c>
      <c r="L280" t="e">
        <f>VLOOKUP(A280,'TV Apr Prorated Billing Sites'!$A:$I,1,0)</f>
        <v>#N/A</v>
      </c>
    </row>
    <row r="281" spans="1:13">
      <c r="A281" t="str">
        <f t="shared" si="6"/>
        <v>71034933</v>
      </c>
      <c r="B281" t="s">
        <v>433</v>
      </c>
      <c r="C281" t="s">
        <v>434</v>
      </c>
      <c r="D281">
        <v>71034933</v>
      </c>
      <c r="E281">
        <v>10038</v>
      </c>
      <c r="F281" t="s">
        <v>39</v>
      </c>
      <c r="G281">
        <v>300</v>
      </c>
      <c r="H281" t="e">
        <f>VLOOKUP(A281,'SV Child INS Apr'!$A:$H,1,0)</f>
        <v>#N/A</v>
      </c>
      <c r="I281" t="e">
        <f>VLOOKUP(B281,'SV Child INS Apr'!$D:$F,1,0)</f>
        <v>#N/A</v>
      </c>
      <c r="J281" t="str">
        <f>VLOOKUP(A281,'SV Child BLG Apr'!$A:$J,1,0)</f>
        <v>71034933</v>
      </c>
      <c r="L281" t="e">
        <f>VLOOKUP(A281,'TV Apr Prorated Billing Sites'!$A:$I,1,0)</f>
        <v>#N/A</v>
      </c>
      <c r="M281" t="e">
        <f>VLOOKUP(A281,'CDK asked to retain list'!$H$1:$J$24,1,0)</f>
        <v>#N/A</v>
      </c>
    </row>
    <row r="282" spans="1:13">
      <c r="A282" t="str">
        <f t="shared" si="6"/>
        <v>71035236</v>
      </c>
      <c r="B282" t="s">
        <v>2002</v>
      </c>
      <c r="C282" t="s">
        <v>2003</v>
      </c>
      <c r="D282">
        <v>71035236</v>
      </c>
      <c r="E282">
        <v>3000724</v>
      </c>
      <c r="F282" t="s">
        <v>39</v>
      </c>
      <c r="G282">
        <v>300</v>
      </c>
      <c r="H282" t="str">
        <f>VLOOKUP(A282,'SV Child INS Apr'!$A:$H,1,0)</f>
        <v>71035236</v>
      </c>
      <c r="L282" t="e">
        <f>VLOOKUP(A282,'TV Apr Prorated Billing Sites'!$A:$I,1,0)</f>
        <v>#N/A</v>
      </c>
    </row>
    <row r="283" spans="1:13">
      <c r="A283" t="str">
        <f t="shared" si="6"/>
        <v>71035283</v>
      </c>
      <c r="B283" t="s">
        <v>2004</v>
      </c>
      <c r="C283" t="s">
        <v>2005</v>
      </c>
      <c r="D283">
        <v>71035283</v>
      </c>
      <c r="E283">
        <v>2500304</v>
      </c>
      <c r="F283" t="s">
        <v>39</v>
      </c>
      <c r="G283">
        <v>400</v>
      </c>
      <c r="H283" t="str">
        <f>VLOOKUP(A283,'SV Child INS Apr'!$A:$H,1,0)</f>
        <v>71035283</v>
      </c>
      <c r="L283" t="e">
        <f>VLOOKUP(A283,'TV Apr Prorated Billing Sites'!$A:$I,1,0)</f>
        <v>#N/A</v>
      </c>
    </row>
    <row r="284" spans="1:13">
      <c r="A284" t="str">
        <f t="shared" si="6"/>
        <v>71037241</v>
      </c>
      <c r="B284" t="s">
        <v>2006</v>
      </c>
      <c r="C284" t="s">
        <v>2007</v>
      </c>
      <c r="D284">
        <v>71037241</v>
      </c>
      <c r="E284">
        <v>2003025</v>
      </c>
      <c r="F284" t="s">
        <v>39</v>
      </c>
      <c r="G284">
        <v>300</v>
      </c>
      <c r="H284" t="str">
        <f>VLOOKUP(A284,'SV Child INS Apr'!$A:$H,1,0)</f>
        <v>71037241</v>
      </c>
      <c r="L284" t="e">
        <f>VLOOKUP(A284,'TV Apr Prorated Billing Sites'!$A:$I,1,0)</f>
        <v>#N/A</v>
      </c>
    </row>
    <row r="285" spans="1:13">
      <c r="A285" t="str">
        <f t="shared" si="6"/>
        <v>71037486</v>
      </c>
      <c r="B285" t="s">
        <v>2008</v>
      </c>
      <c r="C285" t="s">
        <v>2009</v>
      </c>
      <c r="D285">
        <v>71037486</v>
      </c>
      <c r="E285">
        <v>3113</v>
      </c>
      <c r="F285" t="s">
        <v>39</v>
      </c>
      <c r="G285">
        <v>300</v>
      </c>
      <c r="H285" t="str">
        <f>VLOOKUP(A285,'SV Child INS Apr'!$A:$H,1,0)</f>
        <v>71037486</v>
      </c>
      <c r="L285" t="e">
        <f>VLOOKUP(A285,'TV Apr Prorated Billing Sites'!$A:$I,1,0)</f>
        <v>#N/A</v>
      </c>
    </row>
    <row r="286" spans="1:13">
      <c r="A286" t="str">
        <f t="shared" si="6"/>
        <v>71037962</v>
      </c>
      <c r="B286" t="s">
        <v>2010</v>
      </c>
      <c r="C286" t="s">
        <v>2011</v>
      </c>
      <c r="D286">
        <v>71037962</v>
      </c>
      <c r="E286">
        <v>2002842</v>
      </c>
      <c r="F286" t="s">
        <v>39</v>
      </c>
      <c r="G286">
        <v>300</v>
      </c>
      <c r="H286" t="str">
        <f>VLOOKUP(A286,'SV Child INS Apr'!$A:$H,1,0)</f>
        <v>71037962</v>
      </c>
      <c r="L286" t="e">
        <f>VLOOKUP(A286,'TV Apr Prorated Billing Sites'!$A:$I,1,0)</f>
        <v>#N/A</v>
      </c>
    </row>
    <row r="287" spans="1:13">
      <c r="A287" t="str">
        <f t="shared" si="6"/>
        <v>71038239</v>
      </c>
      <c r="B287" t="s">
        <v>2012</v>
      </c>
      <c r="C287" t="s">
        <v>2013</v>
      </c>
      <c r="D287">
        <v>71038239</v>
      </c>
      <c r="E287">
        <v>2500002</v>
      </c>
      <c r="F287" t="s">
        <v>39</v>
      </c>
      <c r="G287">
        <v>300</v>
      </c>
      <c r="H287" t="str">
        <f>VLOOKUP(A287,'SV Child INS Apr'!$A:$H,1,0)</f>
        <v>71038239</v>
      </c>
      <c r="L287" t="e">
        <f>VLOOKUP(A287,'TV Apr Prorated Billing Sites'!$A:$I,1,0)</f>
        <v>#N/A</v>
      </c>
    </row>
    <row r="288" spans="1:13">
      <c r="A288" t="str">
        <f t="shared" si="6"/>
        <v>71039509</v>
      </c>
      <c r="B288" t="s">
        <v>2014</v>
      </c>
      <c r="C288" t="s">
        <v>2015</v>
      </c>
      <c r="D288">
        <v>71039509</v>
      </c>
      <c r="E288">
        <v>2503529</v>
      </c>
      <c r="F288" t="s">
        <v>39</v>
      </c>
      <c r="G288">
        <v>300</v>
      </c>
      <c r="H288" t="str">
        <f>VLOOKUP(A288,'SV Child INS Apr'!$A:$H,1,0)</f>
        <v>71039509</v>
      </c>
      <c r="L288" t="e">
        <f>VLOOKUP(A288,'TV Apr Prorated Billing Sites'!$A:$I,1,0)</f>
        <v>#N/A</v>
      </c>
    </row>
    <row r="289" spans="1:12">
      <c r="A289" t="str">
        <f t="shared" si="6"/>
        <v>71039591</v>
      </c>
      <c r="B289" t="s">
        <v>2016</v>
      </c>
      <c r="C289" t="s">
        <v>2017</v>
      </c>
      <c r="D289">
        <v>71039591</v>
      </c>
      <c r="E289">
        <v>2001345</v>
      </c>
      <c r="F289" t="s">
        <v>39</v>
      </c>
      <c r="G289">
        <v>450</v>
      </c>
      <c r="H289" t="str">
        <f>VLOOKUP(A289,'SV Child INS Apr'!$A:$H,1,0)</f>
        <v>71039591</v>
      </c>
      <c r="L289" t="e">
        <f>VLOOKUP(A289,'TV Apr Prorated Billing Sites'!$A:$I,1,0)</f>
        <v>#N/A</v>
      </c>
    </row>
    <row r="290" spans="1:12">
      <c r="A290" t="str">
        <f t="shared" si="6"/>
        <v>71039781</v>
      </c>
      <c r="B290" t="s">
        <v>2018</v>
      </c>
      <c r="C290" t="s">
        <v>2019</v>
      </c>
      <c r="D290">
        <v>71039781</v>
      </c>
      <c r="E290">
        <v>8072</v>
      </c>
      <c r="F290" t="s">
        <v>39</v>
      </c>
      <c r="G290">
        <v>300</v>
      </c>
      <c r="H290" t="str">
        <f>VLOOKUP(A290,'SV Child INS Apr'!$A:$H,1,0)</f>
        <v>71039781</v>
      </c>
      <c r="L290" t="e">
        <f>VLOOKUP(A290,'TV Apr Prorated Billing Sites'!$A:$I,1,0)</f>
        <v>#N/A</v>
      </c>
    </row>
    <row r="291" spans="1:12">
      <c r="A291" t="str">
        <f t="shared" si="6"/>
        <v>71039883</v>
      </c>
      <c r="B291" t="s">
        <v>2020</v>
      </c>
      <c r="C291" t="s">
        <v>2021</v>
      </c>
      <c r="D291">
        <v>71039883</v>
      </c>
      <c r="E291">
        <v>1500229</v>
      </c>
      <c r="F291" t="s">
        <v>39</v>
      </c>
      <c r="G291">
        <v>300</v>
      </c>
      <c r="H291" t="str">
        <f>VLOOKUP(A291,'SV Child INS Apr'!$A:$H,1,0)</f>
        <v>71039883</v>
      </c>
      <c r="L291" t="e">
        <f>VLOOKUP(A291,'TV Apr Prorated Billing Sites'!$A:$I,1,0)</f>
        <v>#N/A</v>
      </c>
    </row>
    <row r="292" spans="1:12">
      <c r="A292" t="str">
        <f t="shared" si="6"/>
        <v>71040180</v>
      </c>
      <c r="B292" t="s">
        <v>2022</v>
      </c>
      <c r="C292" t="s">
        <v>2023</v>
      </c>
      <c r="D292">
        <v>71040180</v>
      </c>
      <c r="E292">
        <v>2501391</v>
      </c>
      <c r="F292" t="s">
        <v>39</v>
      </c>
      <c r="G292">
        <v>300</v>
      </c>
      <c r="H292" t="str">
        <f>VLOOKUP(A292,'SV Child INS Apr'!$A:$H,1,0)</f>
        <v>71040180</v>
      </c>
      <c r="L292" t="e">
        <f>VLOOKUP(A292,'TV Apr Prorated Billing Sites'!$A:$I,1,0)</f>
        <v>#N/A</v>
      </c>
    </row>
    <row r="293" spans="1:12">
      <c r="A293" t="str">
        <f t="shared" si="6"/>
        <v>71040243</v>
      </c>
      <c r="B293" t="s">
        <v>2024</v>
      </c>
      <c r="C293" t="s">
        <v>2025</v>
      </c>
      <c r="D293">
        <v>71040243</v>
      </c>
      <c r="E293">
        <v>1500244</v>
      </c>
      <c r="F293" t="s">
        <v>39</v>
      </c>
      <c r="G293">
        <v>300</v>
      </c>
      <c r="H293" t="str">
        <f>VLOOKUP(A293,'SV Child INS Apr'!$A:$H,1,0)</f>
        <v>71040243</v>
      </c>
      <c r="L293" t="e">
        <f>VLOOKUP(A293,'TV Apr Prorated Billing Sites'!$A:$I,1,0)</f>
        <v>#N/A</v>
      </c>
    </row>
    <row r="294" spans="1:12">
      <c r="A294" t="str">
        <f t="shared" si="6"/>
        <v>71040312</v>
      </c>
      <c r="B294" t="s">
        <v>2026</v>
      </c>
      <c r="C294" t="s">
        <v>2027</v>
      </c>
      <c r="D294">
        <v>71040312</v>
      </c>
      <c r="E294">
        <v>4150</v>
      </c>
      <c r="F294" t="s">
        <v>39</v>
      </c>
      <c r="G294">
        <v>300</v>
      </c>
      <c r="H294" t="str">
        <f>VLOOKUP(A294,'SV Child INS Apr'!$A:$H,1,0)</f>
        <v>71040312</v>
      </c>
      <c r="L294" t="str">
        <f>VLOOKUP(A294,'TV Apr Prorated Billing Sites'!$A:$I,1,0)</f>
        <v>71040312</v>
      </c>
    </row>
    <row r="295" spans="1:12">
      <c r="A295" t="str">
        <f t="shared" si="6"/>
        <v>71040663</v>
      </c>
      <c r="B295" t="s">
        <v>2028</v>
      </c>
      <c r="C295" t="s">
        <v>2029</v>
      </c>
      <c r="D295">
        <v>71040663</v>
      </c>
      <c r="E295">
        <v>1500229</v>
      </c>
      <c r="F295" t="s">
        <v>39</v>
      </c>
      <c r="G295">
        <v>300</v>
      </c>
      <c r="H295" t="str">
        <f>VLOOKUP(A295,'SV Child INS Apr'!$A:$H,1,0)</f>
        <v>71040663</v>
      </c>
      <c r="L295" t="e">
        <f>VLOOKUP(A295,'TV Apr Prorated Billing Sites'!$A:$I,1,0)</f>
        <v>#N/A</v>
      </c>
    </row>
    <row r="296" spans="1:12">
      <c r="A296" t="str">
        <f t="shared" si="6"/>
        <v>71040843</v>
      </c>
      <c r="B296" t="s">
        <v>2030</v>
      </c>
      <c r="C296" t="s">
        <v>2031</v>
      </c>
      <c r="D296">
        <v>71040843</v>
      </c>
      <c r="E296">
        <v>2502689</v>
      </c>
      <c r="F296" t="s">
        <v>39</v>
      </c>
      <c r="G296">
        <v>300</v>
      </c>
      <c r="H296" t="str">
        <f>VLOOKUP(A296,'SV Child INS Apr'!$A:$H,1,0)</f>
        <v>71040843</v>
      </c>
      <c r="L296" t="e">
        <f>VLOOKUP(A296,'TV Apr Prorated Billing Sites'!$A:$I,1,0)</f>
        <v>#N/A</v>
      </c>
    </row>
    <row r="297" spans="1:12">
      <c r="A297" t="str">
        <f t="shared" ref="A297:A360" si="7">TRIM(D297)</f>
        <v>71040845</v>
      </c>
      <c r="B297" t="s">
        <v>2032</v>
      </c>
      <c r="C297" t="s">
        <v>2033</v>
      </c>
      <c r="D297">
        <v>71040845</v>
      </c>
      <c r="E297">
        <v>3000554</v>
      </c>
      <c r="F297" t="s">
        <v>39</v>
      </c>
      <c r="G297">
        <v>300</v>
      </c>
      <c r="H297" t="str">
        <f>VLOOKUP(A297,'SV Child INS Apr'!$A:$H,1,0)</f>
        <v>71040845</v>
      </c>
      <c r="L297" t="e">
        <f>VLOOKUP(A297,'TV Apr Prorated Billing Sites'!$A:$I,1,0)</f>
        <v>#N/A</v>
      </c>
    </row>
    <row r="298" spans="1:12">
      <c r="A298" t="str">
        <f t="shared" si="7"/>
        <v>71041216</v>
      </c>
      <c r="B298" t="s">
        <v>2034</v>
      </c>
      <c r="C298" t="s">
        <v>2035</v>
      </c>
      <c r="D298">
        <v>71041216</v>
      </c>
      <c r="E298">
        <v>2502948</v>
      </c>
      <c r="F298" t="s">
        <v>39</v>
      </c>
      <c r="G298">
        <v>300</v>
      </c>
      <c r="H298" t="str">
        <f>VLOOKUP(A298,'SV Child INS Apr'!$A:$H,1,0)</f>
        <v>71041216</v>
      </c>
      <c r="L298" t="e">
        <f>VLOOKUP(A298,'TV Apr Prorated Billing Sites'!$A:$I,1,0)</f>
        <v>#N/A</v>
      </c>
    </row>
    <row r="299" spans="1:12">
      <c r="A299" t="str">
        <f t="shared" si="7"/>
        <v>71041279</v>
      </c>
      <c r="B299" t="s">
        <v>2036</v>
      </c>
      <c r="C299" t="s">
        <v>2037</v>
      </c>
      <c r="D299">
        <v>71041279</v>
      </c>
      <c r="E299">
        <v>2001357</v>
      </c>
      <c r="F299" t="s">
        <v>39</v>
      </c>
      <c r="G299">
        <v>300</v>
      </c>
      <c r="H299" t="str">
        <f>VLOOKUP(A299,'SV Child INS Apr'!$A:$H,1,0)</f>
        <v>71041279</v>
      </c>
      <c r="L299" t="e">
        <f>VLOOKUP(A299,'TV Apr Prorated Billing Sites'!$A:$I,1,0)</f>
        <v>#N/A</v>
      </c>
    </row>
    <row r="300" spans="1:12">
      <c r="A300" t="str">
        <f t="shared" si="7"/>
        <v>71041703</v>
      </c>
      <c r="B300" t="s">
        <v>2038</v>
      </c>
      <c r="C300" t="s">
        <v>2039</v>
      </c>
      <c r="D300">
        <v>71041703</v>
      </c>
      <c r="E300">
        <v>3001430</v>
      </c>
      <c r="F300" t="s">
        <v>39</v>
      </c>
      <c r="G300">
        <v>300</v>
      </c>
      <c r="H300" t="str">
        <f>VLOOKUP(A300,'SV Child INS Apr'!$A:$H,1,0)</f>
        <v>71041703</v>
      </c>
      <c r="L300" t="e">
        <f>VLOOKUP(A300,'TV Apr Prorated Billing Sites'!$A:$I,1,0)</f>
        <v>#N/A</v>
      </c>
    </row>
    <row r="301" spans="1:12">
      <c r="A301" t="str">
        <f t="shared" si="7"/>
        <v>71042001</v>
      </c>
      <c r="B301" t="s">
        <v>2040</v>
      </c>
      <c r="C301" t="s">
        <v>2041</v>
      </c>
      <c r="D301">
        <v>71042001</v>
      </c>
      <c r="E301">
        <v>2001964</v>
      </c>
      <c r="F301" t="s">
        <v>39</v>
      </c>
      <c r="G301">
        <v>450</v>
      </c>
      <c r="H301" t="str">
        <f>VLOOKUP(A301,'SV Child INS Apr'!$A:$H,1,0)</f>
        <v>71042001</v>
      </c>
      <c r="L301" t="e">
        <f>VLOOKUP(A301,'TV Apr Prorated Billing Sites'!$A:$I,1,0)</f>
        <v>#N/A</v>
      </c>
    </row>
    <row r="302" spans="1:12">
      <c r="A302" t="str">
        <f t="shared" si="7"/>
        <v>71042244</v>
      </c>
      <c r="B302" t="s">
        <v>2042</v>
      </c>
      <c r="C302" t="s">
        <v>2043</v>
      </c>
      <c r="D302">
        <v>71042244</v>
      </c>
      <c r="E302">
        <v>2000454</v>
      </c>
      <c r="F302" t="s">
        <v>39</v>
      </c>
      <c r="G302">
        <v>450</v>
      </c>
      <c r="H302" t="str">
        <f>VLOOKUP(A302,'SV Child INS Apr'!$A:$H,1,0)</f>
        <v>71042244</v>
      </c>
      <c r="L302" t="e">
        <f>VLOOKUP(A302,'TV Apr Prorated Billing Sites'!$A:$I,1,0)</f>
        <v>#N/A</v>
      </c>
    </row>
    <row r="303" spans="1:12">
      <c r="A303" t="str">
        <f t="shared" si="7"/>
        <v>71042332</v>
      </c>
      <c r="B303" t="s">
        <v>2044</v>
      </c>
      <c r="C303" t="s">
        <v>2045</v>
      </c>
      <c r="D303">
        <v>71042332</v>
      </c>
      <c r="E303">
        <v>8104</v>
      </c>
      <c r="F303" t="s">
        <v>39</v>
      </c>
      <c r="G303">
        <v>300</v>
      </c>
      <c r="H303" t="str">
        <f>VLOOKUP(A303,'SV Child INS Apr'!$A:$H,1,0)</f>
        <v>71042332</v>
      </c>
      <c r="L303" t="e">
        <f>VLOOKUP(A303,'TV Apr Prorated Billing Sites'!$A:$I,1,0)</f>
        <v>#N/A</v>
      </c>
    </row>
    <row r="304" spans="1:12">
      <c r="A304" t="str">
        <f t="shared" si="7"/>
        <v>71042510</v>
      </c>
      <c r="B304" t="s">
        <v>2046</v>
      </c>
      <c r="C304" t="s">
        <v>2047</v>
      </c>
      <c r="D304">
        <v>71042510</v>
      </c>
      <c r="E304">
        <v>2501708</v>
      </c>
      <c r="F304" t="s">
        <v>39</v>
      </c>
      <c r="G304">
        <v>450</v>
      </c>
      <c r="H304" t="str">
        <f>VLOOKUP(A304,'SV Child INS Apr'!$A:$H,1,0)</f>
        <v>71042510</v>
      </c>
      <c r="L304" t="e">
        <f>VLOOKUP(A304,'TV Apr Prorated Billing Sites'!$A:$I,1,0)</f>
        <v>#N/A</v>
      </c>
    </row>
    <row r="305" spans="1:12">
      <c r="A305" t="str">
        <f t="shared" si="7"/>
        <v>71042591</v>
      </c>
      <c r="B305" t="s">
        <v>2048</v>
      </c>
      <c r="C305" t="s">
        <v>2049</v>
      </c>
      <c r="D305">
        <v>71042591</v>
      </c>
      <c r="E305">
        <v>3002002</v>
      </c>
      <c r="F305" t="s">
        <v>39</v>
      </c>
      <c r="G305">
        <v>400</v>
      </c>
      <c r="H305" t="str">
        <f>VLOOKUP(A305,'SV Child INS Apr'!$A:$H,1,0)</f>
        <v>71042591</v>
      </c>
      <c r="L305" t="e">
        <f>VLOOKUP(A305,'TV Apr Prorated Billing Sites'!$A:$I,1,0)</f>
        <v>#N/A</v>
      </c>
    </row>
    <row r="306" spans="1:12">
      <c r="A306" t="str">
        <f t="shared" si="7"/>
        <v>71042653</v>
      </c>
      <c r="B306" t="s">
        <v>2050</v>
      </c>
      <c r="C306" t="s">
        <v>2051</v>
      </c>
      <c r="D306">
        <v>71042653</v>
      </c>
      <c r="E306">
        <v>2000854</v>
      </c>
      <c r="F306" t="s">
        <v>39</v>
      </c>
      <c r="G306">
        <v>400</v>
      </c>
      <c r="H306" t="str">
        <f>VLOOKUP(A306,'SV Child INS Apr'!$A:$H,1,0)</f>
        <v>71042653</v>
      </c>
      <c r="L306" t="e">
        <f>VLOOKUP(A306,'TV Apr Prorated Billing Sites'!$A:$I,1,0)</f>
        <v>#N/A</v>
      </c>
    </row>
    <row r="307" spans="1:12">
      <c r="A307" t="str">
        <f t="shared" si="7"/>
        <v>71042671</v>
      </c>
      <c r="B307" t="s">
        <v>2052</v>
      </c>
      <c r="C307" t="s">
        <v>2053</v>
      </c>
      <c r="D307">
        <v>71042671</v>
      </c>
      <c r="E307">
        <v>2000681</v>
      </c>
      <c r="F307" t="s">
        <v>39</v>
      </c>
      <c r="G307">
        <v>300</v>
      </c>
      <c r="H307" t="str">
        <f>VLOOKUP(A307,'SV Child INS Apr'!$A:$H,1,0)</f>
        <v>71042671</v>
      </c>
      <c r="L307" t="e">
        <f>VLOOKUP(A307,'TV Apr Prorated Billing Sites'!$A:$I,1,0)</f>
        <v>#N/A</v>
      </c>
    </row>
    <row r="308" spans="1:12">
      <c r="A308" t="str">
        <f t="shared" si="7"/>
        <v>71043501</v>
      </c>
      <c r="B308" t="s">
        <v>2054</v>
      </c>
      <c r="C308" t="s">
        <v>2055</v>
      </c>
      <c r="D308">
        <v>71043501</v>
      </c>
      <c r="E308">
        <v>2500625</v>
      </c>
      <c r="F308" t="s">
        <v>39</v>
      </c>
      <c r="G308">
        <v>450</v>
      </c>
      <c r="H308" t="str">
        <f>VLOOKUP(A308,'SV Child INS Apr'!$A:$H,1,0)</f>
        <v>71043501</v>
      </c>
      <c r="L308" t="e">
        <f>VLOOKUP(A308,'TV Apr Prorated Billing Sites'!$A:$I,1,0)</f>
        <v>#N/A</v>
      </c>
    </row>
    <row r="309" spans="1:12">
      <c r="A309" t="str">
        <f t="shared" si="7"/>
        <v>71043919</v>
      </c>
      <c r="B309" t="s">
        <v>2056</v>
      </c>
      <c r="C309" t="s">
        <v>2057</v>
      </c>
      <c r="D309">
        <v>71043919</v>
      </c>
      <c r="E309">
        <v>5029</v>
      </c>
      <c r="F309" t="s">
        <v>39</v>
      </c>
      <c r="G309">
        <v>300</v>
      </c>
      <c r="H309" t="str">
        <f>VLOOKUP(A309,'SV Child INS Apr'!$A:$H,1,0)</f>
        <v>71043919</v>
      </c>
      <c r="L309" t="e">
        <f>VLOOKUP(A309,'TV Apr Prorated Billing Sites'!$A:$I,1,0)</f>
        <v>#N/A</v>
      </c>
    </row>
    <row r="310" spans="1:12">
      <c r="A310" t="str">
        <f t="shared" si="7"/>
        <v>71043920</v>
      </c>
      <c r="B310" t="s">
        <v>2058</v>
      </c>
      <c r="C310" t="s">
        <v>2059</v>
      </c>
      <c r="D310">
        <v>71043920</v>
      </c>
      <c r="E310">
        <v>103003</v>
      </c>
      <c r="F310" t="s">
        <v>39</v>
      </c>
      <c r="G310">
        <v>400</v>
      </c>
      <c r="H310" t="str">
        <f>VLOOKUP(A310,'SV Child INS Apr'!$A:$H,1,0)</f>
        <v>71043920</v>
      </c>
      <c r="L310" t="e">
        <f>VLOOKUP(A310,'TV Apr Prorated Billing Sites'!$A:$I,1,0)</f>
        <v>#N/A</v>
      </c>
    </row>
    <row r="311" spans="1:12">
      <c r="A311" t="str">
        <f t="shared" si="7"/>
        <v>71043922</v>
      </c>
      <c r="B311" t="s">
        <v>1266</v>
      </c>
      <c r="C311" t="s">
        <v>1297</v>
      </c>
      <c r="D311">
        <v>71043922</v>
      </c>
      <c r="E311">
        <v>103006</v>
      </c>
      <c r="F311" t="s">
        <v>39</v>
      </c>
      <c r="G311">
        <v>300</v>
      </c>
      <c r="H311" t="str">
        <f>VLOOKUP(A311,'SV Child INS Apr'!$A:$H,1,0)</f>
        <v>71043922</v>
      </c>
      <c r="L311" t="e">
        <f>VLOOKUP(A311,'TV Apr Prorated Billing Sites'!$A:$I,1,0)</f>
        <v>#N/A</v>
      </c>
    </row>
    <row r="312" spans="1:12">
      <c r="A312" t="str">
        <f t="shared" si="7"/>
        <v>71043924</v>
      </c>
      <c r="B312" t="s">
        <v>2060</v>
      </c>
      <c r="C312" t="s">
        <v>2061</v>
      </c>
      <c r="D312">
        <v>71043924</v>
      </c>
      <c r="E312">
        <v>3000261</v>
      </c>
      <c r="F312" t="s">
        <v>39</v>
      </c>
      <c r="G312">
        <v>300</v>
      </c>
      <c r="H312" t="str">
        <f>VLOOKUP(A312,'SV Child INS Apr'!$A:$H,1,0)</f>
        <v>71043924</v>
      </c>
      <c r="L312" t="e">
        <f>VLOOKUP(A312,'TV Apr Prorated Billing Sites'!$A:$I,1,0)</f>
        <v>#N/A</v>
      </c>
    </row>
    <row r="313" spans="1:12">
      <c r="A313" t="str">
        <f t="shared" si="7"/>
        <v>71043960</v>
      </c>
      <c r="B313" t="s">
        <v>2062</v>
      </c>
      <c r="C313" t="s">
        <v>2063</v>
      </c>
      <c r="D313">
        <v>71043960</v>
      </c>
      <c r="E313">
        <v>2502637</v>
      </c>
      <c r="F313" t="s">
        <v>39</v>
      </c>
      <c r="G313">
        <v>450</v>
      </c>
      <c r="H313" t="str">
        <f>VLOOKUP(A313,'SV Child INS Apr'!$A:$H,1,0)</f>
        <v>71043960</v>
      </c>
      <c r="L313" t="e">
        <f>VLOOKUP(A313,'TV Apr Prorated Billing Sites'!$A:$I,1,0)</f>
        <v>#N/A</v>
      </c>
    </row>
    <row r="314" spans="1:12">
      <c r="A314" t="str">
        <f t="shared" si="7"/>
        <v>71044304</v>
      </c>
      <c r="B314" t="s">
        <v>2064</v>
      </c>
      <c r="C314" t="s">
        <v>2065</v>
      </c>
      <c r="D314">
        <v>71044304</v>
      </c>
      <c r="E314">
        <v>2500889</v>
      </c>
      <c r="F314" t="s">
        <v>39</v>
      </c>
      <c r="G314">
        <v>400</v>
      </c>
      <c r="H314" t="str">
        <f>VLOOKUP(A314,'SV Child INS Apr'!$A:$H,1,0)</f>
        <v>71044304</v>
      </c>
      <c r="L314" t="e">
        <f>VLOOKUP(A314,'TV Apr Prorated Billing Sites'!$A:$I,1,0)</f>
        <v>#N/A</v>
      </c>
    </row>
    <row r="315" spans="1:12">
      <c r="A315" t="str">
        <f t="shared" si="7"/>
        <v>71044508</v>
      </c>
      <c r="B315" t="s">
        <v>2066</v>
      </c>
      <c r="C315" t="s">
        <v>2067</v>
      </c>
      <c r="D315">
        <v>71044508</v>
      </c>
      <c r="E315">
        <v>2503041</v>
      </c>
      <c r="F315" t="s">
        <v>39</v>
      </c>
      <c r="G315">
        <v>300</v>
      </c>
      <c r="H315" t="str">
        <f>VLOOKUP(A315,'SV Child INS Apr'!$A:$H,1,0)</f>
        <v>71044508</v>
      </c>
      <c r="L315" t="e">
        <f>VLOOKUP(A315,'TV Apr Prorated Billing Sites'!$A:$I,1,0)</f>
        <v>#N/A</v>
      </c>
    </row>
    <row r="316" spans="1:12">
      <c r="A316" t="str">
        <f t="shared" si="7"/>
        <v>71044818</v>
      </c>
      <c r="B316" t="s">
        <v>2068</v>
      </c>
      <c r="C316" t="s">
        <v>2069</v>
      </c>
      <c r="D316">
        <v>71044818</v>
      </c>
      <c r="E316">
        <v>0</v>
      </c>
      <c r="F316" t="s">
        <v>39</v>
      </c>
      <c r="G316">
        <v>450</v>
      </c>
      <c r="H316" t="str">
        <f>VLOOKUP(A316,'SV Child INS Apr'!$A:$H,1,0)</f>
        <v>71044818</v>
      </c>
      <c r="L316" t="e">
        <f>VLOOKUP(A316,'TV Apr Prorated Billing Sites'!$A:$I,1,0)</f>
        <v>#N/A</v>
      </c>
    </row>
    <row r="317" spans="1:12">
      <c r="A317" t="str">
        <f t="shared" si="7"/>
        <v>71044900</v>
      </c>
      <c r="B317" t="s">
        <v>2070</v>
      </c>
      <c r="C317" t="s">
        <v>2071</v>
      </c>
      <c r="D317">
        <v>71044900</v>
      </c>
      <c r="E317">
        <v>2501741</v>
      </c>
      <c r="F317" t="s">
        <v>39</v>
      </c>
      <c r="G317">
        <v>300</v>
      </c>
      <c r="H317" t="str">
        <f>VLOOKUP(A317,'SV Child INS Apr'!$A:$H,1,0)</f>
        <v>71044900</v>
      </c>
      <c r="L317" t="e">
        <f>VLOOKUP(A317,'TV Apr Prorated Billing Sites'!$A:$I,1,0)</f>
        <v>#N/A</v>
      </c>
    </row>
    <row r="318" spans="1:12">
      <c r="A318" t="str">
        <f t="shared" si="7"/>
        <v>71044907</v>
      </c>
      <c r="B318" t="s">
        <v>2072</v>
      </c>
      <c r="C318" t="s">
        <v>2073</v>
      </c>
      <c r="D318">
        <v>71044907</v>
      </c>
      <c r="E318">
        <v>2501790</v>
      </c>
      <c r="F318" t="s">
        <v>39</v>
      </c>
      <c r="G318">
        <v>300</v>
      </c>
      <c r="H318" t="str">
        <f>VLOOKUP(A318,'SV Child INS Apr'!$A:$H,1,0)</f>
        <v>71044907</v>
      </c>
      <c r="L318" t="e">
        <f>VLOOKUP(A318,'TV Apr Prorated Billing Sites'!$A:$I,1,0)</f>
        <v>#N/A</v>
      </c>
    </row>
    <row r="319" spans="1:12">
      <c r="A319" t="str">
        <f t="shared" si="7"/>
        <v>71044943</v>
      </c>
      <c r="B319" t="s">
        <v>2074</v>
      </c>
      <c r="C319" t="s">
        <v>2075</v>
      </c>
      <c r="D319">
        <v>71044943</v>
      </c>
      <c r="E319">
        <v>2001141</v>
      </c>
      <c r="F319" t="s">
        <v>39</v>
      </c>
      <c r="G319">
        <v>300</v>
      </c>
      <c r="H319" t="str">
        <f>VLOOKUP(A319,'SV Child INS Apr'!$A:$H,1,0)</f>
        <v>71044943</v>
      </c>
      <c r="L319" t="e">
        <f>VLOOKUP(A319,'TV Apr Prorated Billing Sites'!$A:$I,1,0)</f>
        <v>#N/A</v>
      </c>
    </row>
    <row r="320" spans="1:12">
      <c r="A320" t="str">
        <f t="shared" si="7"/>
        <v>71045434</v>
      </c>
      <c r="B320" t="s">
        <v>2076</v>
      </c>
      <c r="C320" t="s">
        <v>2077</v>
      </c>
      <c r="D320">
        <v>71045434</v>
      </c>
      <c r="E320">
        <v>3178</v>
      </c>
      <c r="F320" t="s">
        <v>39</v>
      </c>
      <c r="G320">
        <v>300</v>
      </c>
      <c r="H320" t="str">
        <f>VLOOKUP(A320,'SV Child INS Apr'!$A:$H,1,0)</f>
        <v>71045434</v>
      </c>
      <c r="L320" t="e">
        <f>VLOOKUP(A320,'TV Apr Prorated Billing Sites'!$A:$I,1,0)</f>
        <v>#N/A</v>
      </c>
    </row>
    <row r="321" spans="1:13">
      <c r="A321" t="str">
        <f t="shared" si="7"/>
        <v>71045475</v>
      </c>
      <c r="B321" t="s">
        <v>2078</v>
      </c>
      <c r="C321" t="s">
        <v>2079</v>
      </c>
      <c r="D321">
        <v>71045475</v>
      </c>
      <c r="E321">
        <v>9050</v>
      </c>
      <c r="F321" t="s">
        <v>39</v>
      </c>
      <c r="G321">
        <v>450</v>
      </c>
      <c r="H321" t="str">
        <f>VLOOKUP(A321,'SV Child INS Apr'!$A:$H,1,0)</f>
        <v>71045475</v>
      </c>
      <c r="L321" t="e">
        <f>VLOOKUP(A321,'TV Apr Prorated Billing Sites'!$A:$I,1,0)</f>
        <v>#N/A</v>
      </c>
    </row>
    <row r="322" spans="1:13">
      <c r="A322" t="str">
        <f t="shared" si="7"/>
        <v>71046168</v>
      </c>
      <c r="B322" t="s">
        <v>2080</v>
      </c>
      <c r="C322" t="s">
        <v>2081</v>
      </c>
      <c r="D322">
        <v>71046168</v>
      </c>
      <c r="E322">
        <v>2000181</v>
      </c>
      <c r="F322" t="s">
        <v>39</v>
      </c>
      <c r="G322">
        <v>300</v>
      </c>
      <c r="H322" t="str">
        <f>VLOOKUP(A322,'SV Child INS Apr'!$A:$H,1,0)</f>
        <v>71046168</v>
      </c>
      <c r="L322" t="e">
        <f>VLOOKUP(A322,'TV Apr Prorated Billing Sites'!$A:$I,1,0)</f>
        <v>#N/A</v>
      </c>
    </row>
    <row r="323" spans="1:13">
      <c r="A323" t="str">
        <f t="shared" si="7"/>
        <v>71046171</v>
      </c>
      <c r="B323" t="s">
        <v>2082</v>
      </c>
      <c r="C323" t="s">
        <v>2083</v>
      </c>
      <c r="D323">
        <v>71046171</v>
      </c>
      <c r="E323">
        <v>2503113</v>
      </c>
      <c r="F323" t="s">
        <v>39</v>
      </c>
      <c r="G323">
        <v>300</v>
      </c>
      <c r="H323" t="str">
        <f>VLOOKUP(A323,'SV Child INS Apr'!$A:$H,1,0)</f>
        <v>71046171</v>
      </c>
      <c r="L323" t="e">
        <f>VLOOKUP(A323,'TV Apr Prorated Billing Sites'!$A:$I,1,0)</f>
        <v>#N/A</v>
      </c>
    </row>
    <row r="324" spans="1:13">
      <c r="A324" t="str">
        <f t="shared" si="7"/>
        <v>71046210</v>
      </c>
      <c r="B324" t="s">
        <v>436</v>
      </c>
      <c r="C324" t="s">
        <v>437</v>
      </c>
      <c r="D324">
        <v>71046210</v>
      </c>
      <c r="E324" t="s">
        <v>438</v>
      </c>
      <c r="F324" t="s">
        <v>39</v>
      </c>
      <c r="G324">
        <v>300</v>
      </c>
      <c r="H324" t="e">
        <f>VLOOKUP(A324,'SV Child INS Apr'!$A:$H,1,0)</f>
        <v>#N/A</v>
      </c>
      <c r="I324" t="e">
        <f>VLOOKUP(B324,'SV Child INS Apr'!$D:$F,1,0)</f>
        <v>#N/A</v>
      </c>
      <c r="J324" t="str">
        <f>VLOOKUP(A324,'SV Child BLG Apr'!$A:$J,1,0)</f>
        <v>71046210</v>
      </c>
      <c r="L324" t="e">
        <f>VLOOKUP(A324,'TV Apr Prorated Billing Sites'!$A:$I,1,0)</f>
        <v>#N/A</v>
      </c>
      <c r="M324" t="e">
        <f>VLOOKUP(A324,'CDK asked to retain list'!$H$1:$J$24,1,0)</f>
        <v>#N/A</v>
      </c>
    </row>
    <row r="325" spans="1:13">
      <c r="A325" t="str">
        <f t="shared" si="7"/>
        <v>71046391</v>
      </c>
      <c r="B325" t="s">
        <v>2084</v>
      </c>
      <c r="C325" t="s">
        <v>2085</v>
      </c>
      <c r="D325">
        <v>71046391</v>
      </c>
      <c r="E325">
        <v>0</v>
      </c>
      <c r="F325" t="s">
        <v>39</v>
      </c>
      <c r="G325">
        <v>400</v>
      </c>
      <c r="H325" t="str">
        <f>VLOOKUP(A325,'SV Child INS Apr'!$A:$H,1,0)</f>
        <v>71046391</v>
      </c>
      <c r="L325" t="e">
        <f>VLOOKUP(A325,'TV Apr Prorated Billing Sites'!$A:$I,1,0)</f>
        <v>#N/A</v>
      </c>
    </row>
    <row r="326" spans="1:13">
      <c r="A326" t="str">
        <f t="shared" si="7"/>
        <v>71046598</v>
      </c>
      <c r="B326" t="s">
        <v>2086</v>
      </c>
      <c r="C326" t="s">
        <v>2087</v>
      </c>
      <c r="D326">
        <v>71046598</v>
      </c>
      <c r="E326">
        <v>2000287</v>
      </c>
      <c r="F326" t="s">
        <v>39</v>
      </c>
      <c r="G326">
        <v>300</v>
      </c>
      <c r="H326" t="str">
        <f>VLOOKUP(A326,'SV Child INS Apr'!$A:$H,1,0)</f>
        <v>71046598</v>
      </c>
      <c r="L326" t="e">
        <f>VLOOKUP(A326,'TV Apr Prorated Billing Sites'!$A:$I,1,0)</f>
        <v>#N/A</v>
      </c>
    </row>
    <row r="327" spans="1:13">
      <c r="A327" t="str">
        <f t="shared" si="7"/>
        <v>71046603</v>
      </c>
      <c r="B327" t="s">
        <v>2088</v>
      </c>
      <c r="C327" t="s">
        <v>2089</v>
      </c>
      <c r="D327">
        <v>71046603</v>
      </c>
      <c r="E327">
        <v>2001202</v>
      </c>
      <c r="F327" t="s">
        <v>39</v>
      </c>
      <c r="G327">
        <v>300</v>
      </c>
      <c r="H327" t="str">
        <f>VLOOKUP(A327,'SV Child INS Apr'!$A:$H,1,0)</f>
        <v>71046603</v>
      </c>
      <c r="L327" t="e">
        <f>VLOOKUP(A327,'TV Apr Prorated Billing Sites'!$A:$I,1,0)</f>
        <v>#N/A</v>
      </c>
    </row>
    <row r="328" spans="1:13">
      <c r="A328" t="str">
        <f t="shared" si="7"/>
        <v>71046703</v>
      </c>
      <c r="B328" t="s">
        <v>2090</v>
      </c>
      <c r="C328" t="s">
        <v>2091</v>
      </c>
      <c r="D328">
        <v>71046703</v>
      </c>
      <c r="E328">
        <v>3249</v>
      </c>
      <c r="F328" t="s">
        <v>39</v>
      </c>
      <c r="G328">
        <v>400</v>
      </c>
      <c r="H328" t="str">
        <f>VLOOKUP(A328,'SV Child INS Apr'!$A:$H,1,0)</f>
        <v>71046703</v>
      </c>
      <c r="L328" t="e">
        <f>VLOOKUP(A328,'TV Apr Prorated Billing Sites'!$A:$I,1,0)</f>
        <v>#N/A</v>
      </c>
    </row>
    <row r="329" spans="1:13">
      <c r="A329" t="str">
        <f t="shared" si="7"/>
        <v>71046733</v>
      </c>
      <c r="B329" t="s">
        <v>2092</v>
      </c>
      <c r="C329" t="s">
        <v>2093</v>
      </c>
      <c r="D329">
        <v>71046733</v>
      </c>
      <c r="E329">
        <v>2501588</v>
      </c>
      <c r="F329" t="s">
        <v>39</v>
      </c>
      <c r="G329">
        <v>300</v>
      </c>
      <c r="H329" t="str">
        <f>VLOOKUP(A329,'SV Child INS Apr'!$A:$H,1,0)</f>
        <v>71046733</v>
      </c>
      <c r="L329" t="e">
        <f>VLOOKUP(A329,'TV Apr Prorated Billing Sites'!$A:$I,1,0)</f>
        <v>#N/A</v>
      </c>
    </row>
    <row r="330" spans="1:13">
      <c r="A330" t="str">
        <f t="shared" si="7"/>
        <v>71047155</v>
      </c>
      <c r="B330" t="s">
        <v>2094</v>
      </c>
      <c r="C330" t="s">
        <v>2095</v>
      </c>
      <c r="D330">
        <v>71047155</v>
      </c>
      <c r="E330">
        <v>2503504</v>
      </c>
      <c r="F330" t="s">
        <v>39</v>
      </c>
      <c r="G330">
        <v>300</v>
      </c>
      <c r="H330" t="str">
        <f>VLOOKUP(A330,'SV Child INS Apr'!$A:$H,1,0)</f>
        <v>71047155</v>
      </c>
      <c r="L330" t="e">
        <f>VLOOKUP(A330,'TV Apr Prorated Billing Sites'!$A:$I,1,0)</f>
        <v>#N/A</v>
      </c>
    </row>
    <row r="331" spans="1:13">
      <c r="A331" t="str">
        <f t="shared" si="7"/>
        <v>71047225</v>
      </c>
      <c r="B331" t="s">
        <v>2096</v>
      </c>
      <c r="C331" t="s">
        <v>2097</v>
      </c>
      <c r="D331">
        <v>71047225</v>
      </c>
      <c r="E331">
        <v>2001849</v>
      </c>
      <c r="F331" t="s">
        <v>39</v>
      </c>
      <c r="G331">
        <v>300</v>
      </c>
      <c r="H331" t="str">
        <f>VLOOKUP(A331,'SV Child INS Apr'!$A:$H,1,0)</f>
        <v>71047225</v>
      </c>
      <c r="L331" t="e">
        <f>VLOOKUP(A331,'TV Apr Prorated Billing Sites'!$A:$I,1,0)</f>
        <v>#N/A</v>
      </c>
    </row>
    <row r="332" spans="1:13">
      <c r="A332" t="str">
        <f t="shared" si="7"/>
        <v>71047244</v>
      </c>
      <c r="B332" t="s">
        <v>2098</v>
      </c>
      <c r="C332" t="s">
        <v>2099</v>
      </c>
      <c r="D332">
        <v>71047244</v>
      </c>
      <c r="E332">
        <v>3272</v>
      </c>
      <c r="F332" t="s">
        <v>39</v>
      </c>
      <c r="G332">
        <v>300</v>
      </c>
      <c r="H332" t="str">
        <f>VLOOKUP(A332,'SV Child INS Apr'!$A:$H,1,0)</f>
        <v>71047244</v>
      </c>
      <c r="L332" t="e">
        <f>VLOOKUP(A332,'TV Apr Prorated Billing Sites'!$A:$I,1,0)</f>
        <v>#N/A</v>
      </c>
    </row>
    <row r="333" spans="1:13">
      <c r="A333" t="str">
        <f t="shared" si="7"/>
        <v>71047545</v>
      </c>
      <c r="B333" t="s">
        <v>440</v>
      </c>
      <c r="C333" t="s">
        <v>441</v>
      </c>
      <c r="D333">
        <v>71047545</v>
      </c>
      <c r="E333">
        <v>2001103</v>
      </c>
      <c r="F333" t="s">
        <v>39</v>
      </c>
      <c r="G333">
        <v>300</v>
      </c>
      <c r="H333" t="e">
        <f>VLOOKUP(A333,'SV Child INS Apr'!$A:$H,1,0)</f>
        <v>#N/A</v>
      </c>
      <c r="I333" t="e">
        <f>VLOOKUP(B333,'SV Child INS Apr'!$D:$F,1,0)</f>
        <v>#N/A</v>
      </c>
      <c r="J333" t="str">
        <f>VLOOKUP(A333,'SV Child BLG Apr'!$A:$J,1,0)</f>
        <v>71047545</v>
      </c>
      <c r="L333" t="e">
        <f>VLOOKUP(A333,'TV Apr Prorated Billing Sites'!$A:$I,1,0)</f>
        <v>#N/A</v>
      </c>
      <c r="M333" t="e">
        <f>VLOOKUP(A333,'CDK asked to retain list'!$H$1:$J$24,1,0)</f>
        <v>#N/A</v>
      </c>
    </row>
    <row r="334" spans="1:13">
      <c r="A334" t="str">
        <f t="shared" si="7"/>
        <v>71047897</v>
      </c>
      <c r="B334" t="s">
        <v>2100</v>
      </c>
      <c r="C334" t="s">
        <v>2101</v>
      </c>
      <c r="D334">
        <v>71047897</v>
      </c>
      <c r="E334">
        <v>2500351</v>
      </c>
      <c r="F334" t="s">
        <v>39</v>
      </c>
      <c r="G334">
        <v>300</v>
      </c>
      <c r="H334" t="str">
        <f>VLOOKUP(A334,'SV Child INS Apr'!$A:$H,1,0)</f>
        <v>71047897</v>
      </c>
      <c r="L334" t="e">
        <f>VLOOKUP(A334,'TV Apr Prorated Billing Sites'!$A:$I,1,0)</f>
        <v>#N/A</v>
      </c>
    </row>
    <row r="335" spans="1:13">
      <c r="A335" t="str">
        <f t="shared" si="7"/>
        <v>71047899</v>
      </c>
      <c r="B335" t="s">
        <v>2102</v>
      </c>
      <c r="C335" t="s">
        <v>2103</v>
      </c>
      <c r="D335">
        <v>71047899</v>
      </c>
      <c r="E335">
        <v>2500375</v>
      </c>
      <c r="F335" t="s">
        <v>39</v>
      </c>
      <c r="G335">
        <v>300</v>
      </c>
      <c r="H335" t="str">
        <f>VLOOKUP(A335,'SV Child INS Apr'!$A:$H,1,0)</f>
        <v>71047899</v>
      </c>
      <c r="L335" t="e">
        <f>VLOOKUP(A335,'TV Apr Prorated Billing Sites'!$A:$I,1,0)</f>
        <v>#N/A</v>
      </c>
    </row>
    <row r="336" spans="1:13">
      <c r="A336" t="str">
        <f t="shared" si="7"/>
        <v>71047901</v>
      </c>
      <c r="B336" t="s">
        <v>2104</v>
      </c>
      <c r="C336" t="s">
        <v>2105</v>
      </c>
      <c r="D336">
        <v>71047901</v>
      </c>
      <c r="E336">
        <v>3002001</v>
      </c>
      <c r="F336" t="s">
        <v>39</v>
      </c>
      <c r="G336">
        <v>300</v>
      </c>
      <c r="H336" t="str">
        <f>VLOOKUP(A336,'SV Child INS Apr'!$A:$H,1,0)</f>
        <v>71047901</v>
      </c>
      <c r="L336" t="e">
        <f>VLOOKUP(A336,'TV Apr Prorated Billing Sites'!$A:$I,1,0)</f>
        <v>#N/A</v>
      </c>
    </row>
    <row r="337" spans="1:12">
      <c r="A337" t="str">
        <f t="shared" si="7"/>
        <v>71048080</v>
      </c>
      <c r="B337" t="s">
        <v>2106</v>
      </c>
      <c r="C337" t="s">
        <v>2107</v>
      </c>
      <c r="D337">
        <v>71048080</v>
      </c>
      <c r="E337">
        <v>2003133</v>
      </c>
      <c r="F337" t="s">
        <v>39</v>
      </c>
      <c r="G337">
        <v>300</v>
      </c>
      <c r="H337" t="str">
        <f>VLOOKUP(A337,'SV Child INS Apr'!$A:$H,1,0)</f>
        <v>71048080</v>
      </c>
      <c r="L337" t="e">
        <f>VLOOKUP(A337,'TV Apr Prorated Billing Sites'!$A:$I,1,0)</f>
        <v>#N/A</v>
      </c>
    </row>
    <row r="338" spans="1:12">
      <c r="A338" t="str">
        <f t="shared" si="7"/>
        <v>71048098</v>
      </c>
      <c r="B338" t="s">
        <v>2108</v>
      </c>
      <c r="C338" t="s">
        <v>2109</v>
      </c>
      <c r="D338">
        <v>71048098</v>
      </c>
      <c r="E338">
        <v>4199</v>
      </c>
      <c r="F338" t="s">
        <v>39</v>
      </c>
      <c r="G338">
        <v>300</v>
      </c>
      <c r="H338" t="str">
        <f>VLOOKUP(A338,'SV Child INS Apr'!$A:$H,1,0)</f>
        <v>71048098</v>
      </c>
      <c r="L338" t="e">
        <f>VLOOKUP(A338,'TV Apr Prorated Billing Sites'!$A:$I,1,0)</f>
        <v>#N/A</v>
      </c>
    </row>
    <row r="339" spans="1:12">
      <c r="A339" t="str">
        <f t="shared" si="7"/>
        <v>71048102</v>
      </c>
      <c r="B339" t="s">
        <v>2110</v>
      </c>
      <c r="C339" t="s">
        <v>2111</v>
      </c>
      <c r="D339">
        <v>71048102</v>
      </c>
      <c r="E339">
        <v>2501593</v>
      </c>
      <c r="F339" t="s">
        <v>39</v>
      </c>
      <c r="G339">
        <v>300</v>
      </c>
      <c r="H339" t="str">
        <f>VLOOKUP(A339,'SV Child INS Apr'!$A:$H,1,0)</f>
        <v>71048102</v>
      </c>
      <c r="L339" t="e">
        <f>VLOOKUP(A339,'TV Apr Prorated Billing Sites'!$A:$I,1,0)</f>
        <v>#N/A</v>
      </c>
    </row>
    <row r="340" spans="1:12">
      <c r="A340" t="str">
        <f t="shared" si="7"/>
        <v>71048225</v>
      </c>
      <c r="B340" t="s">
        <v>2112</v>
      </c>
      <c r="C340" t="s">
        <v>2113</v>
      </c>
      <c r="D340">
        <v>71048225</v>
      </c>
      <c r="E340">
        <v>2500972</v>
      </c>
      <c r="F340" t="s">
        <v>39</v>
      </c>
      <c r="G340">
        <v>300</v>
      </c>
      <c r="H340" t="str">
        <f>VLOOKUP(A340,'SV Child INS Apr'!$A:$H,1,0)</f>
        <v>71048225</v>
      </c>
      <c r="L340" t="e">
        <f>VLOOKUP(A340,'TV Apr Prorated Billing Sites'!$A:$I,1,0)</f>
        <v>#N/A</v>
      </c>
    </row>
    <row r="341" spans="1:12">
      <c r="A341" t="str">
        <f t="shared" si="7"/>
        <v>71048536</v>
      </c>
      <c r="B341" t="s">
        <v>2114</v>
      </c>
      <c r="C341" t="s">
        <v>2115</v>
      </c>
      <c r="D341">
        <v>71048536</v>
      </c>
      <c r="E341">
        <v>2500966</v>
      </c>
      <c r="F341" t="s">
        <v>39</v>
      </c>
      <c r="G341">
        <v>300</v>
      </c>
      <c r="H341" t="str">
        <f>VLOOKUP(A341,'SV Child INS Apr'!$A:$H,1,0)</f>
        <v>71048536</v>
      </c>
      <c r="L341" t="e">
        <f>VLOOKUP(A341,'TV Apr Prorated Billing Sites'!$A:$I,1,0)</f>
        <v>#N/A</v>
      </c>
    </row>
    <row r="342" spans="1:12">
      <c r="A342" t="str">
        <f t="shared" si="7"/>
        <v>71048539</v>
      </c>
      <c r="B342" t="s">
        <v>2116</v>
      </c>
      <c r="C342" t="s">
        <v>2117</v>
      </c>
      <c r="D342">
        <v>71048539</v>
      </c>
      <c r="E342">
        <v>3001338</v>
      </c>
      <c r="F342" t="s">
        <v>39</v>
      </c>
      <c r="G342">
        <v>300</v>
      </c>
      <c r="H342" t="str">
        <f>VLOOKUP(A342,'SV Child INS Apr'!$A:$H,1,0)</f>
        <v>71048539</v>
      </c>
      <c r="L342" t="str">
        <f>VLOOKUP(A342,'TV Apr Prorated Billing Sites'!$A:$I,1,0)</f>
        <v>71048539</v>
      </c>
    </row>
    <row r="343" spans="1:12">
      <c r="A343" t="str">
        <f t="shared" si="7"/>
        <v>71049257</v>
      </c>
      <c r="B343" t="s">
        <v>2118</v>
      </c>
      <c r="C343" t="s">
        <v>2119</v>
      </c>
      <c r="D343">
        <v>71049257</v>
      </c>
      <c r="E343">
        <v>2502438</v>
      </c>
      <c r="F343" t="s">
        <v>39</v>
      </c>
      <c r="G343">
        <v>450</v>
      </c>
      <c r="H343" t="str">
        <f>VLOOKUP(A343,'SV Child INS Apr'!$A:$H,1,0)</f>
        <v>71049257</v>
      </c>
      <c r="L343" t="e">
        <f>VLOOKUP(A343,'TV Apr Prorated Billing Sites'!$A:$I,1,0)</f>
        <v>#N/A</v>
      </c>
    </row>
    <row r="344" spans="1:12">
      <c r="A344" t="str">
        <f t="shared" si="7"/>
        <v>71049363</v>
      </c>
      <c r="B344" t="s">
        <v>2120</v>
      </c>
      <c r="C344" t="s">
        <v>2121</v>
      </c>
      <c r="D344">
        <v>71049363</v>
      </c>
      <c r="E344">
        <v>2001710</v>
      </c>
      <c r="F344" t="s">
        <v>39</v>
      </c>
      <c r="G344">
        <v>300</v>
      </c>
      <c r="H344" t="str">
        <f>VLOOKUP(A344,'SV Child INS Apr'!$A:$H,1,0)</f>
        <v>71049363</v>
      </c>
      <c r="L344" t="e">
        <f>VLOOKUP(A344,'TV Apr Prorated Billing Sites'!$A:$I,1,0)</f>
        <v>#N/A</v>
      </c>
    </row>
    <row r="345" spans="1:12">
      <c r="A345" t="str">
        <f t="shared" si="7"/>
        <v>71049755</v>
      </c>
      <c r="B345" t="s">
        <v>2122</v>
      </c>
      <c r="C345" t="s">
        <v>2123</v>
      </c>
      <c r="D345">
        <v>71049755</v>
      </c>
      <c r="E345">
        <v>8078</v>
      </c>
      <c r="F345" t="s">
        <v>39</v>
      </c>
      <c r="G345">
        <v>300</v>
      </c>
      <c r="H345" t="str">
        <f>VLOOKUP(A345,'SV Child INS Apr'!$A:$H,1,0)</f>
        <v>71049755</v>
      </c>
      <c r="L345" t="e">
        <f>VLOOKUP(A345,'TV Apr Prorated Billing Sites'!$A:$I,1,0)</f>
        <v>#N/A</v>
      </c>
    </row>
    <row r="346" spans="1:12">
      <c r="A346" t="str">
        <f t="shared" si="7"/>
        <v>71049784</v>
      </c>
      <c r="B346" t="s">
        <v>2124</v>
      </c>
      <c r="C346" t="s">
        <v>2125</v>
      </c>
      <c r="D346">
        <v>71049784</v>
      </c>
      <c r="E346">
        <v>3000260</v>
      </c>
      <c r="F346" t="s">
        <v>39</v>
      </c>
      <c r="G346">
        <v>300</v>
      </c>
      <c r="H346" t="str">
        <f>VLOOKUP(A346,'SV Child INS Apr'!$A:$H,1,0)</f>
        <v>71049784</v>
      </c>
      <c r="L346" t="e">
        <f>VLOOKUP(A346,'TV Apr Prorated Billing Sites'!$A:$I,1,0)</f>
        <v>#N/A</v>
      </c>
    </row>
    <row r="347" spans="1:12">
      <c r="A347" t="str">
        <f t="shared" si="7"/>
        <v>71049915</v>
      </c>
      <c r="B347" t="s">
        <v>2126</v>
      </c>
      <c r="C347" t="s">
        <v>2127</v>
      </c>
      <c r="D347">
        <v>71049915</v>
      </c>
      <c r="E347">
        <v>2000210</v>
      </c>
      <c r="F347" t="s">
        <v>39</v>
      </c>
      <c r="G347">
        <v>450</v>
      </c>
      <c r="H347" t="str">
        <f>VLOOKUP(A347,'SV Child INS Apr'!$A:$H,1,0)</f>
        <v>71049915</v>
      </c>
      <c r="L347" t="e">
        <f>VLOOKUP(A347,'TV Apr Prorated Billing Sites'!$A:$I,1,0)</f>
        <v>#N/A</v>
      </c>
    </row>
    <row r="348" spans="1:12">
      <c r="A348" t="str">
        <f t="shared" si="7"/>
        <v>71050645</v>
      </c>
      <c r="B348" t="s">
        <v>2128</v>
      </c>
      <c r="C348" t="s">
        <v>2129</v>
      </c>
      <c r="D348">
        <v>71050645</v>
      </c>
      <c r="E348">
        <v>2000148</v>
      </c>
      <c r="F348" t="s">
        <v>39</v>
      </c>
      <c r="G348">
        <v>450</v>
      </c>
      <c r="H348" t="str">
        <f>VLOOKUP(A348,'SV Child INS Apr'!$A:$H,1,0)</f>
        <v>71050645</v>
      </c>
      <c r="L348" t="e">
        <f>VLOOKUP(A348,'TV Apr Prorated Billing Sites'!$A:$I,1,0)</f>
        <v>#N/A</v>
      </c>
    </row>
    <row r="349" spans="1:12">
      <c r="A349" t="str">
        <f t="shared" si="7"/>
        <v>71050665</v>
      </c>
      <c r="B349" t="s">
        <v>2130</v>
      </c>
      <c r="C349" t="s">
        <v>2131</v>
      </c>
      <c r="D349">
        <v>71050665</v>
      </c>
      <c r="E349">
        <v>3000959</v>
      </c>
      <c r="F349" t="s">
        <v>39</v>
      </c>
      <c r="G349">
        <v>300</v>
      </c>
      <c r="H349" t="str">
        <f>VLOOKUP(A349,'SV Child INS Apr'!$A:$H,1,0)</f>
        <v>71050665</v>
      </c>
      <c r="L349" t="e">
        <f>VLOOKUP(A349,'TV Apr Prorated Billing Sites'!$A:$I,1,0)</f>
        <v>#N/A</v>
      </c>
    </row>
    <row r="350" spans="1:12">
      <c r="A350" t="str">
        <f t="shared" si="7"/>
        <v>71050674</v>
      </c>
      <c r="B350" t="s">
        <v>2132</v>
      </c>
      <c r="C350" t="s">
        <v>2133</v>
      </c>
      <c r="D350">
        <v>71050674</v>
      </c>
      <c r="E350">
        <v>2503487</v>
      </c>
      <c r="F350" t="s">
        <v>39</v>
      </c>
      <c r="G350">
        <v>300</v>
      </c>
      <c r="H350" t="str">
        <f>VLOOKUP(A350,'SV Child INS Apr'!$A:$H,1,0)</f>
        <v>71050674</v>
      </c>
      <c r="L350" t="e">
        <f>VLOOKUP(A350,'TV Apr Prorated Billing Sites'!$A:$I,1,0)</f>
        <v>#N/A</v>
      </c>
    </row>
    <row r="351" spans="1:12">
      <c r="A351" t="str">
        <f t="shared" si="7"/>
        <v>71050802</v>
      </c>
      <c r="B351" t="s">
        <v>2134</v>
      </c>
      <c r="C351" t="s">
        <v>2135</v>
      </c>
      <c r="D351">
        <v>71050802</v>
      </c>
      <c r="E351">
        <v>3000551</v>
      </c>
      <c r="F351" t="s">
        <v>39</v>
      </c>
      <c r="G351">
        <v>300</v>
      </c>
      <c r="H351" t="str">
        <f>VLOOKUP(A351,'SV Child INS Apr'!$A:$H,1,0)</f>
        <v>71050802</v>
      </c>
      <c r="L351" t="e">
        <f>VLOOKUP(A351,'TV Apr Prorated Billing Sites'!$A:$I,1,0)</f>
        <v>#N/A</v>
      </c>
    </row>
    <row r="352" spans="1:12">
      <c r="A352" t="str">
        <f t="shared" si="7"/>
        <v>71051066</v>
      </c>
      <c r="B352" t="s">
        <v>2136</v>
      </c>
      <c r="C352" t="s">
        <v>2137</v>
      </c>
      <c r="D352">
        <v>71051066</v>
      </c>
      <c r="E352">
        <v>2502631</v>
      </c>
      <c r="F352" t="s">
        <v>39</v>
      </c>
      <c r="G352">
        <v>450</v>
      </c>
      <c r="H352" t="str">
        <f>VLOOKUP(A352,'SV Child INS Apr'!$A:$H,1,0)</f>
        <v>71051066</v>
      </c>
      <c r="L352" t="e">
        <f>VLOOKUP(A352,'TV Apr Prorated Billing Sites'!$A:$I,1,0)</f>
        <v>#N/A</v>
      </c>
    </row>
    <row r="353" spans="1:13">
      <c r="A353" t="str">
        <f t="shared" si="7"/>
        <v>71051219</v>
      </c>
      <c r="B353" t="s">
        <v>2138</v>
      </c>
      <c r="C353" t="s">
        <v>2139</v>
      </c>
      <c r="D353">
        <v>71051219</v>
      </c>
      <c r="E353">
        <v>2003139</v>
      </c>
      <c r="F353" t="s">
        <v>39</v>
      </c>
      <c r="G353">
        <v>300</v>
      </c>
      <c r="H353" t="str">
        <f>VLOOKUP(A353,'SV Child INS Apr'!$A:$H,1,0)</f>
        <v>71051219</v>
      </c>
      <c r="L353" t="e">
        <f>VLOOKUP(A353,'TV Apr Prorated Billing Sites'!$A:$I,1,0)</f>
        <v>#N/A</v>
      </c>
    </row>
    <row r="354" spans="1:13">
      <c r="A354" t="str">
        <f t="shared" si="7"/>
        <v>71051646</v>
      </c>
      <c r="B354" t="s">
        <v>2140</v>
      </c>
      <c r="C354" t="s">
        <v>2141</v>
      </c>
      <c r="D354">
        <v>71051646</v>
      </c>
      <c r="E354">
        <v>2502437</v>
      </c>
      <c r="F354" t="s">
        <v>39</v>
      </c>
      <c r="G354">
        <v>300</v>
      </c>
      <c r="H354" t="str">
        <f>VLOOKUP(A354,'SV Child INS Apr'!$A:$H,1,0)</f>
        <v>71051646</v>
      </c>
      <c r="L354" t="e">
        <f>VLOOKUP(A354,'TV Apr Prorated Billing Sites'!$A:$I,1,0)</f>
        <v>#N/A</v>
      </c>
    </row>
    <row r="355" spans="1:13">
      <c r="A355" t="str">
        <f t="shared" si="7"/>
        <v>71052261</v>
      </c>
      <c r="B355" t="s">
        <v>443</v>
      </c>
      <c r="C355" t="s">
        <v>444</v>
      </c>
      <c r="D355">
        <v>71052261</v>
      </c>
      <c r="E355">
        <v>3002167</v>
      </c>
      <c r="F355" t="s">
        <v>39</v>
      </c>
      <c r="G355">
        <v>300</v>
      </c>
      <c r="H355" t="e">
        <f>VLOOKUP(A355,'SV Child INS Apr'!$A:$H,1,0)</f>
        <v>#N/A</v>
      </c>
      <c r="I355" t="e">
        <f>VLOOKUP(B355,'SV Child INS Apr'!$D:$F,1,0)</f>
        <v>#N/A</v>
      </c>
      <c r="J355" t="str">
        <f>VLOOKUP(A355,'SV Child BLG Apr'!$A:$J,1,0)</f>
        <v>71052261</v>
      </c>
      <c r="L355" t="e">
        <f>VLOOKUP(A355,'TV Apr Prorated Billing Sites'!$A:$I,1,0)</f>
        <v>#N/A</v>
      </c>
      <c r="M355" t="e">
        <f>VLOOKUP(A355,'CDK asked to retain list'!$H$1:$J$24,1,0)</f>
        <v>#N/A</v>
      </c>
    </row>
    <row r="356" spans="1:13">
      <c r="A356" t="str">
        <f t="shared" si="7"/>
        <v>71052266</v>
      </c>
      <c r="B356" t="s">
        <v>2142</v>
      </c>
      <c r="C356" t="s">
        <v>2143</v>
      </c>
      <c r="D356">
        <v>71052266</v>
      </c>
      <c r="E356">
        <v>2503552</v>
      </c>
      <c r="F356" t="s">
        <v>39</v>
      </c>
      <c r="G356">
        <v>300</v>
      </c>
      <c r="H356" t="str">
        <f>VLOOKUP(A356,'SV Child INS Apr'!$A:$H,1,0)</f>
        <v>71052266</v>
      </c>
      <c r="L356" t="str">
        <f>VLOOKUP(A356,'TV Apr Prorated Billing Sites'!$A:$I,1,0)</f>
        <v>71052266</v>
      </c>
    </row>
    <row r="357" spans="1:13">
      <c r="A357" t="str">
        <f t="shared" si="7"/>
        <v>71052415</v>
      </c>
      <c r="B357" t="s">
        <v>2144</v>
      </c>
      <c r="C357" t="s">
        <v>2145</v>
      </c>
      <c r="D357">
        <v>71052415</v>
      </c>
      <c r="E357">
        <v>2000858</v>
      </c>
      <c r="F357" t="s">
        <v>39</v>
      </c>
      <c r="G357">
        <v>400</v>
      </c>
      <c r="H357" t="str">
        <f>VLOOKUP(A357,'SV Child INS Apr'!$A:$H,1,0)</f>
        <v>71052415</v>
      </c>
      <c r="L357" t="e">
        <f>VLOOKUP(A357,'TV Apr Prorated Billing Sites'!$A:$I,1,0)</f>
        <v>#N/A</v>
      </c>
    </row>
    <row r="358" spans="1:13">
      <c r="A358" t="str">
        <f t="shared" si="7"/>
        <v>71052990</v>
      </c>
      <c r="B358" t="s">
        <v>2146</v>
      </c>
      <c r="C358" t="s">
        <v>2147</v>
      </c>
      <c r="D358">
        <v>71052990</v>
      </c>
      <c r="E358">
        <v>143170</v>
      </c>
      <c r="F358" t="s">
        <v>39</v>
      </c>
      <c r="G358">
        <v>300</v>
      </c>
      <c r="H358" t="str">
        <f>VLOOKUP(A358,'SV Child INS Apr'!$A:$H,1,0)</f>
        <v>71052990</v>
      </c>
      <c r="L358" t="e">
        <f>VLOOKUP(A358,'TV Apr Prorated Billing Sites'!$A:$I,1,0)</f>
        <v>#N/A</v>
      </c>
    </row>
    <row r="359" spans="1:13">
      <c r="A359" t="str">
        <f t="shared" si="7"/>
        <v>71053065</v>
      </c>
      <c r="B359" t="s">
        <v>2148</v>
      </c>
      <c r="C359" t="s">
        <v>2149</v>
      </c>
      <c r="D359">
        <v>71053065</v>
      </c>
      <c r="E359">
        <v>3000726</v>
      </c>
      <c r="F359" t="s">
        <v>39</v>
      </c>
      <c r="G359">
        <v>300</v>
      </c>
      <c r="H359" t="str">
        <f>VLOOKUP(A359,'SV Child INS Apr'!$A:$H,1,0)</f>
        <v>71053065</v>
      </c>
      <c r="L359" t="e">
        <f>VLOOKUP(A359,'TV Apr Prorated Billing Sites'!$A:$I,1,0)</f>
        <v>#N/A</v>
      </c>
    </row>
    <row r="360" spans="1:13">
      <c r="A360" t="str">
        <f t="shared" si="7"/>
        <v>71053412</v>
      </c>
      <c r="B360" t="s">
        <v>2150</v>
      </c>
      <c r="C360" t="s">
        <v>2151</v>
      </c>
      <c r="D360">
        <v>71053412</v>
      </c>
      <c r="E360">
        <v>2500913</v>
      </c>
      <c r="F360" t="s">
        <v>39</v>
      </c>
      <c r="G360">
        <v>450</v>
      </c>
      <c r="H360" t="str">
        <f>VLOOKUP(A360,'SV Child INS Apr'!$A:$H,1,0)</f>
        <v>71053412</v>
      </c>
      <c r="L360" t="e">
        <f>VLOOKUP(A360,'TV Apr Prorated Billing Sites'!$A:$I,1,0)</f>
        <v>#N/A</v>
      </c>
    </row>
    <row r="361" spans="1:13">
      <c r="A361" t="str">
        <f t="shared" ref="A361:A424" si="8">TRIM(D361)</f>
        <v>71053433</v>
      </c>
      <c r="B361" t="s">
        <v>2152</v>
      </c>
      <c r="C361" t="s">
        <v>2153</v>
      </c>
      <c r="D361">
        <v>71053433</v>
      </c>
      <c r="E361">
        <v>2001968</v>
      </c>
      <c r="F361" t="s">
        <v>39</v>
      </c>
      <c r="G361">
        <v>450</v>
      </c>
      <c r="H361" t="str">
        <f>VLOOKUP(A361,'SV Child INS Apr'!$A:$H,1,0)</f>
        <v>71053433</v>
      </c>
      <c r="L361" t="e">
        <f>VLOOKUP(A361,'TV Apr Prorated Billing Sites'!$A:$I,1,0)</f>
        <v>#N/A</v>
      </c>
    </row>
    <row r="362" spans="1:13">
      <c r="A362" t="str">
        <f t="shared" si="8"/>
        <v>71053494</v>
      </c>
      <c r="B362" t="s">
        <v>2154</v>
      </c>
      <c r="C362" t="s">
        <v>2155</v>
      </c>
      <c r="D362">
        <v>71053494</v>
      </c>
      <c r="E362">
        <v>2501131</v>
      </c>
      <c r="F362" t="s">
        <v>39</v>
      </c>
      <c r="G362">
        <v>300</v>
      </c>
      <c r="H362" t="str">
        <f>VLOOKUP(A362,'SV Child INS Apr'!$A:$H,1,0)</f>
        <v>71053494</v>
      </c>
      <c r="L362" t="e">
        <f>VLOOKUP(A362,'TV Apr Prorated Billing Sites'!$A:$I,1,0)</f>
        <v>#N/A</v>
      </c>
    </row>
    <row r="363" spans="1:13">
      <c r="A363" t="str">
        <f t="shared" si="8"/>
        <v>71053697</v>
      </c>
      <c r="B363" t="s">
        <v>2156</v>
      </c>
      <c r="C363" t="s">
        <v>2157</v>
      </c>
      <c r="D363">
        <v>71053697</v>
      </c>
      <c r="E363">
        <v>1500223</v>
      </c>
      <c r="F363" t="s">
        <v>39</v>
      </c>
      <c r="G363">
        <v>300</v>
      </c>
      <c r="H363" t="str">
        <f>VLOOKUP(A363,'SV Child INS Apr'!$A:$H,1,0)</f>
        <v>71053697</v>
      </c>
      <c r="L363" t="e">
        <f>VLOOKUP(A363,'TV Apr Prorated Billing Sites'!$A:$I,1,0)</f>
        <v>#N/A</v>
      </c>
    </row>
    <row r="364" spans="1:13">
      <c r="A364" t="str">
        <f t="shared" si="8"/>
        <v>71053767</v>
      </c>
      <c r="B364" t="s">
        <v>2158</v>
      </c>
      <c r="C364" t="s">
        <v>2159</v>
      </c>
      <c r="D364">
        <v>71053767</v>
      </c>
      <c r="E364">
        <v>2503438</v>
      </c>
      <c r="F364" t="s">
        <v>39</v>
      </c>
      <c r="G364">
        <v>300</v>
      </c>
      <c r="H364" t="str">
        <f>VLOOKUP(A364,'SV Child INS Apr'!$A:$H,1,0)</f>
        <v>71053767</v>
      </c>
      <c r="L364" t="e">
        <f>VLOOKUP(A364,'TV Apr Prorated Billing Sites'!$A:$I,1,0)</f>
        <v>#N/A</v>
      </c>
    </row>
    <row r="365" spans="1:13">
      <c r="A365" t="str">
        <f t="shared" si="8"/>
        <v>71053825</v>
      </c>
      <c r="B365" t="s">
        <v>2160</v>
      </c>
      <c r="C365" t="s">
        <v>2161</v>
      </c>
      <c r="D365">
        <v>71053825</v>
      </c>
      <c r="E365">
        <v>2503558</v>
      </c>
      <c r="F365" t="s">
        <v>39</v>
      </c>
      <c r="G365">
        <v>300</v>
      </c>
      <c r="H365" t="str">
        <f>VLOOKUP(A365,'SV Child INS Apr'!$A:$H,1,0)</f>
        <v>71053825</v>
      </c>
      <c r="L365" t="e">
        <f>VLOOKUP(A365,'TV Apr Prorated Billing Sites'!$A:$I,1,0)</f>
        <v>#N/A</v>
      </c>
    </row>
    <row r="366" spans="1:13">
      <c r="A366" t="str">
        <f t="shared" si="8"/>
        <v>71053936</v>
      </c>
      <c r="B366" t="s">
        <v>2162</v>
      </c>
      <c r="C366" t="s">
        <v>2163</v>
      </c>
      <c r="D366">
        <v>71053936</v>
      </c>
      <c r="E366">
        <v>2002663</v>
      </c>
      <c r="F366" t="s">
        <v>39</v>
      </c>
      <c r="G366">
        <v>300</v>
      </c>
      <c r="H366" t="str">
        <f>VLOOKUP(A366,'SV Child INS Apr'!$A:$H,1,0)</f>
        <v>71053936</v>
      </c>
      <c r="L366" t="e">
        <f>VLOOKUP(A366,'TV Apr Prorated Billing Sites'!$A:$I,1,0)</f>
        <v>#N/A</v>
      </c>
    </row>
    <row r="367" spans="1:13">
      <c r="A367" t="str">
        <f t="shared" si="8"/>
        <v>71054359</v>
      </c>
      <c r="B367" t="s">
        <v>2164</v>
      </c>
      <c r="C367" t="s">
        <v>2165</v>
      </c>
      <c r="D367">
        <v>71054359</v>
      </c>
      <c r="E367">
        <v>3000717</v>
      </c>
      <c r="F367" t="s">
        <v>39</v>
      </c>
      <c r="G367">
        <v>300</v>
      </c>
      <c r="H367" t="str">
        <f>VLOOKUP(A367,'SV Child INS Apr'!$A:$H,1,0)</f>
        <v>71054359</v>
      </c>
      <c r="L367" t="e">
        <f>VLOOKUP(A367,'TV Apr Prorated Billing Sites'!$A:$I,1,0)</f>
        <v>#N/A</v>
      </c>
    </row>
    <row r="368" spans="1:13">
      <c r="A368" t="str">
        <f t="shared" si="8"/>
        <v>71054457</v>
      </c>
      <c r="B368" t="s">
        <v>2166</v>
      </c>
      <c r="C368" t="s">
        <v>2167</v>
      </c>
      <c r="D368">
        <v>71054457</v>
      </c>
      <c r="E368">
        <v>3000547</v>
      </c>
      <c r="F368" t="s">
        <v>39</v>
      </c>
      <c r="G368">
        <v>300</v>
      </c>
      <c r="H368" t="str">
        <f>VLOOKUP(A368,'SV Child INS Apr'!$A:$H,1,0)</f>
        <v>71054457</v>
      </c>
      <c r="L368" t="e">
        <f>VLOOKUP(A368,'TV Apr Prorated Billing Sites'!$A:$I,1,0)</f>
        <v>#N/A</v>
      </c>
    </row>
    <row r="369" spans="1:13">
      <c r="A369" t="str">
        <f t="shared" si="8"/>
        <v>71054582</v>
      </c>
      <c r="B369" t="s">
        <v>2168</v>
      </c>
      <c r="C369" t="s">
        <v>2169</v>
      </c>
      <c r="D369">
        <v>71054582</v>
      </c>
      <c r="E369">
        <v>10033</v>
      </c>
      <c r="F369" t="s">
        <v>39</v>
      </c>
      <c r="G369">
        <v>400</v>
      </c>
      <c r="H369" t="str">
        <f>VLOOKUP(A369,'SV Child INS Apr'!$A:$H,1,0)</f>
        <v>71054582</v>
      </c>
      <c r="L369" t="e">
        <f>VLOOKUP(A369,'TV Apr Prorated Billing Sites'!$A:$I,1,0)</f>
        <v>#N/A</v>
      </c>
    </row>
    <row r="370" spans="1:13">
      <c r="A370" t="str">
        <f t="shared" si="8"/>
        <v>71054619</v>
      </c>
      <c r="B370" t="s">
        <v>2170</v>
      </c>
      <c r="C370" t="s">
        <v>2171</v>
      </c>
      <c r="D370">
        <v>71054619</v>
      </c>
      <c r="E370">
        <v>2000808</v>
      </c>
      <c r="F370" t="s">
        <v>39</v>
      </c>
      <c r="G370">
        <v>300</v>
      </c>
      <c r="H370" t="str">
        <f>VLOOKUP(A370,'SV Child INS Apr'!$A:$H,1,0)</f>
        <v>71054619</v>
      </c>
      <c r="L370" t="e">
        <f>VLOOKUP(A370,'TV Apr Prorated Billing Sites'!$A:$I,1,0)</f>
        <v>#N/A</v>
      </c>
    </row>
    <row r="371" spans="1:13">
      <c r="A371" t="str">
        <f t="shared" si="8"/>
        <v>71054998</v>
      </c>
      <c r="B371" t="s">
        <v>2172</v>
      </c>
      <c r="C371" t="s">
        <v>2173</v>
      </c>
      <c r="D371">
        <v>71054998</v>
      </c>
      <c r="E371">
        <v>432</v>
      </c>
      <c r="F371" t="s">
        <v>39</v>
      </c>
      <c r="G371">
        <v>300</v>
      </c>
      <c r="H371" t="str">
        <f>VLOOKUP(A371,'SV Child INS Apr'!$A:$H,1,0)</f>
        <v>71054998</v>
      </c>
      <c r="L371" t="e">
        <f>VLOOKUP(A371,'TV Apr Prorated Billing Sites'!$A:$I,1,0)</f>
        <v>#N/A</v>
      </c>
    </row>
    <row r="372" spans="1:13">
      <c r="A372" t="str">
        <f t="shared" si="8"/>
        <v>71055645</v>
      </c>
      <c r="B372" t="s">
        <v>2174</v>
      </c>
      <c r="C372" t="s">
        <v>2175</v>
      </c>
      <c r="D372">
        <v>71055645</v>
      </c>
      <c r="E372">
        <v>2500658</v>
      </c>
      <c r="F372" t="s">
        <v>39</v>
      </c>
      <c r="G372">
        <v>400</v>
      </c>
      <c r="H372" t="str">
        <f>VLOOKUP(A372,'SV Child INS Apr'!$A:$H,1,0)</f>
        <v>71055645</v>
      </c>
      <c r="L372" t="e">
        <f>VLOOKUP(A372,'TV Apr Prorated Billing Sites'!$A:$I,1,0)</f>
        <v>#N/A</v>
      </c>
    </row>
    <row r="373" spans="1:13">
      <c r="A373" t="str">
        <f t="shared" si="8"/>
        <v>71055681</v>
      </c>
      <c r="B373" t="s">
        <v>2176</v>
      </c>
      <c r="C373" t="s">
        <v>2177</v>
      </c>
      <c r="D373">
        <v>71055681</v>
      </c>
      <c r="E373">
        <v>2503020</v>
      </c>
      <c r="F373" t="s">
        <v>39</v>
      </c>
      <c r="G373">
        <v>300</v>
      </c>
      <c r="H373" t="str">
        <f>VLOOKUP(A373,'SV Child INS Apr'!$A:$H,1,0)</f>
        <v>71055681</v>
      </c>
      <c r="L373" t="e">
        <f>VLOOKUP(A373,'TV Apr Prorated Billing Sites'!$A:$I,1,0)</f>
        <v>#N/A</v>
      </c>
    </row>
    <row r="374" spans="1:13">
      <c r="A374" t="str">
        <f t="shared" si="8"/>
        <v>71055796</v>
      </c>
      <c r="B374" t="s">
        <v>2178</v>
      </c>
      <c r="C374" t="s">
        <v>2179</v>
      </c>
      <c r="D374">
        <v>71055796</v>
      </c>
      <c r="E374">
        <v>2002046</v>
      </c>
      <c r="F374" t="s">
        <v>39</v>
      </c>
      <c r="G374">
        <v>300</v>
      </c>
      <c r="H374" t="str">
        <f>VLOOKUP(A374,'SV Child INS Apr'!$A:$H,1,0)</f>
        <v>71055796</v>
      </c>
      <c r="L374" t="e">
        <f>VLOOKUP(A374,'TV Apr Prorated Billing Sites'!$A:$I,1,0)</f>
        <v>#N/A</v>
      </c>
    </row>
    <row r="375" spans="1:13">
      <c r="A375" t="str">
        <f t="shared" si="8"/>
        <v>71056338</v>
      </c>
      <c r="B375" t="s">
        <v>2180</v>
      </c>
      <c r="C375" t="s">
        <v>2181</v>
      </c>
      <c r="D375">
        <v>71056338</v>
      </c>
      <c r="E375">
        <v>8079</v>
      </c>
      <c r="F375" t="s">
        <v>39</v>
      </c>
      <c r="G375">
        <v>300</v>
      </c>
      <c r="H375" t="str">
        <f>VLOOKUP(A375,'SV Child INS Apr'!$A:$H,1,0)</f>
        <v>71056338</v>
      </c>
      <c r="L375" t="e">
        <f>VLOOKUP(A375,'TV Apr Prorated Billing Sites'!$A:$I,1,0)</f>
        <v>#N/A</v>
      </c>
    </row>
    <row r="376" spans="1:13">
      <c r="A376" t="str">
        <f t="shared" si="8"/>
        <v>71056605</v>
      </c>
      <c r="B376" t="s">
        <v>2182</v>
      </c>
      <c r="C376" t="s">
        <v>2183</v>
      </c>
      <c r="D376">
        <v>71056605</v>
      </c>
      <c r="E376">
        <v>2500632</v>
      </c>
      <c r="F376" t="s">
        <v>39</v>
      </c>
      <c r="G376">
        <v>300</v>
      </c>
      <c r="H376" t="str">
        <f>VLOOKUP(A376,'SV Child INS Apr'!$A:$H,1,0)</f>
        <v>71056605</v>
      </c>
      <c r="L376" t="e">
        <f>VLOOKUP(A376,'TV Apr Prorated Billing Sites'!$A:$I,1,0)</f>
        <v>#N/A</v>
      </c>
    </row>
    <row r="377" spans="1:13">
      <c r="A377" t="str">
        <f t="shared" si="8"/>
        <v>71056819</v>
      </c>
      <c r="B377" t="s">
        <v>2184</v>
      </c>
      <c r="C377" t="s">
        <v>2185</v>
      </c>
      <c r="D377">
        <v>71056819</v>
      </c>
      <c r="E377">
        <v>8081</v>
      </c>
      <c r="F377" t="s">
        <v>39</v>
      </c>
      <c r="G377">
        <v>300</v>
      </c>
      <c r="H377" t="str">
        <f>VLOOKUP(A377,'SV Child INS Apr'!$A:$H,1,0)</f>
        <v>71056819</v>
      </c>
      <c r="L377" t="e">
        <f>VLOOKUP(A377,'TV Apr Prorated Billing Sites'!$A:$I,1,0)</f>
        <v>#N/A</v>
      </c>
    </row>
    <row r="378" spans="1:13">
      <c r="A378" t="str">
        <f t="shared" si="8"/>
        <v>71057319</v>
      </c>
      <c r="B378" t="s">
        <v>2186</v>
      </c>
      <c r="C378" t="s">
        <v>2187</v>
      </c>
      <c r="D378">
        <v>71057319</v>
      </c>
      <c r="E378">
        <v>2503153</v>
      </c>
      <c r="F378" t="s">
        <v>39</v>
      </c>
      <c r="G378">
        <v>300</v>
      </c>
      <c r="H378" t="str">
        <f>VLOOKUP(A378,'SV Child INS Apr'!$A:$H,1,0)</f>
        <v>71057319</v>
      </c>
      <c r="L378" t="e">
        <f>VLOOKUP(A378,'TV Apr Prorated Billing Sites'!$A:$I,1,0)</f>
        <v>#N/A</v>
      </c>
    </row>
    <row r="379" spans="1:13">
      <c r="A379" t="str">
        <f t="shared" si="8"/>
        <v>71057449</v>
      </c>
      <c r="B379" t="s">
        <v>2188</v>
      </c>
      <c r="C379" t="s">
        <v>2189</v>
      </c>
      <c r="D379">
        <v>71057449</v>
      </c>
      <c r="E379">
        <v>2002896</v>
      </c>
      <c r="F379" t="s">
        <v>39</v>
      </c>
      <c r="G379">
        <v>300</v>
      </c>
      <c r="H379" t="str">
        <f>VLOOKUP(A379,'SV Child INS Apr'!$A:$H,1,0)</f>
        <v>71057449</v>
      </c>
      <c r="L379" t="e">
        <f>VLOOKUP(A379,'TV Apr Prorated Billing Sites'!$A:$I,1,0)</f>
        <v>#N/A</v>
      </c>
    </row>
    <row r="380" spans="1:13">
      <c r="A380" t="str">
        <f t="shared" si="8"/>
        <v>71057747</v>
      </c>
      <c r="B380" t="s">
        <v>2190</v>
      </c>
      <c r="C380" t="s">
        <v>2191</v>
      </c>
      <c r="D380">
        <v>71057747</v>
      </c>
      <c r="E380">
        <v>2001353</v>
      </c>
      <c r="F380" t="s">
        <v>39</v>
      </c>
      <c r="G380">
        <v>300</v>
      </c>
      <c r="H380" t="str">
        <f>VLOOKUP(A380,'SV Child INS Apr'!$A:$H,1,0)</f>
        <v>71057747</v>
      </c>
      <c r="L380" t="e">
        <f>VLOOKUP(A380,'TV Apr Prorated Billing Sites'!$A:$I,1,0)</f>
        <v>#N/A</v>
      </c>
    </row>
    <row r="381" spans="1:13">
      <c r="A381" t="str">
        <f t="shared" si="8"/>
        <v>71057754</v>
      </c>
      <c r="B381" t="s">
        <v>2192</v>
      </c>
      <c r="C381" t="s">
        <v>2193</v>
      </c>
      <c r="D381">
        <v>71057754</v>
      </c>
      <c r="E381">
        <v>2503282</v>
      </c>
      <c r="F381" t="s">
        <v>39</v>
      </c>
      <c r="G381">
        <v>300</v>
      </c>
      <c r="H381" t="str">
        <f>VLOOKUP(A381,'SV Child INS Apr'!$A:$H,1,0)</f>
        <v>71057754</v>
      </c>
      <c r="L381" t="e">
        <f>VLOOKUP(A381,'TV Apr Prorated Billing Sites'!$A:$I,1,0)</f>
        <v>#N/A</v>
      </c>
    </row>
    <row r="382" spans="1:13">
      <c r="A382" t="str">
        <f t="shared" si="8"/>
        <v>71057834</v>
      </c>
      <c r="B382" t="s">
        <v>2194</v>
      </c>
      <c r="C382" t="s">
        <v>2195</v>
      </c>
      <c r="D382">
        <v>71057834</v>
      </c>
      <c r="E382">
        <v>10126</v>
      </c>
      <c r="F382" t="s">
        <v>39</v>
      </c>
      <c r="G382">
        <v>300</v>
      </c>
      <c r="H382" t="str">
        <f>VLOOKUP(A382,'SV Child INS Apr'!$A:$H,1,0)</f>
        <v>71057834</v>
      </c>
      <c r="L382" t="e">
        <f>VLOOKUP(A382,'TV Apr Prorated Billing Sites'!$A:$I,1,0)</f>
        <v>#N/A</v>
      </c>
    </row>
    <row r="383" spans="1:13">
      <c r="A383" t="str">
        <f t="shared" si="8"/>
        <v>71058782</v>
      </c>
      <c r="B383" t="s">
        <v>2196</v>
      </c>
      <c r="C383" t="s">
        <v>2197</v>
      </c>
      <c r="D383">
        <v>71058782</v>
      </c>
      <c r="E383">
        <v>496</v>
      </c>
      <c r="F383" t="s">
        <v>39</v>
      </c>
      <c r="G383">
        <v>450</v>
      </c>
      <c r="H383" t="str">
        <f>VLOOKUP(A383,'SV Child INS Apr'!$A:$H,1,0)</f>
        <v>71058782</v>
      </c>
      <c r="L383" t="e">
        <f>VLOOKUP(A383,'TV Apr Prorated Billing Sites'!$A:$I,1,0)</f>
        <v>#N/A</v>
      </c>
    </row>
    <row r="384" spans="1:13">
      <c r="A384" t="str">
        <f t="shared" si="8"/>
        <v>71059338</v>
      </c>
      <c r="B384" t="s">
        <v>446</v>
      </c>
      <c r="C384" t="s">
        <v>447</v>
      </c>
      <c r="D384">
        <v>71059338</v>
      </c>
      <c r="E384">
        <v>2001096</v>
      </c>
      <c r="F384" t="s">
        <v>39</v>
      </c>
      <c r="G384">
        <v>300</v>
      </c>
      <c r="H384" t="e">
        <f>VLOOKUP(A384,'SV Child INS Apr'!$A:$H,1,0)</f>
        <v>#N/A</v>
      </c>
      <c r="I384" t="e">
        <f>VLOOKUP(B384,'SV Child INS Apr'!$D:$F,1,0)</f>
        <v>#N/A</v>
      </c>
      <c r="J384" t="str">
        <f>VLOOKUP(A384,'SV Child BLG Apr'!$A:$J,1,0)</f>
        <v>71059338</v>
      </c>
      <c r="L384" t="e">
        <f>VLOOKUP(A384,'TV Apr Prorated Billing Sites'!$A:$I,1,0)</f>
        <v>#N/A</v>
      </c>
      <c r="M384" t="e">
        <f>VLOOKUP(A384,'CDK asked to retain list'!$H$1:$J$24,1,0)</f>
        <v>#N/A</v>
      </c>
    </row>
    <row r="385" spans="1:13">
      <c r="A385" t="str">
        <f t="shared" si="8"/>
        <v>71059414</v>
      </c>
      <c r="B385" t="s">
        <v>2198</v>
      </c>
      <c r="C385" t="s">
        <v>2199</v>
      </c>
      <c r="D385">
        <v>71059414</v>
      </c>
      <c r="E385">
        <v>2501721</v>
      </c>
      <c r="F385" t="s">
        <v>39</v>
      </c>
      <c r="G385">
        <v>300</v>
      </c>
      <c r="H385" t="str">
        <f>VLOOKUP(A385,'SV Child INS Apr'!$A:$H,1,0)</f>
        <v>71059414</v>
      </c>
      <c r="L385" t="e">
        <f>VLOOKUP(A385,'TV Apr Prorated Billing Sites'!$A:$I,1,0)</f>
        <v>#N/A</v>
      </c>
    </row>
    <row r="386" spans="1:13">
      <c r="A386" t="str">
        <f t="shared" si="8"/>
        <v>71059593</v>
      </c>
      <c r="B386" t="s">
        <v>2200</v>
      </c>
      <c r="C386" t="s">
        <v>2201</v>
      </c>
      <c r="D386">
        <v>71059593</v>
      </c>
      <c r="E386">
        <v>2002511</v>
      </c>
      <c r="F386" t="s">
        <v>39</v>
      </c>
      <c r="G386">
        <v>400</v>
      </c>
      <c r="H386" t="str">
        <f>VLOOKUP(A386,'SV Child INS Apr'!$A:$H,1,0)</f>
        <v>71059593</v>
      </c>
      <c r="L386" t="e">
        <f>VLOOKUP(A386,'TV Apr Prorated Billing Sites'!$A:$I,1,0)</f>
        <v>#N/A</v>
      </c>
    </row>
    <row r="387" spans="1:13">
      <c r="A387" t="str">
        <f t="shared" si="8"/>
        <v>71059955</v>
      </c>
      <c r="B387" t="s">
        <v>2202</v>
      </c>
      <c r="C387" t="s">
        <v>2203</v>
      </c>
      <c r="D387">
        <v>71059955</v>
      </c>
      <c r="E387">
        <v>2501134</v>
      </c>
      <c r="F387" t="s">
        <v>39</v>
      </c>
      <c r="G387">
        <v>300</v>
      </c>
      <c r="H387" t="str">
        <f>VLOOKUP(A387,'SV Child INS Apr'!$A:$H,1,0)</f>
        <v>71059955</v>
      </c>
      <c r="L387" t="e">
        <f>VLOOKUP(A387,'TV Apr Prorated Billing Sites'!$A:$I,1,0)</f>
        <v>#N/A</v>
      </c>
    </row>
    <row r="388" spans="1:13">
      <c r="A388" t="str">
        <f t="shared" si="8"/>
        <v>71060845</v>
      </c>
      <c r="B388" t="s">
        <v>2204</v>
      </c>
      <c r="C388" t="s">
        <v>2205</v>
      </c>
      <c r="D388">
        <v>71060845</v>
      </c>
      <c r="E388">
        <v>8062</v>
      </c>
      <c r="F388" t="s">
        <v>39</v>
      </c>
      <c r="G388">
        <v>300</v>
      </c>
      <c r="H388" t="str">
        <f>VLOOKUP(A388,'SV Child INS Apr'!$A:$H,1,0)</f>
        <v>71060845</v>
      </c>
      <c r="L388" t="e">
        <f>VLOOKUP(A388,'TV Apr Prorated Billing Sites'!$A:$I,1,0)</f>
        <v>#N/A</v>
      </c>
    </row>
    <row r="389" spans="1:13">
      <c r="A389" t="str">
        <f t="shared" si="8"/>
        <v>71061176</v>
      </c>
      <c r="B389" t="s">
        <v>2206</v>
      </c>
      <c r="C389" t="s">
        <v>2207</v>
      </c>
      <c r="D389">
        <v>71061176</v>
      </c>
      <c r="E389">
        <v>2000519</v>
      </c>
      <c r="F389" t="s">
        <v>39</v>
      </c>
      <c r="G389">
        <v>450</v>
      </c>
      <c r="H389" t="str">
        <f>VLOOKUP(A389,'SV Child INS Apr'!$A:$H,1,0)</f>
        <v>71061176</v>
      </c>
      <c r="L389" t="e">
        <f>VLOOKUP(A389,'TV Apr Prorated Billing Sites'!$A:$I,1,0)</f>
        <v>#N/A</v>
      </c>
    </row>
    <row r="390" spans="1:13">
      <c r="A390" t="str">
        <f t="shared" si="8"/>
        <v>71061176</v>
      </c>
      <c r="B390" t="s">
        <v>2208</v>
      </c>
      <c r="C390" t="s">
        <v>2209</v>
      </c>
      <c r="D390">
        <v>71061176</v>
      </c>
      <c r="E390">
        <v>2000215</v>
      </c>
      <c r="F390" t="s">
        <v>39</v>
      </c>
      <c r="G390">
        <v>450</v>
      </c>
      <c r="H390" t="str">
        <f>VLOOKUP(A390,'SV Child INS Apr'!$A:$H,1,0)</f>
        <v>71061176</v>
      </c>
      <c r="L390" t="e">
        <f>VLOOKUP(A390,'TV Apr Prorated Billing Sites'!$A:$I,1,0)</f>
        <v>#N/A</v>
      </c>
    </row>
    <row r="391" spans="1:13">
      <c r="A391" t="str">
        <f t="shared" si="8"/>
        <v>71061428</v>
      </c>
      <c r="B391" t="s">
        <v>2210</v>
      </c>
      <c r="C391" t="s">
        <v>2211</v>
      </c>
      <c r="D391">
        <v>71061428</v>
      </c>
      <c r="E391">
        <v>2500168</v>
      </c>
      <c r="F391" t="s">
        <v>39</v>
      </c>
      <c r="G391">
        <v>300</v>
      </c>
      <c r="H391" t="str">
        <f>VLOOKUP(A391,'SV Child INS Apr'!$A:$H,1,0)</f>
        <v>71061428</v>
      </c>
      <c r="L391" t="e">
        <f>VLOOKUP(A391,'TV Apr Prorated Billing Sites'!$A:$I,1,0)</f>
        <v>#N/A</v>
      </c>
    </row>
    <row r="392" spans="1:13">
      <c r="A392" t="str">
        <f t="shared" si="8"/>
        <v>71061453</v>
      </c>
      <c r="B392" t="s">
        <v>449</v>
      </c>
      <c r="C392" t="s">
        <v>450</v>
      </c>
      <c r="D392">
        <v>71061453</v>
      </c>
      <c r="E392">
        <v>3002947</v>
      </c>
      <c r="F392" t="s">
        <v>39</v>
      </c>
      <c r="G392">
        <v>300</v>
      </c>
      <c r="H392" t="e">
        <f>VLOOKUP(A392,'SV Child INS Apr'!$A:$H,1,0)</f>
        <v>#N/A</v>
      </c>
      <c r="I392" t="e">
        <f>VLOOKUP(B392,'SV Child INS Apr'!$D:$F,1,0)</f>
        <v>#N/A</v>
      </c>
      <c r="J392" t="str">
        <f>VLOOKUP(A392,'SV Child BLG Apr'!$A:$J,1,0)</f>
        <v>71061453</v>
      </c>
      <c r="L392" t="str">
        <f>VLOOKUP(A392,'TV Apr Prorated Billing Sites'!$A:$I,1,0)</f>
        <v>71061453</v>
      </c>
      <c r="M392" t="e">
        <f>VLOOKUP(A392,'CDK asked to retain list'!$H$1:$J$24,1,0)</f>
        <v>#N/A</v>
      </c>
    </row>
    <row r="393" spans="1:13">
      <c r="A393" t="str">
        <f t="shared" si="8"/>
        <v>71061677</v>
      </c>
      <c r="B393" t="s">
        <v>2212</v>
      </c>
      <c r="C393" t="s">
        <v>2213</v>
      </c>
      <c r="D393">
        <v>71061677</v>
      </c>
      <c r="E393">
        <v>2700017</v>
      </c>
      <c r="F393" t="s">
        <v>39</v>
      </c>
      <c r="G393">
        <v>300</v>
      </c>
      <c r="H393" t="str">
        <f>VLOOKUP(A393,'SV Child INS Apr'!$A:$H,1,0)</f>
        <v>71061677</v>
      </c>
      <c r="L393" t="e">
        <f>VLOOKUP(A393,'TV Apr Prorated Billing Sites'!$A:$I,1,0)</f>
        <v>#N/A</v>
      </c>
    </row>
    <row r="394" spans="1:13">
      <c r="A394" t="str">
        <f t="shared" si="8"/>
        <v>71061708</v>
      </c>
      <c r="B394" t="s">
        <v>2214</v>
      </c>
      <c r="C394" t="s">
        <v>2215</v>
      </c>
      <c r="D394">
        <v>71061708</v>
      </c>
      <c r="E394">
        <v>2500648</v>
      </c>
      <c r="F394" t="s">
        <v>39</v>
      </c>
      <c r="G394">
        <v>300</v>
      </c>
      <c r="H394" t="str">
        <f>VLOOKUP(A394,'SV Child INS Apr'!$A:$H,1,0)</f>
        <v>71061708</v>
      </c>
      <c r="L394" t="e">
        <f>VLOOKUP(A394,'TV Apr Prorated Billing Sites'!$A:$I,1,0)</f>
        <v>#N/A</v>
      </c>
    </row>
    <row r="395" spans="1:13">
      <c r="A395" t="str">
        <f t="shared" si="8"/>
        <v>71061908</v>
      </c>
      <c r="B395" t="s">
        <v>2216</v>
      </c>
      <c r="C395" t="s">
        <v>2217</v>
      </c>
      <c r="D395">
        <v>71061908</v>
      </c>
      <c r="E395">
        <v>2001588</v>
      </c>
      <c r="F395" t="s">
        <v>39</v>
      </c>
      <c r="G395">
        <v>300</v>
      </c>
      <c r="H395" t="str">
        <f>VLOOKUP(A395,'SV Child INS Apr'!$A:$H,1,0)</f>
        <v>71061908</v>
      </c>
      <c r="L395" t="e">
        <f>VLOOKUP(A395,'TV Apr Prorated Billing Sites'!$A:$I,1,0)</f>
        <v>#N/A</v>
      </c>
    </row>
    <row r="396" spans="1:13">
      <c r="A396" t="str">
        <f t="shared" si="8"/>
        <v>71062428</v>
      </c>
      <c r="B396" t="s">
        <v>62</v>
      </c>
      <c r="C396" t="s">
        <v>63</v>
      </c>
      <c r="D396">
        <v>71062428</v>
      </c>
      <c r="E396">
        <v>2503087</v>
      </c>
      <c r="F396" t="s">
        <v>39</v>
      </c>
      <c r="G396">
        <v>300</v>
      </c>
      <c r="H396" t="e">
        <f>VLOOKUP(A396,'SV Child INS Apr'!$A:$H,1,0)</f>
        <v>#N/A</v>
      </c>
      <c r="I396" t="e">
        <f>VLOOKUP(B396,'SV Child INS Apr'!$D:$F,1,0)</f>
        <v>#N/A</v>
      </c>
      <c r="J396" t="e">
        <f>VLOOKUP(A396,'SV Child BLG Apr'!$A:$J,1,0)</f>
        <v>#N/A</v>
      </c>
      <c r="K396" t="e">
        <f>VLOOKUP(B396,'SV Child BLG Apr'!$D:$I,1,0)</f>
        <v>#N/A</v>
      </c>
      <c r="L396" t="e">
        <f>VLOOKUP(A396,'TV Apr Prorated Billing Sites'!$A:$I,1,0)</f>
        <v>#N/A</v>
      </c>
    </row>
    <row r="397" spans="1:13">
      <c r="A397" t="str">
        <f t="shared" si="8"/>
        <v>71062452</v>
      </c>
      <c r="B397" t="s">
        <v>2218</v>
      </c>
      <c r="C397" t="s">
        <v>2219</v>
      </c>
      <c r="D397">
        <v>71062452</v>
      </c>
      <c r="E397">
        <v>2000273</v>
      </c>
      <c r="F397" t="s">
        <v>39</v>
      </c>
      <c r="G397">
        <v>400</v>
      </c>
      <c r="H397" t="str">
        <f>VLOOKUP(A397,'SV Child INS Apr'!$A:$H,1,0)</f>
        <v>71062452</v>
      </c>
      <c r="L397" t="e">
        <f>VLOOKUP(A397,'TV Apr Prorated Billing Sites'!$A:$I,1,0)</f>
        <v>#N/A</v>
      </c>
    </row>
    <row r="398" spans="1:13">
      <c r="A398" t="str">
        <f t="shared" si="8"/>
        <v>71062899</v>
      </c>
      <c r="B398" t="s">
        <v>2220</v>
      </c>
      <c r="C398" t="s">
        <v>2221</v>
      </c>
      <c r="D398">
        <v>71062899</v>
      </c>
      <c r="E398">
        <v>2001398</v>
      </c>
      <c r="F398" t="s">
        <v>39</v>
      </c>
      <c r="G398">
        <v>300</v>
      </c>
      <c r="H398" t="str">
        <f>VLOOKUP(A398,'SV Child INS Apr'!$A:$H,1,0)</f>
        <v>71062899</v>
      </c>
      <c r="L398" t="e">
        <f>VLOOKUP(A398,'TV Apr Prorated Billing Sites'!$A:$I,1,0)</f>
        <v>#N/A</v>
      </c>
    </row>
    <row r="399" spans="1:13">
      <c r="A399" t="str">
        <f t="shared" si="8"/>
        <v>71062937</v>
      </c>
      <c r="B399" t="s">
        <v>2222</v>
      </c>
      <c r="C399" t="s">
        <v>2223</v>
      </c>
      <c r="D399">
        <v>71062937</v>
      </c>
      <c r="E399">
        <v>2002198</v>
      </c>
      <c r="F399" t="s">
        <v>39</v>
      </c>
      <c r="G399">
        <v>300</v>
      </c>
      <c r="H399" t="str">
        <f>VLOOKUP(A399,'SV Child INS Apr'!$A:$H,1,0)</f>
        <v>71062937</v>
      </c>
      <c r="L399" t="e">
        <f>VLOOKUP(A399,'TV Apr Prorated Billing Sites'!$A:$I,1,0)</f>
        <v>#N/A</v>
      </c>
    </row>
    <row r="400" spans="1:13">
      <c r="A400" t="str">
        <f t="shared" si="8"/>
        <v>71063149</v>
      </c>
      <c r="B400" t="s">
        <v>2224</v>
      </c>
      <c r="C400" t="s">
        <v>2225</v>
      </c>
      <c r="D400">
        <v>71063149</v>
      </c>
      <c r="E400">
        <v>2000877</v>
      </c>
      <c r="F400" t="s">
        <v>39</v>
      </c>
      <c r="G400">
        <v>450</v>
      </c>
      <c r="H400" t="str">
        <f>VLOOKUP(A400,'SV Child INS Apr'!$A:$H,1,0)</f>
        <v>71063149</v>
      </c>
      <c r="L400" t="e">
        <f>VLOOKUP(A400,'TV Apr Prorated Billing Sites'!$A:$I,1,0)</f>
        <v>#N/A</v>
      </c>
    </row>
    <row r="401" spans="1:13">
      <c r="A401" t="str">
        <f t="shared" si="8"/>
        <v>71063347</v>
      </c>
      <c r="B401" t="s">
        <v>2226</v>
      </c>
      <c r="C401" t="s">
        <v>2227</v>
      </c>
      <c r="D401">
        <v>71063347</v>
      </c>
      <c r="E401">
        <v>0</v>
      </c>
      <c r="F401" t="s">
        <v>39</v>
      </c>
      <c r="G401">
        <v>450</v>
      </c>
      <c r="H401" t="str">
        <f>VLOOKUP(A401,'SV Child INS Apr'!$A:$H,1,0)</f>
        <v>71063347</v>
      </c>
      <c r="L401" t="e">
        <f>VLOOKUP(A401,'TV Apr Prorated Billing Sites'!$A:$I,1,0)</f>
        <v>#N/A</v>
      </c>
    </row>
    <row r="402" spans="1:13">
      <c r="A402" t="str">
        <f t="shared" si="8"/>
        <v>71063350</v>
      </c>
      <c r="B402" t="s">
        <v>2228</v>
      </c>
      <c r="C402" t="s">
        <v>2229</v>
      </c>
      <c r="D402">
        <v>71063350</v>
      </c>
      <c r="E402">
        <v>2500537</v>
      </c>
      <c r="F402" t="s">
        <v>39</v>
      </c>
      <c r="G402">
        <v>300</v>
      </c>
      <c r="H402" t="str">
        <f>VLOOKUP(A402,'SV Child INS Apr'!$A:$H,1,0)</f>
        <v>71063350</v>
      </c>
      <c r="L402" t="e">
        <f>VLOOKUP(A402,'TV Apr Prorated Billing Sites'!$A:$I,1,0)</f>
        <v>#N/A</v>
      </c>
    </row>
    <row r="403" spans="1:13">
      <c r="A403" t="str">
        <f t="shared" si="8"/>
        <v>71063396</v>
      </c>
      <c r="B403" t="s">
        <v>2230</v>
      </c>
      <c r="C403" t="s">
        <v>2231</v>
      </c>
      <c r="D403">
        <v>71063396</v>
      </c>
      <c r="E403">
        <v>2503238</v>
      </c>
      <c r="F403" t="s">
        <v>39</v>
      </c>
      <c r="G403">
        <v>300</v>
      </c>
      <c r="H403" t="str">
        <f>VLOOKUP(A403,'SV Child INS Apr'!$A:$H,1,0)</f>
        <v>71063396</v>
      </c>
      <c r="L403" t="e">
        <f>VLOOKUP(A403,'TV Apr Prorated Billing Sites'!$A:$I,1,0)</f>
        <v>#N/A</v>
      </c>
    </row>
    <row r="404" spans="1:13">
      <c r="A404" t="str">
        <f t="shared" si="8"/>
        <v>71063556</v>
      </c>
      <c r="B404" t="s">
        <v>2232</v>
      </c>
      <c r="C404" t="s">
        <v>2233</v>
      </c>
      <c r="D404">
        <v>71063556</v>
      </c>
      <c r="E404">
        <v>3002308</v>
      </c>
      <c r="F404" t="s">
        <v>39</v>
      </c>
      <c r="G404">
        <v>400</v>
      </c>
      <c r="H404" t="str">
        <f>VLOOKUP(A404,'SV Child INS Apr'!$A:$H,1,0)</f>
        <v>71063556</v>
      </c>
      <c r="L404" t="e">
        <f>VLOOKUP(A404,'TV Apr Prorated Billing Sites'!$A:$I,1,0)</f>
        <v>#N/A</v>
      </c>
    </row>
    <row r="405" spans="1:13">
      <c r="A405" t="str">
        <f t="shared" si="8"/>
        <v>71063998</v>
      </c>
      <c r="B405" t="s">
        <v>2234</v>
      </c>
      <c r="C405" t="s">
        <v>2235</v>
      </c>
      <c r="D405">
        <v>71063998</v>
      </c>
      <c r="E405">
        <v>2500353</v>
      </c>
      <c r="F405" t="s">
        <v>39</v>
      </c>
      <c r="G405">
        <v>300</v>
      </c>
      <c r="H405" t="str">
        <f>VLOOKUP(A405,'SV Child INS Apr'!$A:$H,1,0)</f>
        <v>71063998</v>
      </c>
      <c r="L405" t="e">
        <f>VLOOKUP(A405,'TV Apr Prorated Billing Sites'!$A:$I,1,0)</f>
        <v>#N/A</v>
      </c>
    </row>
    <row r="406" spans="1:13">
      <c r="A406" t="str">
        <f t="shared" si="8"/>
        <v>71064116</v>
      </c>
      <c r="B406" t="s">
        <v>452</v>
      </c>
      <c r="C406" t="s">
        <v>453</v>
      </c>
      <c r="D406">
        <v>71064116</v>
      </c>
      <c r="E406">
        <v>8076</v>
      </c>
      <c r="F406" t="s">
        <v>39</v>
      </c>
      <c r="G406">
        <v>300</v>
      </c>
      <c r="H406" t="e">
        <f>VLOOKUP(A406,'SV Child INS Apr'!$A:$H,1,0)</f>
        <v>#N/A</v>
      </c>
      <c r="I406" t="e">
        <f>VLOOKUP(B406,'SV Child INS Apr'!$D:$F,1,0)</f>
        <v>#N/A</v>
      </c>
      <c r="J406" t="str">
        <f>VLOOKUP(A406,'SV Child BLG Apr'!$A:$J,1,0)</f>
        <v>71064116</v>
      </c>
      <c r="L406" t="e">
        <f>VLOOKUP(A406,'TV Apr Prorated Billing Sites'!$A:$I,1,0)</f>
        <v>#N/A</v>
      </c>
      <c r="M406" t="e">
        <f>VLOOKUP(A406,'CDK asked to retain list'!$H$1:$J$24,1,0)</f>
        <v>#N/A</v>
      </c>
    </row>
    <row r="407" spans="1:13">
      <c r="A407" t="str">
        <f t="shared" si="8"/>
        <v>71064158</v>
      </c>
      <c r="B407" t="s">
        <v>455</v>
      </c>
      <c r="C407" t="s">
        <v>456</v>
      </c>
      <c r="D407">
        <v>71064158</v>
      </c>
      <c r="E407">
        <v>2501853</v>
      </c>
      <c r="F407" t="s">
        <v>39</v>
      </c>
      <c r="G407">
        <v>300</v>
      </c>
      <c r="H407" t="e">
        <f>VLOOKUP(A407,'SV Child INS Apr'!$A:$H,1,0)</f>
        <v>#N/A</v>
      </c>
      <c r="I407" t="e">
        <f>VLOOKUP(B407,'SV Child INS Apr'!$D:$F,1,0)</f>
        <v>#N/A</v>
      </c>
      <c r="J407" t="str">
        <f>VLOOKUP(A407,'SV Child BLG Apr'!$A:$J,1,0)</f>
        <v>71064158</v>
      </c>
      <c r="L407" t="e">
        <f>VLOOKUP(A407,'TV Apr Prorated Billing Sites'!$A:$I,1,0)</f>
        <v>#N/A</v>
      </c>
      <c r="M407" t="e">
        <f>VLOOKUP(A407,'CDK asked to retain list'!$H$1:$J$24,1,0)</f>
        <v>#N/A</v>
      </c>
    </row>
    <row r="408" spans="1:13">
      <c r="A408" t="str">
        <f t="shared" si="8"/>
        <v>71064273</v>
      </c>
      <c r="B408" t="s">
        <v>2236</v>
      </c>
      <c r="C408" t="s">
        <v>2237</v>
      </c>
      <c r="D408">
        <v>71064273</v>
      </c>
      <c r="E408">
        <v>123017</v>
      </c>
      <c r="F408" t="s">
        <v>39</v>
      </c>
      <c r="G408">
        <v>300</v>
      </c>
      <c r="H408" t="str">
        <f>VLOOKUP(A408,'SV Child INS Apr'!$A:$H,1,0)</f>
        <v>71064273</v>
      </c>
      <c r="L408" t="e">
        <f>VLOOKUP(A408,'TV Apr Prorated Billing Sites'!$A:$I,1,0)</f>
        <v>#N/A</v>
      </c>
    </row>
    <row r="409" spans="1:13">
      <c r="A409" t="str">
        <f t="shared" si="8"/>
        <v>71064371</v>
      </c>
      <c r="B409" t="s">
        <v>2238</v>
      </c>
      <c r="C409" t="s">
        <v>2239</v>
      </c>
      <c r="D409">
        <v>71064371</v>
      </c>
      <c r="E409">
        <v>2501135</v>
      </c>
      <c r="F409" t="s">
        <v>39</v>
      </c>
      <c r="G409">
        <v>450</v>
      </c>
      <c r="H409" t="str">
        <f>VLOOKUP(A409,'SV Child INS Apr'!$A:$H,1,0)</f>
        <v>71064371</v>
      </c>
      <c r="L409" t="e">
        <f>VLOOKUP(A409,'TV Apr Prorated Billing Sites'!$A:$I,1,0)</f>
        <v>#N/A</v>
      </c>
    </row>
    <row r="410" spans="1:13">
      <c r="A410" t="str">
        <f t="shared" si="8"/>
        <v>71064423</v>
      </c>
      <c r="B410" t="s">
        <v>2240</v>
      </c>
      <c r="C410" t="s">
        <v>2241</v>
      </c>
      <c r="D410">
        <v>71064423</v>
      </c>
      <c r="E410">
        <v>2000278</v>
      </c>
      <c r="F410" t="s">
        <v>39</v>
      </c>
      <c r="G410">
        <v>300</v>
      </c>
      <c r="H410" t="str">
        <f>VLOOKUP(A410,'SV Child INS Apr'!$A:$H,1,0)</f>
        <v>71064423</v>
      </c>
      <c r="L410" t="e">
        <f>VLOOKUP(A410,'TV Apr Prorated Billing Sites'!$A:$I,1,0)</f>
        <v>#N/A</v>
      </c>
    </row>
    <row r="411" spans="1:13">
      <c r="A411" t="str">
        <f t="shared" si="8"/>
        <v>71064453</v>
      </c>
      <c r="B411" t="s">
        <v>2242</v>
      </c>
      <c r="C411" t="s">
        <v>2243</v>
      </c>
      <c r="D411">
        <v>71064453</v>
      </c>
      <c r="E411">
        <v>2001138</v>
      </c>
      <c r="F411" t="s">
        <v>39</v>
      </c>
      <c r="G411">
        <v>300</v>
      </c>
      <c r="H411" t="str">
        <f>VLOOKUP(A411,'SV Child INS Apr'!$A:$H,1,0)</f>
        <v>71064453</v>
      </c>
      <c r="L411" t="e">
        <f>VLOOKUP(A411,'TV Apr Prorated Billing Sites'!$A:$I,1,0)</f>
        <v>#N/A</v>
      </c>
    </row>
    <row r="412" spans="1:13">
      <c r="A412" t="str">
        <f t="shared" si="8"/>
        <v>71064573</v>
      </c>
      <c r="B412" t="s">
        <v>2244</v>
      </c>
      <c r="C412" t="s">
        <v>2245</v>
      </c>
      <c r="D412">
        <v>71064573</v>
      </c>
      <c r="E412">
        <v>5026</v>
      </c>
      <c r="F412" t="s">
        <v>39</v>
      </c>
      <c r="G412">
        <v>300</v>
      </c>
      <c r="H412" t="str">
        <f>VLOOKUP(A412,'SV Child INS Apr'!$A:$H,1,0)</f>
        <v>71064573</v>
      </c>
      <c r="L412" t="e">
        <f>VLOOKUP(A412,'TV Apr Prorated Billing Sites'!$A:$I,1,0)</f>
        <v>#N/A</v>
      </c>
    </row>
    <row r="413" spans="1:13">
      <c r="A413" t="str">
        <f t="shared" si="8"/>
        <v>71064590</v>
      </c>
      <c r="B413" t="s">
        <v>2246</v>
      </c>
      <c r="C413" t="s">
        <v>2247</v>
      </c>
      <c r="D413">
        <v>71064590</v>
      </c>
      <c r="E413">
        <v>2000257</v>
      </c>
      <c r="F413" t="s">
        <v>39</v>
      </c>
      <c r="G413">
        <v>300</v>
      </c>
      <c r="H413" t="str">
        <f>VLOOKUP(A413,'SV Child INS Apr'!$A:$H,1,0)</f>
        <v>71064590</v>
      </c>
      <c r="L413" t="e">
        <f>VLOOKUP(A413,'TV Apr Prorated Billing Sites'!$A:$I,1,0)</f>
        <v>#N/A</v>
      </c>
    </row>
    <row r="414" spans="1:13">
      <c r="A414" t="str">
        <f t="shared" si="8"/>
        <v>71064683</v>
      </c>
      <c r="B414" t="s">
        <v>2248</v>
      </c>
      <c r="C414" t="s">
        <v>2249</v>
      </c>
      <c r="D414">
        <v>71064683</v>
      </c>
      <c r="E414">
        <v>2501580</v>
      </c>
      <c r="F414" t="s">
        <v>39</v>
      </c>
      <c r="G414">
        <v>300</v>
      </c>
      <c r="H414" t="str">
        <f>VLOOKUP(A414,'SV Child INS Apr'!$A:$H,1,0)</f>
        <v>71064683</v>
      </c>
      <c r="L414" t="e">
        <f>VLOOKUP(A414,'TV Apr Prorated Billing Sites'!$A:$I,1,0)</f>
        <v>#N/A</v>
      </c>
    </row>
    <row r="415" spans="1:13">
      <c r="A415" t="str">
        <f t="shared" si="8"/>
        <v>71065076</v>
      </c>
      <c r="B415" t="s">
        <v>2250</v>
      </c>
      <c r="C415" t="s">
        <v>2251</v>
      </c>
      <c r="D415">
        <v>71065076</v>
      </c>
      <c r="E415">
        <v>2502935</v>
      </c>
      <c r="F415" t="s">
        <v>39</v>
      </c>
      <c r="G415">
        <v>300</v>
      </c>
      <c r="H415" t="str">
        <f>VLOOKUP(A415,'SV Child INS Apr'!$A:$H,1,0)</f>
        <v>71065076</v>
      </c>
      <c r="L415" t="e">
        <f>VLOOKUP(A415,'TV Apr Prorated Billing Sites'!$A:$I,1,0)</f>
        <v>#N/A</v>
      </c>
    </row>
    <row r="416" spans="1:13">
      <c r="A416" t="str">
        <f t="shared" si="8"/>
        <v>71065125</v>
      </c>
      <c r="B416" t="s">
        <v>2252</v>
      </c>
      <c r="C416" t="s">
        <v>2253</v>
      </c>
      <c r="D416">
        <v>71065125</v>
      </c>
      <c r="E416">
        <v>2502958</v>
      </c>
      <c r="F416" t="s">
        <v>39</v>
      </c>
      <c r="G416">
        <v>300</v>
      </c>
      <c r="H416" t="str">
        <f>VLOOKUP(A416,'SV Child INS Apr'!$A:$H,1,0)</f>
        <v>71065125</v>
      </c>
      <c r="L416" t="e">
        <f>VLOOKUP(A416,'TV Apr Prorated Billing Sites'!$A:$I,1,0)</f>
        <v>#N/A</v>
      </c>
    </row>
    <row r="417" spans="1:13">
      <c r="A417" t="str">
        <f t="shared" si="8"/>
        <v>71065163</v>
      </c>
      <c r="B417" t="s">
        <v>2254</v>
      </c>
      <c r="C417" t="s">
        <v>2255</v>
      </c>
      <c r="D417">
        <v>71065163</v>
      </c>
      <c r="E417">
        <v>2501060</v>
      </c>
      <c r="F417" t="s">
        <v>39</v>
      </c>
      <c r="G417">
        <v>400</v>
      </c>
      <c r="H417" t="str">
        <f>VLOOKUP(A417,'SV Child INS Apr'!$A:$H,1,0)</f>
        <v>71065163</v>
      </c>
      <c r="L417" t="e">
        <f>VLOOKUP(A417,'TV Apr Prorated Billing Sites'!$A:$I,1,0)</f>
        <v>#N/A</v>
      </c>
    </row>
    <row r="418" spans="1:13">
      <c r="A418" t="str">
        <f t="shared" si="8"/>
        <v>76001666</v>
      </c>
      <c r="B418" t="s">
        <v>65</v>
      </c>
      <c r="C418" t="s">
        <v>66</v>
      </c>
      <c r="D418">
        <v>76001666</v>
      </c>
      <c r="E418">
        <v>2501710</v>
      </c>
      <c r="F418" t="s">
        <v>39</v>
      </c>
      <c r="G418">
        <v>450</v>
      </c>
      <c r="H418" t="e">
        <f>VLOOKUP(A418,'SV Child INS Apr'!$A:$H,1,0)</f>
        <v>#N/A</v>
      </c>
      <c r="I418" t="e">
        <f>VLOOKUP(B418,'SV Child INS Apr'!$D:$F,1,0)</f>
        <v>#N/A</v>
      </c>
      <c r="J418" t="e">
        <f>VLOOKUP(A418,'SV Child BLG Apr'!$A:$J,1,0)</f>
        <v>#N/A</v>
      </c>
      <c r="K418" t="e">
        <f>VLOOKUP(B418,'SV Child BLG Apr'!$D:$I,1,0)</f>
        <v>#N/A</v>
      </c>
      <c r="L418" t="e">
        <f>VLOOKUP(A418,'TV Apr Prorated Billing Sites'!$A:$I,1,0)</f>
        <v>#N/A</v>
      </c>
    </row>
    <row r="419" spans="1:13">
      <c r="A419" t="str">
        <f t="shared" si="8"/>
        <v>76001693</v>
      </c>
      <c r="B419" t="s">
        <v>2256</v>
      </c>
      <c r="C419" t="s">
        <v>2257</v>
      </c>
      <c r="D419">
        <v>76001693</v>
      </c>
      <c r="E419">
        <v>2002026</v>
      </c>
      <c r="F419" t="s">
        <v>39</v>
      </c>
      <c r="G419">
        <v>300</v>
      </c>
      <c r="H419" t="str">
        <f>VLOOKUP(A419,'SV Child INS Apr'!$A:$H,1,0)</f>
        <v>76001693</v>
      </c>
      <c r="L419" t="e">
        <f>VLOOKUP(A419,'TV Apr Prorated Billing Sites'!$A:$I,1,0)</f>
        <v>#N/A</v>
      </c>
    </row>
    <row r="420" spans="1:13">
      <c r="A420" t="str">
        <f t="shared" si="8"/>
        <v>76001728</v>
      </c>
      <c r="B420" t="s">
        <v>2258</v>
      </c>
      <c r="C420" t="s">
        <v>2259</v>
      </c>
      <c r="D420">
        <v>76001728</v>
      </c>
      <c r="E420">
        <v>2501713</v>
      </c>
      <c r="F420" t="s">
        <v>39</v>
      </c>
      <c r="G420">
        <v>300</v>
      </c>
      <c r="H420" t="str">
        <f>VLOOKUP(A420,'SV Child INS Apr'!$A:$H,1,0)</f>
        <v>76001728</v>
      </c>
      <c r="L420" t="e">
        <f>VLOOKUP(A420,'TV Apr Prorated Billing Sites'!$A:$I,1,0)</f>
        <v>#N/A</v>
      </c>
    </row>
    <row r="421" spans="1:13">
      <c r="A421" t="str">
        <f t="shared" si="8"/>
        <v>76001910</v>
      </c>
      <c r="B421" t="s">
        <v>2260</v>
      </c>
      <c r="C421" t="s">
        <v>2261</v>
      </c>
      <c r="D421">
        <v>76001910</v>
      </c>
      <c r="E421">
        <v>2000794</v>
      </c>
      <c r="F421" t="s">
        <v>39</v>
      </c>
      <c r="G421">
        <v>300</v>
      </c>
      <c r="H421" t="str">
        <f>VLOOKUP(A421,'SV Child INS Apr'!$A:$H,1,0)</f>
        <v>76001910</v>
      </c>
      <c r="L421" t="e">
        <f>VLOOKUP(A421,'TV Apr Prorated Billing Sites'!$A:$I,1,0)</f>
        <v>#N/A</v>
      </c>
    </row>
    <row r="422" spans="1:13">
      <c r="A422" t="str">
        <f t="shared" si="8"/>
        <v>76002396</v>
      </c>
      <c r="B422" t="s">
        <v>2262</v>
      </c>
      <c r="C422" t="s">
        <v>2263</v>
      </c>
      <c r="D422">
        <v>76002396</v>
      </c>
      <c r="E422">
        <v>2500899</v>
      </c>
      <c r="F422" t="s">
        <v>39</v>
      </c>
      <c r="G422">
        <v>300</v>
      </c>
      <c r="H422" t="str">
        <f>VLOOKUP(A422,'SV Child INS Apr'!$A:$H,1,0)</f>
        <v>76002396</v>
      </c>
      <c r="L422" t="e">
        <f>VLOOKUP(A422,'TV Apr Prorated Billing Sites'!$A:$I,1,0)</f>
        <v>#N/A</v>
      </c>
    </row>
    <row r="423" spans="1:13">
      <c r="A423" t="str">
        <f t="shared" si="8"/>
        <v>76002398</v>
      </c>
      <c r="B423" t="s">
        <v>2264</v>
      </c>
      <c r="C423" t="s">
        <v>2265</v>
      </c>
      <c r="D423">
        <v>76002398</v>
      </c>
      <c r="E423">
        <v>2500901</v>
      </c>
      <c r="F423" t="s">
        <v>39</v>
      </c>
      <c r="G423">
        <v>300</v>
      </c>
      <c r="H423" t="str">
        <f>VLOOKUP(A423,'SV Child INS Apr'!$A:$H,1,0)</f>
        <v>76002398</v>
      </c>
      <c r="L423" t="e">
        <f>VLOOKUP(A423,'TV Apr Prorated Billing Sites'!$A:$I,1,0)</f>
        <v>#N/A</v>
      </c>
    </row>
    <row r="424" spans="1:13">
      <c r="A424" t="str">
        <f t="shared" si="8"/>
        <v>76002438</v>
      </c>
      <c r="B424" t="s">
        <v>2266</v>
      </c>
      <c r="C424" t="s">
        <v>2267</v>
      </c>
      <c r="D424">
        <v>76002438</v>
      </c>
      <c r="E424">
        <v>2503535</v>
      </c>
      <c r="F424" t="s">
        <v>39</v>
      </c>
      <c r="G424">
        <v>300</v>
      </c>
      <c r="H424" t="str">
        <f>VLOOKUP(A424,'SV Child INS Apr'!$A:$H,1,0)</f>
        <v>76002438</v>
      </c>
      <c r="L424" t="e">
        <f>VLOOKUP(A424,'TV Apr Prorated Billing Sites'!$A:$I,1,0)</f>
        <v>#N/A</v>
      </c>
    </row>
    <row r="425" spans="1:13">
      <c r="A425" t="str">
        <f t="shared" ref="A425:A488" si="9">TRIM(D425)</f>
        <v>76002746</v>
      </c>
      <c r="B425" t="s">
        <v>2268</v>
      </c>
      <c r="C425" t="s">
        <v>2269</v>
      </c>
      <c r="D425">
        <v>76002746</v>
      </c>
      <c r="E425">
        <v>4180</v>
      </c>
      <c r="F425" t="s">
        <v>39</v>
      </c>
      <c r="G425">
        <v>450</v>
      </c>
      <c r="H425" t="str">
        <f>VLOOKUP(A425,'SV Child INS Apr'!$A:$H,1,0)</f>
        <v>76002746</v>
      </c>
      <c r="L425" t="e">
        <f>VLOOKUP(A425,'TV Apr Prorated Billing Sites'!$A:$I,1,0)</f>
        <v>#N/A</v>
      </c>
    </row>
    <row r="426" spans="1:13">
      <c r="A426" t="str">
        <f t="shared" si="9"/>
        <v>76003331</v>
      </c>
      <c r="B426" t="s">
        <v>2270</v>
      </c>
      <c r="C426" t="s">
        <v>2271</v>
      </c>
      <c r="D426">
        <v>76003331</v>
      </c>
      <c r="E426">
        <v>2502203</v>
      </c>
      <c r="F426" t="s">
        <v>39</v>
      </c>
      <c r="G426">
        <v>450</v>
      </c>
      <c r="H426" t="str">
        <f>VLOOKUP(A426,'SV Child INS Apr'!$A:$H,1,0)</f>
        <v>76003331</v>
      </c>
      <c r="L426" t="e">
        <f>VLOOKUP(A426,'TV Apr Prorated Billing Sites'!$A:$I,1,0)</f>
        <v>#N/A</v>
      </c>
    </row>
    <row r="427" spans="1:13">
      <c r="A427" t="str">
        <f t="shared" si="9"/>
        <v>76003334</v>
      </c>
      <c r="B427" t="s">
        <v>458</v>
      </c>
      <c r="C427" t="s">
        <v>459</v>
      </c>
      <c r="D427">
        <v>76003334</v>
      </c>
      <c r="E427">
        <v>8061</v>
      </c>
      <c r="F427" t="s">
        <v>39</v>
      </c>
      <c r="G427">
        <v>300</v>
      </c>
      <c r="H427" t="e">
        <f>VLOOKUP(A427,'SV Child INS Apr'!$A:$H,1,0)</f>
        <v>#N/A</v>
      </c>
      <c r="I427" t="e">
        <f>VLOOKUP(B427,'SV Child INS Apr'!$D:$F,1,0)</f>
        <v>#N/A</v>
      </c>
      <c r="J427" t="str">
        <f>VLOOKUP(A427,'SV Child BLG Apr'!$A:$J,1,0)</f>
        <v>76003334</v>
      </c>
      <c r="L427" t="e">
        <f>VLOOKUP(A427,'TV Apr Prorated Billing Sites'!$A:$I,1,0)</f>
        <v>#N/A</v>
      </c>
      <c r="M427" t="e">
        <f>VLOOKUP(A427,'CDK asked to retain list'!$H$1:$J$24,1,0)</f>
        <v>#N/A</v>
      </c>
    </row>
    <row r="428" spans="1:13">
      <c r="A428" t="str">
        <f t="shared" si="9"/>
        <v>76003398</v>
      </c>
      <c r="B428" t="s">
        <v>2272</v>
      </c>
      <c r="C428" t="s">
        <v>2273</v>
      </c>
      <c r="D428">
        <v>76003398</v>
      </c>
      <c r="E428">
        <v>10139</v>
      </c>
      <c r="F428" t="s">
        <v>39</v>
      </c>
      <c r="G428">
        <v>300</v>
      </c>
      <c r="H428" t="str">
        <f>VLOOKUP(A428,'SV Child INS Apr'!$A:$H,1,0)</f>
        <v>76003398</v>
      </c>
      <c r="L428" t="e">
        <f>VLOOKUP(A428,'TV Apr Prorated Billing Sites'!$A:$I,1,0)</f>
        <v>#N/A</v>
      </c>
    </row>
    <row r="429" spans="1:13">
      <c r="A429" t="str">
        <f t="shared" si="9"/>
        <v>76004723</v>
      </c>
      <c r="B429" t="s">
        <v>2274</v>
      </c>
      <c r="C429" t="s">
        <v>2275</v>
      </c>
      <c r="D429">
        <v>76004723</v>
      </c>
      <c r="E429">
        <v>3000333</v>
      </c>
      <c r="F429" t="s">
        <v>39</v>
      </c>
      <c r="G429">
        <v>300</v>
      </c>
      <c r="H429" t="str">
        <f>VLOOKUP(A429,'SV Child INS Apr'!$A:$H,1,0)</f>
        <v>76004723</v>
      </c>
      <c r="L429" t="e">
        <f>VLOOKUP(A429,'TV Apr Prorated Billing Sites'!$A:$I,1,0)</f>
        <v>#N/A</v>
      </c>
    </row>
    <row r="430" spans="1:13">
      <c r="A430" t="str">
        <f t="shared" si="9"/>
        <v>76007113</v>
      </c>
      <c r="B430" t="s">
        <v>2276</v>
      </c>
      <c r="C430" t="s">
        <v>2277</v>
      </c>
      <c r="D430">
        <v>76007113</v>
      </c>
      <c r="E430">
        <v>2501354</v>
      </c>
      <c r="F430" t="s">
        <v>39</v>
      </c>
      <c r="G430">
        <v>300</v>
      </c>
      <c r="H430" t="str">
        <f>VLOOKUP(A430,'SV Child INS Apr'!$A:$H,1,0)</f>
        <v>76007113</v>
      </c>
      <c r="L430" t="e">
        <f>VLOOKUP(A430,'TV Apr Prorated Billing Sites'!$A:$I,1,0)</f>
        <v>#N/A</v>
      </c>
    </row>
    <row r="431" spans="1:13">
      <c r="A431" t="str">
        <f t="shared" si="9"/>
        <v>76010352</v>
      </c>
      <c r="B431" t="s">
        <v>2278</v>
      </c>
      <c r="C431" t="s">
        <v>2279</v>
      </c>
      <c r="D431">
        <v>76010352</v>
      </c>
      <c r="E431">
        <v>2502086</v>
      </c>
      <c r="F431" t="s">
        <v>39</v>
      </c>
      <c r="G431">
        <v>300</v>
      </c>
      <c r="H431" t="str">
        <f>VLOOKUP(A431,'SV Child INS Apr'!$A:$H,1,0)</f>
        <v>76010352</v>
      </c>
      <c r="L431" t="e">
        <f>VLOOKUP(A431,'TV Apr Prorated Billing Sites'!$A:$I,1,0)</f>
        <v>#N/A</v>
      </c>
    </row>
    <row r="432" spans="1:13">
      <c r="A432" t="str">
        <f t="shared" si="9"/>
        <v>76011134</v>
      </c>
      <c r="B432" t="s">
        <v>2280</v>
      </c>
      <c r="C432" t="s">
        <v>2281</v>
      </c>
      <c r="D432">
        <v>76011134</v>
      </c>
      <c r="E432">
        <v>9008</v>
      </c>
      <c r="F432" t="s">
        <v>39</v>
      </c>
      <c r="G432">
        <v>300</v>
      </c>
      <c r="H432" t="str">
        <f>VLOOKUP(A432,'SV Child INS Apr'!$A:$H,1,0)</f>
        <v>76011134</v>
      </c>
      <c r="L432" t="e">
        <f>VLOOKUP(A432,'TV Apr Prorated Billing Sites'!$A:$I,1,0)</f>
        <v>#N/A</v>
      </c>
    </row>
    <row r="433" spans="1:12">
      <c r="A433" t="str">
        <f t="shared" si="9"/>
        <v>76011141</v>
      </c>
      <c r="B433" t="s">
        <v>2282</v>
      </c>
      <c r="C433" t="s">
        <v>2283</v>
      </c>
      <c r="D433">
        <v>76011141</v>
      </c>
      <c r="E433">
        <v>10124</v>
      </c>
      <c r="F433" t="s">
        <v>39</v>
      </c>
      <c r="G433">
        <v>300</v>
      </c>
      <c r="H433" t="str">
        <f>VLOOKUP(A433,'SV Child INS Apr'!$A:$H,1,0)</f>
        <v>76011141</v>
      </c>
      <c r="L433" t="e">
        <f>VLOOKUP(A433,'TV Apr Prorated Billing Sites'!$A:$I,1,0)</f>
        <v>#N/A</v>
      </c>
    </row>
    <row r="434" spans="1:12">
      <c r="A434" t="str">
        <f t="shared" si="9"/>
        <v>76011323</v>
      </c>
      <c r="B434" t="s">
        <v>2284</v>
      </c>
      <c r="C434" t="s">
        <v>2285</v>
      </c>
      <c r="D434">
        <v>76011323</v>
      </c>
      <c r="E434">
        <v>3000739</v>
      </c>
      <c r="F434" t="s">
        <v>39</v>
      </c>
      <c r="G434">
        <v>300</v>
      </c>
      <c r="H434" t="str">
        <f>VLOOKUP(A434,'SV Child INS Apr'!$A:$H,1,0)</f>
        <v>76011323</v>
      </c>
      <c r="L434" t="e">
        <f>VLOOKUP(A434,'TV Apr Prorated Billing Sites'!$A:$I,1,0)</f>
        <v>#N/A</v>
      </c>
    </row>
    <row r="435" spans="1:12">
      <c r="A435" t="str">
        <f t="shared" si="9"/>
        <v>76012107</v>
      </c>
      <c r="B435" t="s">
        <v>2286</v>
      </c>
      <c r="C435" t="s">
        <v>2287</v>
      </c>
      <c r="D435">
        <v>76012107</v>
      </c>
      <c r="E435">
        <v>2502638</v>
      </c>
      <c r="F435" t="s">
        <v>39</v>
      </c>
      <c r="G435">
        <v>300</v>
      </c>
      <c r="H435" t="str">
        <f>VLOOKUP(A435,'SV Child INS Apr'!$A:$H,1,0)</f>
        <v>76012107</v>
      </c>
      <c r="L435" t="e">
        <f>VLOOKUP(A435,'TV Apr Prorated Billing Sites'!$A:$I,1,0)</f>
        <v>#N/A</v>
      </c>
    </row>
    <row r="436" spans="1:12">
      <c r="A436" t="str">
        <f t="shared" si="9"/>
        <v>76012908</v>
      </c>
      <c r="B436" t="s">
        <v>2288</v>
      </c>
      <c r="C436" t="s">
        <v>2289</v>
      </c>
      <c r="D436">
        <v>76012908</v>
      </c>
      <c r="E436">
        <v>2501565</v>
      </c>
      <c r="F436" t="s">
        <v>39</v>
      </c>
      <c r="G436">
        <v>450</v>
      </c>
      <c r="H436" t="str">
        <f>VLOOKUP(A436,'SV Child INS Apr'!$A:$H,1,0)</f>
        <v>76012908</v>
      </c>
      <c r="L436" t="e">
        <f>VLOOKUP(A436,'TV Apr Prorated Billing Sites'!$A:$I,1,0)</f>
        <v>#N/A</v>
      </c>
    </row>
    <row r="437" spans="1:12">
      <c r="A437" t="str">
        <f t="shared" si="9"/>
        <v>76013178</v>
      </c>
      <c r="B437" t="s">
        <v>2290</v>
      </c>
      <c r="C437" t="s">
        <v>2291</v>
      </c>
      <c r="D437">
        <v>76013178</v>
      </c>
      <c r="E437">
        <v>2002243</v>
      </c>
      <c r="F437" t="s">
        <v>39</v>
      </c>
      <c r="G437">
        <v>300</v>
      </c>
      <c r="H437" t="e">
        <f>VLOOKUP(A437,'SV Child INS Apr'!$A:$H,1,0)</f>
        <v>#N/A</v>
      </c>
      <c r="I437" t="str">
        <f>VLOOKUP(B437,'SV Child INS Apr'!$D:$F,1,0)</f>
        <v>FRONTIER TOYOTA</v>
      </c>
      <c r="L437" t="e">
        <f>VLOOKUP(A437,'TV Apr Prorated Billing Sites'!$A:$I,1,0)</f>
        <v>#N/A</v>
      </c>
    </row>
    <row r="438" spans="1:12">
      <c r="A438" t="str">
        <f t="shared" si="9"/>
        <v>76017091</v>
      </c>
      <c r="B438" t="s">
        <v>2292</v>
      </c>
      <c r="C438" t="s">
        <v>2293</v>
      </c>
      <c r="D438">
        <v>76017091</v>
      </c>
      <c r="E438">
        <v>4195</v>
      </c>
      <c r="F438" t="s">
        <v>39</v>
      </c>
      <c r="G438">
        <v>300</v>
      </c>
      <c r="H438" t="str">
        <f>VLOOKUP(A438,'SV Child INS Apr'!$A:$H,1,0)</f>
        <v>76017091</v>
      </c>
      <c r="L438" t="e">
        <f>VLOOKUP(A438,'TV Apr Prorated Billing Sites'!$A:$I,1,0)</f>
        <v>#N/A</v>
      </c>
    </row>
    <row r="439" spans="1:12">
      <c r="A439" t="str">
        <f t="shared" si="9"/>
        <v>76017151</v>
      </c>
      <c r="B439" t="s">
        <v>2294</v>
      </c>
      <c r="C439" t="s">
        <v>2295</v>
      </c>
      <c r="D439">
        <v>76017151</v>
      </c>
      <c r="E439">
        <v>2000271</v>
      </c>
      <c r="F439" t="s">
        <v>39</v>
      </c>
      <c r="G439">
        <v>400</v>
      </c>
      <c r="H439" t="str">
        <f>VLOOKUP(A439,'SV Child INS Apr'!$A:$H,1,0)</f>
        <v>76017151</v>
      </c>
      <c r="L439" t="e">
        <f>VLOOKUP(A439,'TV Apr Prorated Billing Sites'!$A:$I,1,0)</f>
        <v>#N/A</v>
      </c>
    </row>
    <row r="440" spans="1:12">
      <c r="A440" t="str">
        <f t="shared" si="9"/>
        <v>76017216</v>
      </c>
      <c r="B440" t="s">
        <v>2296</v>
      </c>
      <c r="C440" t="s">
        <v>2297</v>
      </c>
      <c r="D440">
        <v>76017216</v>
      </c>
      <c r="E440">
        <v>4198</v>
      </c>
      <c r="F440" t="s">
        <v>39</v>
      </c>
      <c r="G440">
        <v>300</v>
      </c>
      <c r="H440" t="str">
        <f>VLOOKUP(A440,'SV Child INS Apr'!$A:$H,1,0)</f>
        <v>76017216</v>
      </c>
      <c r="L440" t="e">
        <f>VLOOKUP(A440,'TV Apr Prorated Billing Sites'!$A:$I,1,0)</f>
        <v>#N/A</v>
      </c>
    </row>
    <row r="441" spans="1:12">
      <c r="A441" t="str">
        <f t="shared" si="9"/>
        <v>76018447</v>
      </c>
      <c r="B441" t="s">
        <v>69</v>
      </c>
      <c r="C441" t="s">
        <v>70</v>
      </c>
      <c r="D441">
        <v>76018447</v>
      </c>
      <c r="E441">
        <v>2501591</v>
      </c>
      <c r="F441" t="s">
        <v>39</v>
      </c>
      <c r="G441">
        <v>300</v>
      </c>
      <c r="H441" t="e">
        <f>VLOOKUP(A441,'SV Child INS Apr'!$A:$H,1,0)</f>
        <v>#N/A</v>
      </c>
      <c r="I441" t="e">
        <f>VLOOKUP(B441,'SV Child INS Apr'!$D:$F,1,0)</f>
        <v>#N/A</v>
      </c>
      <c r="J441" t="e">
        <f>VLOOKUP(A441,'SV Child BLG Apr'!$A:$J,1,0)</f>
        <v>#N/A</v>
      </c>
      <c r="K441" t="e">
        <f>VLOOKUP(B441,'SV Child BLG Apr'!$D:$I,1,0)</f>
        <v>#N/A</v>
      </c>
      <c r="L441" t="e">
        <f>VLOOKUP(A441,'TV Apr Prorated Billing Sites'!$A:$I,1,0)</f>
        <v>#N/A</v>
      </c>
    </row>
    <row r="442" spans="1:12">
      <c r="A442" t="str">
        <f t="shared" si="9"/>
        <v>76018560</v>
      </c>
      <c r="B442" t="s">
        <v>2298</v>
      </c>
      <c r="C442" t="s">
        <v>2299</v>
      </c>
      <c r="D442">
        <v>76018560</v>
      </c>
      <c r="E442">
        <v>2002559</v>
      </c>
      <c r="F442" t="s">
        <v>39</v>
      </c>
      <c r="G442">
        <v>300</v>
      </c>
      <c r="H442" t="str">
        <f>VLOOKUP(A442,'SV Child INS Apr'!$A:$H,1,0)</f>
        <v>76018560</v>
      </c>
      <c r="L442" t="e">
        <f>VLOOKUP(A442,'TV Apr Prorated Billing Sites'!$A:$I,1,0)</f>
        <v>#N/A</v>
      </c>
    </row>
    <row r="443" spans="1:12">
      <c r="A443" t="str">
        <f t="shared" si="9"/>
        <v>76019351</v>
      </c>
      <c r="B443" t="s">
        <v>2300</v>
      </c>
      <c r="C443" t="s">
        <v>2301</v>
      </c>
      <c r="D443">
        <v>76019351</v>
      </c>
      <c r="E443">
        <v>1500066</v>
      </c>
      <c r="F443" t="s">
        <v>39</v>
      </c>
      <c r="G443">
        <v>300</v>
      </c>
      <c r="H443" t="str">
        <f>VLOOKUP(A443,'SV Child INS Apr'!$A:$H,1,0)</f>
        <v>76019351</v>
      </c>
      <c r="L443" t="e">
        <f>VLOOKUP(A443,'TV Apr Prorated Billing Sites'!$A:$I,1,0)</f>
        <v>#N/A</v>
      </c>
    </row>
    <row r="444" spans="1:12">
      <c r="A444" t="str">
        <f t="shared" si="9"/>
        <v>76019863</v>
      </c>
      <c r="B444" t="s">
        <v>2302</v>
      </c>
      <c r="C444" t="s">
        <v>2303</v>
      </c>
      <c r="D444">
        <v>76019863</v>
      </c>
      <c r="E444">
        <v>143021</v>
      </c>
      <c r="F444" t="s">
        <v>39</v>
      </c>
      <c r="G444">
        <v>300</v>
      </c>
      <c r="H444" t="str">
        <f>VLOOKUP(A444,'SV Child INS Apr'!$A:$H,1,0)</f>
        <v>76019863</v>
      </c>
      <c r="L444" t="e">
        <f>VLOOKUP(A444,'TV Apr Prorated Billing Sites'!$A:$I,1,0)</f>
        <v>#N/A</v>
      </c>
    </row>
    <row r="445" spans="1:12">
      <c r="A445" t="str">
        <f t="shared" si="9"/>
        <v>76019924</v>
      </c>
      <c r="B445" t="s">
        <v>2304</v>
      </c>
      <c r="C445" t="s">
        <v>2305</v>
      </c>
      <c r="D445">
        <v>76019924</v>
      </c>
      <c r="E445">
        <v>2000649</v>
      </c>
      <c r="F445" t="s">
        <v>39</v>
      </c>
      <c r="G445">
        <v>300</v>
      </c>
      <c r="H445" t="str">
        <f>VLOOKUP(A445,'SV Child INS Apr'!$A:$H,1,0)</f>
        <v>76019924</v>
      </c>
      <c r="L445" t="e">
        <f>VLOOKUP(A445,'TV Apr Prorated Billing Sites'!$A:$I,1,0)</f>
        <v>#N/A</v>
      </c>
    </row>
    <row r="446" spans="1:12">
      <c r="A446" t="str">
        <f t="shared" si="9"/>
        <v>76019998</v>
      </c>
      <c r="B446" t="s">
        <v>2306</v>
      </c>
      <c r="C446" t="s">
        <v>2307</v>
      </c>
      <c r="D446">
        <v>76019998</v>
      </c>
      <c r="E446">
        <v>2503204</v>
      </c>
      <c r="F446" t="s">
        <v>39</v>
      </c>
      <c r="G446">
        <v>300</v>
      </c>
      <c r="H446" t="str">
        <f>VLOOKUP(A446,'SV Child INS Apr'!$A:$H,1,0)</f>
        <v>76019998</v>
      </c>
      <c r="L446" t="e">
        <f>VLOOKUP(A446,'TV Apr Prorated Billing Sites'!$A:$I,1,0)</f>
        <v>#N/A</v>
      </c>
    </row>
    <row r="447" spans="1:12">
      <c r="A447" t="str">
        <f t="shared" si="9"/>
        <v>76020610</v>
      </c>
      <c r="B447" t="s">
        <v>2308</v>
      </c>
      <c r="C447" t="s">
        <v>2309</v>
      </c>
      <c r="D447">
        <v>76020610</v>
      </c>
      <c r="E447">
        <v>2502260</v>
      </c>
      <c r="F447" t="s">
        <v>39</v>
      </c>
      <c r="G447">
        <v>450</v>
      </c>
      <c r="H447" t="str">
        <f>VLOOKUP(A447,'SV Child INS Apr'!$A:$H,1,0)</f>
        <v>76020610</v>
      </c>
      <c r="L447" t="e">
        <f>VLOOKUP(A447,'TV Apr Prorated Billing Sites'!$A:$I,1,0)</f>
        <v>#N/A</v>
      </c>
    </row>
    <row r="448" spans="1:12">
      <c r="A448" t="str">
        <f t="shared" si="9"/>
        <v>76020627</v>
      </c>
      <c r="B448" t="s">
        <v>2310</v>
      </c>
      <c r="C448" t="s">
        <v>2311</v>
      </c>
      <c r="D448">
        <v>76020627</v>
      </c>
      <c r="E448">
        <v>2003066</v>
      </c>
      <c r="F448" t="s">
        <v>39</v>
      </c>
      <c r="G448">
        <v>300</v>
      </c>
      <c r="H448" t="str">
        <f>VLOOKUP(A448,'SV Child INS Apr'!$A:$H,1,0)</f>
        <v>76020627</v>
      </c>
      <c r="L448" t="e">
        <f>VLOOKUP(A448,'TV Apr Prorated Billing Sites'!$A:$I,1,0)</f>
        <v>#N/A</v>
      </c>
    </row>
    <row r="449" spans="1:12">
      <c r="A449" t="str">
        <f t="shared" si="9"/>
        <v>76020773</v>
      </c>
      <c r="B449" t="s">
        <v>2312</v>
      </c>
      <c r="C449" t="s">
        <v>2313</v>
      </c>
      <c r="D449">
        <v>76020773</v>
      </c>
      <c r="E449">
        <v>2500949</v>
      </c>
      <c r="F449" t="s">
        <v>39</v>
      </c>
      <c r="G449">
        <v>300</v>
      </c>
      <c r="H449" t="str">
        <f>VLOOKUP(A449,'SV Child INS Apr'!$A:$H,1,0)</f>
        <v>76020773</v>
      </c>
      <c r="L449" t="e">
        <f>VLOOKUP(A449,'TV Apr Prorated Billing Sites'!$A:$I,1,0)</f>
        <v>#N/A</v>
      </c>
    </row>
    <row r="450" spans="1:12">
      <c r="A450" t="str">
        <f t="shared" si="9"/>
        <v>76020961</v>
      </c>
      <c r="B450" t="s">
        <v>2314</v>
      </c>
      <c r="C450" t="s">
        <v>2315</v>
      </c>
      <c r="D450">
        <v>76020961</v>
      </c>
      <c r="E450">
        <v>3000650</v>
      </c>
      <c r="F450" t="s">
        <v>39</v>
      </c>
      <c r="G450">
        <v>300</v>
      </c>
      <c r="H450" t="str">
        <f>VLOOKUP(A450,'SV Child INS Apr'!$A:$H,1,0)</f>
        <v>76020961</v>
      </c>
      <c r="L450" t="e">
        <f>VLOOKUP(A450,'TV Apr Prorated Billing Sites'!$A:$I,1,0)</f>
        <v>#N/A</v>
      </c>
    </row>
    <row r="451" spans="1:12">
      <c r="A451" t="str">
        <f t="shared" si="9"/>
        <v>76021112</v>
      </c>
      <c r="B451" t="s">
        <v>2316</v>
      </c>
      <c r="C451" t="s">
        <v>2317</v>
      </c>
      <c r="D451">
        <v>76021112</v>
      </c>
      <c r="E451">
        <v>2000591</v>
      </c>
      <c r="F451" t="s">
        <v>39</v>
      </c>
      <c r="G451">
        <v>300</v>
      </c>
      <c r="H451" t="str">
        <f>VLOOKUP(A451,'SV Child INS Apr'!$A:$H,1,0)</f>
        <v>76021112</v>
      </c>
      <c r="L451" t="e">
        <f>VLOOKUP(A451,'TV Apr Prorated Billing Sites'!$A:$I,1,0)</f>
        <v>#N/A</v>
      </c>
    </row>
    <row r="452" spans="1:12">
      <c r="A452" t="str">
        <f t="shared" si="9"/>
        <v>76021665</v>
      </c>
      <c r="B452" t="s">
        <v>2318</v>
      </c>
      <c r="C452" t="s">
        <v>2319</v>
      </c>
      <c r="D452">
        <v>76021665</v>
      </c>
      <c r="E452">
        <v>2000071</v>
      </c>
      <c r="F452" t="s">
        <v>39</v>
      </c>
      <c r="G452">
        <v>450</v>
      </c>
      <c r="H452" t="str">
        <f>VLOOKUP(A452,'SV Child INS Apr'!$A:$H,1,0)</f>
        <v>76021665</v>
      </c>
      <c r="L452" t="e">
        <f>VLOOKUP(A452,'TV Apr Prorated Billing Sites'!$A:$I,1,0)</f>
        <v>#N/A</v>
      </c>
    </row>
    <row r="453" spans="1:12">
      <c r="A453" t="str">
        <f t="shared" si="9"/>
        <v>76021673</v>
      </c>
      <c r="B453" t="s">
        <v>2320</v>
      </c>
      <c r="C453" t="s">
        <v>2321</v>
      </c>
      <c r="D453">
        <v>76021673</v>
      </c>
      <c r="E453">
        <v>2000073</v>
      </c>
      <c r="F453" t="s">
        <v>39</v>
      </c>
      <c r="G453">
        <v>400</v>
      </c>
      <c r="H453" t="str">
        <f>VLOOKUP(A453,'SV Child INS Apr'!$A:$H,1,0)</f>
        <v>76021673</v>
      </c>
      <c r="L453" t="e">
        <f>VLOOKUP(A453,'TV Apr Prorated Billing Sites'!$A:$I,1,0)</f>
        <v>#N/A</v>
      </c>
    </row>
    <row r="454" spans="1:12">
      <c r="A454" t="str">
        <f t="shared" si="9"/>
        <v>76021674</v>
      </c>
      <c r="B454" t="s">
        <v>2322</v>
      </c>
      <c r="C454" t="s">
        <v>2323</v>
      </c>
      <c r="D454">
        <v>76021674</v>
      </c>
      <c r="E454">
        <v>2002854</v>
      </c>
      <c r="F454" t="s">
        <v>39</v>
      </c>
      <c r="G454">
        <v>300</v>
      </c>
      <c r="H454" t="str">
        <f>VLOOKUP(A454,'SV Child INS Apr'!$A:$H,1,0)</f>
        <v>76021674</v>
      </c>
      <c r="L454" t="e">
        <f>VLOOKUP(A454,'TV Apr Prorated Billing Sites'!$A:$I,1,0)</f>
        <v>#N/A</v>
      </c>
    </row>
    <row r="455" spans="1:12">
      <c r="A455" t="str">
        <f t="shared" si="9"/>
        <v>76021731</v>
      </c>
      <c r="B455" t="s">
        <v>2324</v>
      </c>
      <c r="C455" t="s">
        <v>2325</v>
      </c>
      <c r="D455">
        <v>76021731</v>
      </c>
      <c r="E455">
        <v>3001970</v>
      </c>
      <c r="F455" t="s">
        <v>39</v>
      </c>
      <c r="G455">
        <v>300</v>
      </c>
      <c r="H455" t="str">
        <f>VLOOKUP(A455,'SV Child INS Apr'!$A:$H,1,0)</f>
        <v>76021731</v>
      </c>
      <c r="L455" t="e">
        <f>VLOOKUP(A455,'TV Apr Prorated Billing Sites'!$A:$I,1,0)</f>
        <v>#N/A</v>
      </c>
    </row>
    <row r="456" spans="1:12">
      <c r="A456" t="str">
        <f t="shared" si="9"/>
        <v>76021841</v>
      </c>
      <c r="B456" t="s">
        <v>2326</v>
      </c>
      <c r="C456" t="s">
        <v>2327</v>
      </c>
      <c r="D456">
        <v>76021841</v>
      </c>
      <c r="E456">
        <v>2002759</v>
      </c>
      <c r="F456" t="s">
        <v>39</v>
      </c>
      <c r="G456">
        <v>300</v>
      </c>
      <c r="H456" t="str">
        <f>VLOOKUP(A456,'SV Child INS Apr'!$A:$H,1,0)</f>
        <v>76021841</v>
      </c>
      <c r="L456" t="e">
        <f>VLOOKUP(A456,'TV Apr Prorated Billing Sites'!$A:$I,1,0)</f>
        <v>#N/A</v>
      </c>
    </row>
    <row r="457" spans="1:12">
      <c r="A457" t="str">
        <f t="shared" si="9"/>
        <v>76022550</v>
      </c>
      <c r="B457" t="s">
        <v>2328</v>
      </c>
      <c r="C457" t="s">
        <v>2329</v>
      </c>
      <c r="D457">
        <v>76022550</v>
      </c>
      <c r="E457">
        <v>8085</v>
      </c>
      <c r="F457" t="s">
        <v>39</v>
      </c>
      <c r="G457">
        <v>300</v>
      </c>
      <c r="H457" t="str">
        <f>VLOOKUP(A457,'SV Child INS Apr'!$A:$H,1,0)</f>
        <v>76022550</v>
      </c>
      <c r="L457" t="e">
        <f>VLOOKUP(A457,'TV Apr Prorated Billing Sites'!$A:$I,1,0)</f>
        <v>#N/A</v>
      </c>
    </row>
    <row r="458" spans="1:12">
      <c r="A458" t="str">
        <f t="shared" si="9"/>
        <v>76022772</v>
      </c>
      <c r="B458" t="s">
        <v>2330</v>
      </c>
      <c r="C458" t="s">
        <v>2331</v>
      </c>
      <c r="D458">
        <v>76022772</v>
      </c>
      <c r="E458">
        <v>2002951</v>
      </c>
      <c r="F458" t="s">
        <v>39</v>
      </c>
      <c r="G458">
        <v>300</v>
      </c>
      <c r="H458" t="str">
        <f>VLOOKUP(A458,'SV Child INS Apr'!$A:$H,1,0)</f>
        <v>76022772</v>
      </c>
      <c r="L458" t="e">
        <f>VLOOKUP(A458,'TV Apr Prorated Billing Sites'!$A:$I,1,0)</f>
        <v>#N/A</v>
      </c>
    </row>
    <row r="459" spans="1:12">
      <c r="A459" t="str">
        <f t="shared" si="9"/>
        <v>76022801</v>
      </c>
      <c r="B459" t="s">
        <v>2332</v>
      </c>
      <c r="C459" t="s">
        <v>2333</v>
      </c>
      <c r="D459">
        <v>76022801</v>
      </c>
      <c r="E459">
        <v>2503466</v>
      </c>
      <c r="F459" t="s">
        <v>39</v>
      </c>
      <c r="G459">
        <v>300</v>
      </c>
      <c r="H459" t="str">
        <f>VLOOKUP(A459,'SV Child INS Apr'!$A:$H,1,0)</f>
        <v>76022801</v>
      </c>
      <c r="L459" t="e">
        <f>VLOOKUP(A459,'TV Apr Prorated Billing Sites'!$A:$I,1,0)</f>
        <v>#N/A</v>
      </c>
    </row>
    <row r="460" spans="1:12">
      <c r="A460" t="str">
        <f t="shared" si="9"/>
        <v>76022907</v>
      </c>
      <c r="B460" t="s">
        <v>2334</v>
      </c>
      <c r="C460" t="s">
        <v>2335</v>
      </c>
      <c r="D460">
        <v>76022907</v>
      </c>
      <c r="E460">
        <v>2600001</v>
      </c>
      <c r="F460" t="s">
        <v>39</v>
      </c>
      <c r="G460">
        <v>300</v>
      </c>
      <c r="H460" t="str">
        <f>VLOOKUP(A460,'SV Child INS Apr'!$A:$H,1,0)</f>
        <v>76022907</v>
      </c>
      <c r="L460" t="e">
        <f>VLOOKUP(A460,'TV Apr Prorated Billing Sites'!$A:$I,1,0)</f>
        <v>#N/A</v>
      </c>
    </row>
    <row r="461" spans="1:12">
      <c r="A461" t="str">
        <f t="shared" si="9"/>
        <v>76023142</v>
      </c>
      <c r="B461" t="s">
        <v>2336</v>
      </c>
      <c r="C461" t="s">
        <v>2337</v>
      </c>
      <c r="D461">
        <v>76023142</v>
      </c>
      <c r="E461">
        <v>3001990</v>
      </c>
      <c r="F461" t="s">
        <v>39</v>
      </c>
      <c r="G461">
        <v>300</v>
      </c>
      <c r="H461" t="str">
        <f>VLOOKUP(A461,'SV Child INS Apr'!$A:$H,1,0)</f>
        <v>76023142</v>
      </c>
      <c r="L461" t="e">
        <f>VLOOKUP(A461,'TV Apr Prorated Billing Sites'!$A:$I,1,0)</f>
        <v>#N/A</v>
      </c>
    </row>
    <row r="462" spans="1:12">
      <c r="A462" t="str">
        <f t="shared" si="9"/>
        <v>76023315</v>
      </c>
      <c r="B462" t="s">
        <v>2338</v>
      </c>
      <c r="C462" t="s">
        <v>2339</v>
      </c>
      <c r="D462">
        <v>76023315</v>
      </c>
      <c r="E462">
        <v>2502544</v>
      </c>
      <c r="F462" t="s">
        <v>39</v>
      </c>
      <c r="G462">
        <v>300</v>
      </c>
      <c r="H462" t="str">
        <f>VLOOKUP(A462,'SV Child INS Apr'!$A:$H,1,0)</f>
        <v>76023315</v>
      </c>
      <c r="L462" t="e">
        <f>VLOOKUP(A462,'TV Apr Prorated Billing Sites'!$A:$I,1,0)</f>
        <v>#N/A</v>
      </c>
    </row>
    <row r="463" spans="1:12">
      <c r="A463" t="str">
        <f t="shared" si="9"/>
        <v>76023577</v>
      </c>
      <c r="B463" t="s">
        <v>2340</v>
      </c>
      <c r="C463" t="s">
        <v>2341</v>
      </c>
      <c r="D463">
        <v>76023577</v>
      </c>
      <c r="E463">
        <v>3001713</v>
      </c>
      <c r="F463" t="s">
        <v>39</v>
      </c>
      <c r="G463">
        <v>300</v>
      </c>
      <c r="H463" t="str">
        <f>VLOOKUP(A463,'SV Child INS Apr'!$A:$H,1,0)</f>
        <v>76023577</v>
      </c>
      <c r="L463" t="str">
        <f>VLOOKUP(A463,'TV Apr Prorated Billing Sites'!$A:$I,1,0)</f>
        <v>76023577</v>
      </c>
    </row>
    <row r="464" spans="1:12">
      <c r="A464" t="str">
        <f t="shared" si="9"/>
        <v>76023606</v>
      </c>
      <c r="B464" t="s">
        <v>2342</v>
      </c>
      <c r="C464" t="s">
        <v>2343</v>
      </c>
      <c r="D464">
        <v>76023606</v>
      </c>
      <c r="E464">
        <v>2503588</v>
      </c>
      <c r="F464" t="s">
        <v>39</v>
      </c>
      <c r="G464">
        <v>300</v>
      </c>
      <c r="H464" t="str">
        <f>VLOOKUP(A464,'SV Child INS Apr'!$A:$H,1,0)</f>
        <v>76023606</v>
      </c>
      <c r="L464" t="e">
        <f>VLOOKUP(A464,'TV Apr Prorated Billing Sites'!$A:$I,1,0)</f>
        <v>#N/A</v>
      </c>
    </row>
    <row r="465" spans="1:12">
      <c r="A465" t="str">
        <f t="shared" si="9"/>
        <v>76023788</v>
      </c>
      <c r="B465" t="s">
        <v>2344</v>
      </c>
      <c r="C465" t="s">
        <v>2345</v>
      </c>
      <c r="D465">
        <v>76023788</v>
      </c>
      <c r="E465">
        <v>2502440</v>
      </c>
      <c r="F465" t="s">
        <v>39</v>
      </c>
      <c r="G465">
        <v>450</v>
      </c>
      <c r="H465" t="str">
        <f>VLOOKUP(A465,'SV Child INS Apr'!$A:$H,1,0)</f>
        <v>76023788</v>
      </c>
      <c r="L465" t="e">
        <f>VLOOKUP(A465,'TV Apr Prorated Billing Sites'!$A:$I,1,0)</f>
        <v>#N/A</v>
      </c>
    </row>
    <row r="466" spans="1:12">
      <c r="A466" t="str">
        <f t="shared" si="9"/>
        <v>76023794</v>
      </c>
      <c r="B466" t="s">
        <v>2346</v>
      </c>
      <c r="C466" t="s">
        <v>2347</v>
      </c>
      <c r="D466">
        <v>76023794</v>
      </c>
      <c r="E466">
        <v>6096</v>
      </c>
      <c r="F466" t="s">
        <v>39</v>
      </c>
      <c r="G466">
        <v>450</v>
      </c>
      <c r="H466" t="str">
        <f>VLOOKUP(A466,'SV Child INS Apr'!$A:$H,1,0)</f>
        <v>76023794</v>
      </c>
      <c r="L466" t="e">
        <f>VLOOKUP(A466,'TV Apr Prorated Billing Sites'!$A:$I,1,0)</f>
        <v>#N/A</v>
      </c>
    </row>
    <row r="467" spans="1:12">
      <c r="A467" t="str">
        <f t="shared" si="9"/>
        <v>76023809</v>
      </c>
      <c r="B467" t="s">
        <v>2348</v>
      </c>
      <c r="C467" t="s">
        <v>2349</v>
      </c>
      <c r="D467">
        <v>76023809</v>
      </c>
      <c r="E467">
        <v>2503224</v>
      </c>
      <c r="F467" t="s">
        <v>39</v>
      </c>
      <c r="G467">
        <v>300</v>
      </c>
      <c r="H467" t="str">
        <f>VLOOKUP(A467,'SV Child INS Apr'!$A:$H,1,0)</f>
        <v>76023809</v>
      </c>
      <c r="L467" t="e">
        <f>VLOOKUP(A467,'TV Apr Prorated Billing Sites'!$A:$I,1,0)</f>
        <v>#N/A</v>
      </c>
    </row>
    <row r="468" spans="1:12">
      <c r="A468" t="str">
        <f t="shared" si="9"/>
        <v>76023859</v>
      </c>
      <c r="B468" t="s">
        <v>2350</v>
      </c>
      <c r="C468" t="s">
        <v>2351</v>
      </c>
      <c r="D468">
        <v>76023859</v>
      </c>
      <c r="E468">
        <v>396</v>
      </c>
      <c r="F468" t="s">
        <v>39</v>
      </c>
      <c r="G468">
        <v>300</v>
      </c>
      <c r="H468" t="str">
        <f>VLOOKUP(A468,'SV Child INS Apr'!$A:$H,1,0)</f>
        <v>76023859</v>
      </c>
      <c r="L468" t="e">
        <f>VLOOKUP(A468,'TV Apr Prorated Billing Sites'!$A:$I,1,0)</f>
        <v>#N/A</v>
      </c>
    </row>
    <row r="469" spans="1:12">
      <c r="A469" t="str">
        <f t="shared" si="9"/>
        <v>76024129</v>
      </c>
      <c r="B469" t="s">
        <v>2352</v>
      </c>
      <c r="C469" t="s">
        <v>2353</v>
      </c>
      <c r="D469">
        <v>76024129</v>
      </c>
      <c r="E469">
        <v>143029</v>
      </c>
      <c r="F469" t="s">
        <v>39</v>
      </c>
      <c r="G469">
        <v>300</v>
      </c>
      <c r="H469" t="e">
        <f>VLOOKUP(A469,'SV Child INS Apr'!$A:$H,1,0)</f>
        <v>#N/A</v>
      </c>
      <c r="I469" t="str">
        <f>VLOOKUP(B469,'SV Child INS Apr'!$D:$F,1,0)</f>
        <v>PREMIER TOYOTA</v>
      </c>
      <c r="L469" t="e">
        <f>VLOOKUP(A469,'TV Apr Prorated Billing Sites'!$A:$I,1,0)</f>
        <v>#N/A</v>
      </c>
    </row>
    <row r="470" spans="1:12">
      <c r="A470" t="str">
        <f t="shared" si="9"/>
        <v>76024132</v>
      </c>
      <c r="B470" t="s">
        <v>2354</v>
      </c>
      <c r="C470" t="s">
        <v>2355</v>
      </c>
      <c r="D470">
        <v>76024132</v>
      </c>
      <c r="E470">
        <v>3000325</v>
      </c>
      <c r="F470" t="s">
        <v>39</v>
      </c>
      <c r="G470">
        <v>300</v>
      </c>
      <c r="H470" t="str">
        <f>VLOOKUP(A470,'SV Child INS Apr'!$A:$H,1,0)</f>
        <v>76024132</v>
      </c>
      <c r="L470" t="e">
        <f>VLOOKUP(A470,'TV Apr Prorated Billing Sites'!$A:$I,1,0)</f>
        <v>#N/A</v>
      </c>
    </row>
    <row r="471" spans="1:12">
      <c r="A471" t="str">
        <f t="shared" si="9"/>
        <v>76024834</v>
      </c>
      <c r="B471" t="s">
        <v>2356</v>
      </c>
      <c r="C471" t="s">
        <v>2357</v>
      </c>
      <c r="D471">
        <v>76024834</v>
      </c>
      <c r="E471">
        <v>2501869</v>
      </c>
      <c r="F471" t="s">
        <v>39</v>
      </c>
      <c r="G471">
        <v>450</v>
      </c>
      <c r="H471" t="str">
        <f>VLOOKUP(A471,'SV Child INS Apr'!$A:$H,1,0)</f>
        <v>76024834</v>
      </c>
      <c r="L471" t="e">
        <f>VLOOKUP(A471,'TV Apr Prorated Billing Sites'!$A:$I,1,0)</f>
        <v>#N/A</v>
      </c>
    </row>
    <row r="472" spans="1:12">
      <c r="A472" t="str">
        <f t="shared" si="9"/>
        <v>76025289</v>
      </c>
      <c r="B472" t="s">
        <v>2358</v>
      </c>
      <c r="C472" t="s">
        <v>2359</v>
      </c>
      <c r="D472">
        <v>76025289</v>
      </c>
      <c r="E472">
        <v>2002086</v>
      </c>
      <c r="F472" t="s">
        <v>39</v>
      </c>
      <c r="G472">
        <v>450</v>
      </c>
      <c r="H472" t="str">
        <f>VLOOKUP(A472,'SV Child INS Apr'!$A:$H,1,0)</f>
        <v>76025289</v>
      </c>
      <c r="L472" t="e">
        <f>VLOOKUP(A472,'TV Apr Prorated Billing Sites'!$A:$I,1,0)</f>
        <v>#N/A</v>
      </c>
    </row>
    <row r="473" spans="1:12">
      <c r="A473" t="str">
        <f t="shared" si="9"/>
        <v>76025293</v>
      </c>
      <c r="B473" t="s">
        <v>72</v>
      </c>
      <c r="C473" t="s">
        <v>73</v>
      </c>
      <c r="D473">
        <v>76025293</v>
      </c>
      <c r="E473">
        <v>2502775</v>
      </c>
      <c r="F473" t="s">
        <v>39</v>
      </c>
      <c r="G473">
        <v>300</v>
      </c>
      <c r="H473" t="e">
        <f>VLOOKUP(A473,'SV Child INS Apr'!$A:$H,1,0)</f>
        <v>#N/A</v>
      </c>
      <c r="I473" t="e">
        <f>VLOOKUP(B473,'SV Child INS Apr'!$D:$F,1,0)</f>
        <v>#N/A</v>
      </c>
      <c r="J473" t="e">
        <f>VLOOKUP(A473,'SV Child BLG Apr'!$A:$J,1,0)</f>
        <v>#N/A</v>
      </c>
      <c r="K473" t="e">
        <f>VLOOKUP(B473,'SV Child BLG Apr'!$D:$I,1,0)</f>
        <v>#N/A</v>
      </c>
      <c r="L473" t="e">
        <f>VLOOKUP(A473,'TV Apr Prorated Billing Sites'!$A:$I,1,0)</f>
        <v>#N/A</v>
      </c>
    </row>
    <row r="474" spans="1:12">
      <c r="A474" t="str">
        <f t="shared" si="9"/>
        <v>76025294</v>
      </c>
      <c r="B474" t="s">
        <v>2360</v>
      </c>
      <c r="C474" t="s">
        <v>2361</v>
      </c>
      <c r="D474">
        <v>76025294</v>
      </c>
      <c r="E474">
        <v>6002</v>
      </c>
      <c r="F474" t="s">
        <v>39</v>
      </c>
      <c r="G474">
        <v>300</v>
      </c>
      <c r="H474" t="str">
        <f>VLOOKUP(A474,'SV Child INS Apr'!$A:$H,1,0)</f>
        <v>76025294</v>
      </c>
      <c r="L474" t="e">
        <f>VLOOKUP(A474,'TV Apr Prorated Billing Sites'!$A:$I,1,0)</f>
        <v>#N/A</v>
      </c>
    </row>
    <row r="475" spans="1:12">
      <c r="A475" t="str">
        <f t="shared" si="9"/>
        <v>76025457</v>
      </c>
      <c r="B475" t="s">
        <v>2362</v>
      </c>
      <c r="C475" t="s">
        <v>2363</v>
      </c>
      <c r="D475">
        <v>76025457</v>
      </c>
      <c r="E475">
        <v>3000815</v>
      </c>
      <c r="F475" t="s">
        <v>39</v>
      </c>
      <c r="G475">
        <v>300</v>
      </c>
      <c r="H475" t="str">
        <f>VLOOKUP(A475,'SV Child INS Apr'!$A:$H,1,0)</f>
        <v>76025457</v>
      </c>
      <c r="L475" t="e">
        <f>VLOOKUP(A475,'TV Apr Prorated Billing Sites'!$A:$I,1,0)</f>
        <v>#N/A</v>
      </c>
    </row>
    <row r="476" spans="1:12">
      <c r="A476" t="str">
        <f t="shared" si="9"/>
        <v>76025893</v>
      </c>
      <c r="B476" t="s">
        <v>2364</v>
      </c>
      <c r="C476" t="s">
        <v>2365</v>
      </c>
      <c r="D476">
        <v>76025893</v>
      </c>
      <c r="E476">
        <v>2503335</v>
      </c>
      <c r="F476" t="s">
        <v>39</v>
      </c>
      <c r="G476">
        <v>300</v>
      </c>
      <c r="H476" t="str">
        <f>VLOOKUP(A476,'SV Child INS Apr'!$A:$H,1,0)</f>
        <v>76025893</v>
      </c>
      <c r="L476" t="e">
        <f>VLOOKUP(A476,'TV Apr Prorated Billing Sites'!$A:$I,1,0)</f>
        <v>#N/A</v>
      </c>
    </row>
    <row r="477" spans="1:12">
      <c r="A477" t="str">
        <f t="shared" si="9"/>
        <v>76025960</v>
      </c>
      <c r="B477" t="s">
        <v>2366</v>
      </c>
      <c r="C477" t="s">
        <v>2367</v>
      </c>
      <c r="D477">
        <v>76025960</v>
      </c>
      <c r="E477">
        <v>3404</v>
      </c>
      <c r="F477" t="s">
        <v>39</v>
      </c>
      <c r="G477">
        <v>300</v>
      </c>
      <c r="H477" t="str">
        <f>VLOOKUP(A477,'SV Child INS Apr'!$A:$H,1,0)</f>
        <v>76025960</v>
      </c>
      <c r="L477" t="e">
        <f>VLOOKUP(A477,'TV Apr Prorated Billing Sites'!$A:$I,1,0)</f>
        <v>#N/A</v>
      </c>
    </row>
    <row r="478" spans="1:12">
      <c r="A478" t="str">
        <f t="shared" si="9"/>
        <v>76025961</v>
      </c>
      <c r="B478" t="s">
        <v>2368</v>
      </c>
      <c r="C478" t="s">
        <v>2369</v>
      </c>
      <c r="D478">
        <v>76025961</v>
      </c>
      <c r="E478">
        <v>2503337</v>
      </c>
      <c r="F478" t="s">
        <v>39</v>
      </c>
      <c r="G478">
        <v>300</v>
      </c>
      <c r="H478" t="str">
        <f>VLOOKUP(A478,'SV Child INS Apr'!$A:$H,1,0)</f>
        <v>76025961</v>
      </c>
      <c r="L478" t="e">
        <f>VLOOKUP(A478,'TV Apr Prorated Billing Sites'!$A:$I,1,0)</f>
        <v>#N/A</v>
      </c>
    </row>
    <row r="479" spans="1:12">
      <c r="A479" t="str">
        <f t="shared" si="9"/>
        <v>76026142</v>
      </c>
      <c r="B479" t="s">
        <v>2370</v>
      </c>
      <c r="C479" t="s">
        <v>2371</v>
      </c>
      <c r="D479">
        <v>76026142</v>
      </c>
      <c r="E479">
        <v>1500152</v>
      </c>
      <c r="F479" t="s">
        <v>39</v>
      </c>
      <c r="G479">
        <v>300</v>
      </c>
      <c r="H479" t="str">
        <f>VLOOKUP(A479,'SV Child INS Apr'!$A:$H,1,0)</f>
        <v>76026142</v>
      </c>
      <c r="L479" t="e">
        <f>VLOOKUP(A479,'TV Apr Prorated Billing Sites'!$A:$I,1,0)</f>
        <v>#N/A</v>
      </c>
    </row>
    <row r="480" spans="1:12">
      <c r="A480" t="str">
        <f t="shared" si="9"/>
        <v>76026176</v>
      </c>
      <c r="B480" t="s">
        <v>2372</v>
      </c>
      <c r="C480" t="s">
        <v>2373</v>
      </c>
      <c r="D480">
        <v>76026176</v>
      </c>
      <c r="E480">
        <v>10011</v>
      </c>
      <c r="F480" t="s">
        <v>39</v>
      </c>
      <c r="G480">
        <v>300</v>
      </c>
      <c r="H480" t="str">
        <f>VLOOKUP(A480,'SV Child INS Apr'!$A:$H,1,0)</f>
        <v>76026176</v>
      </c>
      <c r="L480" t="str">
        <f>VLOOKUP(A480,'TV Apr Prorated Billing Sites'!$A:$I,1,0)</f>
        <v>76026176</v>
      </c>
    </row>
    <row r="481" spans="1:13">
      <c r="A481" t="str">
        <f t="shared" si="9"/>
        <v>76026210</v>
      </c>
      <c r="B481" t="s">
        <v>2374</v>
      </c>
      <c r="C481" t="s">
        <v>2375</v>
      </c>
      <c r="D481">
        <v>76026210</v>
      </c>
      <c r="E481">
        <v>2503541</v>
      </c>
      <c r="F481" t="s">
        <v>39</v>
      </c>
      <c r="G481">
        <v>300</v>
      </c>
      <c r="H481" t="str">
        <f>VLOOKUP(A481,'SV Child INS Apr'!$A:$H,1,0)</f>
        <v>76026210</v>
      </c>
      <c r="L481" t="e">
        <f>VLOOKUP(A481,'TV Apr Prorated Billing Sites'!$A:$I,1,0)</f>
        <v>#N/A</v>
      </c>
    </row>
    <row r="482" spans="1:13">
      <c r="A482" t="str">
        <f t="shared" si="9"/>
        <v>76026362</v>
      </c>
      <c r="B482" t="s">
        <v>2376</v>
      </c>
      <c r="C482" t="s">
        <v>2377</v>
      </c>
      <c r="D482">
        <v>76026362</v>
      </c>
      <c r="E482">
        <v>2503444</v>
      </c>
      <c r="F482" t="s">
        <v>39</v>
      </c>
      <c r="G482">
        <v>300</v>
      </c>
      <c r="H482" t="str">
        <f>VLOOKUP(A482,'SV Child INS Apr'!$A:$H,1,0)</f>
        <v>76026362</v>
      </c>
      <c r="L482" t="e">
        <f>VLOOKUP(A482,'TV Apr Prorated Billing Sites'!$A:$I,1,0)</f>
        <v>#N/A</v>
      </c>
    </row>
    <row r="483" spans="1:13">
      <c r="A483" t="str">
        <f t="shared" si="9"/>
        <v>76026375</v>
      </c>
      <c r="B483" t="s">
        <v>2378</v>
      </c>
      <c r="C483" t="s">
        <v>2379</v>
      </c>
      <c r="D483">
        <v>76026375</v>
      </c>
      <c r="E483">
        <v>2001894</v>
      </c>
      <c r="F483" t="s">
        <v>39</v>
      </c>
      <c r="G483">
        <v>300</v>
      </c>
      <c r="H483" t="str">
        <f>VLOOKUP(A483,'SV Child INS Apr'!$A:$H,1,0)</f>
        <v>76026375</v>
      </c>
      <c r="L483" t="e">
        <f>VLOOKUP(A483,'TV Apr Prorated Billing Sites'!$A:$I,1,0)</f>
        <v>#N/A</v>
      </c>
    </row>
    <row r="484" spans="1:13">
      <c r="A484" t="str">
        <f t="shared" si="9"/>
        <v>76026920</v>
      </c>
      <c r="B484" t="s">
        <v>2380</v>
      </c>
      <c r="C484" t="s">
        <v>2381</v>
      </c>
      <c r="D484">
        <v>76026920</v>
      </c>
      <c r="E484">
        <v>3000857</v>
      </c>
      <c r="F484" t="s">
        <v>39</v>
      </c>
      <c r="G484">
        <v>300</v>
      </c>
      <c r="H484" t="str">
        <f>VLOOKUP(A484,'SV Child INS Apr'!$A:$H,1,0)</f>
        <v>76026920</v>
      </c>
      <c r="L484" t="e">
        <f>VLOOKUP(A484,'TV Apr Prorated Billing Sites'!$A:$I,1,0)</f>
        <v>#N/A</v>
      </c>
    </row>
    <row r="485" spans="1:13">
      <c r="A485" t="str">
        <f t="shared" si="9"/>
        <v>76027143</v>
      </c>
      <c r="B485" t="s">
        <v>2382</v>
      </c>
      <c r="C485" t="s">
        <v>2383</v>
      </c>
      <c r="D485">
        <v>76027143</v>
      </c>
      <c r="E485">
        <v>2000763</v>
      </c>
      <c r="F485" t="s">
        <v>39</v>
      </c>
      <c r="G485">
        <v>450</v>
      </c>
      <c r="H485" t="str">
        <f>VLOOKUP(A485,'SV Child INS Apr'!$A:$H,1,0)</f>
        <v>76027143</v>
      </c>
      <c r="L485" t="e">
        <f>VLOOKUP(A485,'TV Apr Prorated Billing Sites'!$A:$I,1,0)</f>
        <v>#N/A</v>
      </c>
    </row>
    <row r="486" spans="1:13">
      <c r="A486" t="str">
        <f t="shared" si="9"/>
        <v>76027238</v>
      </c>
      <c r="B486" t="s">
        <v>2384</v>
      </c>
      <c r="C486" t="s">
        <v>2385</v>
      </c>
      <c r="D486">
        <v>76027238</v>
      </c>
      <c r="E486">
        <v>2600006</v>
      </c>
      <c r="F486" t="s">
        <v>39</v>
      </c>
      <c r="G486">
        <v>300</v>
      </c>
      <c r="H486" t="str">
        <f>VLOOKUP(A486,'SV Child INS Apr'!$A:$H,1,0)</f>
        <v>76027238</v>
      </c>
      <c r="L486" t="e">
        <f>VLOOKUP(A486,'TV Apr Prorated Billing Sites'!$A:$I,1,0)</f>
        <v>#N/A</v>
      </c>
    </row>
    <row r="487" spans="1:13">
      <c r="A487" t="str">
        <f t="shared" si="9"/>
        <v>76027522</v>
      </c>
      <c r="B487" t="s">
        <v>2386</v>
      </c>
      <c r="C487" t="s">
        <v>2387</v>
      </c>
      <c r="D487">
        <v>76027522</v>
      </c>
      <c r="E487">
        <v>2000259</v>
      </c>
      <c r="F487" t="s">
        <v>39</v>
      </c>
      <c r="G487">
        <v>300</v>
      </c>
      <c r="H487" t="str">
        <f>VLOOKUP(A487,'SV Child INS Apr'!$A:$H,1,0)</f>
        <v>76027522</v>
      </c>
      <c r="L487" t="e">
        <f>VLOOKUP(A487,'TV Apr Prorated Billing Sites'!$A:$I,1,0)</f>
        <v>#N/A</v>
      </c>
    </row>
    <row r="488" spans="1:13">
      <c r="A488" t="str">
        <f t="shared" si="9"/>
        <v>76027813</v>
      </c>
      <c r="B488" t="s">
        <v>2388</v>
      </c>
      <c r="C488" t="s">
        <v>2389</v>
      </c>
      <c r="D488">
        <v>76027813</v>
      </c>
      <c r="E488">
        <v>8060</v>
      </c>
      <c r="F488" t="s">
        <v>39</v>
      </c>
      <c r="G488">
        <v>450</v>
      </c>
      <c r="H488" t="str">
        <f>VLOOKUP(A488,'SV Child INS Apr'!$A:$H,1,0)</f>
        <v>76027813</v>
      </c>
      <c r="L488" t="e">
        <f>VLOOKUP(A488,'TV Apr Prorated Billing Sites'!$A:$I,1,0)</f>
        <v>#N/A</v>
      </c>
    </row>
    <row r="489" spans="1:13">
      <c r="A489" t="str">
        <f t="shared" ref="A489:A552" si="10">TRIM(D489)</f>
        <v>76028715</v>
      </c>
      <c r="B489" t="s">
        <v>75</v>
      </c>
      <c r="C489" t="s">
        <v>76</v>
      </c>
      <c r="D489">
        <v>76028715</v>
      </c>
      <c r="E489">
        <v>2000422</v>
      </c>
      <c r="F489" t="s">
        <v>39</v>
      </c>
      <c r="G489">
        <v>450</v>
      </c>
      <c r="H489" t="e">
        <f>VLOOKUP(A489,'SV Child INS Apr'!$A:$H,1,0)</f>
        <v>#N/A</v>
      </c>
      <c r="I489" t="e">
        <f>VLOOKUP(B489,'SV Child INS Apr'!$D:$F,1,0)</f>
        <v>#N/A</v>
      </c>
      <c r="J489" t="e">
        <f>VLOOKUP(A489,'SV Child BLG Apr'!$A:$J,1,0)</f>
        <v>#N/A</v>
      </c>
      <c r="K489" t="e">
        <f>VLOOKUP(B489,'SV Child BLG Apr'!$D:$I,1,0)</f>
        <v>#N/A</v>
      </c>
      <c r="L489" t="e">
        <f>VLOOKUP(A489,'TV Apr Prorated Billing Sites'!$A:$I,1,0)</f>
        <v>#N/A</v>
      </c>
    </row>
    <row r="490" spans="1:13">
      <c r="A490" t="str">
        <f t="shared" si="10"/>
        <v>76028944</v>
      </c>
      <c r="B490" t="s">
        <v>2390</v>
      </c>
      <c r="C490" t="s">
        <v>2391</v>
      </c>
      <c r="D490">
        <v>76028944</v>
      </c>
      <c r="E490">
        <v>12120</v>
      </c>
      <c r="F490" t="s">
        <v>39</v>
      </c>
      <c r="G490">
        <v>300</v>
      </c>
      <c r="H490" t="str">
        <f>VLOOKUP(A490,'SV Child INS Apr'!$A:$H,1,0)</f>
        <v>76028944</v>
      </c>
      <c r="L490" t="e">
        <f>VLOOKUP(A490,'TV Apr Prorated Billing Sites'!$A:$I,1,0)</f>
        <v>#N/A</v>
      </c>
    </row>
    <row r="491" spans="1:13">
      <c r="A491" t="str">
        <f t="shared" si="10"/>
        <v>76030318</v>
      </c>
      <c r="B491" t="s">
        <v>2392</v>
      </c>
      <c r="C491" t="s">
        <v>2393</v>
      </c>
      <c r="D491">
        <v>76030318</v>
      </c>
      <c r="E491">
        <v>2503285</v>
      </c>
      <c r="F491" t="s">
        <v>39</v>
      </c>
      <c r="G491">
        <v>300</v>
      </c>
      <c r="H491" t="str">
        <f>VLOOKUP(A491,'SV Child INS Apr'!$A:$H,1,0)</f>
        <v>76030318</v>
      </c>
      <c r="L491" t="e">
        <f>VLOOKUP(A491,'TV Apr Prorated Billing Sites'!$A:$I,1,0)</f>
        <v>#N/A</v>
      </c>
    </row>
    <row r="492" spans="1:13">
      <c r="A492" t="str">
        <f t="shared" si="10"/>
        <v>76030678</v>
      </c>
      <c r="B492" t="s">
        <v>2394</v>
      </c>
      <c r="C492" t="s">
        <v>2395</v>
      </c>
      <c r="D492">
        <v>76030678</v>
      </c>
      <c r="E492">
        <v>2000239</v>
      </c>
      <c r="F492" t="s">
        <v>39</v>
      </c>
      <c r="G492">
        <v>300</v>
      </c>
      <c r="H492" t="e">
        <f>VLOOKUP(A492,'SV Child INS Apr'!$A:$H,1,0)</f>
        <v>#N/A</v>
      </c>
      <c r="I492" t="str">
        <f>VLOOKUP(B492,'SV Child INS Apr'!$D:$F,1,0)</f>
        <v>TOYOTA DE BAYAMON</v>
      </c>
      <c r="L492" t="e">
        <f>VLOOKUP(A492,'TV Apr Prorated Billing Sites'!$A:$I,1,0)</f>
        <v>#N/A</v>
      </c>
    </row>
    <row r="493" spans="1:13">
      <c r="A493" t="str">
        <f t="shared" si="10"/>
        <v>76030961</v>
      </c>
      <c r="B493" t="s">
        <v>2396</v>
      </c>
      <c r="C493" t="s">
        <v>2397</v>
      </c>
      <c r="D493">
        <v>76030961</v>
      </c>
      <c r="E493">
        <v>2002228</v>
      </c>
      <c r="F493" t="s">
        <v>39</v>
      </c>
      <c r="G493">
        <v>300</v>
      </c>
      <c r="H493" t="str">
        <f>VLOOKUP(A493,'SV Child INS Apr'!$A:$H,1,0)</f>
        <v>76030961</v>
      </c>
      <c r="L493" t="e">
        <f>VLOOKUP(A493,'TV Apr Prorated Billing Sites'!$A:$I,1,0)</f>
        <v>#N/A</v>
      </c>
    </row>
    <row r="494" spans="1:13">
      <c r="A494" t="str">
        <f t="shared" si="10"/>
        <v>76031048</v>
      </c>
      <c r="B494" t="s">
        <v>2398</v>
      </c>
      <c r="C494" t="s">
        <v>2399</v>
      </c>
      <c r="D494">
        <v>76031048</v>
      </c>
      <c r="E494">
        <v>2500503</v>
      </c>
      <c r="F494" t="s">
        <v>39</v>
      </c>
      <c r="G494">
        <v>300</v>
      </c>
      <c r="H494" t="str">
        <f>VLOOKUP(A494,'SV Child INS Apr'!$A:$H,1,0)</f>
        <v>76031048</v>
      </c>
      <c r="L494" t="e">
        <f>VLOOKUP(A494,'TV Apr Prorated Billing Sites'!$A:$I,1,0)</f>
        <v>#N/A</v>
      </c>
    </row>
    <row r="495" spans="1:13">
      <c r="A495" t="str">
        <f t="shared" si="10"/>
        <v>76031206</v>
      </c>
      <c r="B495" t="s">
        <v>461</v>
      </c>
      <c r="C495" t="s">
        <v>462</v>
      </c>
      <c r="D495">
        <v>76031206</v>
      </c>
      <c r="E495">
        <v>903072</v>
      </c>
      <c r="F495" t="s">
        <v>39</v>
      </c>
      <c r="G495">
        <v>300</v>
      </c>
      <c r="H495" t="e">
        <f>VLOOKUP(A495,'SV Child INS Apr'!$A:$H,1,0)</f>
        <v>#N/A</v>
      </c>
      <c r="I495" t="e">
        <f>VLOOKUP(B495,'SV Child INS Apr'!$D:$F,1,0)</f>
        <v>#N/A</v>
      </c>
      <c r="J495" t="str">
        <f>VLOOKUP(A495,'SV Child BLG Apr'!$A:$J,1,0)</f>
        <v>76031206</v>
      </c>
      <c r="L495" t="e">
        <f>VLOOKUP(A495,'TV Apr Prorated Billing Sites'!$A:$I,1,0)</f>
        <v>#N/A</v>
      </c>
      <c r="M495" t="e">
        <f>VLOOKUP(A495,'CDK asked to retain list'!$H$1:$J$24,1,0)</f>
        <v>#N/A</v>
      </c>
    </row>
    <row r="496" spans="1:13">
      <c r="A496" t="str">
        <f t="shared" si="10"/>
        <v>76031489</v>
      </c>
      <c r="B496" t="s">
        <v>2400</v>
      </c>
      <c r="C496" t="s">
        <v>2401</v>
      </c>
      <c r="D496">
        <v>76031489</v>
      </c>
      <c r="E496">
        <v>361</v>
      </c>
      <c r="F496" t="s">
        <v>39</v>
      </c>
      <c r="G496">
        <v>300</v>
      </c>
      <c r="H496" t="str">
        <f>VLOOKUP(A496,'SV Child INS Apr'!$A:$H,1,0)</f>
        <v>76031489</v>
      </c>
      <c r="L496" t="e">
        <f>VLOOKUP(A496,'TV Apr Prorated Billing Sites'!$A:$I,1,0)</f>
        <v>#N/A</v>
      </c>
    </row>
    <row r="497" spans="1:13">
      <c r="A497" t="str">
        <f t="shared" si="10"/>
        <v>76031627</v>
      </c>
      <c r="B497" t="s">
        <v>2402</v>
      </c>
      <c r="C497" t="s">
        <v>2403</v>
      </c>
      <c r="D497">
        <v>76031627</v>
      </c>
      <c r="E497">
        <v>2002212</v>
      </c>
      <c r="F497" t="s">
        <v>39</v>
      </c>
      <c r="G497">
        <v>400</v>
      </c>
      <c r="H497" t="str">
        <f>VLOOKUP(A497,'SV Child INS Apr'!$A:$H,1,0)</f>
        <v>76031627</v>
      </c>
      <c r="L497" t="e">
        <f>VLOOKUP(A497,'TV Apr Prorated Billing Sites'!$A:$I,1,0)</f>
        <v>#N/A</v>
      </c>
    </row>
    <row r="498" spans="1:13">
      <c r="A498" t="str">
        <f t="shared" si="10"/>
        <v>76031932</v>
      </c>
      <c r="B498" t="s">
        <v>2404</v>
      </c>
      <c r="C498" t="s">
        <v>2405</v>
      </c>
      <c r="D498">
        <v>76031932</v>
      </c>
      <c r="E498">
        <v>2000624</v>
      </c>
      <c r="F498" t="s">
        <v>39</v>
      </c>
      <c r="G498">
        <v>300</v>
      </c>
      <c r="H498" t="str">
        <f>VLOOKUP(A498,'SV Child INS Apr'!$A:$H,1,0)</f>
        <v>76031932</v>
      </c>
      <c r="L498" t="e">
        <f>VLOOKUP(A498,'TV Apr Prorated Billing Sites'!$A:$I,1,0)</f>
        <v>#N/A</v>
      </c>
    </row>
    <row r="499" spans="1:13">
      <c r="A499" t="str">
        <f t="shared" si="10"/>
        <v>76032340</v>
      </c>
      <c r="B499" t="s">
        <v>2406</v>
      </c>
      <c r="C499" t="s">
        <v>2407</v>
      </c>
      <c r="D499">
        <v>76032340</v>
      </c>
      <c r="E499">
        <v>2001777</v>
      </c>
      <c r="F499" t="s">
        <v>39</v>
      </c>
      <c r="G499">
        <v>300</v>
      </c>
      <c r="H499" t="str">
        <f>VLOOKUP(A499,'SV Child INS Apr'!$A:$H,1,0)</f>
        <v>76032340</v>
      </c>
      <c r="L499" t="e">
        <f>VLOOKUP(A499,'TV Apr Prorated Billing Sites'!$A:$I,1,0)</f>
        <v>#N/A</v>
      </c>
    </row>
    <row r="500" spans="1:13">
      <c r="A500" t="str">
        <f t="shared" si="10"/>
        <v>76032341</v>
      </c>
      <c r="B500" t="s">
        <v>2408</v>
      </c>
      <c r="C500" t="s">
        <v>2409</v>
      </c>
      <c r="D500">
        <v>76032341</v>
      </c>
      <c r="E500" t="s">
        <v>438</v>
      </c>
      <c r="F500" t="s">
        <v>39</v>
      </c>
      <c r="G500">
        <v>600</v>
      </c>
      <c r="H500" t="str">
        <f>VLOOKUP(A500,'SV Child INS Apr'!$A:$H,1,0)</f>
        <v>76032341</v>
      </c>
      <c r="L500" t="e">
        <f>VLOOKUP(A500,'TV Apr Prorated Billing Sites'!$A:$I,1,0)</f>
        <v>#N/A</v>
      </c>
    </row>
    <row r="501" spans="1:13">
      <c r="A501" t="str">
        <f t="shared" si="10"/>
        <v>76032553</v>
      </c>
      <c r="B501" t="s">
        <v>2410</v>
      </c>
      <c r="C501" t="s">
        <v>2411</v>
      </c>
      <c r="D501">
        <v>76032553</v>
      </c>
      <c r="E501">
        <v>10135</v>
      </c>
      <c r="F501" t="s">
        <v>39</v>
      </c>
      <c r="G501">
        <v>300</v>
      </c>
      <c r="H501" t="str">
        <f>VLOOKUP(A501,'SV Child INS Apr'!$A:$H,1,0)</f>
        <v>76032553</v>
      </c>
      <c r="L501" t="e">
        <f>VLOOKUP(A501,'TV Apr Prorated Billing Sites'!$A:$I,1,0)</f>
        <v>#N/A</v>
      </c>
    </row>
    <row r="502" spans="1:13">
      <c r="A502" t="str">
        <f t="shared" si="10"/>
        <v>76032591</v>
      </c>
      <c r="B502" t="s">
        <v>2412</v>
      </c>
      <c r="C502" t="s">
        <v>2413</v>
      </c>
      <c r="D502">
        <v>76032591</v>
      </c>
      <c r="E502">
        <v>3144</v>
      </c>
      <c r="F502" t="s">
        <v>39</v>
      </c>
      <c r="G502">
        <v>300</v>
      </c>
      <c r="H502" t="str">
        <f>VLOOKUP(A502,'SV Child INS Apr'!$A:$H,1,0)</f>
        <v>76032591</v>
      </c>
      <c r="L502" t="e">
        <f>VLOOKUP(A502,'TV Apr Prorated Billing Sites'!$A:$I,1,0)</f>
        <v>#N/A</v>
      </c>
    </row>
    <row r="503" spans="1:13">
      <c r="A503" t="str">
        <f t="shared" si="10"/>
        <v>76032698</v>
      </c>
      <c r="B503" t="s">
        <v>2414</v>
      </c>
      <c r="C503" t="s">
        <v>2415</v>
      </c>
      <c r="D503">
        <v>76032698</v>
      </c>
      <c r="E503">
        <v>3001139</v>
      </c>
      <c r="F503" t="s">
        <v>39</v>
      </c>
      <c r="G503">
        <v>450</v>
      </c>
      <c r="H503" t="str">
        <f>VLOOKUP(A503,'SV Child INS Apr'!$A:$H,1,0)</f>
        <v>76032698</v>
      </c>
      <c r="L503" t="e">
        <f>VLOOKUP(A503,'TV Apr Prorated Billing Sites'!$A:$I,1,0)</f>
        <v>#N/A</v>
      </c>
    </row>
    <row r="504" spans="1:13">
      <c r="A504" t="str">
        <f t="shared" si="10"/>
        <v>76032748</v>
      </c>
      <c r="B504" t="s">
        <v>464</v>
      </c>
      <c r="C504" t="s">
        <v>465</v>
      </c>
      <c r="D504">
        <v>76032748</v>
      </c>
      <c r="E504">
        <v>3002949</v>
      </c>
      <c r="F504" t="s">
        <v>39</v>
      </c>
      <c r="G504">
        <v>300</v>
      </c>
      <c r="H504" t="e">
        <f>VLOOKUP(A504,'SV Child INS Apr'!$A:$H,1,0)</f>
        <v>#N/A</v>
      </c>
      <c r="I504" t="e">
        <f>VLOOKUP(B504,'SV Child INS Apr'!$D:$F,1,0)</f>
        <v>#N/A</v>
      </c>
      <c r="J504" t="str">
        <f>VLOOKUP(A504,'SV Child BLG Apr'!$A:$J,1,0)</f>
        <v>76032748</v>
      </c>
      <c r="L504" t="str">
        <f>VLOOKUP(A504,'TV Apr Prorated Billing Sites'!$A:$I,1,0)</f>
        <v>76032748</v>
      </c>
      <c r="M504" t="e">
        <f>VLOOKUP(A504,'CDK asked to retain list'!$H$1:$J$24,1,0)</f>
        <v>#N/A</v>
      </c>
    </row>
    <row r="505" spans="1:13">
      <c r="A505" t="str">
        <f t="shared" si="10"/>
        <v>76033116</v>
      </c>
      <c r="B505" t="s">
        <v>2416</v>
      </c>
      <c r="C505" t="s">
        <v>2417</v>
      </c>
      <c r="D505">
        <v>76033116</v>
      </c>
      <c r="E505">
        <v>2500704</v>
      </c>
      <c r="F505" t="s">
        <v>39</v>
      </c>
      <c r="G505">
        <v>300</v>
      </c>
      <c r="H505" t="str">
        <f>VLOOKUP(A505,'SV Child INS Apr'!$A:$H,1,0)</f>
        <v>76033116</v>
      </c>
      <c r="L505" t="e">
        <f>VLOOKUP(A505,'TV Apr Prorated Billing Sites'!$A:$I,1,0)</f>
        <v>#N/A</v>
      </c>
    </row>
    <row r="506" spans="1:13">
      <c r="A506" t="str">
        <f t="shared" si="10"/>
        <v>76033693</v>
      </c>
      <c r="B506" t="s">
        <v>2418</v>
      </c>
      <c r="C506" t="s">
        <v>2419</v>
      </c>
      <c r="D506">
        <v>76033693</v>
      </c>
      <c r="E506">
        <v>2501487</v>
      </c>
      <c r="F506" t="s">
        <v>39</v>
      </c>
      <c r="G506">
        <v>300</v>
      </c>
      <c r="H506" t="str">
        <f>VLOOKUP(A506,'SV Child INS Apr'!$A:$H,1,0)</f>
        <v>76033693</v>
      </c>
      <c r="L506" t="e">
        <f>VLOOKUP(A506,'TV Apr Prorated Billing Sites'!$A:$I,1,0)</f>
        <v>#N/A</v>
      </c>
    </row>
    <row r="507" spans="1:13">
      <c r="A507" t="str">
        <f t="shared" si="10"/>
        <v>76034150</v>
      </c>
      <c r="B507" t="s">
        <v>2420</v>
      </c>
      <c r="C507" t="s">
        <v>2421</v>
      </c>
      <c r="D507">
        <v>76034150</v>
      </c>
      <c r="E507">
        <v>3000181</v>
      </c>
      <c r="F507" t="s">
        <v>39</v>
      </c>
      <c r="G507">
        <v>300</v>
      </c>
      <c r="H507" t="str">
        <f>VLOOKUP(A507,'SV Child INS Apr'!$A:$H,1,0)</f>
        <v>76034150</v>
      </c>
      <c r="L507" t="e">
        <f>VLOOKUP(A507,'TV Apr Prorated Billing Sites'!$A:$I,1,0)</f>
        <v>#N/A</v>
      </c>
    </row>
    <row r="508" spans="1:13">
      <c r="A508" t="str">
        <f t="shared" si="10"/>
        <v>76034154</v>
      </c>
      <c r="B508" t="s">
        <v>2422</v>
      </c>
      <c r="C508" t="s">
        <v>2423</v>
      </c>
      <c r="D508">
        <v>76034154</v>
      </c>
      <c r="E508">
        <v>2001622</v>
      </c>
      <c r="F508" t="s">
        <v>39</v>
      </c>
      <c r="G508">
        <v>300</v>
      </c>
      <c r="H508" t="str">
        <f>VLOOKUP(A508,'SV Child INS Apr'!$A:$H,1,0)</f>
        <v>76034154</v>
      </c>
      <c r="L508" t="e">
        <f>VLOOKUP(A508,'TV Apr Prorated Billing Sites'!$A:$I,1,0)</f>
        <v>#N/A</v>
      </c>
    </row>
    <row r="509" spans="1:13">
      <c r="A509" t="str">
        <f t="shared" si="10"/>
        <v>76034188</v>
      </c>
      <c r="B509" t="s">
        <v>2424</v>
      </c>
      <c r="C509" t="s">
        <v>2425</v>
      </c>
      <c r="D509">
        <v>76034188</v>
      </c>
      <c r="E509">
        <v>2503634</v>
      </c>
      <c r="F509" t="s">
        <v>39</v>
      </c>
      <c r="G509">
        <v>300</v>
      </c>
      <c r="H509" t="str">
        <f>VLOOKUP(A509,'SV Child INS Apr'!$A:$H,1,0)</f>
        <v>76034188</v>
      </c>
      <c r="L509" t="e">
        <f>VLOOKUP(A509,'TV Apr Prorated Billing Sites'!$A:$I,1,0)</f>
        <v>#N/A</v>
      </c>
    </row>
    <row r="510" spans="1:13">
      <c r="A510" t="str">
        <f t="shared" si="10"/>
        <v>76034396</v>
      </c>
      <c r="B510" t="s">
        <v>2426</v>
      </c>
      <c r="C510" t="s">
        <v>2427</v>
      </c>
      <c r="D510">
        <v>76034396</v>
      </c>
      <c r="E510">
        <v>2503573</v>
      </c>
      <c r="F510" t="s">
        <v>39</v>
      </c>
      <c r="G510">
        <v>300</v>
      </c>
      <c r="H510" t="str">
        <f>VLOOKUP(A510,'SV Child INS Apr'!$A:$H,1,0)</f>
        <v>76034396</v>
      </c>
      <c r="L510" t="str">
        <f>VLOOKUP(A510,'TV Apr Prorated Billing Sites'!$A:$I,1,0)</f>
        <v>76034396</v>
      </c>
    </row>
    <row r="511" spans="1:13">
      <c r="A511" t="str">
        <f t="shared" si="10"/>
        <v>76034470</v>
      </c>
      <c r="B511" t="s">
        <v>2428</v>
      </c>
      <c r="C511" t="s">
        <v>2429</v>
      </c>
      <c r="D511">
        <v>76034470</v>
      </c>
      <c r="E511">
        <v>2503192</v>
      </c>
      <c r="F511" t="s">
        <v>39</v>
      </c>
      <c r="G511">
        <v>300</v>
      </c>
      <c r="H511" t="str">
        <f>VLOOKUP(A511,'SV Child INS Apr'!$A:$H,1,0)</f>
        <v>76034470</v>
      </c>
      <c r="L511" t="e">
        <f>VLOOKUP(A511,'TV Apr Prorated Billing Sites'!$A:$I,1,0)</f>
        <v>#N/A</v>
      </c>
    </row>
    <row r="512" spans="1:13">
      <c r="A512" t="str">
        <f t="shared" si="10"/>
        <v>76035061</v>
      </c>
      <c r="B512" t="s">
        <v>2430</v>
      </c>
      <c r="C512" t="s">
        <v>2431</v>
      </c>
      <c r="D512">
        <v>76035061</v>
      </c>
      <c r="E512">
        <v>2002610</v>
      </c>
      <c r="F512" t="s">
        <v>39</v>
      </c>
      <c r="G512">
        <v>400</v>
      </c>
      <c r="H512" t="str">
        <f>VLOOKUP(A512,'SV Child INS Apr'!$A:$H,1,0)</f>
        <v>76035061</v>
      </c>
      <c r="L512" t="e">
        <f>VLOOKUP(A512,'TV Apr Prorated Billing Sites'!$A:$I,1,0)</f>
        <v>#N/A</v>
      </c>
    </row>
    <row r="513" spans="1:13">
      <c r="A513" t="str">
        <f t="shared" si="10"/>
        <v>76036050</v>
      </c>
      <c r="B513" t="s">
        <v>2432</v>
      </c>
      <c r="C513" t="s">
        <v>2433</v>
      </c>
      <c r="D513">
        <v>76036050</v>
      </c>
      <c r="E513">
        <v>2002131</v>
      </c>
      <c r="F513" t="s">
        <v>39</v>
      </c>
      <c r="G513">
        <v>450</v>
      </c>
      <c r="H513" t="str">
        <f>VLOOKUP(A513,'SV Child INS Apr'!$A:$H,1,0)</f>
        <v>76036050</v>
      </c>
      <c r="L513" t="e">
        <f>VLOOKUP(A513,'TV Apr Prorated Billing Sites'!$A:$I,1,0)</f>
        <v>#N/A</v>
      </c>
    </row>
    <row r="514" spans="1:13">
      <c r="A514" t="str">
        <f t="shared" si="10"/>
        <v>76036137</v>
      </c>
      <c r="B514" t="s">
        <v>467</v>
      </c>
      <c r="C514" t="s">
        <v>468</v>
      </c>
      <c r="D514">
        <v>76036137</v>
      </c>
      <c r="E514">
        <v>2501825</v>
      </c>
      <c r="F514" t="s">
        <v>39</v>
      </c>
      <c r="G514">
        <v>300</v>
      </c>
      <c r="H514" t="e">
        <f>VLOOKUP(A514,'SV Child INS Apr'!$A:$H,1,0)</f>
        <v>#N/A</v>
      </c>
      <c r="I514" t="e">
        <f>VLOOKUP(B514,'SV Child INS Apr'!$D:$F,1,0)</f>
        <v>#N/A</v>
      </c>
      <c r="J514" t="str">
        <f>VLOOKUP(A514,'SV Child BLG Apr'!$A:$J,1,0)</f>
        <v>76036137</v>
      </c>
      <c r="L514" t="str">
        <f>VLOOKUP(A514,'TV Apr Prorated Billing Sites'!$A:$I,1,0)</f>
        <v>76036137</v>
      </c>
      <c r="M514" t="e">
        <f>VLOOKUP(A514,'CDK asked to retain list'!$H$1:$J$24,1,0)</f>
        <v>#N/A</v>
      </c>
    </row>
    <row r="515" spans="1:13">
      <c r="A515" t="str">
        <f t="shared" si="10"/>
        <v>76036160</v>
      </c>
      <c r="B515" t="s">
        <v>470</v>
      </c>
      <c r="C515" t="s">
        <v>471</v>
      </c>
      <c r="D515">
        <v>76036160</v>
      </c>
      <c r="E515">
        <v>9014</v>
      </c>
      <c r="F515" t="s">
        <v>39</v>
      </c>
      <c r="G515">
        <v>300</v>
      </c>
      <c r="H515" t="e">
        <f>VLOOKUP(A515,'SV Child INS Apr'!$A:$H,1,0)</f>
        <v>#N/A</v>
      </c>
      <c r="I515" t="e">
        <f>VLOOKUP(B515,'SV Child INS Apr'!$D:$F,1,0)</f>
        <v>#N/A</v>
      </c>
      <c r="J515" t="str">
        <f>VLOOKUP(A515,'SV Child BLG Apr'!$A:$J,1,0)</f>
        <v>76036160</v>
      </c>
      <c r="L515" t="str">
        <f>VLOOKUP(A515,'TV Apr Prorated Billing Sites'!$A:$I,1,0)</f>
        <v>76036160</v>
      </c>
      <c r="M515" t="e">
        <f>VLOOKUP(A515,'CDK asked to retain list'!$H$1:$J$24,1,0)</f>
        <v>#N/A</v>
      </c>
    </row>
    <row r="516" spans="1:13">
      <c r="A516" t="str">
        <f t="shared" si="10"/>
        <v>76036439</v>
      </c>
      <c r="B516" t="s">
        <v>2434</v>
      </c>
      <c r="C516" t="s">
        <v>2435</v>
      </c>
      <c r="D516">
        <v>76036439</v>
      </c>
      <c r="E516">
        <v>3373</v>
      </c>
      <c r="F516" t="s">
        <v>39</v>
      </c>
      <c r="G516">
        <v>300</v>
      </c>
      <c r="H516" t="str">
        <f>VLOOKUP(A516,'SV Child INS Apr'!$A:$H,1,0)</f>
        <v>76036439</v>
      </c>
      <c r="L516" t="e">
        <f>VLOOKUP(A516,'TV Apr Prorated Billing Sites'!$A:$I,1,0)</f>
        <v>#N/A</v>
      </c>
    </row>
    <row r="517" spans="1:13">
      <c r="A517" t="str">
        <f t="shared" si="10"/>
        <v>76036962</v>
      </c>
      <c r="B517" t="s">
        <v>2436</v>
      </c>
      <c r="C517" t="s">
        <v>2437</v>
      </c>
      <c r="D517">
        <v>76036962</v>
      </c>
      <c r="E517">
        <v>143046</v>
      </c>
      <c r="F517" t="s">
        <v>39</v>
      </c>
      <c r="G517">
        <v>300</v>
      </c>
      <c r="H517" t="str">
        <f>VLOOKUP(A517,'SV Child INS Apr'!$A:$H,1,0)</f>
        <v>76036962</v>
      </c>
      <c r="L517" t="e">
        <f>VLOOKUP(A517,'TV Apr Prorated Billing Sites'!$A:$I,1,0)</f>
        <v>#N/A</v>
      </c>
    </row>
    <row r="518" spans="1:13">
      <c r="A518" t="str">
        <f t="shared" si="10"/>
        <v>76036970</v>
      </c>
      <c r="B518" t="s">
        <v>2438</v>
      </c>
      <c r="C518" t="s">
        <v>2439</v>
      </c>
      <c r="D518">
        <v>76036970</v>
      </c>
      <c r="E518">
        <v>2000284</v>
      </c>
      <c r="F518" t="s">
        <v>39</v>
      </c>
      <c r="G518">
        <v>300</v>
      </c>
      <c r="H518" t="str">
        <f>VLOOKUP(A518,'SV Child INS Apr'!$A:$H,1,0)</f>
        <v>76036970</v>
      </c>
      <c r="L518" t="e">
        <f>VLOOKUP(A518,'TV Apr Prorated Billing Sites'!$A:$I,1,0)</f>
        <v>#N/A</v>
      </c>
    </row>
    <row r="519" spans="1:13">
      <c r="A519" t="str">
        <f t="shared" si="10"/>
        <v>76037117</v>
      </c>
      <c r="B519" t="s">
        <v>2440</v>
      </c>
      <c r="C519" t="s">
        <v>2441</v>
      </c>
      <c r="D519">
        <v>76037117</v>
      </c>
      <c r="E519">
        <v>2001851</v>
      </c>
      <c r="F519" t="s">
        <v>39</v>
      </c>
      <c r="G519">
        <v>300</v>
      </c>
      <c r="H519" t="str">
        <f>VLOOKUP(A519,'SV Child INS Apr'!$A:$H,1,0)</f>
        <v>76037117</v>
      </c>
      <c r="L519" t="e">
        <f>VLOOKUP(A519,'TV Apr Prorated Billing Sites'!$A:$I,1,0)</f>
        <v>#N/A</v>
      </c>
    </row>
    <row r="520" spans="1:13">
      <c r="A520" t="str">
        <f t="shared" si="10"/>
        <v>76037225</v>
      </c>
      <c r="B520" t="s">
        <v>2442</v>
      </c>
      <c r="C520" t="s">
        <v>2443</v>
      </c>
      <c r="D520">
        <v>76037225</v>
      </c>
      <c r="E520">
        <v>2000856</v>
      </c>
      <c r="F520" t="s">
        <v>39</v>
      </c>
      <c r="G520">
        <v>400</v>
      </c>
      <c r="H520" t="str">
        <f>VLOOKUP(A520,'SV Child INS Apr'!$A:$H,1,0)</f>
        <v>76037225</v>
      </c>
      <c r="L520" t="e">
        <f>VLOOKUP(A520,'TV Apr Prorated Billing Sites'!$A:$I,1,0)</f>
        <v>#N/A</v>
      </c>
    </row>
    <row r="521" spans="1:13">
      <c r="A521" t="str">
        <f t="shared" si="10"/>
        <v>76037226</v>
      </c>
      <c r="B521" t="s">
        <v>2444</v>
      </c>
      <c r="C521" t="s">
        <v>2445</v>
      </c>
      <c r="D521">
        <v>76037226</v>
      </c>
      <c r="E521">
        <v>2000899</v>
      </c>
      <c r="F521" t="s">
        <v>39</v>
      </c>
      <c r="G521">
        <v>400</v>
      </c>
      <c r="H521" t="str">
        <f>VLOOKUP(A521,'SV Child INS Apr'!$A:$H,1,0)</f>
        <v>76037226</v>
      </c>
      <c r="L521" t="e">
        <f>VLOOKUP(A521,'TV Apr Prorated Billing Sites'!$A:$I,1,0)</f>
        <v>#N/A</v>
      </c>
    </row>
    <row r="522" spans="1:13">
      <c r="A522" t="str">
        <f t="shared" si="10"/>
        <v>76037227</v>
      </c>
      <c r="B522" t="s">
        <v>2446</v>
      </c>
      <c r="C522" t="s">
        <v>2447</v>
      </c>
      <c r="D522">
        <v>76037227</v>
      </c>
      <c r="E522">
        <v>2000723</v>
      </c>
      <c r="F522" t="s">
        <v>39</v>
      </c>
      <c r="G522">
        <v>400</v>
      </c>
      <c r="H522" t="str">
        <f>VLOOKUP(A522,'SV Child INS Apr'!$A:$H,1,0)</f>
        <v>76037227</v>
      </c>
      <c r="L522" t="e">
        <f>VLOOKUP(A522,'TV Apr Prorated Billing Sites'!$A:$I,1,0)</f>
        <v>#N/A</v>
      </c>
    </row>
    <row r="523" spans="1:13">
      <c r="A523" t="str">
        <f t="shared" si="10"/>
        <v>76037250</v>
      </c>
      <c r="B523" t="s">
        <v>2448</v>
      </c>
      <c r="C523" t="s">
        <v>2449</v>
      </c>
      <c r="D523">
        <v>76037250</v>
      </c>
      <c r="E523">
        <v>2500183</v>
      </c>
      <c r="F523" t="s">
        <v>39</v>
      </c>
      <c r="G523">
        <v>300</v>
      </c>
      <c r="H523" t="str">
        <f>VLOOKUP(A523,'SV Child INS Apr'!$A:$H,1,0)</f>
        <v>76037250</v>
      </c>
      <c r="L523" t="e">
        <f>VLOOKUP(A523,'TV Apr Prorated Billing Sites'!$A:$I,1,0)</f>
        <v>#N/A</v>
      </c>
    </row>
    <row r="524" spans="1:13">
      <c r="A524" t="str">
        <f t="shared" si="10"/>
        <v>76037307</v>
      </c>
      <c r="B524" t="s">
        <v>2450</v>
      </c>
      <c r="C524" t="s">
        <v>2451</v>
      </c>
      <c r="D524">
        <v>76037307</v>
      </c>
      <c r="E524">
        <v>2002240</v>
      </c>
      <c r="F524" t="s">
        <v>39</v>
      </c>
      <c r="G524">
        <v>300</v>
      </c>
      <c r="H524" t="str">
        <f>VLOOKUP(A524,'SV Child INS Apr'!$A:$H,1,0)</f>
        <v>76037307</v>
      </c>
      <c r="L524" t="e">
        <f>VLOOKUP(A524,'TV Apr Prorated Billing Sites'!$A:$I,1,0)</f>
        <v>#N/A</v>
      </c>
    </row>
    <row r="525" spans="1:13">
      <c r="A525" t="str">
        <f t="shared" si="10"/>
        <v>76037519</v>
      </c>
      <c r="B525" t="s">
        <v>2452</v>
      </c>
      <c r="C525" t="s">
        <v>2453</v>
      </c>
      <c r="D525">
        <v>76037519</v>
      </c>
      <c r="E525">
        <v>1500232</v>
      </c>
      <c r="F525" t="s">
        <v>39</v>
      </c>
      <c r="G525">
        <v>450</v>
      </c>
      <c r="H525" t="str">
        <f>VLOOKUP(A525,'SV Child INS Apr'!$A:$H,1,0)</f>
        <v>76037519</v>
      </c>
      <c r="L525" t="e">
        <f>VLOOKUP(A525,'TV Apr Prorated Billing Sites'!$A:$I,1,0)</f>
        <v>#N/A</v>
      </c>
    </row>
    <row r="526" spans="1:13">
      <c r="A526" t="str">
        <f t="shared" si="10"/>
        <v>76037591</v>
      </c>
      <c r="B526" t="s">
        <v>473</v>
      </c>
      <c r="C526" t="s">
        <v>474</v>
      </c>
      <c r="D526">
        <v>76037591</v>
      </c>
      <c r="E526">
        <v>6091</v>
      </c>
      <c r="F526" t="s">
        <v>39</v>
      </c>
      <c r="G526">
        <v>300</v>
      </c>
      <c r="H526" t="e">
        <f>VLOOKUP(A526,'SV Child INS Apr'!$A:$H,1,0)</f>
        <v>#N/A</v>
      </c>
      <c r="I526" t="e">
        <f>VLOOKUP(B526,'SV Child INS Apr'!$D:$F,1,0)</f>
        <v>#N/A</v>
      </c>
      <c r="J526" t="str">
        <f>VLOOKUP(A526,'SV Child BLG Apr'!$A:$J,1,0)</f>
        <v>76037591</v>
      </c>
      <c r="L526" t="str">
        <f>VLOOKUP(A526,'TV Apr Prorated Billing Sites'!$A:$I,1,0)</f>
        <v>76037591</v>
      </c>
      <c r="M526" t="e">
        <f>VLOOKUP(A526,'CDK asked to retain list'!$H$1:$J$24,1,0)</f>
        <v>#N/A</v>
      </c>
    </row>
    <row r="527" spans="1:13">
      <c r="A527" t="str">
        <f t="shared" si="10"/>
        <v>76037927</v>
      </c>
      <c r="B527" t="s">
        <v>2454</v>
      </c>
      <c r="C527" t="s">
        <v>2455</v>
      </c>
      <c r="D527">
        <v>76037927</v>
      </c>
      <c r="E527">
        <v>10177</v>
      </c>
      <c r="F527" t="s">
        <v>39</v>
      </c>
      <c r="G527">
        <v>300</v>
      </c>
      <c r="H527" t="str">
        <f>VLOOKUP(A527,'SV Child INS Apr'!$A:$H,1,0)</f>
        <v>76037927</v>
      </c>
      <c r="L527" t="e">
        <f>VLOOKUP(A527,'TV Apr Prorated Billing Sites'!$A:$I,1,0)</f>
        <v>#N/A</v>
      </c>
    </row>
    <row r="528" spans="1:13">
      <c r="A528" t="str">
        <f t="shared" si="10"/>
        <v>76037938</v>
      </c>
      <c r="B528" t="s">
        <v>2456</v>
      </c>
      <c r="C528" t="s">
        <v>2457</v>
      </c>
      <c r="D528">
        <v>76037938</v>
      </c>
      <c r="E528">
        <v>2000196</v>
      </c>
      <c r="F528" t="s">
        <v>39</v>
      </c>
      <c r="G528">
        <v>450</v>
      </c>
      <c r="H528" t="str">
        <f>VLOOKUP(A528,'SV Child INS Apr'!$A:$H,1,0)</f>
        <v>76037938</v>
      </c>
      <c r="L528" t="e">
        <f>VLOOKUP(A528,'TV Apr Prorated Billing Sites'!$A:$I,1,0)</f>
        <v>#N/A</v>
      </c>
    </row>
    <row r="529" spans="1:13">
      <c r="A529" t="str">
        <f t="shared" si="10"/>
        <v>76037963</v>
      </c>
      <c r="B529" t="s">
        <v>2458</v>
      </c>
      <c r="C529" t="s">
        <v>2459</v>
      </c>
      <c r="D529">
        <v>76037963</v>
      </c>
      <c r="E529">
        <v>2002512</v>
      </c>
      <c r="F529" t="s">
        <v>39</v>
      </c>
      <c r="G529">
        <v>300</v>
      </c>
      <c r="H529" t="str">
        <f>VLOOKUP(A529,'SV Child INS Apr'!$A:$H,1,0)</f>
        <v>76037963</v>
      </c>
      <c r="L529" t="e">
        <f>VLOOKUP(A529,'TV Apr Prorated Billing Sites'!$A:$I,1,0)</f>
        <v>#N/A</v>
      </c>
    </row>
    <row r="530" spans="1:13">
      <c r="A530" t="str">
        <f t="shared" si="10"/>
        <v>76038006</v>
      </c>
      <c r="B530" t="s">
        <v>2460</v>
      </c>
      <c r="C530" t="s">
        <v>2461</v>
      </c>
      <c r="D530">
        <v>76038006</v>
      </c>
      <c r="E530">
        <v>2501750</v>
      </c>
      <c r="F530" t="s">
        <v>39</v>
      </c>
      <c r="G530">
        <v>300</v>
      </c>
      <c r="H530" t="str">
        <f>VLOOKUP(A530,'SV Child INS Apr'!$A:$H,1,0)</f>
        <v>76038006</v>
      </c>
      <c r="L530" t="e">
        <f>VLOOKUP(A530,'TV Apr Prorated Billing Sites'!$A:$I,1,0)</f>
        <v>#N/A</v>
      </c>
    </row>
    <row r="531" spans="1:13">
      <c r="A531" t="str">
        <f t="shared" si="10"/>
        <v>76038422</v>
      </c>
      <c r="B531" t="s">
        <v>476</v>
      </c>
      <c r="C531" t="s">
        <v>477</v>
      </c>
      <c r="D531">
        <v>76038422</v>
      </c>
      <c r="E531">
        <v>2500295</v>
      </c>
      <c r="F531" t="s">
        <v>39</v>
      </c>
      <c r="G531">
        <v>300</v>
      </c>
      <c r="H531" t="e">
        <f>VLOOKUP(A531,'SV Child INS Apr'!$A:$H,1,0)</f>
        <v>#N/A</v>
      </c>
      <c r="I531" t="e">
        <f>VLOOKUP(B531,'SV Child INS Apr'!$D:$F,1,0)</f>
        <v>#N/A</v>
      </c>
      <c r="J531" t="str">
        <f>VLOOKUP(A531,'SV Child BLG Apr'!$A:$J,1,0)</f>
        <v>76038422</v>
      </c>
      <c r="L531" t="str">
        <f>VLOOKUP(A531,'TV Apr Prorated Billing Sites'!$A:$I,1,0)</f>
        <v>76038422</v>
      </c>
      <c r="M531" t="e">
        <f>VLOOKUP(A531,'CDK asked to retain list'!$H$1:$J$24,1,0)</f>
        <v>#N/A</v>
      </c>
    </row>
    <row r="532" spans="1:13">
      <c r="A532" t="str">
        <f t="shared" si="10"/>
        <v>76038514</v>
      </c>
      <c r="B532" t="s">
        <v>2462</v>
      </c>
      <c r="C532" t="s">
        <v>2463</v>
      </c>
      <c r="D532">
        <v>76038514</v>
      </c>
      <c r="E532">
        <v>2001282</v>
      </c>
      <c r="F532" t="s">
        <v>39</v>
      </c>
      <c r="G532">
        <v>300</v>
      </c>
      <c r="H532" t="str">
        <f>VLOOKUP(A532,'SV Child INS Apr'!$A:$H,1,0)</f>
        <v>76038514</v>
      </c>
      <c r="L532" t="e">
        <f>VLOOKUP(A532,'TV Apr Prorated Billing Sites'!$A:$I,1,0)</f>
        <v>#N/A</v>
      </c>
    </row>
    <row r="533" spans="1:13">
      <c r="A533" t="str">
        <f t="shared" si="10"/>
        <v>76038770</v>
      </c>
      <c r="B533" t="s">
        <v>2464</v>
      </c>
      <c r="C533" t="s">
        <v>2465</v>
      </c>
      <c r="D533">
        <v>76038770</v>
      </c>
      <c r="E533">
        <v>0</v>
      </c>
      <c r="F533" t="s">
        <v>39</v>
      </c>
      <c r="G533">
        <v>400</v>
      </c>
      <c r="H533" t="str">
        <f>VLOOKUP(A533,'SV Child INS Apr'!$A:$H,1,0)</f>
        <v>76038770</v>
      </c>
      <c r="L533" t="e">
        <f>VLOOKUP(A533,'TV Apr Prorated Billing Sites'!$A:$I,1,0)</f>
        <v>#N/A</v>
      </c>
    </row>
    <row r="534" spans="1:13">
      <c r="A534" t="str">
        <f t="shared" si="10"/>
        <v>76038829</v>
      </c>
      <c r="B534" t="s">
        <v>2466</v>
      </c>
      <c r="C534" t="s">
        <v>2467</v>
      </c>
      <c r="D534">
        <v>76038829</v>
      </c>
      <c r="E534">
        <v>2501034</v>
      </c>
      <c r="F534" t="s">
        <v>39</v>
      </c>
      <c r="G534">
        <v>300</v>
      </c>
      <c r="H534" t="e">
        <f>VLOOKUP(A534,'SV Child INS Apr'!$A:$H,1,0)</f>
        <v>#N/A</v>
      </c>
      <c r="I534" t="str">
        <f>VLOOKUP(B534,'SV Child INS Apr'!$D:$F,1,0)</f>
        <v>CHUCK HUTTON CHEVROLET</v>
      </c>
      <c r="L534" t="e">
        <f>VLOOKUP(A534,'TV Apr Prorated Billing Sites'!$A:$I,1,0)</f>
        <v>#N/A</v>
      </c>
    </row>
    <row r="535" spans="1:13">
      <c r="A535" t="str">
        <f t="shared" si="10"/>
        <v>76039024</v>
      </c>
      <c r="B535" t="s">
        <v>2468</v>
      </c>
      <c r="C535" t="s">
        <v>2469</v>
      </c>
      <c r="D535">
        <v>76039024</v>
      </c>
      <c r="E535">
        <v>487</v>
      </c>
      <c r="F535" t="s">
        <v>39</v>
      </c>
      <c r="G535">
        <v>450</v>
      </c>
      <c r="H535" t="str">
        <f>VLOOKUP(A535,'SV Child INS Apr'!$A:$H,1,0)</f>
        <v>76039024</v>
      </c>
      <c r="L535" t="e">
        <f>VLOOKUP(A535,'TV Apr Prorated Billing Sites'!$A:$I,1,0)</f>
        <v>#N/A</v>
      </c>
    </row>
    <row r="536" spans="1:13">
      <c r="A536" t="str">
        <f t="shared" si="10"/>
        <v>76039025</v>
      </c>
      <c r="B536" t="s">
        <v>2470</v>
      </c>
      <c r="C536" t="s">
        <v>2471</v>
      </c>
      <c r="D536">
        <v>76039025</v>
      </c>
      <c r="E536">
        <v>488</v>
      </c>
      <c r="F536" t="s">
        <v>39</v>
      </c>
      <c r="G536">
        <v>450</v>
      </c>
      <c r="H536" t="str">
        <f>VLOOKUP(A536,'SV Child INS Apr'!$A:$H,1,0)</f>
        <v>76039025</v>
      </c>
      <c r="L536" t="e">
        <f>VLOOKUP(A536,'TV Apr Prorated Billing Sites'!$A:$I,1,0)</f>
        <v>#N/A</v>
      </c>
    </row>
    <row r="537" spans="1:13">
      <c r="A537" t="str">
        <f t="shared" si="10"/>
        <v>76039050</v>
      </c>
      <c r="B537" t="s">
        <v>2472</v>
      </c>
      <c r="C537" t="s">
        <v>2473</v>
      </c>
      <c r="D537">
        <v>76039050</v>
      </c>
      <c r="E537">
        <v>493</v>
      </c>
      <c r="F537" t="s">
        <v>39</v>
      </c>
      <c r="G537">
        <v>450</v>
      </c>
      <c r="H537" t="str">
        <f>VLOOKUP(A537,'SV Child INS Apr'!$A:$H,1,0)</f>
        <v>76039050</v>
      </c>
      <c r="L537" t="e">
        <f>VLOOKUP(A537,'TV Apr Prorated Billing Sites'!$A:$I,1,0)</f>
        <v>#N/A</v>
      </c>
    </row>
    <row r="538" spans="1:13">
      <c r="A538" t="str">
        <f t="shared" si="10"/>
        <v>76039060</v>
      </c>
      <c r="B538" t="s">
        <v>2474</v>
      </c>
      <c r="C538" t="s">
        <v>2475</v>
      </c>
      <c r="D538">
        <v>76039060</v>
      </c>
      <c r="E538">
        <v>2001414</v>
      </c>
      <c r="F538" t="s">
        <v>39</v>
      </c>
      <c r="G538">
        <v>450</v>
      </c>
      <c r="H538" t="str">
        <f>VLOOKUP(A538,'SV Child INS Apr'!$A:$H,1,0)</f>
        <v>76039060</v>
      </c>
      <c r="L538" t="e">
        <f>VLOOKUP(A538,'TV Apr Prorated Billing Sites'!$A:$I,1,0)</f>
        <v>#N/A</v>
      </c>
    </row>
    <row r="539" spans="1:13">
      <c r="A539" t="str">
        <f t="shared" si="10"/>
        <v>76039938</v>
      </c>
      <c r="B539" t="s">
        <v>2476</v>
      </c>
      <c r="C539" t="s">
        <v>2477</v>
      </c>
      <c r="D539">
        <v>76039938</v>
      </c>
      <c r="E539">
        <v>13078</v>
      </c>
      <c r="F539" t="s">
        <v>39</v>
      </c>
      <c r="G539">
        <v>300</v>
      </c>
      <c r="H539" t="str">
        <f>VLOOKUP(A539,'SV Child INS Apr'!$A:$H,1,0)</f>
        <v>76039938</v>
      </c>
      <c r="L539" t="e">
        <f>VLOOKUP(A539,'TV Apr Prorated Billing Sites'!$A:$I,1,0)</f>
        <v>#N/A</v>
      </c>
    </row>
    <row r="540" spans="1:13">
      <c r="A540" t="str">
        <f t="shared" si="10"/>
        <v>76040091</v>
      </c>
      <c r="B540" t="s">
        <v>2478</v>
      </c>
      <c r="C540" t="s">
        <v>2479</v>
      </c>
      <c r="D540">
        <v>76040091</v>
      </c>
      <c r="E540">
        <v>2003029</v>
      </c>
      <c r="F540" t="s">
        <v>39</v>
      </c>
      <c r="G540">
        <v>300</v>
      </c>
      <c r="H540" t="str">
        <f>VLOOKUP(A540,'SV Child INS Apr'!$A:$H,1,0)</f>
        <v>76040091</v>
      </c>
      <c r="L540" t="e">
        <f>VLOOKUP(A540,'TV Apr Prorated Billing Sites'!$A:$I,1,0)</f>
        <v>#N/A</v>
      </c>
    </row>
    <row r="541" spans="1:13">
      <c r="A541" t="str">
        <f t="shared" si="10"/>
        <v>76040188</v>
      </c>
      <c r="B541" t="s">
        <v>2480</v>
      </c>
      <c r="C541" t="s">
        <v>2481</v>
      </c>
      <c r="D541">
        <v>76040188</v>
      </c>
      <c r="E541">
        <v>2502703</v>
      </c>
      <c r="F541" t="s">
        <v>39</v>
      </c>
      <c r="G541">
        <v>300</v>
      </c>
      <c r="H541" t="str">
        <f>VLOOKUP(A541,'SV Child INS Apr'!$A:$H,1,0)</f>
        <v>76040188</v>
      </c>
      <c r="L541" t="e">
        <f>VLOOKUP(A541,'TV Apr Prorated Billing Sites'!$A:$I,1,0)</f>
        <v>#N/A</v>
      </c>
    </row>
    <row r="542" spans="1:13">
      <c r="A542" t="str">
        <f t="shared" si="10"/>
        <v>76040505</v>
      </c>
      <c r="B542" t="s">
        <v>2482</v>
      </c>
      <c r="C542" t="s">
        <v>2483</v>
      </c>
      <c r="D542">
        <v>76040505</v>
      </c>
      <c r="E542">
        <v>3001302</v>
      </c>
      <c r="F542" t="s">
        <v>39</v>
      </c>
      <c r="G542">
        <v>400</v>
      </c>
      <c r="H542" t="str">
        <f>VLOOKUP(A542,'SV Child INS Apr'!$A:$H,1,0)</f>
        <v>76040505</v>
      </c>
      <c r="L542" t="e">
        <f>VLOOKUP(A542,'TV Apr Prorated Billing Sites'!$A:$I,1,0)</f>
        <v>#N/A</v>
      </c>
    </row>
    <row r="543" spans="1:13">
      <c r="A543" t="str">
        <f t="shared" si="10"/>
        <v>76040691</v>
      </c>
      <c r="B543" t="s">
        <v>2484</v>
      </c>
      <c r="C543" t="s">
        <v>2485</v>
      </c>
      <c r="D543">
        <v>76040691</v>
      </c>
      <c r="E543">
        <v>375</v>
      </c>
      <c r="F543" t="s">
        <v>39</v>
      </c>
      <c r="G543">
        <v>300</v>
      </c>
      <c r="H543" t="str">
        <f>VLOOKUP(A543,'SV Child INS Apr'!$A:$H,1,0)</f>
        <v>76040691</v>
      </c>
      <c r="L543" t="e">
        <f>VLOOKUP(A543,'TV Apr Prorated Billing Sites'!$A:$I,1,0)</f>
        <v>#N/A</v>
      </c>
    </row>
    <row r="544" spans="1:13">
      <c r="A544" t="str">
        <f t="shared" si="10"/>
        <v>76040853</v>
      </c>
      <c r="B544" t="s">
        <v>2486</v>
      </c>
      <c r="C544" t="s">
        <v>2487</v>
      </c>
      <c r="D544">
        <v>76040853</v>
      </c>
      <c r="E544">
        <v>2503215</v>
      </c>
      <c r="F544" t="s">
        <v>39</v>
      </c>
      <c r="G544">
        <v>300</v>
      </c>
      <c r="H544" t="str">
        <f>VLOOKUP(A544,'SV Child INS Apr'!$A:$H,1,0)</f>
        <v>76040853</v>
      </c>
      <c r="L544" t="e">
        <f>VLOOKUP(A544,'TV Apr Prorated Billing Sites'!$A:$I,1,0)</f>
        <v>#N/A</v>
      </c>
    </row>
    <row r="545" spans="1:13">
      <c r="A545" t="str">
        <f t="shared" si="10"/>
        <v>76040897</v>
      </c>
      <c r="B545" t="s">
        <v>2488</v>
      </c>
      <c r="C545" t="s">
        <v>2489</v>
      </c>
      <c r="D545">
        <v>76040897</v>
      </c>
      <c r="E545">
        <v>2503006</v>
      </c>
      <c r="F545" t="s">
        <v>39</v>
      </c>
      <c r="G545">
        <v>300</v>
      </c>
      <c r="H545" t="str">
        <f>VLOOKUP(A545,'SV Child INS Apr'!$A:$H,1,0)</f>
        <v>76040897</v>
      </c>
      <c r="L545" t="e">
        <f>VLOOKUP(A545,'TV Apr Prorated Billing Sites'!$A:$I,1,0)</f>
        <v>#N/A</v>
      </c>
    </row>
    <row r="546" spans="1:13">
      <c r="A546" t="str">
        <f t="shared" si="10"/>
        <v>76041382</v>
      </c>
      <c r="B546" t="s">
        <v>2490</v>
      </c>
      <c r="C546" t="s">
        <v>2491</v>
      </c>
      <c r="D546">
        <v>76041382</v>
      </c>
      <c r="E546">
        <v>2500182</v>
      </c>
      <c r="F546" t="s">
        <v>39</v>
      </c>
      <c r="G546">
        <v>300</v>
      </c>
      <c r="H546" t="str">
        <f>VLOOKUP(A546,'SV Child INS Apr'!$A:$H,1,0)</f>
        <v>76041382</v>
      </c>
      <c r="L546" t="e">
        <f>VLOOKUP(A546,'TV Apr Prorated Billing Sites'!$A:$I,1,0)</f>
        <v>#N/A</v>
      </c>
    </row>
    <row r="547" spans="1:13">
      <c r="A547" t="str">
        <f t="shared" si="10"/>
        <v>76041535</v>
      </c>
      <c r="B547" t="s">
        <v>479</v>
      </c>
      <c r="C547" t="s">
        <v>480</v>
      </c>
      <c r="D547">
        <v>76041535</v>
      </c>
      <c r="E547" t="s">
        <v>438</v>
      </c>
      <c r="F547" t="s">
        <v>39</v>
      </c>
      <c r="G547">
        <v>300</v>
      </c>
      <c r="H547" t="e">
        <f>VLOOKUP(A547,'SV Child INS Apr'!$A:$H,1,0)</f>
        <v>#N/A</v>
      </c>
      <c r="I547" t="e">
        <f>VLOOKUP(B547,'SV Child INS Apr'!$D:$F,1,0)</f>
        <v>#N/A</v>
      </c>
      <c r="J547" t="str">
        <f>VLOOKUP(A547,'SV Child BLG Apr'!$A:$J,1,0)</f>
        <v>76041535</v>
      </c>
      <c r="L547" t="e">
        <f>VLOOKUP(A547,'TV Apr Prorated Billing Sites'!$A:$I,1,0)</f>
        <v>#N/A</v>
      </c>
      <c r="M547" t="e">
        <f>VLOOKUP(A547,'CDK asked to retain list'!$H$1:$J$24,1,0)</f>
        <v>#N/A</v>
      </c>
    </row>
    <row r="548" spans="1:13">
      <c r="A548" t="str">
        <f t="shared" si="10"/>
        <v>76041553</v>
      </c>
      <c r="B548" t="s">
        <v>2492</v>
      </c>
      <c r="C548" t="s">
        <v>2493</v>
      </c>
      <c r="D548">
        <v>76041553</v>
      </c>
      <c r="E548">
        <v>497</v>
      </c>
      <c r="F548" t="s">
        <v>39</v>
      </c>
      <c r="G548">
        <v>300</v>
      </c>
      <c r="H548" t="str">
        <f>VLOOKUP(A548,'SV Child INS Apr'!$A:$H,1,0)</f>
        <v>76041553</v>
      </c>
      <c r="L548" t="e">
        <f>VLOOKUP(A548,'TV Apr Prorated Billing Sites'!$A:$I,1,0)</f>
        <v>#N/A</v>
      </c>
    </row>
    <row r="549" spans="1:13">
      <c r="A549" t="str">
        <f t="shared" si="10"/>
        <v>76041555</v>
      </c>
      <c r="B549" t="s">
        <v>2494</v>
      </c>
      <c r="C549" t="s">
        <v>2495</v>
      </c>
      <c r="D549">
        <v>76041555</v>
      </c>
      <c r="E549">
        <v>498</v>
      </c>
      <c r="F549" t="s">
        <v>39</v>
      </c>
      <c r="G549">
        <v>300</v>
      </c>
      <c r="H549" t="str">
        <f>VLOOKUP(A549,'SV Child INS Apr'!$A:$H,1,0)</f>
        <v>76041555</v>
      </c>
      <c r="L549" t="e">
        <f>VLOOKUP(A549,'TV Apr Prorated Billing Sites'!$A:$I,1,0)</f>
        <v>#N/A</v>
      </c>
    </row>
    <row r="550" spans="1:13">
      <c r="A550" t="str">
        <f t="shared" si="10"/>
        <v>76041556</v>
      </c>
      <c r="B550" t="s">
        <v>2496</v>
      </c>
      <c r="C550" t="s">
        <v>2497</v>
      </c>
      <c r="D550">
        <v>76041556</v>
      </c>
      <c r="E550">
        <v>499</v>
      </c>
      <c r="F550" t="s">
        <v>39</v>
      </c>
      <c r="G550">
        <v>300</v>
      </c>
      <c r="H550" t="str">
        <f>VLOOKUP(A550,'SV Child INS Apr'!$A:$H,1,0)</f>
        <v>76041556</v>
      </c>
      <c r="L550" t="e">
        <f>VLOOKUP(A550,'TV Apr Prorated Billing Sites'!$A:$I,1,0)</f>
        <v>#N/A</v>
      </c>
    </row>
    <row r="551" spans="1:13">
      <c r="A551" t="str">
        <f t="shared" si="10"/>
        <v>76041569</v>
      </c>
      <c r="B551" t="s">
        <v>2498</v>
      </c>
      <c r="C551" t="s">
        <v>2499</v>
      </c>
      <c r="D551">
        <v>76041569</v>
      </c>
      <c r="E551">
        <v>500</v>
      </c>
      <c r="F551" t="s">
        <v>39</v>
      </c>
      <c r="G551">
        <v>300</v>
      </c>
      <c r="H551" t="str">
        <f>VLOOKUP(A551,'SV Child INS Apr'!$A:$H,1,0)</f>
        <v>76041569</v>
      </c>
      <c r="L551" t="e">
        <f>VLOOKUP(A551,'TV Apr Prorated Billing Sites'!$A:$I,1,0)</f>
        <v>#N/A</v>
      </c>
    </row>
    <row r="552" spans="1:13">
      <c r="A552" t="str">
        <f t="shared" si="10"/>
        <v>76041932</v>
      </c>
      <c r="B552" t="s">
        <v>2500</v>
      </c>
      <c r="C552" t="s">
        <v>2501</v>
      </c>
      <c r="D552">
        <v>76041932</v>
      </c>
      <c r="E552">
        <v>2503590</v>
      </c>
      <c r="F552" t="s">
        <v>39</v>
      </c>
      <c r="G552">
        <v>300</v>
      </c>
      <c r="H552" t="str">
        <f>VLOOKUP(A552,'SV Child INS Apr'!$A:$H,1,0)</f>
        <v>76041932</v>
      </c>
      <c r="L552" t="e">
        <f>VLOOKUP(A552,'TV Apr Prorated Billing Sites'!$A:$I,1,0)</f>
        <v>#N/A</v>
      </c>
    </row>
    <row r="553" spans="1:13">
      <c r="A553" t="str">
        <f t="shared" ref="A553:A616" si="11">TRIM(D553)</f>
        <v>76042310</v>
      </c>
      <c r="B553" t="s">
        <v>2502</v>
      </c>
      <c r="C553" t="s">
        <v>2503</v>
      </c>
      <c r="D553">
        <v>76042310</v>
      </c>
      <c r="E553">
        <v>324</v>
      </c>
      <c r="F553" t="s">
        <v>39</v>
      </c>
      <c r="G553">
        <v>300</v>
      </c>
      <c r="H553" t="str">
        <f>VLOOKUP(A553,'SV Child INS Apr'!$A:$H,1,0)</f>
        <v>76042310</v>
      </c>
      <c r="L553" t="e">
        <f>VLOOKUP(A553,'TV Apr Prorated Billing Sites'!$A:$I,1,0)</f>
        <v>#N/A</v>
      </c>
    </row>
    <row r="554" spans="1:13">
      <c r="A554" t="str">
        <f t="shared" si="11"/>
        <v>76042552</v>
      </c>
      <c r="B554" t="s">
        <v>2504</v>
      </c>
      <c r="C554" t="s">
        <v>2505</v>
      </c>
      <c r="D554">
        <v>76042552</v>
      </c>
      <c r="E554">
        <v>2503570</v>
      </c>
      <c r="F554" t="s">
        <v>39</v>
      </c>
      <c r="G554">
        <v>300</v>
      </c>
      <c r="H554" t="str">
        <f>VLOOKUP(A554,'SV Child INS Apr'!$A:$H,1,0)</f>
        <v>76042552</v>
      </c>
      <c r="L554" t="e">
        <f>VLOOKUP(A554,'TV Apr Prorated Billing Sites'!$A:$I,1,0)</f>
        <v>#N/A</v>
      </c>
    </row>
    <row r="555" spans="1:13">
      <c r="A555" t="str">
        <f t="shared" si="11"/>
        <v>76042782</v>
      </c>
      <c r="B555" t="s">
        <v>2506</v>
      </c>
      <c r="C555" t="s">
        <v>2507</v>
      </c>
      <c r="D555">
        <v>76042782</v>
      </c>
      <c r="E555">
        <v>7109</v>
      </c>
      <c r="F555" t="s">
        <v>39</v>
      </c>
      <c r="G555">
        <v>300</v>
      </c>
      <c r="H555" t="str">
        <f>VLOOKUP(A555,'SV Child INS Apr'!$A:$H,1,0)</f>
        <v>76042782</v>
      </c>
      <c r="L555" t="e">
        <f>VLOOKUP(A555,'TV Apr Prorated Billing Sites'!$A:$I,1,0)</f>
        <v>#N/A</v>
      </c>
    </row>
    <row r="556" spans="1:13">
      <c r="A556" t="str">
        <f t="shared" si="11"/>
        <v>76042791</v>
      </c>
      <c r="B556" t="s">
        <v>2508</v>
      </c>
      <c r="C556" t="s">
        <v>2509</v>
      </c>
      <c r="D556">
        <v>76042791</v>
      </c>
      <c r="E556">
        <v>2500815</v>
      </c>
      <c r="F556" t="s">
        <v>39</v>
      </c>
      <c r="G556">
        <v>300</v>
      </c>
      <c r="H556" t="str">
        <f>VLOOKUP(A556,'SV Child INS Apr'!$A:$H,1,0)</f>
        <v>76042791</v>
      </c>
      <c r="L556" t="e">
        <f>VLOOKUP(A556,'TV Apr Prorated Billing Sites'!$A:$I,1,0)</f>
        <v>#N/A</v>
      </c>
    </row>
    <row r="557" spans="1:13">
      <c r="A557" t="str">
        <f t="shared" si="11"/>
        <v>76042979</v>
      </c>
      <c r="B557" t="s">
        <v>2510</v>
      </c>
      <c r="C557" t="s">
        <v>2511</v>
      </c>
      <c r="D557">
        <v>76042979</v>
      </c>
      <c r="E557">
        <v>8048</v>
      </c>
      <c r="F557" t="s">
        <v>39</v>
      </c>
      <c r="G557">
        <v>450</v>
      </c>
      <c r="H557" t="str">
        <f>VLOOKUP(A557,'SV Child INS Apr'!$A:$H,1,0)</f>
        <v>76042979</v>
      </c>
      <c r="L557" t="e">
        <f>VLOOKUP(A557,'TV Apr Prorated Billing Sites'!$A:$I,1,0)</f>
        <v>#N/A</v>
      </c>
    </row>
    <row r="558" spans="1:13">
      <c r="A558" t="str">
        <f t="shared" si="11"/>
        <v>76042990</v>
      </c>
      <c r="B558" t="s">
        <v>2512</v>
      </c>
      <c r="C558" t="s">
        <v>2513</v>
      </c>
      <c r="D558">
        <v>76042990</v>
      </c>
      <c r="E558">
        <v>2502212</v>
      </c>
      <c r="F558" t="s">
        <v>39</v>
      </c>
      <c r="G558">
        <v>450</v>
      </c>
      <c r="H558" t="str">
        <f>VLOOKUP(A558,'SV Child INS Apr'!$A:$H,1,0)</f>
        <v>76042990</v>
      </c>
      <c r="L558" t="e">
        <f>VLOOKUP(A558,'TV Apr Prorated Billing Sites'!$A:$I,1,0)</f>
        <v>#N/A</v>
      </c>
    </row>
    <row r="559" spans="1:13">
      <c r="A559" t="str">
        <f t="shared" si="11"/>
        <v>76042992</v>
      </c>
      <c r="B559" t="s">
        <v>2514</v>
      </c>
      <c r="C559" t="s">
        <v>2515</v>
      </c>
      <c r="D559">
        <v>76042992</v>
      </c>
      <c r="E559">
        <v>2502301</v>
      </c>
      <c r="F559" t="s">
        <v>39</v>
      </c>
      <c r="G559">
        <v>450</v>
      </c>
      <c r="H559" t="str">
        <f>VLOOKUP(A559,'SV Child INS Apr'!$A:$H,1,0)</f>
        <v>76042992</v>
      </c>
      <c r="L559" t="e">
        <f>VLOOKUP(A559,'TV Apr Prorated Billing Sites'!$A:$I,1,0)</f>
        <v>#N/A</v>
      </c>
    </row>
    <row r="560" spans="1:13">
      <c r="A560" t="str">
        <f t="shared" si="11"/>
        <v>76042993</v>
      </c>
      <c r="B560" t="s">
        <v>2516</v>
      </c>
      <c r="C560" t="s">
        <v>2517</v>
      </c>
      <c r="D560">
        <v>76042993</v>
      </c>
      <c r="E560">
        <v>2500843</v>
      </c>
      <c r="F560" t="s">
        <v>39</v>
      </c>
      <c r="G560">
        <v>300</v>
      </c>
      <c r="H560" t="str">
        <f>VLOOKUP(A560,'SV Child INS Apr'!$A:$H,1,0)</f>
        <v>76042993</v>
      </c>
      <c r="L560" t="e">
        <f>VLOOKUP(A560,'TV Apr Prorated Billing Sites'!$A:$I,1,0)</f>
        <v>#N/A</v>
      </c>
    </row>
    <row r="561" spans="1:13">
      <c r="A561" t="str">
        <f t="shared" si="11"/>
        <v>76043002</v>
      </c>
      <c r="B561" t="s">
        <v>2518</v>
      </c>
      <c r="C561" t="s">
        <v>2519</v>
      </c>
      <c r="D561">
        <v>76043002</v>
      </c>
      <c r="E561">
        <v>2501826</v>
      </c>
      <c r="F561" t="s">
        <v>39</v>
      </c>
      <c r="G561">
        <v>300</v>
      </c>
      <c r="H561" t="str">
        <f>VLOOKUP(A561,'SV Child INS Apr'!$A:$H,1,0)</f>
        <v>76043002</v>
      </c>
      <c r="L561" t="e">
        <f>VLOOKUP(A561,'TV Apr Prorated Billing Sites'!$A:$I,1,0)</f>
        <v>#N/A</v>
      </c>
    </row>
    <row r="562" spans="1:13">
      <c r="A562" t="str">
        <f t="shared" si="11"/>
        <v>76043216</v>
      </c>
      <c r="B562" t="s">
        <v>2520</v>
      </c>
      <c r="C562" t="s">
        <v>2521</v>
      </c>
      <c r="D562">
        <v>76043216</v>
      </c>
      <c r="E562">
        <v>103005</v>
      </c>
      <c r="F562" t="s">
        <v>39</v>
      </c>
      <c r="G562">
        <v>300</v>
      </c>
      <c r="H562" t="str">
        <f>VLOOKUP(A562,'SV Child INS Apr'!$A:$H,1,0)</f>
        <v>76043216</v>
      </c>
      <c r="L562" t="e">
        <f>VLOOKUP(A562,'TV Apr Prorated Billing Sites'!$A:$I,1,0)</f>
        <v>#N/A</v>
      </c>
    </row>
    <row r="563" spans="1:13">
      <c r="A563" t="str">
        <f t="shared" si="11"/>
        <v>76043277</v>
      </c>
      <c r="B563" t="s">
        <v>78</v>
      </c>
      <c r="C563" t="s">
        <v>79</v>
      </c>
      <c r="D563">
        <v>76043277</v>
      </c>
      <c r="E563">
        <v>2502505</v>
      </c>
      <c r="F563" t="s">
        <v>39</v>
      </c>
      <c r="G563">
        <v>450</v>
      </c>
      <c r="H563" t="e">
        <f>VLOOKUP(A563,'SV Child INS Apr'!$A:$H,1,0)</f>
        <v>#N/A</v>
      </c>
      <c r="I563" t="e">
        <f>VLOOKUP(B563,'SV Child INS Apr'!$D:$F,1,0)</f>
        <v>#N/A</v>
      </c>
      <c r="J563" t="e">
        <f>VLOOKUP(A563,'SV Child BLG Apr'!$A:$J,1,0)</f>
        <v>#N/A</v>
      </c>
      <c r="K563" t="e">
        <f>VLOOKUP(B563,'SV Child BLG Apr'!$D:$I,1,0)</f>
        <v>#N/A</v>
      </c>
      <c r="L563" t="e">
        <f>VLOOKUP(A563,'TV Apr Prorated Billing Sites'!$A:$I,1,0)</f>
        <v>#N/A</v>
      </c>
    </row>
    <row r="564" spans="1:13">
      <c r="A564" t="str">
        <f t="shared" si="11"/>
        <v>76043449</v>
      </c>
      <c r="B564" t="s">
        <v>482</v>
      </c>
      <c r="C564" t="s">
        <v>483</v>
      </c>
      <c r="D564">
        <v>76043449</v>
      </c>
      <c r="E564">
        <v>123018</v>
      </c>
      <c r="F564" t="s">
        <v>39</v>
      </c>
      <c r="G564">
        <v>300</v>
      </c>
      <c r="H564" t="e">
        <f>VLOOKUP(A564,'SV Child INS Apr'!$A:$H,1,0)</f>
        <v>#N/A</v>
      </c>
      <c r="I564" t="e">
        <f>VLOOKUP(B564,'SV Child INS Apr'!$D:$F,1,0)</f>
        <v>#N/A</v>
      </c>
      <c r="J564" t="str">
        <f>VLOOKUP(A564,'SV Child BLG Apr'!$A:$J,1,0)</f>
        <v>76043449</v>
      </c>
      <c r="L564" t="e">
        <f>VLOOKUP(A564,'TV Apr Prorated Billing Sites'!$A:$I,1,0)</f>
        <v>#N/A</v>
      </c>
      <c r="M564" t="e">
        <f>VLOOKUP(A564,'CDK asked to retain list'!$H$1:$J$24,1,0)</f>
        <v>#N/A</v>
      </c>
    </row>
    <row r="565" spans="1:13">
      <c r="A565" t="str">
        <f t="shared" si="11"/>
        <v>76043451</v>
      </c>
      <c r="B565" t="s">
        <v>485</v>
      </c>
      <c r="C565" t="s">
        <v>486</v>
      </c>
      <c r="D565">
        <v>76043451</v>
      </c>
      <c r="E565">
        <v>123019</v>
      </c>
      <c r="F565" t="s">
        <v>39</v>
      </c>
      <c r="G565">
        <v>300</v>
      </c>
      <c r="H565" t="e">
        <f>VLOOKUP(A565,'SV Child INS Apr'!$A:$H,1,0)</f>
        <v>#N/A</v>
      </c>
      <c r="I565" t="e">
        <f>VLOOKUP(B565,'SV Child INS Apr'!$D:$F,1,0)</f>
        <v>#N/A</v>
      </c>
      <c r="J565" t="str">
        <f>VLOOKUP(A565,'SV Child BLG Apr'!$A:$J,1,0)</f>
        <v>76043451</v>
      </c>
      <c r="L565" t="e">
        <f>VLOOKUP(A565,'TV Apr Prorated Billing Sites'!$A:$I,1,0)</f>
        <v>#N/A</v>
      </c>
      <c r="M565" t="e">
        <f>VLOOKUP(A565,'CDK asked to retain list'!$H$1:$J$24,1,0)</f>
        <v>#N/A</v>
      </c>
    </row>
    <row r="566" spans="1:13">
      <c r="A566" t="str">
        <f t="shared" si="11"/>
        <v>76043453</v>
      </c>
      <c r="B566" t="s">
        <v>488</v>
      </c>
      <c r="C566" t="s">
        <v>489</v>
      </c>
      <c r="D566">
        <v>76043453</v>
      </c>
      <c r="E566">
        <v>0</v>
      </c>
      <c r="F566" t="s">
        <v>39</v>
      </c>
      <c r="G566">
        <v>300</v>
      </c>
      <c r="H566" t="e">
        <f>VLOOKUP(A566,'SV Child INS Apr'!$A:$H,1,0)</f>
        <v>#N/A</v>
      </c>
      <c r="I566" t="e">
        <f>VLOOKUP(B566,'SV Child INS Apr'!$D:$F,1,0)</f>
        <v>#N/A</v>
      </c>
      <c r="J566" t="str">
        <f>VLOOKUP(A566,'SV Child BLG Apr'!$A:$J,1,0)</f>
        <v>76043453</v>
      </c>
      <c r="L566" t="e">
        <f>VLOOKUP(A566,'TV Apr Prorated Billing Sites'!$A:$I,1,0)</f>
        <v>#N/A</v>
      </c>
      <c r="M566" t="e">
        <f>VLOOKUP(A566,'CDK asked to retain list'!$H$1:$J$24,1,0)</f>
        <v>#N/A</v>
      </c>
    </row>
    <row r="567" spans="1:13">
      <c r="A567" t="str">
        <f t="shared" si="11"/>
        <v>76043455</v>
      </c>
      <c r="B567" t="s">
        <v>491</v>
      </c>
      <c r="C567" t="s">
        <v>492</v>
      </c>
      <c r="D567">
        <v>76043455</v>
      </c>
      <c r="E567">
        <v>123021</v>
      </c>
      <c r="F567" t="s">
        <v>39</v>
      </c>
      <c r="G567">
        <v>300</v>
      </c>
      <c r="H567" t="e">
        <f>VLOOKUP(A567,'SV Child INS Apr'!$A:$H,1,0)</f>
        <v>#N/A</v>
      </c>
      <c r="I567" t="e">
        <f>VLOOKUP(B567,'SV Child INS Apr'!$D:$F,1,0)</f>
        <v>#N/A</v>
      </c>
      <c r="J567" t="str">
        <f>VLOOKUP(A567,'SV Child BLG Apr'!$A:$J,1,0)</f>
        <v>76043455</v>
      </c>
      <c r="L567" t="e">
        <f>VLOOKUP(A567,'TV Apr Prorated Billing Sites'!$A:$I,1,0)</f>
        <v>#N/A</v>
      </c>
      <c r="M567" t="e">
        <f>VLOOKUP(A567,'CDK asked to retain list'!$H$1:$J$24,1,0)</f>
        <v>#N/A</v>
      </c>
    </row>
    <row r="568" spans="1:13">
      <c r="A568" t="str">
        <f t="shared" si="11"/>
        <v>76043468</v>
      </c>
      <c r="B568" t="s">
        <v>494</v>
      </c>
      <c r="C568" t="s">
        <v>495</v>
      </c>
      <c r="D568">
        <v>76043468</v>
      </c>
      <c r="E568">
        <v>2001550</v>
      </c>
      <c r="F568" t="s">
        <v>39</v>
      </c>
      <c r="G568">
        <v>300</v>
      </c>
      <c r="H568" t="e">
        <f>VLOOKUP(A568,'SV Child INS Apr'!$A:$H,1,0)</f>
        <v>#N/A</v>
      </c>
      <c r="I568" t="e">
        <f>VLOOKUP(B568,'SV Child INS Apr'!$D:$F,1,0)</f>
        <v>#N/A</v>
      </c>
      <c r="J568" t="str">
        <f>VLOOKUP(A568,'SV Child BLG Apr'!$A:$J,1,0)</f>
        <v>76043468</v>
      </c>
      <c r="L568" t="str">
        <f>VLOOKUP(A568,'TV Apr Prorated Billing Sites'!$A:$I,1,0)</f>
        <v>76043468</v>
      </c>
      <c r="M568" t="e">
        <f>VLOOKUP(A568,'CDK asked to retain list'!$H$1:$J$24,1,0)</f>
        <v>#N/A</v>
      </c>
    </row>
    <row r="569" spans="1:13">
      <c r="A569" t="str">
        <f t="shared" si="11"/>
        <v>76043771</v>
      </c>
      <c r="B569" t="s">
        <v>2522</v>
      </c>
      <c r="C569" t="s">
        <v>2523</v>
      </c>
      <c r="D569">
        <v>76043771</v>
      </c>
      <c r="E569">
        <v>2002456</v>
      </c>
      <c r="F569" t="s">
        <v>39</v>
      </c>
      <c r="G569">
        <v>300</v>
      </c>
      <c r="H569" t="str">
        <f>VLOOKUP(A569,'SV Child INS Apr'!$A:$H,1,0)</f>
        <v>76043771</v>
      </c>
      <c r="L569" t="e">
        <f>VLOOKUP(A569,'TV Apr Prorated Billing Sites'!$A:$I,1,0)</f>
        <v>#N/A</v>
      </c>
    </row>
    <row r="570" spans="1:13">
      <c r="A570" t="str">
        <f t="shared" si="11"/>
        <v>76043778</v>
      </c>
      <c r="B570" t="s">
        <v>2524</v>
      </c>
      <c r="C570" t="s">
        <v>2525</v>
      </c>
      <c r="D570">
        <v>76043778</v>
      </c>
      <c r="E570">
        <v>2000918</v>
      </c>
      <c r="F570" t="s">
        <v>39</v>
      </c>
      <c r="G570">
        <v>400</v>
      </c>
      <c r="H570" t="str">
        <f>VLOOKUP(A570,'SV Child INS Apr'!$A:$H,1,0)</f>
        <v>76043778</v>
      </c>
      <c r="L570" t="e">
        <f>VLOOKUP(A570,'TV Apr Prorated Billing Sites'!$A:$I,1,0)</f>
        <v>#N/A</v>
      </c>
    </row>
    <row r="571" spans="1:13">
      <c r="A571" t="str">
        <f t="shared" si="11"/>
        <v>76043844</v>
      </c>
      <c r="B571" t="s">
        <v>2526</v>
      </c>
      <c r="C571" t="s">
        <v>2527</v>
      </c>
      <c r="D571">
        <v>76043844</v>
      </c>
      <c r="E571">
        <v>1500058</v>
      </c>
      <c r="F571" t="s">
        <v>39</v>
      </c>
      <c r="G571">
        <v>300</v>
      </c>
      <c r="H571" t="str">
        <f>VLOOKUP(A571,'SV Child INS Apr'!$A:$H,1,0)</f>
        <v>76043844</v>
      </c>
      <c r="L571" t="e">
        <f>VLOOKUP(A571,'TV Apr Prorated Billing Sites'!$A:$I,1,0)</f>
        <v>#N/A</v>
      </c>
    </row>
    <row r="572" spans="1:13">
      <c r="A572" t="str">
        <f t="shared" si="11"/>
        <v>76043948</v>
      </c>
      <c r="B572" t="s">
        <v>2528</v>
      </c>
      <c r="C572" t="s">
        <v>2529</v>
      </c>
      <c r="D572">
        <v>76043948</v>
      </c>
      <c r="E572">
        <v>10046</v>
      </c>
      <c r="F572" t="s">
        <v>39</v>
      </c>
      <c r="G572">
        <v>300</v>
      </c>
      <c r="H572" t="str">
        <f>VLOOKUP(A572,'SV Child INS Apr'!$A:$H,1,0)</f>
        <v>76043948</v>
      </c>
      <c r="L572" t="e">
        <f>VLOOKUP(A572,'TV Apr Prorated Billing Sites'!$A:$I,1,0)</f>
        <v>#N/A</v>
      </c>
    </row>
    <row r="573" spans="1:13">
      <c r="A573" t="str">
        <f t="shared" si="11"/>
        <v>76043967</v>
      </c>
      <c r="B573" t="s">
        <v>2530</v>
      </c>
      <c r="C573" t="s">
        <v>2531</v>
      </c>
      <c r="D573">
        <v>76043967</v>
      </c>
      <c r="E573">
        <v>1500173</v>
      </c>
      <c r="F573" t="s">
        <v>39</v>
      </c>
      <c r="G573">
        <v>300</v>
      </c>
      <c r="H573" t="str">
        <f>VLOOKUP(A573,'SV Child INS Apr'!$A:$H,1,0)</f>
        <v>76043967</v>
      </c>
      <c r="L573" t="e">
        <f>VLOOKUP(A573,'TV Apr Prorated Billing Sites'!$A:$I,1,0)</f>
        <v>#N/A</v>
      </c>
    </row>
    <row r="574" spans="1:13">
      <c r="A574" t="str">
        <f t="shared" si="11"/>
        <v>76044062</v>
      </c>
      <c r="B574" t="s">
        <v>497</v>
      </c>
      <c r="C574" t="s">
        <v>498</v>
      </c>
      <c r="D574">
        <v>76044062</v>
      </c>
      <c r="E574">
        <v>2503554</v>
      </c>
      <c r="F574" t="s">
        <v>39</v>
      </c>
      <c r="G574">
        <v>300</v>
      </c>
      <c r="H574" t="e">
        <f>VLOOKUP(A574,'SV Child INS Apr'!$A:$H,1,0)</f>
        <v>#N/A</v>
      </c>
      <c r="I574" t="e">
        <f>VLOOKUP(B574,'SV Child INS Apr'!$D:$F,1,0)</f>
        <v>#N/A</v>
      </c>
      <c r="J574" t="str">
        <f>VLOOKUP(A574,'SV Child BLG Apr'!$A:$J,1,0)</f>
        <v>76044062</v>
      </c>
      <c r="L574" t="e">
        <f>VLOOKUP(A574,'TV Apr Prorated Billing Sites'!$A:$I,1,0)</f>
        <v>#N/A</v>
      </c>
      <c r="M574" t="e">
        <f>VLOOKUP(A574,'CDK asked to retain list'!$H$1:$J$24,1,0)</f>
        <v>#N/A</v>
      </c>
    </row>
    <row r="575" spans="1:13">
      <c r="A575" t="str">
        <f t="shared" si="11"/>
        <v>76044363</v>
      </c>
      <c r="B575" t="s">
        <v>2532</v>
      </c>
      <c r="C575" t="s">
        <v>2533</v>
      </c>
      <c r="D575">
        <v>76044363</v>
      </c>
      <c r="E575">
        <v>2500391</v>
      </c>
      <c r="F575" t="s">
        <v>39</v>
      </c>
      <c r="G575">
        <v>450</v>
      </c>
      <c r="H575" t="str">
        <f>VLOOKUP(A575,'SV Child INS Apr'!$A:$H,1,0)</f>
        <v>76044363</v>
      </c>
      <c r="L575" t="e">
        <f>VLOOKUP(A575,'TV Apr Prorated Billing Sites'!$A:$I,1,0)</f>
        <v>#N/A</v>
      </c>
    </row>
    <row r="576" spans="1:13">
      <c r="A576" t="str">
        <f t="shared" si="11"/>
        <v>76045003</v>
      </c>
      <c r="B576" t="s">
        <v>2534</v>
      </c>
      <c r="C576" t="s">
        <v>2535</v>
      </c>
      <c r="D576">
        <v>76045003</v>
      </c>
      <c r="E576">
        <v>2501055</v>
      </c>
      <c r="F576" t="s">
        <v>39</v>
      </c>
      <c r="G576">
        <v>300</v>
      </c>
      <c r="H576" t="str">
        <f>VLOOKUP(A576,'SV Child INS Apr'!$A:$H,1,0)</f>
        <v>76045003</v>
      </c>
      <c r="L576" t="e">
        <f>VLOOKUP(A576,'TV Apr Prorated Billing Sites'!$A:$I,1,0)</f>
        <v>#N/A</v>
      </c>
    </row>
    <row r="577" spans="1:12">
      <c r="A577" t="str">
        <f t="shared" si="11"/>
        <v>76045042</v>
      </c>
      <c r="B577" t="s">
        <v>2536</v>
      </c>
      <c r="C577" t="s">
        <v>2537</v>
      </c>
      <c r="D577">
        <v>76045042</v>
      </c>
      <c r="E577">
        <v>2503512</v>
      </c>
      <c r="F577" t="s">
        <v>39</v>
      </c>
      <c r="G577">
        <v>300</v>
      </c>
      <c r="H577" t="str">
        <f>VLOOKUP(A577,'SV Child INS Apr'!$A:$H,1,0)</f>
        <v>76045042</v>
      </c>
      <c r="L577" t="e">
        <f>VLOOKUP(A577,'TV Apr Prorated Billing Sites'!$A:$I,1,0)</f>
        <v>#N/A</v>
      </c>
    </row>
    <row r="578" spans="1:12">
      <c r="A578" t="str">
        <f t="shared" si="11"/>
        <v>76045170</v>
      </c>
      <c r="B578" t="s">
        <v>2538</v>
      </c>
      <c r="C578" t="s">
        <v>2539</v>
      </c>
      <c r="D578">
        <v>76045170</v>
      </c>
      <c r="E578">
        <v>3001292</v>
      </c>
      <c r="F578" t="s">
        <v>39</v>
      </c>
      <c r="G578">
        <v>450</v>
      </c>
      <c r="H578" t="str">
        <f>VLOOKUP(A578,'SV Child INS Apr'!$A:$H,1,0)</f>
        <v>76045170</v>
      </c>
      <c r="L578" t="e">
        <f>VLOOKUP(A578,'TV Apr Prorated Billing Sites'!$A:$I,1,0)</f>
        <v>#N/A</v>
      </c>
    </row>
    <row r="579" spans="1:12">
      <c r="A579" t="str">
        <f t="shared" si="11"/>
        <v>76045308</v>
      </c>
      <c r="B579" t="s">
        <v>2540</v>
      </c>
      <c r="C579" t="s">
        <v>2541</v>
      </c>
      <c r="D579">
        <v>76045308</v>
      </c>
      <c r="E579">
        <v>2002811</v>
      </c>
      <c r="F579" t="s">
        <v>39</v>
      </c>
      <c r="G579">
        <v>300</v>
      </c>
      <c r="H579" t="str">
        <f>VLOOKUP(A579,'SV Child INS Apr'!$A:$H,1,0)</f>
        <v>76045308</v>
      </c>
      <c r="L579" t="e">
        <f>VLOOKUP(A579,'TV Apr Prorated Billing Sites'!$A:$I,1,0)</f>
        <v>#N/A</v>
      </c>
    </row>
    <row r="580" spans="1:12">
      <c r="A580" t="str">
        <f t="shared" si="11"/>
        <v>76045326</v>
      </c>
      <c r="B580" t="s">
        <v>2542</v>
      </c>
      <c r="C580" t="s">
        <v>2543</v>
      </c>
      <c r="D580">
        <v>76045326</v>
      </c>
      <c r="E580">
        <v>2501781</v>
      </c>
      <c r="F580" t="s">
        <v>39</v>
      </c>
      <c r="G580">
        <v>300</v>
      </c>
      <c r="H580" t="str">
        <f>VLOOKUP(A580,'SV Child INS Apr'!$A:$H,1,0)</f>
        <v>76045326</v>
      </c>
      <c r="L580" t="e">
        <f>VLOOKUP(A580,'TV Apr Prorated Billing Sites'!$A:$I,1,0)</f>
        <v>#N/A</v>
      </c>
    </row>
    <row r="581" spans="1:12">
      <c r="A581" t="str">
        <f t="shared" si="11"/>
        <v>76048287</v>
      </c>
      <c r="B581" t="s">
        <v>2544</v>
      </c>
      <c r="C581" t="s">
        <v>2545</v>
      </c>
      <c r="D581">
        <v>76048287</v>
      </c>
      <c r="E581">
        <v>3000107</v>
      </c>
      <c r="F581" t="s">
        <v>39</v>
      </c>
      <c r="G581">
        <v>300</v>
      </c>
      <c r="H581" t="str">
        <f>VLOOKUP(A581,'SV Child INS Apr'!$A:$H,1,0)</f>
        <v>76048287</v>
      </c>
      <c r="L581" t="e">
        <f>VLOOKUP(A581,'TV Apr Prorated Billing Sites'!$A:$I,1,0)</f>
        <v>#N/A</v>
      </c>
    </row>
    <row r="582" spans="1:12">
      <c r="A582" t="str">
        <f t="shared" si="11"/>
        <v>76048459</v>
      </c>
      <c r="B582" t="s">
        <v>2546</v>
      </c>
      <c r="C582" t="s">
        <v>2547</v>
      </c>
      <c r="D582">
        <v>76048459</v>
      </c>
      <c r="E582">
        <v>2000881</v>
      </c>
      <c r="F582" t="s">
        <v>39</v>
      </c>
      <c r="G582">
        <v>450</v>
      </c>
      <c r="H582" t="str">
        <f>VLOOKUP(A582,'SV Child INS Apr'!$A:$H,1,0)</f>
        <v>76048459</v>
      </c>
      <c r="L582" t="e">
        <f>VLOOKUP(A582,'TV Apr Prorated Billing Sites'!$A:$I,1,0)</f>
        <v>#N/A</v>
      </c>
    </row>
    <row r="583" spans="1:12">
      <c r="A583" t="str">
        <f t="shared" si="11"/>
        <v>76050375</v>
      </c>
      <c r="B583" t="s">
        <v>2548</v>
      </c>
      <c r="C583" t="s">
        <v>2549</v>
      </c>
      <c r="D583">
        <v>76050375</v>
      </c>
      <c r="E583">
        <v>2503372</v>
      </c>
      <c r="F583" t="s">
        <v>39</v>
      </c>
      <c r="G583">
        <v>300</v>
      </c>
      <c r="H583" t="str">
        <f>VLOOKUP(A583,'SV Child INS Apr'!$A:$H,1,0)</f>
        <v>76050375</v>
      </c>
      <c r="L583" t="e">
        <f>VLOOKUP(A583,'TV Apr Prorated Billing Sites'!$A:$I,1,0)</f>
        <v>#N/A</v>
      </c>
    </row>
    <row r="584" spans="1:12">
      <c r="A584" t="str">
        <f t="shared" si="11"/>
        <v>76050376</v>
      </c>
      <c r="B584" t="s">
        <v>2550</v>
      </c>
      <c r="C584" t="s">
        <v>2551</v>
      </c>
      <c r="D584">
        <v>76050376</v>
      </c>
      <c r="E584">
        <v>2503376</v>
      </c>
      <c r="F584" t="s">
        <v>39</v>
      </c>
      <c r="G584">
        <v>300</v>
      </c>
      <c r="H584" t="str">
        <f>VLOOKUP(A584,'SV Child INS Apr'!$A:$H,1,0)</f>
        <v>76050376</v>
      </c>
      <c r="L584" t="e">
        <f>VLOOKUP(A584,'TV Apr Prorated Billing Sites'!$A:$I,1,0)</f>
        <v>#N/A</v>
      </c>
    </row>
    <row r="585" spans="1:12">
      <c r="A585" t="str">
        <f t="shared" si="11"/>
        <v>76051491</v>
      </c>
      <c r="B585" t="s">
        <v>2552</v>
      </c>
      <c r="C585" t="s">
        <v>2553</v>
      </c>
      <c r="D585">
        <v>76051491</v>
      </c>
      <c r="E585">
        <v>2501823</v>
      </c>
      <c r="F585" t="s">
        <v>39</v>
      </c>
      <c r="G585">
        <v>300</v>
      </c>
      <c r="H585" t="str">
        <f>VLOOKUP(A585,'SV Child INS Apr'!$A:$H,1,0)</f>
        <v>76051491</v>
      </c>
      <c r="L585" t="e">
        <f>VLOOKUP(A585,'TV Apr Prorated Billing Sites'!$A:$I,1,0)</f>
        <v>#N/A</v>
      </c>
    </row>
    <row r="586" spans="1:12">
      <c r="A586" t="str">
        <f t="shared" si="11"/>
        <v>76051494</v>
      </c>
      <c r="B586" t="s">
        <v>2554</v>
      </c>
      <c r="C586" t="s">
        <v>2555</v>
      </c>
      <c r="D586">
        <v>76051494</v>
      </c>
      <c r="E586">
        <v>2503310</v>
      </c>
      <c r="F586" t="s">
        <v>39</v>
      </c>
      <c r="G586">
        <v>300</v>
      </c>
      <c r="H586" t="str">
        <f>VLOOKUP(A586,'SV Child INS Apr'!$A:$H,1,0)</f>
        <v>76051494</v>
      </c>
      <c r="L586" t="e">
        <f>VLOOKUP(A586,'TV Apr Prorated Billing Sites'!$A:$I,1,0)</f>
        <v>#N/A</v>
      </c>
    </row>
    <row r="587" spans="1:12">
      <c r="A587" t="str">
        <f t="shared" si="11"/>
        <v>76051500</v>
      </c>
      <c r="B587" t="s">
        <v>81</v>
      </c>
      <c r="C587" t="s">
        <v>82</v>
      </c>
      <c r="D587">
        <v>76051500</v>
      </c>
      <c r="E587">
        <v>2503331</v>
      </c>
      <c r="F587" t="s">
        <v>39</v>
      </c>
      <c r="G587">
        <v>300</v>
      </c>
      <c r="H587" t="e">
        <f>VLOOKUP(A587,'SV Child INS Apr'!$A:$H,1,0)</f>
        <v>#N/A</v>
      </c>
      <c r="I587" t="e">
        <f>VLOOKUP(B587,'SV Child INS Apr'!$D:$F,1,0)</f>
        <v>#N/A</v>
      </c>
      <c r="J587" t="e">
        <f>VLOOKUP(A587,'SV Child BLG Apr'!$A:$J,1,0)</f>
        <v>#N/A</v>
      </c>
      <c r="K587" t="e">
        <f>VLOOKUP(B587,'SV Child BLG Apr'!$D:$I,1,0)</f>
        <v>#N/A</v>
      </c>
      <c r="L587" t="e">
        <f>VLOOKUP(A587,'TV Apr Prorated Billing Sites'!$A:$I,1,0)</f>
        <v>#N/A</v>
      </c>
    </row>
    <row r="588" spans="1:12">
      <c r="A588" t="str">
        <f t="shared" si="11"/>
        <v>76051609</v>
      </c>
      <c r="B588" t="s">
        <v>2556</v>
      </c>
      <c r="C588" t="s">
        <v>2557</v>
      </c>
      <c r="D588">
        <v>76051609</v>
      </c>
      <c r="E588">
        <v>8103</v>
      </c>
      <c r="F588" t="s">
        <v>39</v>
      </c>
      <c r="G588">
        <v>300</v>
      </c>
      <c r="H588" t="str">
        <f>VLOOKUP(A588,'SV Child INS Apr'!$A:$H,1,0)</f>
        <v>76051609</v>
      </c>
      <c r="L588" t="e">
        <f>VLOOKUP(A588,'TV Apr Prorated Billing Sites'!$A:$I,1,0)</f>
        <v>#N/A</v>
      </c>
    </row>
    <row r="589" spans="1:12">
      <c r="A589" t="str">
        <f t="shared" si="11"/>
        <v>76053108</v>
      </c>
      <c r="B589" t="s">
        <v>2558</v>
      </c>
      <c r="C589" t="s">
        <v>2559</v>
      </c>
      <c r="D589">
        <v>76053108</v>
      </c>
      <c r="E589">
        <v>2002021</v>
      </c>
      <c r="F589" t="s">
        <v>39</v>
      </c>
      <c r="G589">
        <v>450</v>
      </c>
      <c r="H589" t="str">
        <f>VLOOKUP(A589,'SV Child INS Apr'!$A:$H,1,0)</f>
        <v>76053108</v>
      </c>
      <c r="L589" t="e">
        <f>VLOOKUP(A589,'TV Apr Prorated Billing Sites'!$A:$I,1,0)</f>
        <v>#N/A</v>
      </c>
    </row>
    <row r="590" spans="1:12">
      <c r="A590" t="str">
        <f t="shared" si="11"/>
        <v>76054978</v>
      </c>
      <c r="B590" t="s">
        <v>2560</v>
      </c>
      <c r="C590" t="s">
        <v>2561</v>
      </c>
      <c r="D590">
        <v>76054978</v>
      </c>
      <c r="E590">
        <v>3000512</v>
      </c>
      <c r="F590" t="s">
        <v>39</v>
      </c>
      <c r="G590">
        <v>300</v>
      </c>
      <c r="H590" t="str">
        <f>VLOOKUP(A590,'SV Child INS Apr'!$A:$H,1,0)</f>
        <v>76054978</v>
      </c>
      <c r="L590" t="e">
        <f>VLOOKUP(A590,'TV Apr Prorated Billing Sites'!$A:$I,1,0)</f>
        <v>#N/A</v>
      </c>
    </row>
    <row r="591" spans="1:12">
      <c r="A591" t="str">
        <f t="shared" si="11"/>
        <v>76055037</v>
      </c>
      <c r="B591" t="s">
        <v>2562</v>
      </c>
      <c r="C591" t="s">
        <v>2563</v>
      </c>
      <c r="D591">
        <v>76055037</v>
      </c>
      <c r="E591">
        <v>2501148</v>
      </c>
      <c r="F591" t="s">
        <v>39</v>
      </c>
      <c r="G591">
        <v>300</v>
      </c>
      <c r="H591" t="str">
        <f>VLOOKUP(A591,'SV Child INS Apr'!$A:$H,1,0)</f>
        <v>76055037</v>
      </c>
      <c r="L591" t="e">
        <f>VLOOKUP(A591,'TV Apr Prorated Billing Sites'!$A:$I,1,0)</f>
        <v>#N/A</v>
      </c>
    </row>
    <row r="592" spans="1:12">
      <c r="A592" t="str">
        <f t="shared" si="11"/>
        <v>76055051</v>
      </c>
      <c r="B592" t="s">
        <v>2564</v>
      </c>
      <c r="C592" t="s">
        <v>2565</v>
      </c>
      <c r="D592">
        <v>76055051</v>
      </c>
      <c r="E592">
        <v>0</v>
      </c>
      <c r="F592" t="s">
        <v>39</v>
      </c>
      <c r="G592">
        <v>400</v>
      </c>
      <c r="H592" t="str">
        <f>VLOOKUP(A592,'SV Child INS Apr'!$A:$H,1,0)</f>
        <v>76055051</v>
      </c>
      <c r="L592" t="e">
        <f>VLOOKUP(A592,'TV Apr Prorated Billing Sites'!$A:$I,1,0)</f>
        <v>#N/A</v>
      </c>
    </row>
    <row r="593" spans="1:12">
      <c r="A593" t="str">
        <f t="shared" si="11"/>
        <v>76055439</v>
      </c>
      <c r="B593" t="s">
        <v>2566</v>
      </c>
      <c r="C593" t="s">
        <v>2567</v>
      </c>
      <c r="D593">
        <v>76055439</v>
      </c>
      <c r="E593">
        <v>8100</v>
      </c>
      <c r="F593" t="s">
        <v>39</v>
      </c>
      <c r="G593">
        <v>300</v>
      </c>
      <c r="H593" t="str">
        <f>VLOOKUP(A593,'SV Child INS Apr'!$A:$H,1,0)</f>
        <v>76055439</v>
      </c>
      <c r="L593" t="e">
        <f>VLOOKUP(A593,'TV Apr Prorated Billing Sites'!$A:$I,1,0)</f>
        <v>#N/A</v>
      </c>
    </row>
    <row r="594" spans="1:12">
      <c r="A594" t="str">
        <f t="shared" si="11"/>
        <v>76055600</v>
      </c>
      <c r="B594" t="s">
        <v>2568</v>
      </c>
      <c r="C594" t="s">
        <v>2569</v>
      </c>
      <c r="D594">
        <v>76055600</v>
      </c>
      <c r="E594">
        <v>2501130</v>
      </c>
      <c r="F594" t="s">
        <v>39</v>
      </c>
      <c r="G594">
        <v>400</v>
      </c>
      <c r="H594" t="str">
        <f>VLOOKUP(A594,'SV Child INS Apr'!$A:$H,1,0)</f>
        <v>76055600</v>
      </c>
      <c r="L594" t="e">
        <f>VLOOKUP(A594,'TV Apr Prorated Billing Sites'!$A:$I,1,0)</f>
        <v>#N/A</v>
      </c>
    </row>
    <row r="595" spans="1:12">
      <c r="A595" t="str">
        <f t="shared" si="11"/>
        <v>76055606</v>
      </c>
      <c r="B595" t="s">
        <v>2570</v>
      </c>
      <c r="C595" t="s">
        <v>2571</v>
      </c>
      <c r="D595">
        <v>76055606</v>
      </c>
      <c r="E595">
        <v>2000190</v>
      </c>
      <c r="F595" t="s">
        <v>39</v>
      </c>
      <c r="G595">
        <v>300</v>
      </c>
      <c r="H595" t="str">
        <f>VLOOKUP(A595,'SV Child INS Apr'!$A:$H,1,0)</f>
        <v>76055606</v>
      </c>
      <c r="L595" t="e">
        <f>VLOOKUP(A595,'TV Apr Prorated Billing Sites'!$A:$I,1,0)</f>
        <v>#N/A</v>
      </c>
    </row>
    <row r="596" spans="1:12">
      <c r="A596" t="str">
        <f t="shared" si="11"/>
        <v>76055608</v>
      </c>
      <c r="B596" t="s">
        <v>2572</v>
      </c>
      <c r="C596" t="s">
        <v>2573</v>
      </c>
      <c r="D596">
        <v>76055608</v>
      </c>
      <c r="E596">
        <v>2000299</v>
      </c>
      <c r="F596" t="s">
        <v>39</v>
      </c>
      <c r="G596">
        <v>300</v>
      </c>
      <c r="H596" t="str">
        <f>VLOOKUP(A596,'SV Child INS Apr'!$A:$H,1,0)</f>
        <v>76055608</v>
      </c>
      <c r="L596" t="e">
        <f>VLOOKUP(A596,'TV Apr Prorated Billing Sites'!$A:$I,1,0)</f>
        <v>#N/A</v>
      </c>
    </row>
    <row r="597" spans="1:12">
      <c r="A597" t="str">
        <f t="shared" si="11"/>
        <v>76055609</v>
      </c>
      <c r="B597" t="s">
        <v>2574</v>
      </c>
      <c r="C597" t="s">
        <v>2575</v>
      </c>
      <c r="D597">
        <v>76055609</v>
      </c>
      <c r="E597">
        <v>3367</v>
      </c>
      <c r="F597" t="s">
        <v>39</v>
      </c>
      <c r="G597">
        <v>300</v>
      </c>
      <c r="H597" t="str">
        <f>VLOOKUP(A597,'SV Child INS Apr'!$A:$H,1,0)</f>
        <v>76055609</v>
      </c>
      <c r="L597" t="e">
        <f>VLOOKUP(A597,'TV Apr Prorated Billing Sites'!$A:$I,1,0)</f>
        <v>#N/A</v>
      </c>
    </row>
    <row r="598" spans="1:12">
      <c r="A598" t="str">
        <f t="shared" si="11"/>
        <v>76055620</v>
      </c>
      <c r="B598" t="s">
        <v>2576</v>
      </c>
      <c r="C598" t="s">
        <v>2577</v>
      </c>
      <c r="D598">
        <v>76055620</v>
      </c>
      <c r="E598">
        <v>2501624</v>
      </c>
      <c r="F598" t="s">
        <v>39</v>
      </c>
      <c r="G598">
        <v>300</v>
      </c>
      <c r="H598" t="str">
        <f>VLOOKUP(A598,'SV Child INS Apr'!$A:$H,1,0)</f>
        <v>76055620</v>
      </c>
      <c r="L598" t="e">
        <f>VLOOKUP(A598,'TV Apr Prorated Billing Sites'!$A:$I,1,0)</f>
        <v>#N/A</v>
      </c>
    </row>
    <row r="599" spans="1:12">
      <c r="A599" t="str">
        <f t="shared" si="11"/>
        <v>76055623</v>
      </c>
      <c r="B599" t="s">
        <v>2578</v>
      </c>
      <c r="C599" t="s">
        <v>2579</v>
      </c>
      <c r="D599">
        <v>76055623</v>
      </c>
      <c r="E599">
        <v>2501142</v>
      </c>
      <c r="F599" t="s">
        <v>39</v>
      </c>
      <c r="G599">
        <v>450</v>
      </c>
      <c r="H599" t="str">
        <f>VLOOKUP(A599,'SV Child INS Apr'!$A:$H,1,0)</f>
        <v>76055623</v>
      </c>
      <c r="L599" t="e">
        <f>VLOOKUP(A599,'TV Apr Prorated Billing Sites'!$A:$I,1,0)</f>
        <v>#N/A</v>
      </c>
    </row>
    <row r="600" spans="1:12">
      <c r="A600" t="str">
        <f t="shared" si="11"/>
        <v>76055624</v>
      </c>
      <c r="B600" t="s">
        <v>2580</v>
      </c>
      <c r="C600" t="s">
        <v>2581</v>
      </c>
      <c r="D600">
        <v>76055624</v>
      </c>
      <c r="E600">
        <v>2501122</v>
      </c>
      <c r="F600" t="s">
        <v>39</v>
      </c>
      <c r="G600">
        <v>400</v>
      </c>
      <c r="H600" t="str">
        <f>VLOOKUP(A600,'SV Child INS Apr'!$A:$H,1,0)</f>
        <v>76055624</v>
      </c>
      <c r="L600" t="e">
        <f>VLOOKUP(A600,'TV Apr Prorated Billing Sites'!$A:$I,1,0)</f>
        <v>#N/A</v>
      </c>
    </row>
    <row r="601" spans="1:12">
      <c r="A601" t="str">
        <f t="shared" si="11"/>
        <v>76055641</v>
      </c>
      <c r="B601" t="s">
        <v>2582</v>
      </c>
      <c r="C601" t="s">
        <v>2583</v>
      </c>
      <c r="D601">
        <v>76055641</v>
      </c>
      <c r="E601">
        <v>2502432</v>
      </c>
      <c r="F601" t="s">
        <v>39</v>
      </c>
      <c r="G601">
        <v>400</v>
      </c>
      <c r="H601" t="str">
        <f>VLOOKUP(A601,'SV Child INS Apr'!$A:$H,1,0)</f>
        <v>76055641</v>
      </c>
      <c r="L601" t="e">
        <f>VLOOKUP(A601,'TV Apr Prorated Billing Sites'!$A:$I,1,0)</f>
        <v>#N/A</v>
      </c>
    </row>
    <row r="602" spans="1:12">
      <c r="A602" t="str">
        <f t="shared" si="11"/>
        <v>76055805</v>
      </c>
      <c r="B602" t="s">
        <v>2584</v>
      </c>
      <c r="C602" t="s">
        <v>2585</v>
      </c>
      <c r="D602">
        <v>76055805</v>
      </c>
      <c r="E602">
        <v>3117</v>
      </c>
      <c r="F602" t="s">
        <v>39</v>
      </c>
      <c r="G602">
        <v>400</v>
      </c>
      <c r="H602" t="str">
        <f>VLOOKUP(A602,'SV Child INS Apr'!$A:$H,1,0)</f>
        <v>76055805</v>
      </c>
      <c r="L602" t="e">
        <f>VLOOKUP(A602,'TV Apr Prorated Billing Sites'!$A:$I,1,0)</f>
        <v>#N/A</v>
      </c>
    </row>
    <row r="603" spans="1:12">
      <c r="A603" t="str">
        <f t="shared" si="11"/>
        <v>76055894</v>
      </c>
      <c r="B603" t="s">
        <v>2586</v>
      </c>
      <c r="C603" t="s">
        <v>2587</v>
      </c>
      <c r="D603">
        <v>76055894</v>
      </c>
      <c r="E603">
        <v>2502435</v>
      </c>
      <c r="F603" t="s">
        <v>39</v>
      </c>
      <c r="G603">
        <v>300</v>
      </c>
      <c r="H603" t="str">
        <f>VLOOKUP(A603,'SV Child INS Apr'!$A:$H,1,0)</f>
        <v>76055894</v>
      </c>
      <c r="L603" t="str">
        <f>VLOOKUP(A603,'TV Apr Prorated Billing Sites'!$A:$I,1,0)</f>
        <v>76055894</v>
      </c>
    </row>
    <row r="604" spans="1:12">
      <c r="A604" t="str">
        <f t="shared" si="11"/>
        <v>76056036</v>
      </c>
      <c r="B604" t="s">
        <v>2588</v>
      </c>
      <c r="C604" t="s">
        <v>2589</v>
      </c>
      <c r="D604">
        <v>76056036</v>
      </c>
      <c r="E604">
        <v>3000335</v>
      </c>
      <c r="F604" t="s">
        <v>39</v>
      </c>
      <c r="G604">
        <v>300</v>
      </c>
      <c r="H604" t="str">
        <f>VLOOKUP(A604,'SV Child INS Apr'!$A:$H,1,0)</f>
        <v>76056036</v>
      </c>
      <c r="L604" t="e">
        <f>VLOOKUP(A604,'TV Apr Prorated Billing Sites'!$A:$I,1,0)</f>
        <v>#N/A</v>
      </c>
    </row>
    <row r="605" spans="1:12">
      <c r="A605" t="str">
        <f t="shared" si="11"/>
        <v>76056610</v>
      </c>
      <c r="B605" t="s">
        <v>2590</v>
      </c>
      <c r="C605" t="s">
        <v>2591</v>
      </c>
      <c r="D605">
        <v>76056610</v>
      </c>
      <c r="E605">
        <v>143054</v>
      </c>
      <c r="F605" t="s">
        <v>39</v>
      </c>
      <c r="G605">
        <v>450</v>
      </c>
      <c r="H605" t="str">
        <f>VLOOKUP(A605,'SV Child INS Apr'!$A:$H,1,0)</f>
        <v>76056610</v>
      </c>
      <c r="L605" t="e">
        <f>VLOOKUP(A605,'TV Apr Prorated Billing Sites'!$A:$I,1,0)</f>
        <v>#N/A</v>
      </c>
    </row>
    <row r="606" spans="1:12">
      <c r="A606" t="str">
        <f t="shared" si="11"/>
        <v>76056708</v>
      </c>
      <c r="B606" t="s">
        <v>2592</v>
      </c>
      <c r="C606" t="s">
        <v>2593</v>
      </c>
      <c r="D606">
        <v>76056708</v>
      </c>
      <c r="E606">
        <v>2503478</v>
      </c>
      <c r="F606" t="s">
        <v>39</v>
      </c>
      <c r="G606">
        <v>450</v>
      </c>
      <c r="H606" t="str">
        <f>VLOOKUP(A606,'SV Child INS Apr'!$A:$H,1,0)</f>
        <v>76056708</v>
      </c>
      <c r="L606" t="e">
        <f>VLOOKUP(A606,'TV Apr Prorated Billing Sites'!$A:$I,1,0)</f>
        <v>#N/A</v>
      </c>
    </row>
    <row r="607" spans="1:12">
      <c r="A607" t="str">
        <f t="shared" si="11"/>
        <v>76056708</v>
      </c>
      <c r="B607" t="s">
        <v>2592</v>
      </c>
      <c r="C607" t="s">
        <v>2594</v>
      </c>
      <c r="D607">
        <v>76056708</v>
      </c>
      <c r="E607">
        <v>2503478</v>
      </c>
      <c r="F607" t="s">
        <v>39</v>
      </c>
      <c r="G607">
        <v>300</v>
      </c>
      <c r="H607" t="str">
        <f>VLOOKUP(A607,'SV Child INS Apr'!$A:$H,1,0)</f>
        <v>76056708</v>
      </c>
      <c r="L607" t="e">
        <f>VLOOKUP(A607,'TV Apr Prorated Billing Sites'!$A:$I,1,0)</f>
        <v>#N/A</v>
      </c>
    </row>
    <row r="608" spans="1:12">
      <c r="A608" t="str">
        <f t="shared" si="11"/>
        <v>76057591</v>
      </c>
      <c r="B608" t="s">
        <v>2595</v>
      </c>
      <c r="C608" t="s">
        <v>2596</v>
      </c>
      <c r="D608">
        <v>76057591</v>
      </c>
      <c r="E608">
        <v>2002001</v>
      </c>
      <c r="F608" t="s">
        <v>39</v>
      </c>
      <c r="G608">
        <v>450</v>
      </c>
      <c r="H608" t="str">
        <f>VLOOKUP(A608,'SV Child INS Apr'!$A:$H,1,0)</f>
        <v>76057591</v>
      </c>
      <c r="L608" t="e">
        <f>VLOOKUP(A608,'TV Apr Prorated Billing Sites'!$A:$I,1,0)</f>
        <v>#N/A</v>
      </c>
    </row>
    <row r="609" spans="1:12">
      <c r="A609" t="str">
        <f t="shared" si="11"/>
        <v>76057672</v>
      </c>
      <c r="B609" t="s">
        <v>84</v>
      </c>
      <c r="C609" t="s">
        <v>85</v>
      </c>
      <c r="D609">
        <v>76057672</v>
      </c>
      <c r="E609">
        <v>2501660</v>
      </c>
      <c r="F609" t="s">
        <v>39</v>
      </c>
      <c r="G609">
        <v>450</v>
      </c>
      <c r="H609" t="e">
        <f>VLOOKUP(A609,'SV Child INS Apr'!$A:$H,1,0)</f>
        <v>#N/A</v>
      </c>
      <c r="I609" t="e">
        <f>VLOOKUP(B609,'SV Child INS Apr'!$D:$F,1,0)</f>
        <v>#N/A</v>
      </c>
      <c r="J609" t="e">
        <f>VLOOKUP(A609,'SV Child BLG Apr'!$A:$J,1,0)</f>
        <v>#N/A</v>
      </c>
      <c r="K609" t="e">
        <f>VLOOKUP(B609,'SV Child BLG Apr'!$D:$I,1,0)</f>
        <v>#N/A</v>
      </c>
      <c r="L609" t="e">
        <f>VLOOKUP(A609,'TV Apr Prorated Billing Sites'!$A:$I,1,0)</f>
        <v>#N/A</v>
      </c>
    </row>
    <row r="610" spans="1:12">
      <c r="A610" t="str">
        <f t="shared" si="11"/>
        <v>76057680</v>
      </c>
      <c r="B610" t="s">
        <v>2597</v>
      </c>
      <c r="C610" t="s">
        <v>2598</v>
      </c>
      <c r="D610">
        <v>76057680</v>
      </c>
      <c r="E610">
        <v>3110</v>
      </c>
      <c r="F610" t="s">
        <v>39</v>
      </c>
      <c r="G610">
        <v>300</v>
      </c>
      <c r="H610" t="str">
        <f>VLOOKUP(A610,'SV Child INS Apr'!$A:$H,1,0)</f>
        <v>76057680</v>
      </c>
      <c r="L610" t="e">
        <f>VLOOKUP(A610,'TV Apr Prorated Billing Sites'!$A:$I,1,0)</f>
        <v>#N/A</v>
      </c>
    </row>
    <row r="611" spans="1:12">
      <c r="A611" t="str">
        <f t="shared" si="11"/>
        <v>76057683</v>
      </c>
      <c r="B611" t="s">
        <v>2599</v>
      </c>
      <c r="C611" t="s">
        <v>2600</v>
      </c>
      <c r="D611">
        <v>76057683</v>
      </c>
      <c r="E611">
        <v>2500189</v>
      </c>
      <c r="F611" t="s">
        <v>39</v>
      </c>
      <c r="G611">
        <v>300</v>
      </c>
      <c r="H611" t="str">
        <f>VLOOKUP(A611,'SV Child INS Apr'!$A:$H,1,0)</f>
        <v>76057683</v>
      </c>
      <c r="L611" t="e">
        <f>VLOOKUP(A611,'TV Apr Prorated Billing Sites'!$A:$I,1,0)</f>
        <v>#N/A</v>
      </c>
    </row>
    <row r="612" spans="1:12">
      <c r="A612" t="str">
        <f t="shared" si="11"/>
        <v>76058144</v>
      </c>
      <c r="B612" t="s">
        <v>2601</v>
      </c>
      <c r="C612" t="s">
        <v>2602</v>
      </c>
      <c r="D612">
        <v>76058144</v>
      </c>
      <c r="E612">
        <v>2001850</v>
      </c>
      <c r="F612" t="s">
        <v>39</v>
      </c>
      <c r="G612">
        <v>300</v>
      </c>
      <c r="H612" t="str">
        <f>VLOOKUP(A612,'SV Child INS Apr'!$A:$H,1,0)</f>
        <v>76058144</v>
      </c>
      <c r="L612" t="e">
        <f>VLOOKUP(A612,'TV Apr Prorated Billing Sites'!$A:$I,1,0)</f>
        <v>#N/A</v>
      </c>
    </row>
    <row r="613" spans="1:12">
      <c r="A613" t="str">
        <f t="shared" si="11"/>
        <v>76058171</v>
      </c>
      <c r="B613" t="s">
        <v>2603</v>
      </c>
      <c r="C613" t="s">
        <v>2604</v>
      </c>
      <c r="D613">
        <v>76058171</v>
      </c>
      <c r="E613">
        <v>2002197</v>
      </c>
      <c r="F613" t="s">
        <v>39</v>
      </c>
      <c r="G613">
        <v>300</v>
      </c>
      <c r="H613" t="str">
        <f>VLOOKUP(A613,'SV Child INS Apr'!$A:$H,1,0)</f>
        <v>76058171</v>
      </c>
      <c r="L613" t="e">
        <f>VLOOKUP(A613,'TV Apr Prorated Billing Sites'!$A:$I,1,0)</f>
        <v>#N/A</v>
      </c>
    </row>
    <row r="614" spans="1:12">
      <c r="A614" t="str">
        <f t="shared" si="11"/>
        <v>76058173</v>
      </c>
      <c r="B614" t="s">
        <v>2605</v>
      </c>
      <c r="C614" t="s">
        <v>2606</v>
      </c>
      <c r="D614">
        <v>76058173</v>
      </c>
      <c r="E614">
        <v>2501823</v>
      </c>
      <c r="F614" t="s">
        <v>39</v>
      </c>
      <c r="G614">
        <v>300</v>
      </c>
      <c r="H614" t="str">
        <f>VLOOKUP(A614,'SV Child INS Apr'!$A:$H,1,0)</f>
        <v>76058173</v>
      </c>
      <c r="L614" t="e">
        <f>VLOOKUP(A614,'TV Apr Prorated Billing Sites'!$A:$I,1,0)</f>
        <v>#N/A</v>
      </c>
    </row>
    <row r="615" spans="1:12">
      <c r="A615" t="str">
        <f t="shared" si="11"/>
        <v>76058281</v>
      </c>
      <c r="B615" t="s">
        <v>2607</v>
      </c>
      <c r="C615" t="s">
        <v>2608</v>
      </c>
      <c r="D615">
        <v>76058281</v>
      </c>
      <c r="E615">
        <v>2501306</v>
      </c>
      <c r="F615" t="s">
        <v>39</v>
      </c>
      <c r="G615">
        <v>300</v>
      </c>
      <c r="H615" t="str">
        <f>VLOOKUP(A615,'SV Child INS Apr'!$A:$H,1,0)</f>
        <v>76058281</v>
      </c>
      <c r="L615" t="e">
        <f>VLOOKUP(A615,'TV Apr Prorated Billing Sites'!$A:$I,1,0)</f>
        <v>#N/A</v>
      </c>
    </row>
    <row r="616" spans="1:12">
      <c r="A616" t="str">
        <f t="shared" si="11"/>
        <v>76058287</v>
      </c>
      <c r="B616" t="s">
        <v>2609</v>
      </c>
      <c r="C616" t="s">
        <v>2610</v>
      </c>
      <c r="D616">
        <v>76058287</v>
      </c>
      <c r="E616">
        <v>2501143</v>
      </c>
      <c r="F616" t="s">
        <v>39</v>
      </c>
      <c r="G616">
        <v>300</v>
      </c>
      <c r="H616" t="str">
        <f>VLOOKUP(A616,'SV Child INS Apr'!$A:$H,1,0)</f>
        <v>76058287</v>
      </c>
      <c r="L616" t="e">
        <f>VLOOKUP(A616,'TV Apr Prorated Billing Sites'!$A:$I,1,0)</f>
        <v>#N/A</v>
      </c>
    </row>
    <row r="617" spans="1:12">
      <c r="A617" t="str">
        <f t="shared" ref="A617:A680" si="12">TRIM(D617)</f>
        <v>76058289</v>
      </c>
      <c r="B617" t="s">
        <v>2611</v>
      </c>
      <c r="C617" t="s">
        <v>2612</v>
      </c>
      <c r="D617">
        <v>76058289</v>
      </c>
      <c r="E617">
        <v>2501152</v>
      </c>
      <c r="F617" t="s">
        <v>39</v>
      </c>
      <c r="G617">
        <v>300</v>
      </c>
      <c r="H617" t="str">
        <f>VLOOKUP(A617,'SV Child INS Apr'!$A:$H,1,0)</f>
        <v>76058289</v>
      </c>
      <c r="L617" t="e">
        <f>VLOOKUP(A617,'TV Apr Prorated Billing Sites'!$A:$I,1,0)</f>
        <v>#N/A</v>
      </c>
    </row>
    <row r="618" spans="1:12">
      <c r="A618" t="str">
        <f t="shared" si="12"/>
        <v>76058290</v>
      </c>
      <c r="B618" t="s">
        <v>2613</v>
      </c>
      <c r="C618" t="s">
        <v>2614</v>
      </c>
      <c r="D618">
        <v>76058290</v>
      </c>
      <c r="E618">
        <v>13142</v>
      </c>
      <c r="F618" t="s">
        <v>39</v>
      </c>
      <c r="G618">
        <v>400</v>
      </c>
      <c r="H618" t="str">
        <f>VLOOKUP(A618,'SV Child INS Apr'!$A:$H,1,0)</f>
        <v>76058290</v>
      </c>
      <c r="L618" t="e">
        <f>VLOOKUP(A618,'TV Apr Prorated Billing Sites'!$A:$I,1,0)</f>
        <v>#N/A</v>
      </c>
    </row>
    <row r="619" spans="1:12">
      <c r="A619" t="str">
        <f t="shared" si="12"/>
        <v>76058883</v>
      </c>
      <c r="B619" t="s">
        <v>2615</v>
      </c>
      <c r="C619" t="s">
        <v>2616</v>
      </c>
      <c r="D619">
        <v>76058883</v>
      </c>
      <c r="E619">
        <v>2502339</v>
      </c>
      <c r="F619" t="s">
        <v>39</v>
      </c>
      <c r="G619">
        <v>450</v>
      </c>
      <c r="H619" t="str">
        <f>VLOOKUP(A619,'SV Child INS Apr'!$A:$H,1,0)</f>
        <v>76058883</v>
      </c>
      <c r="L619" t="e">
        <f>VLOOKUP(A619,'TV Apr Prorated Billing Sites'!$A:$I,1,0)</f>
        <v>#N/A</v>
      </c>
    </row>
    <row r="620" spans="1:12">
      <c r="A620" t="str">
        <f t="shared" si="12"/>
        <v>76059014</v>
      </c>
      <c r="B620" t="s">
        <v>2617</v>
      </c>
      <c r="C620" t="s">
        <v>2618</v>
      </c>
      <c r="D620">
        <v>76059014</v>
      </c>
      <c r="E620">
        <v>2502677</v>
      </c>
      <c r="F620" t="s">
        <v>39</v>
      </c>
      <c r="G620">
        <v>300</v>
      </c>
      <c r="H620" t="str">
        <f>VLOOKUP(A620,'SV Child INS Apr'!$A:$H,1,0)</f>
        <v>76059014</v>
      </c>
      <c r="L620" t="e">
        <f>VLOOKUP(A620,'TV Apr Prorated Billing Sites'!$A:$I,1,0)</f>
        <v>#N/A</v>
      </c>
    </row>
    <row r="621" spans="1:12">
      <c r="A621" t="str">
        <f t="shared" si="12"/>
        <v>76059984</v>
      </c>
      <c r="B621" t="s">
        <v>2619</v>
      </c>
      <c r="C621" t="s">
        <v>2620</v>
      </c>
      <c r="D621">
        <v>76059984</v>
      </c>
      <c r="E621">
        <v>2500150</v>
      </c>
      <c r="F621" t="s">
        <v>39</v>
      </c>
      <c r="G621">
        <v>300</v>
      </c>
      <c r="H621" t="str">
        <f>VLOOKUP(A621,'SV Child INS Apr'!$A:$H,1,0)</f>
        <v>76059984</v>
      </c>
      <c r="L621" t="e">
        <f>VLOOKUP(A621,'TV Apr Prorated Billing Sites'!$A:$I,1,0)</f>
        <v>#N/A</v>
      </c>
    </row>
    <row r="622" spans="1:12">
      <c r="A622" t="str">
        <f t="shared" si="12"/>
        <v>76060058</v>
      </c>
      <c r="B622" t="s">
        <v>2621</v>
      </c>
      <c r="C622" t="s">
        <v>2622</v>
      </c>
      <c r="D622">
        <v>76060058</v>
      </c>
      <c r="E622">
        <v>3045</v>
      </c>
      <c r="F622" t="s">
        <v>39</v>
      </c>
      <c r="G622">
        <v>300</v>
      </c>
      <c r="H622" t="str">
        <f>VLOOKUP(A622,'SV Child INS Apr'!$A:$H,1,0)</f>
        <v>76060058</v>
      </c>
      <c r="L622" t="e">
        <f>VLOOKUP(A622,'TV Apr Prorated Billing Sites'!$A:$I,1,0)</f>
        <v>#N/A</v>
      </c>
    </row>
    <row r="623" spans="1:12">
      <c r="A623" t="str">
        <f t="shared" si="12"/>
        <v>76060185</v>
      </c>
      <c r="B623" t="s">
        <v>2623</v>
      </c>
      <c r="C623" t="s">
        <v>2624</v>
      </c>
      <c r="D623">
        <v>76060185</v>
      </c>
      <c r="E623">
        <v>2002133</v>
      </c>
      <c r="F623" t="s">
        <v>39</v>
      </c>
      <c r="G623">
        <v>450</v>
      </c>
      <c r="H623" t="str">
        <f>VLOOKUP(A623,'SV Child INS Apr'!$A:$H,1,0)</f>
        <v>76060185</v>
      </c>
      <c r="L623" t="e">
        <f>VLOOKUP(A623,'TV Apr Prorated Billing Sites'!$A:$I,1,0)</f>
        <v>#N/A</v>
      </c>
    </row>
    <row r="624" spans="1:12">
      <c r="A624" t="str">
        <f t="shared" si="12"/>
        <v>76060190</v>
      </c>
      <c r="B624" t="s">
        <v>2625</v>
      </c>
      <c r="C624" t="s">
        <v>2626</v>
      </c>
      <c r="D624">
        <v>76060190</v>
      </c>
      <c r="E624">
        <v>5112</v>
      </c>
      <c r="F624" t="s">
        <v>39</v>
      </c>
      <c r="G624">
        <v>300</v>
      </c>
      <c r="H624" t="str">
        <f>VLOOKUP(A624,'SV Child INS Apr'!$A:$H,1,0)</f>
        <v>76060190</v>
      </c>
      <c r="L624" t="e">
        <f>VLOOKUP(A624,'TV Apr Prorated Billing Sites'!$A:$I,1,0)</f>
        <v>#N/A</v>
      </c>
    </row>
    <row r="625" spans="1:12">
      <c r="A625" t="str">
        <f t="shared" si="12"/>
        <v>76060191</v>
      </c>
      <c r="B625" t="s">
        <v>2627</v>
      </c>
      <c r="C625" t="s">
        <v>2628</v>
      </c>
      <c r="D625">
        <v>76060191</v>
      </c>
      <c r="E625">
        <v>5096</v>
      </c>
      <c r="F625" t="s">
        <v>39</v>
      </c>
      <c r="G625">
        <v>300</v>
      </c>
      <c r="H625" t="str">
        <f>VLOOKUP(A625,'SV Child INS Apr'!$A:$H,1,0)</f>
        <v>76060191</v>
      </c>
      <c r="L625" t="e">
        <f>VLOOKUP(A625,'TV Apr Prorated Billing Sites'!$A:$I,1,0)</f>
        <v>#N/A</v>
      </c>
    </row>
    <row r="626" spans="1:12">
      <c r="A626" t="str">
        <f t="shared" si="12"/>
        <v>76060376</v>
      </c>
      <c r="B626" t="s">
        <v>2629</v>
      </c>
      <c r="C626" t="s">
        <v>2630</v>
      </c>
      <c r="D626">
        <v>76060376</v>
      </c>
      <c r="E626">
        <v>2000381</v>
      </c>
      <c r="F626" t="s">
        <v>39</v>
      </c>
      <c r="G626">
        <v>300</v>
      </c>
      <c r="H626" t="str">
        <f>VLOOKUP(A626,'SV Child INS Apr'!$A:$H,1,0)</f>
        <v>76060376</v>
      </c>
      <c r="L626" t="e">
        <f>VLOOKUP(A626,'TV Apr Prorated Billing Sites'!$A:$I,1,0)</f>
        <v>#N/A</v>
      </c>
    </row>
    <row r="627" spans="1:12">
      <c r="A627" t="str">
        <f t="shared" si="12"/>
        <v>76060491</v>
      </c>
      <c r="B627" t="s">
        <v>2631</v>
      </c>
      <c r="C627" t="s">
        <v>2632</v>
      </c>
      <c r="D627">
        <v>76060491</v>
      </c>
      <c r="E627">
        <v>2502933</v>
      </c>
      <c r="F627" t="s">
        <v>39</v>
      </c>
      <c r="G627">
        <v>400</v>
      </c>
      <c r="H627" t="str">
        <f>VLOOKUP(A627,'SV Child INS Apr'!$A:$H,1,0)</f>
        <v>76060491</v>
      </c>
      <c r="L627" t="e">
        <f>VLOOKUP(A627,'TV Apr Prorated Billing Sites'!$A:$I,1,0)</f>
        <v>#N/A</v>
      </c>
    </row>
    <row r="628" spans="1:12">
      <c r="A628" t="str">
        <f t="shared" si="12"/>
        <v>76060545</v>
      </c>
      <c r="B628" t="s">
        <v>2633</v>
      </c>
      <c r="C628" t="s">
        <v>2634</v>
      </c>
      <c r="D628">
        <v>76060545</v>
      </c>
      <c r="E628">
        <v>143028</v>
      </c>
      <c r="F628" t="s">
        <v>39</v>
      </c>
      <c r="G628">
        <v>300</v>
      </c>
      <c r="H628" t="str">
        <f>VLOOKUP(A628,'SV Child INS Apr'!$A:$H,1,0)</f>
        <v>76060545</v>
      </c>
      <c r="L628" t="e">
        <f>VLOOKUP(A628,'TV Apr Prorated Billing Sites'!$A:$I,1,0)</f>
        <v>#N/A</v>
      </c>
    </row>
    <row r="629" spans="1:12">
      <c r="A629" t="str">
        <f t="shared" si="12"/>
        <v>76060769</v>
      </c>
      <c r="B629" t="s">
        <v>2635</v>
      </c>
      <c r="C629" t="s">
        <v>2636</v>
      </c>
      <c r="D629">
        <v>76060769</v>
      </c>
      <c r="E629">
        <v>2501573</v>
      </c>
      <c r="F629" t="s">
        <v>39</v>
      </c>
      <c r="G629">
        <v>300</v>
      </c>
      <c r="H629" t="str">
        <f>VLOOKUP(A629,'SV Child INS Apr'!$A:$H,1,0)</f>
        <v>76060769</v>
      </c>
      <c r="L629" t="e">
        <f>VLOOKUP(A629,'TV Apr Prorated Billing Sites'!$A:$I,1,0)</f>
        <v>#N/A</v>
      </c>
    </row>
    <row r="630" spans="1:12">
      <c r="A630" t="str">
        <f t="shared" si="12"/>
        <v>76060791</v>
      </c>
      <c r="B630" t="s">
        <v>2637</v>
      </c>
      <c r="C630" t="s">
        <v>2638</v>
      </c>
      <c r="D630">
        <v>76060791</v>
      </c>
      <c r="E630">
        <v>2002879</v>
      </c>
      <c r="F630" t="s">
        <v>39</v>
      </c>
      <c r="G630">
        <v>300</v>
      </c>
      <c r="H630" t="str">
        <f>VLOOKUP(A630,'SV Child INS Apr'!$A:$H,1,0)</f>
        <v>76060791</v>
      </c>
      <c r="L630" t="e">
        <f>VLOOKUP(A630,'TV Apr Prorated Billing Sites'!$A:$I,1,0)</f>
        <v>#N/A</v>
      </c>
    </row>
    <row r="631" spans="1:12">
      <c r="A631" t="str">
        <f t="shared" si="12"/>
        <v>76060927</v>
      </c>
      <c r="B631" t="s">
        <v>2639</v>
      </c>
      <c r="C631" t="s">
        <v>2640</v>
      </c>
      <c r="D631">
        <v>76060927</v>
      </c>
      <c r="E631">
        <v>2502857</v>
      </c>
      <c r="F631" t="s">
        <v>39</v>
      </c>
      <c r="G631">
        <v>300</v>
      </c>
      <c r="H631" t="str">
        <f>VLOOKUP(A631,'SV Child INS Apr'!$A:$H,1,0)</f>
        <v>76060927</v>
      </c>
      <c r="L631" t="e">
        <f>VLOOKUP(A631,'TV Apr Prorated Billing Sites'!$A:$I,1,0)</f>
        <v>#N/A</v>
      </c>
    </row>
    <row r="632" spans="1:12">
      <c r="A632" t="str">
        <f t="shared" si="12"/>
        <v>76060936</v>
      </c>
      <c r="B632" t="s">
        <v>2641</v>
      </c>
      <c r="C632" t="s">
        <v>2642</v>
      </c>
      <c r="D632">
        <v>76060936</v>
      </c>
      <c r="E632">
        <v>2000269</v>
      </c>
      <c r="F632" t="s">
        <v>39</v>
      </c>
      <c r="G632">
        <v>300</v>
      </c>
      <c r="H632" t="str">
        <f>VLOOKUP(A632,'SV Child INS Apr'!$A:$H,1,0)</f>
        <v>76060936</v>
      </c>
      <c r="L632" t="e">
        <f>VLOOKUP(A632,'TV Apr Prorated Billing Sites'!$A:$I,1,0)</f>
        <v>#N/A</v>
      </c>
    </row>
    <row r="633" spans="1:12">
      <c r="A633" t="str">
        <f t="shared" si="12"/>
        <v>76061499</v>
      </c>
      <c r="B633" t="s">
        <v>2643</v>
      </c>
      <c r="C633" t="s">
        <v>2644</v>
      </c>
      <c r="D633">
        <v>76061499</v>
      </c>
      <c r="E633">
        <v>12028</v>
      </c>
      <c r="F633" t="s">
        <v>39</v>
      </c>
      <c r="G633">
        <v>300</v>
      </c>
      <c r="H633" t="str">
        <f>VLOOKUP(A633,'SV Child INS Apr'!$A:$H,1,0)</f>
        <v>76061499</v>
      </c>
      <c r="L633" t="str">
        <f>VLOOKUP(A633,'TV Apr Prorated Billing Sites'!$A:$I,1,0)</f>
        <v>76061499</v>
      </c>
    </row>
    <row r="634" spans="1:12">
      <c r="A634" t="str">
        <f t="shared" si="12"/>
        <v>76062737</v>
      </c>
      <c r="B634" t="s">
        <v>2645</v>
      </c>
      <c r="C634" t="s">
        <v>2646</v>
      </c>
      <c r="D634">
        <v>76062737</v>
      </c>
      <c r="E634">
        <v>3000748</v>
      </c>
      <c r="F634" t="s">
        <v>39</v>
      </c>
      <c r="G634">
        <v>300</v>
      </c>
      <c r="H634" t="str">
        <f>VLOOKUP(A634,'SV Child INS Apr'!$A:$H,1,0)</f>
        <v>76062737</v>
      </c>
      <c r="L634" t="e">
        <f>VLOOKUP(A634,'TV Apr Prorated Billing Sites'!$A:$I,1,0)</f>
        <v>#N/A</v>
      </c>
    </row>
    <row r="635" spans="1:12">
      <c r="A635" t="str">
        <f t="shared" si="12"/>
        <v>76062764</v>
      </c>
      <c r="B635" t="s">
        <v>2647</v>
      </c>
      <c r="C635" t="s">
        <v>2648</v>
      </c>
      <c r="D635">
        <v>76062764</v>
      </c>
      <c r="E635">
        <v>3078</v>
      </c>
      <c r="F635" t="s">
        <v>39</v>
      </c>
      <c r="G635">
        <v>400</v>
      </c>
      <c r="H635" t="str">
        <f>VLOOKUP(A635,'SV Child INS Apr'!$A:$H,1,0)</f>
        <v>76062764</v>
      </c>
      <c r="L635" t="e">
        <f>VLOOKUP(A635,'TV Apr Prorated Billing Sites'!$A:$I,1,0)</f>
        <v>#N/A</v>
      </c>
    </row>
    <row r="636" spans="1:12">
      <c r="A636" t="str">
        <f t="shared" si="12"/>
        <v>76063135</v>
      </c>
      <c r="B636" t="s">
        <v>2649</v>
      </c>
      <c r="C636" t="s">
        <v>2650</v>
      </c>
      <c r="D636">
        <v>76063135</v>
      </c>
      <c r="E636">
        <v>2001667</v>
      </c>
      <c r="F636" t="s">
        <v>39</v>
      </c>
      <c r="G636">
        <v>300</v>
      </c>
      <c r="H636" t="str">
        <f>VLOOKUP(A636,'SV Child INS Apr'!$A:$H,1,0)</f>
        <v>76063135</v>
      </c>
      <c r="L636" t="str">
        <f>VLOOKUP(A636,'TV Apr Prorated Billing Sites'!$A:$I,1,0)</f>
        <v>76063135</v>
      </c>
    </row>
    <row r="637" spans="1:12">
      <c r="A637" t="str">
        <f t="shared" si="12"/>
        <v>76063223</v>
      </c>
      <c r="B637" t="s">
        <v>2651</v>
      </c>
      <c r="C637" t="s">
        <v>2652</v>
      </c>
      <c r="D637">
        <v>76063223</v>
      </c>
      <c r="E637">
        <v>2502969</v>
      </c>
      <c r="F637" t="s">
        <v>39</v>
      </c>
      <c r="G637">
        <v>300</v>
      </c>
      <c r="H637" t="str">
        <f>VLOOKUP(A637,'SV Child INS Apr'!$A:$H,1,0)</f>
        <v>76063223</v>
      </c>
      <c r="L637" t="e">
        <f>VLOOKUP(A637,'TV Apr Prorated Billing Sites'!$A:$I,1,0)</f>
        <v>#N/A</v>
      </c>
    </row>
    <row r="638" spans="1:12">
      <c r="A638" t="str">
        <f t="shared" si="12"/>
        <v>76063507</v>
      </c>
      <c r="B638" t="s">
        <v>2653</v>
      </c>
      <c r="C638" t="s">
        <v>2654</v>
      </c>
      <c r="D638">
        <v>76063507</v>
      </c>
      <c r="E638">
        <v>2503234</v>
      </c>
      <c r="F638" t="s">
        <v>39</v>
      </c>
      <c r="G638">
        <v>300</v>
      </c>
      <c r="H638" t="str">
        <f>VLOOKUP(A638,'SV Child INS Apr'!$A:$H,1,0)</f>
        <v>76063507</v>
      </c>
      <c r="L638" t="e">
        <f>VLOOKUP(A638,'TV Apr Prorated Billing Sites'!$A:$I,1,0)</f>
        <v>#N/A</v>
      </c>
    </row>
    <row r="639" spans="1:12">
      <c r="A639" t="str">
        <f t="shared" si="12"/>
        <v>76063637</v>
      </c>
      <c r="B639" t="s">
        <v>2655</v>
      </c>
      <c r="C639" t="s">
        <v>2656</v>
      </c>
      <c r="D639">
        <v>76063637</v>
      </c>
      <c r="E639">
        <v>3002376</v>
      </c>
      <c r="F639" t="s">
        <v>39</v>
      </c>
      <c r="G639">
        <v>400</v>
      </c>
      <c r="H639" t="str">
        <f>VLOOKUP(A639,'SV Child INS Apr'!$A:$H,1,0)</f>
        <v>76063637</v>
      </c>
      <c r="L639" t="e">
        <f>VLOOKUP(A639,'TV Apr Prorated Billing Sites'!$A:$I,1,0)</f>
        <v>#N/A</v>
      </c>
    </row>
    <row r="640" spans="1:12">
      <c r="A640" t="str">
        <f t="shared" si="12"/>
        <v>76063969</v>
      </c>
      <c r="B640" t="s">
        <v>2657</v>
      </c>
      <c r="C640" t="s">
        <v>2658</v>
      </c>
      <c r="D640">
        <v>76063969</v>
      </c>
      <c r="E640">
        <v>2503139</v>
      </c>
      <c r="F640" t="s">
        <v>39</v>
      </c>
      <c r="G640">
        <v>300</v>
      </c>
      <c r="H640" t="str">
        <f>VLOOKUP(A640,'SV Child INS Apr'!$A:$H,1,0)</f>
        <v>76063969</v>
      </c>
      <c r="L640" t="e">
        <f>VLOOKUP(A640,'TV Apr Prorated Billing Sites'!$A:$I,1,0)</f>
        <v>#N/A</v>
      </c>
    </row>
    <row r="641" spans="1:12">
      <c r="A641" t="str">
        <f t="shared" si="12"/>
        <v>76064072</v>
      </c>
      <c r="B641" t="s">
        <v>2659</v>
      </c>
      <c r="C641" t="s">
        <v>2660</v>
      </c>
      <c r="D641">
        <v>76064072</v>
      </c>
      <c r="E641">
        <v>0</v>
      </c>
      <c r="F641" t="s">
        <v>39</v>
      </c>
      <c r="G641">
        <v>450</v>
      </c>
      <c r="H641" t="str">
        <f>VLOOKUP(A641,'SV Child INS Apr'!$A:$H,1,0)</f>
        <v>76064072</v>
      </c>
      <c r="L641" t="e">
        <f>VLOOKUP(A641,'TV Apr Prorated Billing Sites'!$A:$I,1,0)</f>
        <v>#N/A</v>
      </c>
    </row>
    <row r="642" spans="1:12">
      <c r="A642" t="str">
        <f t="shared" si="12"/>
        <v>76064083</v>
      </c>
      <c r="B642" t="s">
        <v>2661</v>
      </c>
      <c r="C642" t="s">
        <v>2662</v>
      </c>
      <c r="D642">
        <v>76064083</v>
      </c>
      <c r="E642">
        <v>0</v>
      </c>
      <c r="F642" t="s">
        <v>39</v>
      </c>
      <c r="G642">
        <v>450</v>
      </c>
      <c r="H642" t="str">
        <f>VLOOKUP(A642,'SV Child INS Apr'!$A:$H,1,0)</f>
        <v>76064083</v>
      </c>
      <c r="L642" t="e">
        <f>VLOOKUP(A642,'TV Apr Prorated Billing Sites'!$A:$I,1,0)</f>
        <v>#N/A</v>
      </c>
    </row>
    <row r="643" spans="1:12">
      <c r="A643" t="str">
        <f t="shared" si="12"/>
        <v>76064099</v>
      </c>
      <c r="B643" t="s">
        <v>2663</v>
      </c>
      <c r="C643" t="s">
        <v>2664</v>
      </c>
      <c r="D643">
        <v>76064099</v>
      </c>
      <c r="E643">
        <v>3158</v>
      </c>
      <c r="F643" t="s">
        <v>39</v>
      </c>
      <c r="G643">
        <v>300</v>
      </c>
      <c r="H643" t="str">
        <f>VLOOKUP(A643,'SV Child INS Apr'!$A:$H,1,0)</f>
        <v>76064099</v>
      </c>
      <c r="L643" t="e">
        <f>VLOOKUP(A643,'TV Apr Prorated Billing Sites'!$A:$I,1,0)</f>
        <v>#N/A</v>
      </c>
    </row>
    <row r="644" spans="1:12">
      <c r="A644" t="str">
        <f t="shared" si="12"/>
        <v>76064145</v>
      </c>
      <c r="B644" t="s">
        <v>2665</v>
      </c>
      <c r="C644" t="s">
        <v>2666</v>
      </c>
      <c r="D644">
        <v>76064145</v>
      </c>
      <c r="E644">
        <v>2003057</v>
      </c>
      <c r="F644" t="s">
        <v>39</v>
      </c>
      <c r="G644">
        <v>300</v>
      </c>
      <c r="H644" t="str">
        <f>VLOOKUP(A644,'SV Child INS Apr'!$A:$H,1,0)</f>
        <v>76064145</v>
      </c>
      <c r="L644" t="e">
        <f>VLOOKUP(A644,'TV Apr Prorated Billing Sites'!$A:$I,1,0)</f>
        <v>#N/A</v>
      </c>
    </row>
    <row r="645" spans="1:12">
      <c r="A645" t="str">
        <f t="shared" si="12"/>
        <v>76064538</v>
      </c>
      <c r="B645" t="s">
        <v>2667</v>
      </c>
      <c r="C645" t="s">
        <v>2668</v>
      </c>
      <c r="D645">
        <v>76064538</v>
      </c>
      <c r="E645">
        <v>2001067</v>
      </c>
      <c r="F645" t="s">
        <v>39</v>
      </c>
      <c r="G645">
        <v>300</v>
      </c>
      <c r="H645" t="str">
        <f>VLOOKUP(A645,'SV Child INS Apr'!$A:$H,1,0)</f>
        <v>76064538</v>
      </c>
      <c r="L645" t="e">
        <f>VLOOKUP(A645,'TV Apr Prorated Billing Sites'!$A:$I,1,0)</f>
        <v>#N/A</v>
      </c>
    </row>
    <row r="646" spans="1:12">
      <c r="A646" t="str">
        <f t="shared" si="12"/>
        <v>76064539</v>
      </c>
      <c r="B646" t="s">
        <v>2669</v>
      </c>
      <c r="C646" t="s">
        <v>2670</v>
      </c>
      <c r="D646">
        <v>76064539</v>
      </c>
      <c r="E646">
        <v>4007</v>
      </c>
      <c r="F646" t="s">
        <v>39</v>
      </c>
      <c r="G646">
        <v>300</v>
      </c>
      <c r="H646" t="str">
        <f>VLOOKUP(A646,'SV Child INS Apr'!$A:$H,1,0)</f>
        <v>76064539</v>
      </c>
      <c r="L646" t="e">
        <f>VLOOKUP(A646,'TV Apr Prorated Billing Sites'!$A:$I,1,0)</f>
        <v>#N/A</v>
      </c>
    </row>
    <row r="647" spans="1:12">
      <c r="A647" t="str">
        <f t="shared" si="12"/>
        <v>76065121</v>
      </c>
      <c r="B647" t="s">
        <v>2671</v>
      </c>
      <c r="C647" t="s">
        <v>2672</v>
      </c>
      <c r="D647">
        <v>76065121</v>
      </c>
      <c r="E647">
        <v>3000118</v>
      </c>
      <c r="F647" t="s">
        <v>39</v>
      </c>
      <c r="G647">
        <v>300</v>
      </c>
      <c r="H647" t="str">
        <f>VLOOKUP(A647,'SV Child INS Apr'!$A:$H,1,0)</f>
        <v>76065121</v>
      </c>
      <c r="L647" t="e">
        <f>VLOOKUP(A647,'TV Apr Prorated Billing Sites'!$A:$I,1,0)</f>
        <v>#N/A</v>
      </c>
    </row>
    <row r="648" spans="1:12">
      <c r="A648" t="str">
        <f t="shared" si="12"/>
        <v>76065781</v>
      </c>
      <c r="B648" t="s">
        <v>2673</v>
      </c>
      <c r="C648" t="s">
        <v>2674</v>
      </c>
      <c r="D648">
        <v>76065781</v>
      </c>
      <c r="E648">
        <v>2501747</v>
      </c>
      <c r="F648" t="s">
        <v>39</v>
      </c>
      <c r="G648">
        <v>300</v>
      </c>
      <c r="H648" t="str">
        <f>VLOOKUP(A648,'SV Child INS Apr'!$A:$H,1,0)</f>
        <v>76065781</v>
      </c>
      <c r="L648" t="e">
        <f>VLOOKUP(A648,'TV Apr Prorated Billing Sites'!$A:$I,1,0)</f>
        <v>#N/A</v>
      </c>
    </row>
    <row r="649" spans="1:12">
      <c r="A649" t="str">
        <f t="shared" si="12"/>
        <v>76065862</v>
      </c>
      <c r="B649" t="s">
        <v>2675</v>
      </c>
      <c r="C649" t="s">
        <v>2676</v>
      </c>
      <c r="D649">
        <v>76065862</v>
      </c>
      <c r="E649">
        <v>2503003</v>
      </c>
      <c r="F649" t="s">
        <v>39</v>
      </c>
      <c r="G649">
        <v>300</v>
      </c>
      <c r="H649" t="str">
        <f>VLOOKUP(A649,'SV Child INS Apr'!$A:$H,1,0)</f>
        <v>76065862</v>
      </c>
      <c r="L649" t="e">
        <f>VLOOKUP(A649,'TV Apr Prorated Billing Sites'!$A:$I,1,0)</f>
        <v>#N/A</v>
      </c>
    </row>
    <row r="650" spans="1:12">
      <c r="A650" t="str">
        <f t="shared" si="12"/>
        <v>76065889</v>
      </c>
      <c r="B650" t="s">
        <v>2677</v>
      </c>
      <c r="C650" t="s">
        <v>2678</v>
      </c>
      <c r="D650">
        <v>76065889</v>
      </c>
      <c r="E650">
        <v>2000860</v>
      </c>
      <c r="F650" t="s">
        <v>39</v>
      </c>
      <c r="G650">
        <v>300</v>
      </c>
      <c r="H650" t="str">
        <f>VLOOKUP(A650,'SV Child INS Apr'!$A:$H,1,0)</f>
        <v>76065889</v>
      </c>
      <c r="L650" t="e">
        <f>VLOOKUP(A650,'TV Apr Prorated Billing Sites'!$A:$I,1,0)</f>
        <v>#N/A</v>
      </c>
    </row>
    <row r="651" spans="1:12">
      <c r="A651" t="str">
        <f t="shared" si="12"/>
        <v>76065970</v>
      </c>
      <c r="B651" t="s">
        <v>2679</v>
      </c>
      <c r="C651" t="s">
        <v>2680</v>
      </c>
      <c r="D651">
        <v>76065970</v>
      </c>
      <c r="E651">
        <v>12095</v>
      </c>
      <c r="F651" t="s">
        <v>39</v>
      </c>
      <c r="G651">
        <v>300</v>
      </c>
      <c r="H651" t="str">
        <f>VLOOKUP(A651,'SV Child INS Apr'!$A:$H,1,0)</f>
        <v>76065970</v>
      </c>
      <c r="L651" t="e">
        <f>VLOOKUP(A651,'TV Apr Prorated Billing Sites'!$A:$I,1,0)</f>
        <v>#N/A</v>
      </c>
    </row>
    <row r="652" spans="1:12">
      <c r="A652" t="str">
        <f t="shared" si="12"/>
        <v>76066082</v>
      </c>
      <c r="B652" t="s">
        <v>2681</v>
      </c>
      <c r="C652" t="s">
        <v>2682</v>
      </c>
      <c r="D652">
        <v>76066082</v>
      </c>
      <c r="E652">
        <v>9110</v>
      </c>
      <c r="F652" t="s">
        <v>39</v>
      </c>
      <c r="G652">
        <v>300</v>
      </c>
      <c r="H652" t="str">
        <f>VLOOKUP(A652,'SV Child INS Apr'!$A:$H,1,0)</f>
        <v>76066082</v>
      </c>
      <c r="L652" t="e">
        <f>VLOOKUP(A652,'TV Apr Prorated Billing Sites'!$A:$I,1,0)</f>
        <v>#N/A</v>
      </c>
    </row>
    <row r="653" spans="1:12">
      <c r="A653" t="str">
        <f t="shared" si="12"/>
        <v>76066083</v>
      </c>
      <c r="B653" t="s">
        <v>2683</v>
      </c>
      <c r="C653" t="s">
        <v>2684</v>
      </c>
      <c r="D653">
        <v>76066083</v>
      </c>
      <c r="E653">
        <v>9093</v>
      </c>
      <c r="F653" t="s">
        <v>39</v>
      </c>
      <c r="G653">
        <v>300</v>
      </c>
      <c r="H653" t="str">
        <f>VLOOKUP(A653,'SV Child INS Apr'!$A:$H,1,0)</f>
        <v>76066083</v>
      </c>
      <c r="L653" t="e">
        <f>VLOOKUP(A653,'TV Apr Prorated Billing Sites'!$A:$I,1,0)</f>
        <v>#N/A</v>
      </c>
    </row>
    <row r="654" spans="1:12">
      <c r="A654" t="str">
        <f t="shared" si="12"/>
        <v>76066084</v>
      </c>
      <c r="B654" t="s">
        <v>2685</v>
      </c>
      <c r="C654" t="s">
        <v>2686</v>
      </c>
      <c r="D654">
        <v>76066084</v>
      </c>
      <c r="E654">
        <v>9091</v>
      </c>
      <c r="F654" t="s">
        <v>39</v>
      </c>
      <c r="G654">
        <v>300</v>
      </c>
      <c r="H654" t="str">
        <f>VLOOKUP(A654,'SV Child INS Apr'!$A:$H,1,0)</f>
        <v>76066084</v>
      </c>
      <c r="L654" t="e">
        <f>VLOOKUP(A654,'TV Apr Prorated Billing Sites'!$A:$I,1,0)</f>
        <v>#N/A</v>
      </c>
    </row>
    <row r="655" spans="1:12">
      <c r="A655" t="str">
        <f t="shared" si="12"/>
        <v>76066085</v>
      </c>
      <c r="B655" t="s">
        <v>2687</v>
      </c>
      <c r="C655" t="s">
        <v>2688</v>
      </c>
      <c r="D655">
        <v>76066085</v>
      </c>
      <c r="E655">
        <v>9113</v>
      </c>
      <c r="F655" t="s">
        <v>39</v>
      </c>
      <c r="G655">
        <v>300</v>
      </c>
      <c r="H655" t="str">
        <f>VLOOKUP(A655,'SV Child INS Apr'!$A:$H,1,0)</f>
        <v>76066085</v>
      </c>
      <c r="L655" t="e">
        <f>VLOOKUP(A655,'TV Apr Prorated Billing Sites'!$A:$I,1,0)</f>
        <v>#N/A</v>
      </c>
    </row>
    <row r="656" spans="1:12">
      <c r="A656" t="str">
        <f t="shared" si="12"/>
        <v>76066088</v>
      </c>
      <c r="B656" t="s">
        <v>2689</v>
      </c>
      <c r="C656" t="s">
        <v>2690</v>
      </c>
      <c r="D656">
        <v>76066088</v>
      </c>
      <c r="E656">
        <v>9058</v>
      </c>
      <c r="F656" t="s">
        <v>39</v>
      </c>
      <c r="G656">
        <v>300</v>
      </c>
      <c r="H656" t="str">
        <f>VLOOKUP(A656,'SV Child INS Apr'!$A:$H,1,0)</f>
        <v>76066088</v>
      </c>
      <c r="L656" t="e">
        <f>VLOOKUP(A656,'TV Apr Prorated Billing Sites'!$A:$I,1,0)</f>
        <v>#N/A</v>
      </c>
    </row>
    <row r="657" spans="1:12">
      <c r="A657" t="str">
        <f t="shared" si="12"/>
        <v>76066091</v>
      </c>
      <c r="B657" t="s">
        <v>2691</v>
      </c>
      <c r="C657" t="s">
        <v>2692</v>
      </c>
      <c r="D657">
        <v>76066091</v>
      </c>
      <c r="E657">
        <v>9115</v>
      </c>
      <c r="F657" t="s">
        <v>39</v>
      </c>
      <c r="G657">
        <v>300</v>
      </c>
      <c r="H657" t="str">
        <f>VLOOKUP(A657,'SV Child INS Apr'!$A:$H,1,0)</f>
        <v>76066091</v>
      </c>
      <c r="L657" t="e">
        <f>VLOOKUP(A657,'TV Apr Prorated Billing Sites'!$A:$I,1,0)</f>
        <v>#N/A</v>
      </c>
    </row>
    <row r="658" spans="1:12">
      <c r="A658" t="str">
        <f t="shared" si="12"/>
        <v>76066100</v>
      </c>
      <c r="B658" t="s">
        <v>2693</v>
      </c>
      <c r="C658" t="s">
        <v>2694</v>
      </c>
      <c r="D658">
        <v>76066100</v>
      </c>
      <c r="E658">
        <v>143152</v>
      </c>
      <c r="F658" t="s">
        <v>39</v>
      </c>
      <c r="G658">
        <v>300</v>
      </c>
      <c r="H658" t="str">
        <f>VLOOKUP(A658,'SV Child INS Apr'!$A:$H,1,0)</f>
        <v>76066100</v>
      </c>
      <c r="L658" t="e">
        <f>VLOOKUP(A658,'TV Apr Prorated Billing Sites'!$A:$I,1,0)</f>
        <v>#N/A</v>
      </c>
    </row>
    <row r="659" spans="1:12">
      <c r="A659" t="str">
        <f t="shared" si="12"/>
        <v>76066101</v>
      </c>
      <c r="B659" t="s">
        <v>2695</v>
      </c>
      <c r="C659" t="s">
        <v>2696</v>
      </c>
      <c r="D659">
        <v>76066101</v>
      </c>
      <c r="E659">
        <v>3000789</v>
      </c>
      <c r="F659" t="s">
        <v>39</v>
      </c>
      <c r="G659">
        <v>300</v>
      </c>
      <c r="H659" t="str">
        <f>VLOOKUP(A659,'SV Child INS Apr'!$A:$H,1,0)</f>
        <v>76066101</v>
      </c>
      <c r="L659" t="e">
        <f>VLOOKUP(A659,'TV Apr Prorated Billing Sites'!$A:$I,1,0)</f>
        <v>#N/A</v>
      </c>
    </row>
    <row r="660" spans="1:12">
      <c r="A660" t="str">
        <f t="shared" si="12"/>
        <v>76066140</v>
      </c>
      <c r="B660" t="s">
        <v>2697</v>
      </c>
      <c r="C660" t="s">
        <v>2698</v>
      </c>
      <c r="D660">
        <v>76066140</v>
      </c>
      <c r="E660">
        <v>2003059</v>
      </c>
      <c r="F660" t="s">
        <v>39</v>
      </c>
      <c r="G660">
        <v>300</v>
      </c>
      <c r="H660" t="str">
        <f>VLOOKUP(A660,'SV Child INS Apr'!$A:$H,1,0)</f>
        <v>76066140</v>
      </c>
      <c r="L660" t="e">
        <f>VLOOKUP(A660,'TV Apr Prorated Billing Sites'!$A:$I,1,0)</f>
        <v>#N/A</v>
      </c>
    </row>
    <row r="661" spans="1:12">
      <c r="A661" t="str">
        <f t="shared" si="12"/>
        <v>76066350</v>
      </c>
      <c r="B661" t="s">
        <v>2699</v>
      </c>
      <c r="C661" t="s">
        <v>2700</v>
      </c>
      <c r="D661">
        <v>76066350</v>
      </c>
      <c r="E661">
        <v>2000806</v>
      </c>
      <c r="F661" t="s">
        <v>39</v>
      </c>
      <c r="G661">
        <v>300</v>
      </c>
      <c r="H661" t="str">
        <f>VLOOKUP(A661,'SV Child INS Apr'!$A:$H,1,0)</f>
        <v>76066350</v>
      </c>
      <c r="L661" t="e">
        <f>VLOOKUP(A661,'TV Apr Prorated Billing Sites'!$A:$I,1,0)</f>
        <v>#N/A</v>
      </c>
    </row>
    <row r="662" spans="1:12">
      <c r="A662" t="str">
        <f t="shared" si="12"/>
        <v>76066353</v>
      </c>
      <c r="B662" t="s">
        <v>2701</v>
      </c>
      <c r="C662" t="s">
        <v>2702</v>
      </c>
      <c r="D662">
        <v>76066353</v>
      </c>
      <c r="E662">
        <v>2000319</v>
      </c>
      <c r="F662" t="s">
        <v>39</v>
      </c>
      <c r="G662">
        <v>400</v>
      </c>
      <c r="H662" t="str">
        <f>VLOOKUP(A662,'SV Child INS Apr'!$A:$H,1,0)</f>
        <v>76066353</v>
      </c>
      <c r="L662" t="e">
        <f>VLOOKUP(A662,'TV Apr Prorated Billing Sites'!$A:$I,1,0)</f>
        <v>#N/A</v>
      </c>
    </row>
    <row r="663" spans="1:12">
      <c r="A663" t="str">
        <f t="shared" si="12"/>
        <v>76066680</v>
      </c>
      <c r="B663" t="s">
        <v>2703</v>
      </c>
      <c r="C663" t="s">
        <v>2704</v>
      </c>
      <c r="D663">
        <v>76066680</v>
      </c>
      <c r="E663">
        <v>2503609</v>
      </c>
      <c r="F663" t="s">
        <v>39</v>
      </c>
      <c r="G663">
        <v>300</v>
      </c>
      <c r="H663" t="str">
        <f>VLOOKUP(A663,'SV Child INS Apr'!$A:$H,1,0)</f>
        <v>76066680</v>
      </c>
      <c r="L663" t="str">
        <f>VLOOKUP(A663,'TV Apr Prorated Billing Sites'!$A:$I,1,0)</f>
        <v>76066680</v>
      </c>
    </row>
    <row r="664" spans="1:12">
      <c r="A664" t="str">
        <f t="shared" si="12"/>
        <v>76066702</v>
      </c>
      <c r="B664" t="s">
        <v>2705</v>
      </c>
      <c r="C664" t="s">
        <v>2706</v>
      </c>
      <c r="D664">
        <v>76066702</v>
      </c>
      <c r="E664">
        <v>13043</v>
      </c>
      <c r="F664" t="s">
        <v>39</v>
      </c>
      <c r="G664">
        <v>300</v>
      </c>
      <c r="H664" t="str">
        <f>VLOOKUP(A664,'SV Child INS Apr'!$A:$H,1,0)</f>
        <v>76066702</v>
      </c>
      <c r="L664" t="e">
        <f>VLOOKUP(A664,'TV Apr Prorated Billing Sites'!$A:$I,1,0)</f>
        <v>#N/A</v>
      </c>
    </row>
    <row r="665" spans="1:12">
      <c r="A665" t="str">
        <f t="shared" si="12"/>
        <v>76066716</v>
      </c>
      <c r="B665" t="s">
        <v>2707</v>
      </c>
      <c r="C665" t="s">
        <v>2708</v>
      </c>
      <c r="D665">
        <v>76066716</v>
      </c>
      <c r="E665">
        <v>13042</v>
      </c>
      <c r="F665" t="s">
        <v>39</v>
      </c>
      <c r="G665">
        <v>300</v>
      </c>
      <c r="H665" t="str">
        <f>VLOOKUP(A665,'SV Child INS Apr'!$A:$H,1,0)</f>
        <v>76066716</v>
      </c>
      <c r="L665" t="e">
        <f>VLOOKUP(A665,'TV Apr Prorated Billing Sites'!$A:$I,1,0)</f>
        <v>#N/A</v>
      </c>
    </row>
    <row r="666" spans="1:12">
      <c r="A666" t="str">
        <f t="shared" si="12"/>
        <v>76067157</v>
      </c>
      <c r="B666" t="s">
        <v>2709</v>
      </c>
      <c r="C666" t="s">
        <v>2710</v>
      </c>
      <c r="D666">
        <v>76067157</v>
      </c>
      <c r="E666">
        <v>2502190</v>
      </c>
      <c r="F666" t="s">
        <v>39</v>
      </c>
      <c r="G666">
        <v>300</v>
      </c>
      <c r="H666" t="str">
        <f>VLOOKUP(A666,'SV Child INS Apr'!$A:$H,1,0)</f>
        <v>76067157</v>
      </c>
      <c r="L666" t="e">
        <f>VLOOKUP(A666,'TV Apr Prorated Billing Sites'!$A:$I,1,0)</f>
        <v>#N/A</v>
      </c>
    </row>
    <row r="667" spans="1:12">
      <c r="A667" t="str">
        <f t="shared" si="12"/>
        <v>76067225</v>
      </c>
      <c r="B667" t="s">
        <v>2711</v>
      </c>
      <c r="C667" t="s">
        <v>2712</v>
      </c>
      <c r="D667">
        <v>76067225</v>
      </c>
      <c r="E667">
        <v>2501744</v>
      </c>
      <c r="F667" t="s">
        <v>39</v>
      </c>
      <c r="G667">
        <v>300</v>
      </c>
      <c r="H667" t="str">
        <f>VLOOKUP(A667,'SV Child INS Apr'!$A:$H,1,0)</f>
        <v>76067225</v>
      </c>
      <c r="L667" t="e">
        <f>VLOOKUP(A667,'TV Apr Prorated Billing Sites'!$A:$I,1,0)</f>
        <v>#N/A</v>
      </c>
    </row>
    <row r="668" spans="1:12">
      <c r="A668" t="str">
        <f t="shared" si="12"/>
        <v>76067320</v>
      </c>
      <c r="B668" t="s">
        <v>2713</v>
      </c>
      <c r="C668" t="s">
        <v>2714</v>
      </c>
      <c r="D668">
        <v>76067320</v>
      </c>
      <c r="E668">
        <v>2502813</v>
      </c>
      <c r="F668" t="s">
        <v>39</v>
      </c>
      <c r="G668">
        <v>300</v>
      </c>
      <c r="H668" t="str">
        <f>VLOOKUP(A668,'SV Child INS Apr'!$A:$H,1,0)</f>
        <v>76067320</v>
      </c>
      <c r="L668" t="e">
        <f>VLOOKUP(A668,'TV Apr Prorated Billing Sites'!$A:$I,1,0)</f>
        <v>#N/A</v>
      </c>
    </row>
    <row r="669" spans="1:12">
      <c r="A669" t="str">
        <f t="shared" si="12"/>
        <v>76067505</v>
      </c>
      <c r="B669" t="s">
        <v>2715</v>
      </c>
      <c r="C669" t="s">
        <v>2716</v>
      </c>
      <c r="D669">
        <v>76067505</v>
      </c>
      <c r="E669">
        <v>2501983</v>
      </c>
      <c r="F669" t="s">
        <v>39</v>
      </c>
      <c r="G669">
        <v>300</v>
      </c>
      <c r="H669" t="str">
        <f>VLOOKUP(A669,'SV Child INS Apr'!$A:$H,1,0)</f>
        <v>76067505</v>
      </c>
      <c r="L669" t="e">
        <f>VLOOKUP(A669,'TV Apr Prorated Billing Sites'!$A:$I,1,0)</f>
        <v>#N/A</v>
      </c>
    </row>
    <row r="670" spans="1:12">
      <c r="A670" t="str">
        <f t="shared" si="12"/>
        <v>76067571</v>
      </c>
      <c r="B670" t="s">
        <v>2717</v>
      </c>
      <c r="C670" t="s">
        <v>2718</v>
      </c>
      <c r="D670">
        <v>76067571</v>
      </c>
      <c r="E670">
        <v>2003014</v>
      </c>
      <c r="F670" t="s">
        <v>39</v>
      </c>
      <c r="G670">
        <v>300</v>
      </c>
      <c r="H670" t="str">
        <f>VLOOKUP(A670,'SV Child INS Apr'!$A:$H,1,0)</f>
        <v>76067571</v>
      </c>
      <c r="L670" t="e">
        <f>VLOOKUP(A670,'TV Apr Prorated Billing Sites'!$A:$I,1,0)</f>
        <v>#N/A</v>
      </c>
    </row>
    <row r="671" spans="1:12">
      <c r="A671" t="str">
        <f t="shared" si="12"/>
        <v>76067624</v>
      </c>
      <c r="B671" t="s">
        <v>2719</v>
      </c>
      <c r="C671" t="s">
        <v>2720</v>
      </c>
      <c r="D671">
        <v>76067624</v>
      </c>
      <c r="E671">
        <v>3405</v>
      </c>
      <c r="F671" t="s">
        <v>39</v>
      </c>
      <c r="G671">
        <v>300</v>
      </c>
      <c r="H671" t="str">
        <f>VLOOKUP(A671,'SV Child INS Apr'!$A:$H,1,0)</f>
        <v>76067624</v>
      </c>
      <c r="L671" t="e">
        <f>VLOOKUP(A671,'TV Apr Prorated Billing Sites'!$A:$I,1,0)</f>
        <v>#N/A</v>
      </c>
    </row>
    <row r="672" spans="1:12">
      <c r="A672" t="str">
        <f t="shared" si="12"/>
        <v>76067802</v>
      </c>
      <c r="B672" t="s">
        <v>2721</v>
      </c>
      <c r="C672" t="s">
        <v>2722</v>
      </c>
      <c r="D672">
        <v>76067802</v>
      </c>
      <c r="E672">
        <v>2001117</v>
      </c>
      <c r="F672" t="s">
        <v>39</v>
      </c>
      <c r="G672">
        <v>300</v>
      </c>
      <c r="H672" t="str">
        <f>VLOOKUP(A672,'SV Child INS Apr'!$A:$H,1,0)</f>
        <v>76067802</v>
      </c>
      <c r="L672" t="e">
        <f>VLOOKUP(A672,'TV Apr Prorated Billing Sites'!$A:$I,1,0)</f>
        <v>#N/A</v>
      </c>
    </row>
    <row r="673" spans="1:13">
      <c r="A673" t="str">
        <f t="shared" si="12"/>
        <v>76067841</v>
      </c>
      <c r="B673" t="s">
        <v>2723</v>
      </c>
      <c r="C673" t="s">
        <v>2724</v>
      </c>
      <c r="D673">
        <v>76067841</v>
      </c>
      <c r="E673">
        <v>2500952</v>
      </c>
      <c r="F673" t="s">
        <v>39</v>
      </c>
      <c r="G673">
        <v>300</v>
      </c>
      <c r="H673" t="str">
        <f>VLOOKUP(A673,'SV Child INS Apr'!$A:$H,1,0)</f>
        <v>76067841</v>
      </c>
      <c r="L673" t="e">
        <f>VLOOKUP(A673,'TV Apr Prorated Billing Sites'!$A:$I,1,0)</f>
        <v>#N/A</v>
      </c>
    </row>
    <row r="674" spans="1:13">
      <c r="A674" t="str">
        <f t="shared" si="12"/>
        <v>76069424</v>
      </c>
      <c r="B674" t="s">
        <v>2725</v>
      </c>
      <c r="C674" t="s">
        <v>2726</v>
      </c>
      <c r="D674">
        <v>76069424</v>
      </c>
      <c r="E674">
        <v>3000399</v>
      </c>
      <c r="F674" t="s">
        <v>39</v>
      </c>
      <c r="G674">
        <v>300</v>
      </c>
      <c r="H674" t="str">
        <f>VLOOKUP(A674,'SV Child INS Apr'!$A:$H,1,0)</f>
        <v>76069424</v>
      </c>
      <c r="L674" t="e">
        <f>VLOOKUP(A674,'TV Apr Prorated Billing Sites'!$A:$I,1,0)</f>
        <v>#N/A</v>
      </c>
    </row>
    <row r="675" spans="1:13">
      <c r="A675" t="str">
        <f t="shared" si="12"/>
        <v>76069739</v>
      </c>
      <c r="B675" t="s">
        <v>2727</v>
      </c>
      <c r="C675" t="s">
        <v>2728</v>
      </c>
      <c r="D675">
        <v>76069739</v>
      </c>
      <c r="E675">
        <v>2001733</v>
      </c>
      <c r="F675" t="s">
        <v>39</v>
      </c>
      <c r="G675">
        <v>450</v>
      </c>
      <c r="H675" t="str">
        <f>VLOOKUP(A675,'SV Child INS Apr'!$A:$H,1,0)</f>
        <v>76069739</v>
      </c>
      <c r="L675" t="e">
        <f>VLOOKUP(A675,'TV Apr Prorated Billing Sites'!$A:$I,1,0)</f>
        <v>#N/A</v>
      </c>
    </row>
    <row r="676" spans="1:13">
      <c r="A676" t="str">
        <f t="shared" si="12"/>
        <v>76069739</v>
      </c>
      <c r="B676" t="s">
        <v>2729</v>
      </c>
      <c r="C676" t="s">
        <v>2730</v>
      </c>
      <c r="D676">
        <v>76069739</v>
      </c>
      <c r="E676">
        <v>2001733</v>
      </c>
      <c r="F676" t="s">
        <v>39</v>
      </c>
      <c r="G676">
        <v>450</v>
      </c>
      <c r="H676" t="str">
        <f>VLOOKUP(A676,'SV Child INS Apr'!$A:$H,1,0)</f>
        <v>76069739</v>
      </c>
      <c r="L676" t="e">
        <f>VLOOKUP(A676,'TV Apr Prorated Billing Sites'!$A:$I,1,0)</f>
        <v>#N/A</v>
      </c>
    </row>
    <row r="677" spans="1:13">
      <c r="A677" t="str">
        <f t="shared" si="12"/>
        <v>76069861</v>
      </c>
      <c r="B677" t="s">
        <v>2731</v>
      </c>
      <c r="C677" t="s">
        <v>2732</v>
      </c>
      <c r="D677">
        <v>76069861</v>
      </c>
      <c r="E677">
        <v>2501064</v>
      </c>
      <c r="F677" t="s">
        <v>39</v>
      </c>
      <c r="G677">
        <v>300</v>
      </c>
      <c r="H677" t="str">
        <f>VLOOKUP(A677,'SV Child INS Apr'!$A:$H,1,0)</f>
        <v>76069861</v>
      </c>
      <c r="L677" t="e">
        <f>VLOOKUP(A677,'TV Apr Prorated Billing Sites'!$A:$I,1,0)</f>
        <v>#N/A</v>
      </c>
    </row>
    <row r="678" spans="1:13">
      <c r="A678" t="str">
        <f t="shared" si="12"/>
        <v>76070762</v>
      </c>
      <c r="B678" t="s">
        <v>2733</v>
      </c>
      <c r="C678" t="s">
        <v>2734</v>
      </c>
      <c r="D678">
        <v>76070762</v>
      </c>
      <c r="E678">
        <v>2500555</v>
      </c>
      <c r="F678" t="s">
        <v>39</v>
      </c>
      <c r="G678">
        <v>300</v>
      </c>
      <c r="H678" t="str">
        <f>VLOOKUP(A678,'SV Child INS Apr'!$A:$H,1,0)</f>
        <v>76070762</v>
      </c>
      <c r="L678" t="e">
        <f>VLOOKUP(A678,'TV Apr Prorated Billing Sites'!$A:$I,1,0)</f>
        <v>#N/A</v>
      </c>
    </row>
    <row r="679" spans="1:13">
      <c r="A679" t="str">
        <f t="shared" si="12"/>
        <v>76071366</v>
      </c>
      <c r="B679" t="s">
        <v>2735</v>
      </c>
      <c r="C679" t="s">
        <v>2736</v>
      </c>
      <c r="D679">
        <v>76071366</v>
      </c>
      <c r="E679">
        <v>369</v>
      </c>
      <c r="F679" t="s">
        <v>39</v>
      </c>
      <c r="G679">
        <v>300</v>
      </c>
      <c r="H679" t="str">
        <f>VLOOKUP(A679,'SV Child INS Apr'!$A:$H,1,0)</f>
        <v>76071366</v>
      </c>
      <c r="L679" t="e">
        <f>VLOOKUP(A679,'TV Apr Prorated Billing Sites'!$A:$I,1,0)</f>
        <v>#N/A</v>
      </c>
    </row>
    <row r="680" spans="1:13">
      <c r="A680" t="str">
        <f t="shared" si="12"/>
        <v>76071528</v>
      </c>
      <c r="B680" t="s">
        <v>2737</v>
      </c>
      <c r="C680" t="s">
        <v>2738</v>
      </c>
      <c r="D680">
        <v>76071528</v>
      </c>
      <c r="E680">
        <v>13050</v>
      </c>
      <c r="F680" t="s">
        <v>39</v>
      </c>
      <c r="G680">
        <v>300</v>
      </c>
      <c r="H680" t="str">
        <f>VLOOKUP(A680,'SV Child INS Apr'!$A:$H,1,0)</f>
        <v>76071528</v>
      </c>
      <c r="L680" t="e">
        <f>VLOOKUP(A680,'TV Apr Prorated Billing Sites'!$A:$I,1,0)</f>
        <v>#N/A</v>
      </c>
    </row>
    <row r="681" spans="1:13">
      <c r="A681" t="str">
        <f t="shared" ref="A681:A744" si="13">TRIM(D681)</f>
        <v>76071552</v>
      </c>
      <c r="B681" t="s">
        <v>2739</v>
      </c>
      <c r="C681" t="s">
        <v>2740</v>
      </c>
      <c r="D681">
        <v>76071552</v>
      </c>
      <c r="E681">
        <v>6139</v>
      </c>
      <c r="F681" t="s">
        <v>39</v>
      </c>
      <c r="G681">
        <v>300</v>
      </c>
      <c r="H681" t="str">
        <f>VLOOKUP(A681,'SV Child INS Apr'!$A:$H,1,0)</f>
        <v>76071552</v>
      </c>
      <c r="L681" t="e">
        <f>VLOOKUP(A681,'TV Apr Prorated Billing Sites'!$A:$I,1,0)</f>
        <v>#N/A</v>
      </c>
    </row>
    <row r="682" spans="1:13">
      <c r="A682" t="str">
        <f t="shared" si="13"/>
        <v>76072064</v>
      </c>
      <c r="B682" t="s">
        <v>500</v>
      </c>
      <c r="C682" t="s">
        <v>501</v>
      </c>
      <c r="D682">
        <v>76072064</v>
      </c>
      <c r="E682">
        <v>2503103</v>
      </c>
      <c r="F682" t="s">
        <v>39</v>
      </c>
      <c r="G682">
        <v>300</v>
      </c>
      <c r="H682" t="e">
        <f>VLOOKUP(A682,'SV Child INS Apr'!$A:$H,1,0)</f>
        <v>#N/A</v>
      </c>
      <c r="I682" t="e">
        <f>VLOOKUP(B682,'SV Child INS Apr'!$D:$F,1,0)</f>
        <v>#N/A</v>
      </c>
      <c r="J682" t="str">
        <f>VLOOKUP(A682,'SV Child BLG Apr'!$A:$J,1,0)</f>
        <v>76072064</v>
      </c>
      <c r="L682" t="str">
        <f>VLOOKUP(A682,'TV Apr Prorated Billing Sites'!$A:$I,1,0)</f>
        <v>76072064</v>
      </c>
      <c r="M682" t="e">
        <f>VLOOKUP(A682,'CDK asked to retain list'!$H$1:$J$24,1,0)</f>
        <v>#N/A</v>
      </c>
    </row>
    <row r="683" spans="1:13">
      <c r="A683" t="str">
        <f t="shared" si="13"/>
        <v>76072230</v>
      </c>
      <c r="B683" t="s">
        <v>2741</v>
      </c>
      <c r="C683" t="s">
        <v>2742</v>
      </c>
      <c r="D683">
        <v>76072230</v>
      </c>
      <c r="E683">
        <v>2000509</v>
      </c>
      <c r="F683" t="s">
        <v>39</v>
      </c>
      <c r="G683">
        <v>300</v>
      </c>
      <c r="H683" t="str">
        <f>VLOOKUP(A683,'SV Child INS Apr'!$A:$H,1,0)</f>
        <v>76072230</v>
      </c>
      <c r="L683" t="str">
        <f>VLOOKUP(A683,'TV Apr Prorated Billing Sites'!$A:$I,1,0)</f>
        <v>76072230</v>
      </c>
    </row>
    <row r="684" spans="1:13">
      <c r="A684" t="str">
        <f t="shared" si="13"/>
        <v>76072430</v>
      </c>
      <c r="B684" t="s">
        <v>2743</v>
      </c>
      <c r="C684" t="s">
        <v>2744</v>
      </c>
      <c r="D684">
        <v>76072430</v>
      </c>
      <c r="E684">
        <v>2502259</v>
      </c>
      <c r="F684" t="s">
        <v>39</v>
      </c>
      <c r="G684">
        <v>450</v>
      </c>
      <c r="H684" t="str">
        <f>VLOOKUP(A684,'SV Child INS Apr'!$A:$H,1,0)</f>
        <v>76072430</v>
      </c>
      <c r="L684" t="e">
        <f>VLOOKUP(A684,'TV Apr Prorated Billing Sites'!$A:$I,1,0)</f>
        <v>#N/A</v>
      </c>
    </row>
    <row r="685" spans="1:13">
      <c r="A685" t="str">
        <f t="shared" si="13"/>
        <v>76072436</v>
      </c>
      <c r="B685" t="s">
        <v>2745</v>
      </c>
      <c r="C685" t="s">
        <v>2746</v>
      </c>
      <c r="D685">
        <v>76072436</v>
      </c>
      <c r="E685">
        <v>2500175</v>
      </c>
      <c r="F685" t="s">
        <v>39</v>
      </c>
      <c r="G685">
        <v>300</v>
      </c>
      <c r="H685" t="str">
        <f>VLOOKUP(A685,'SV Child INS Apr'!$A:$H,1,0)</f>
        <v>76072436</v>
      </c>
      <c r="L685" t="e">
        <f>VLOOKUP(A685,'TV Apr Prorated Billing Sites'!$A:$I,1,0)</f>
        <v>#N/A</v>
      </c>
    </row>
    <row r="686" spans="1:13">
      <c r="A686" t="str">
        <f t="shared" si="13"/>
        <v>76072713</v>
      </c>
      <c r="B686" t="s">
        <v>2747</v>
      </c>
      <c r="C686" t="s">
        <v>2748</v>
      </c>
      <c r="D686">
        <v>76072713</v>
      </c>
      <c r="E686">
        <v>2503221</v>
      </c>
      <c r="F686" t="s">
        <v>39</v>
      </c>
      <c r="G686">
        <v>300</v>
      </c>
      <c r="H686" t="str">
        <f>VLOOKUP(A686,'SV Child INS Apr'!$A:$H,1,0)</f>
        <v>76072713</v>
      </c>
      <c r="L686" t="e">
        <f>VLOOKUP(A686,'TV Apr Prorated Billing Sites'!$A:$I,1,0)</f>
        <v>#N/A</v>
      </c>
    </row>
    <row r="687" spans="1:13">
      <c r="A687" t="str">
        <f t="shared" si="13"/>
        <v>76072714</v>
      </c>
      <c r="B687" t="s">
        <v>2749</v>
      </c>
      <c r="C687" t="s">
        <v>2750</v>
      </c>
      <c r="D687">
        <v>76072714</v>
      </c>
      <c r="E687">
        <v>3002346</v>
      </c>
      <c r="F687" t="s">
        <v>39</v>
      </c>
      <c r="G687">
        <v>300</v>
      </c>
      <c r="H687" t="str">
        <f>VLOOKUP(A687,'SV Child INS Apr'!$A:$H,1,0)</f>
        <v>76072714</v>
      </c>
      <c r="L687" t="e">
        <f>VLOOKUP(A687,'TV Apr Prorated Billing Sites'!$A:$I,1,0)</f>
        <v>#N/A</v>
      </c>
    </row>
    <row r="688" spans="1:13">
      <c r="A688" t="str">
        <f t="shared" si="13"/>
        <v>76072787</v>
      </c>
      <c r="B688" t="s">
        <v>2751</v>
      </c>
      <c r="C688" t="s">
        <v>2752</v>
      </c>
      <c r="D688">
        <v>76072787</v>
      </c>
      <c r="E688">
        <v>2002048</v>
      </c>
      <c r="F688" t="s">
        <v>39</v>
      </c>
      <c r="G688">
        <v>450</v>
      </c>
      <c r="H688" t="str">
        <f>VLOOKUP(A688,'SV Child INS Apr'!$A:$H,1,0)</f>
        <v>76072787</v>
      </c>
      <c r="L688" t="e">
        <f>VLOOKUP(A688,'TV Apr Prorated Billing Sites'!$A:$I,1,0)</f>
        <v>#N/A</v>
      </c>
    </row>
    <row r="689" spans="1:13">
      <c r="A689" t="str">
        <f t="shared" si="13"/>
        <v>76072815</v>
      </c>
      <c r="B689" t="s">
        <v>2753</v>
      </c>
      <c r="C689" t="s">
        <v>2754</v>
      </c>
      <c r="D689">
        <v>76072815</v>
      </c>
      <c r="E689">
        <v>2600019</v>
      </c>
      <c r="F689" t="s">
        <v>39</v>
      </c>
      <c r="G689">
        <v>300</v>
      </c>
      <c r="H689" t="str">
        <f>VLOOKUP(A689,'SV Child INS Apr'!$A:$H,1,0)</f>
        <v>76072815</v>
      </c>
      <c r="L689" t="e">
        <f>VLOOKUP(A689,'TV Apr Prorated Billing Sites'!$A:$I,1,0)</f>
        <v>#N/A</v>
      </c>
    </row>
    <row r="690" spans="1:13">
      <c r="A690" t="str">
        <f t="shared" si="13"/>
        <v>76073131</v>
      </c>
      <c r="B690" t="s">
        <v>503</v>
      </c>
      <c r="C690" t="s">
        <v>504</v>
      </c>
      <c r="D690">
        <v>76073131</v>
      </c>
      <c r="E690">
        <v>143062</v>
      </c>
      <c r="F690" t="s">
        <v>39</v>
      </c>
      <c r="G690">
        <v>300</v>
      </c>
      <c r="H690" t="e">
        <f>VLOOKUP(A690,'SV Child INS Apr'!$A:$H,1,0)</f>
        <v>#N/A</v>
      </c>
      <c r="I690" t="e">
        <f>VLOOKUP(B690,'SV Child INS Apr'!$D:$F,1,0)</f>
        <v>#N/A</v>
      </c>
      <c r="J690" t="str">
        <f>VLOOKUP(A690,'SV Child BLG Apr'!$A:$J,1,0)</f>
        <v>76073131</v>
      </c>
      <c r="L690" t="str">
        <f>VLOOKUP(A690,'TV Apr Prorated Billing Sites'!$A:$I,1,0)</f>
        <v>76073131</v>
      </c>
      <c r="M690" t="e">
        <f>VLOOKUP(A690,'CDK asked to retain list'!$H$1:$J$24,1,0)</f>
        <v>#N/A</v>
      </c>
    </row>
    <row r="691" spans="1:13">
      <c r="A691" t="str">
        <f t="shared" si="13"/>
        <v>76073308</v>
      </c>
      <c r="B691" t="s">
        <v>2755</v>
      </c>
      <c r="C691" t="s">
        <v>2756</v>
      </c>
      <c r="D691">
        <v>76073308</v>
      </c>
      <c r="E691">
        <v>1500032</v>
      </c>
      <c r="F691" t="s">
        <v>39</v>
      </c>
      <c r="G691">
        <v>400</v>
      </c>
      <c r="H691" t="str">
        <f>VLOOKUP(A691,'SV Child INS Apr'!$A:$H,1,0)</f>
        <v>76073308</v>
      </c>
      <c r="L691" t="e">
        <f>VLOOKUP(A691,'TV Apr Prorated Billing Sites'!$A:$I,1,0)</f>
        <v>#N/A</v>
      </c>
    </row>
    <row r="692" spans="1:13">
      <c r="A692" t="str">
        <f t="shared" si="13"/>
        <v>76073359</v>
      </c>
      <c r="B692" t="s">
        <v>2757</v>
      </c>
      <c r="C692" t="s">
        <v>2758</v>
      </c>
      <c r="D692">
        <v>76073359</v>
      </c>
      <c r="E692">
        <v>2501486</v>
      </c>
      <c r="F692" t="s">
        <v>39</v>
      </c>
      <c r="G692">
        <v>300</v>
      </c>
      <c r="H692" t="str">
        <f>VLOOKUP(A692,'SV Child INS Apr'!$A:$H,1,0)</f>
        <v>76073359</v>
      </c>
      <c r="L692" t="e">
        <f>VLOOKUP(A692,'TV Apr Prorated Billing Sites'!$A:$I,1,0)</f>
        <v>#N/A</v>
      </c>
    </row>
    <row r="693" spans="1:13">
      <c r="A693" t="str">
        <f t="shared" si="13"/>
        <v>76073516</v>
      </c>
      <c r="B693" t="s">
        <v>2759</v>
      </c>
      <c r="C693" t="s">
        <v>2760</v>
      </c>
      <c r="D693">
        <v>76073516</v>
      </c>
      <c r="E693">
        <v>2502428</v>
      </c>
      <c r="F693" t="s">
        <v>39</v>
      </c>
      <c r="G693">
        <v>400</v>
      </c>
      <c r="H693" t="str">
        <f>VLOOKUP(A693,'SV Child INS Apr'!$A:$H,1,0)</f>
        <v>76073516</v>
      </c>
      <c r="L693" t="e">
        <f>VLOOKUP(A693,'TV Apr Prorated Billing Sites'!$A:$I,1,0)</f>
        <v>#N/A</v>
      </c>
    </row>
    <row r="694" spans="1:13">
      <c r="A694" t="str">
        <f t="shared" si="13"/>
        <v>76073554</v>
      </c>
      <c r="B694" t="s">
        <v>2761</v>
      </c>
      <c r="C694" t="s">
        <v>2762</v>
      </c>
      <c r="D694">
        <v>76073554</v>
      </c>
      <c r="E694">
        <v>2500947</v>
      </c>
      <c r="F694" t="s">
        <v>39</v>
      </c>
      <c r="G694">
        <v>300</v>
      </c>
      <c r="H694" t="str">
        <f>VLOOKUP(A694,'SV Child INS Apr'!$A:$H,1,0)</f>
        <v>76073554</v>
      </c>
      <c r="L694" t="e">
        <f>VLOOKUP(A694,'TV Apr Prorated Billing Sites'!$A:$I,1,0)</f>
        <v>#N/A</v>
      </c>
    </row>
    <row r="695" spans="1:13">
      <c r="A695" t="str">
        <f t="shared" si="13"/>
        <v>76073738</v>
      </c>
      <c r="B695" t="s">
        <v>2763</v>
      </c>
      <c r="C695" t="s">
        <v>2764</v>
      </c>
      <c r="D695">
        <v>76073738</v>
      </c>
      <c r="E695">
        <v>2501509</v>
      </c>
      <c r="F695" t="s">
        <v>39</v>
      </c>
      <c r="G695">
        <v>300</v>
      </c>
      <c r="H695" t="str">
        <f>VLOOKUP(A695,'SV Child INS Apr'!$A:$H,1,0)</f>
        <v>76073738</v>
      </c>
      <c r="L695" t="e">
        <f>VLOOKUP(A695,'TV Apr Prorated Billing Sites'!$A:$I,1,0)</f>
        <v>#N/A</v>
      </c>
    </row>
    <row r="696" spans="1:13">
      <c r="A696" t="str">
        <f t="shared" si="13"/>
        <v>76074106</v>
      </c>
      <c r="B696" t="s">
        <v>2765</v>
      </c>
      <c r="C696" t="s">
        <v>2766</v>
      </c>
      <c r="D696">
        <v>76074106</v>
      </c>
      <c r="E696">
        <v>2502001</v>
      </c>
      <c r="F696" t="s">
        <v>39</v>
      </c>
      <c r="G696">
        <v>300</v>
      </c>
      <c r="H696" t="str">
        <f>VLOOKUP(A696,'SV Child INS Apr'!$A:$H,1,0)</f>
        <v>76074106</v>
      </c>
      <c r="L696" t="e">
        <f>VLOOKUP(A696,'TV Apr Prorated Billing Sites'!$A:$I,1,0)</f>
        <v>#N/A</v>
      </c>
    </row>
    <row r="697" spans="1:13">
      <c r="A697" t="str">
        <f t="shared" si="13"/>
        <v>76074237</v>
      </c>
      <c r="B697" t="s">
        <v>506</v>
      </c>
      <c r="C697" t="s">
        <v>507</v>
      </c>
      <c r="D697">
        <v>76074237</v>
      </c>
      <c r="E697">
        <v>2503477</v>
      </c>
      <c r="F697" t="s">
        <v>39</v>
      </c>
      <c r="G697">
        <v>300</v>
      </c>
      <c r="H697" t="e">
        <f>VLOOKUP(A697,'SV Child INS Apr'!$A:$H,1,0)</f>
        <v>#N/A</v>
      </c>
      <c r="I697" t="e">
        <f>VLOOKUP(B697,'SV Child INS Apr'!$D:$F,1,0)</f>
        <v>#N/A</v>
      </c>
      <c r="J697" t="str">
        <f>VLOOKUP(A697,'SV Child BLG Apr'!$A:$J,1,0)</f>
        <v>76074237</v>
      </c>
      <c r="L697" t="e">
        <f>VLOOKUP(A697,'TV Apr Prorated Billing Sites'!$A:$I,1,0)</f>
        <v>#N/A</v>
      </c>
      <c r="M697" t="e">
        <f>VLOOKUP(A697,'CDK asked to retain list'!$H$1:$J$24,1,0)</f>
        <v>#N/A</v>
      </c>
    </row>
    <row r="698" spans="1:13">
      <c r="A698" t="str">
        <f t="shared" si="13"/>
        <v>76074251</v>
      </c>
      <c r="B698" t="s">
        <v>2767</v>
      </c>
      <c r="C698" t="s">
        <v>2768</v>
      </c>
      <c r="D698">
        <v>76074251</v>
      </c>
      <c r="E698">
        <v>2002731</v>
      </c>
      <c r="F698" t="s">
        <v>39</v>
      </c>
      <c r="G698">
        <v>300</v>
      </c>
      <c r="H698" t="str">
        <f>VLOOKUP(A698,'SV Child INS Apr'!$A:$H,1,0)</f>
        <v>76074251</v>
      </c>
      <c r="L698" t="e">
        <f>VLOOKUP(A698,'TV Apr Prorated Billing Sites'!$A:$I,1,0)</f>
        <v>#N/A</v>
      </c>
    </row>
    <row r="699" spans="1:13">
      <c r="A699" t="str">
        <f t="shared" si="13"/>
        <v>76074483</v>
      </c>
      <c r="B699" t="s">
        <v>2769</v>
      </c>
      <c r="C699" t="s">
        <v>2770</v>
      </c>
      <c r="D699">
        <v>76074483</v>
      </c>
      <c r="E699">
        <v>2003101</v>
      </c>
      <c r="F699" t="s">
        <v>39</v>
      </c>
      <c r="G699">
        <v>400</v>
      </c>
      <c r="H699" t="str">
        <f>VLOOKUP(A699,'SV Child INS Apr'!$A:$H,1,0)</f>
        <v>76074483</v>
      </c>
      <c r="L699" t="e">
        <f>VLOOKUP(A699,'TV Apr Prorated Billing Sites'!$A:$I,1,0)</f>
        <v>#N/A</v>
      </c>
    </row>
    <row r="700" spans="1:13">
      <c r="A700" t="str">
        <f t="shared" si="13"/>
        <v>76074486</v>
      </c>
      <c r="B700" t="s">
        <v>2771</v>
      </c>
      <c r="C700" t="s">
        <v>2772</v>
      </c>
      <c r="D700">
        <v>76074486</v>
      </c>
      <c r="E700">
        <v>2003103</v>
      </c>
      <c r="F700" t="s">
        <v>39</v>
      </c>
      <c r="G700">
        <v>400</v>
      </c>
      <c r="H700" t="str">
        <f>VLOOKUP(A700,'SV Child INS Apr'!$A:$H,1,0)</f>
        <v>76074486</v>
      </c>
      <c r="L700" t="e">
        <f>VLOOKUP(A700,'TV Apr Prorated Billing Sites'!$A:$I,1,0)</f>
        <v>#N/A</v>
      </c>
    </row>
    <row r="701" spans="1:13">
      <c r="A701" t="str">
        <f t="shared" si="13"/>
        <v>76074595</v>
      </c>
      <c r="B701" t="s">
        <v>2773</v>
      </c>
      <c r="C701" t="s">
        <v>2774</v>
      </c>
      <c r="D701">
        <v>76074595</v>
      </c>
      <c r="E701">
        <v>2501581</v>
      </c>
      <c r="F701" t="s">
        <v>39</v>
      </c>
      <c r="G701">
        <v>300</v>
      </c>
      <c r="H701" t="str">
        <f>VLOOKUP(A701,'SV Child INS Apr'!$A:$H,1,0)</f>
        <v>76074595</v>
      </c>
      <c r="L701" t="e">
        <f>VLOOKUP(A701,'TV Apr Prorated Billing Sites'!$A:$I,1,0)</f>
        <v>#N/A</v>
      </c>
    </row>
    <row r="702" spans="1:13">
      <c r="A702" t="str">
        <f t="shared" si="13"/>
        <v>76074728</v>
      </c>
      <c r="B702" t="s">
        <v>2775</v>
      </c>
      <c r="C702" t="s">
        <v>2776</v>
      </c>
      <c r="D702">
        <v>76074728</v>
      </c>
      <c r="E702">
        <v>2503343</v>
      </c>
      <c r="F702" t="s">
        <v>39</v>
      </c>
      <c r="G702">
        <v>300</v>
      </c>
      <c r="H702" t="str">
        <f>VLOOKUP(A702,'SV Child INS Apr'!$A:$H,1,0)</f>
        <v>76074728</v>
      </c>
      <c r="L702" t="e">
        <f>VLOOKUP(A702,'TV Apr Prorated Billing Sites'!$A:$I,1,0)</f>
        <v>#N/A</v>
      </c>
    </row>
    <row r="703" spans="1:13">
      <c r="A703" t="str">
        <f t="shared" si="13"/>
        <v>76074791</v>
      </c>
      <c r="B703" t="s">
        <v>509</v>
      </c>
      <c r="C703" t="s">
        <v>510</v>
      </c>
      <c r="D703">
        <v>76074791</v>
      </c>
      <c r="E703">
        <v>3002489</v>
      </c>
      <c r="F703" t="s">
        <v>39</v>
      </c>
      <c r="G703">
        <v>300</v>
      </c>
      <c r="H703" t="e">
        <f>VLOOKUP(A703,'SV Child INS Apr'!$A:$H,1,0)</f>
        <v>#N/A</v>
      </c>
      <c r="I703" t="e">
        <f>VLOOKUP(B703,'SV Child INS Apr'!$D:$F,1,0)</f>
        <v>#N/A</v>
      </c>
      <c r="J703" t="str">
        <f>VLOOKUP(A703,'SV Child BLG Apr'!$A:$J,1,0)</f>
        <v>76074791</v>
      </c>
      <c r="L703" t="str">
        <f>VLOOKUP(A703,'TV Apr Prorated Billing Sites'!$A:$I,1,0)</f>
        <v>76074791</v>
      </c>
      <c r="M703" t="e">
        <f>VLOOKUP(A703,'CDK asked to retain list'!$H$1:$J$24,1,0)</f>
        <v>#N/A</v>
      </c>
    </row>
    <row r="704" spans="1:13">
      <c r="A704" t="str">
        <f t="shared" si="13"/>
        <v>76074827</v>
      </c>
      <c r="B704" t="s">
        <v>2777</v>
      </c>
      <c r="C704" t="s">
        <v>2778</v>
      </c>
      <c r="D704">
        <v>76074827</v>
      </c>
      <c r="E704">
        <v>3000599</v>
      </c>
      <c r="F704" t="s">
        <v>39</v>
      </c>
      <c r="G704">
        <v>300</v>
      </c>
      <c r="H704" t="str">
        <f>VLOOKUP(A704,'SV Child INS Apr'!$A:$H,1,0)</f>
        <v>76074827</v>
      </c>
      <c r="L704" t="e">
        <f>VLOOKUP(A704,'TV Apr Prorated Billing Sites'!$A:$I,1,0)</f>
        <v>#N/A</v>
      </c>
    </row>
    <row r="705" spans="1:12" s="14" customFormat="1">
      <c r="A705" s="14" t="str">
        <f t="shared" si="13"/>
        <v>76075567</v>
      </c>
      <c r="B705" s="14" t="s">
        <v>2779</v>
      </c>
      <c r="C705" s="14" t="s">
        <v>2780</v>
      </c>
      <c r="D705" s="14">
        <v>76075567</v>
      </c>
      <c r="E705" s="14">
        <v>3131</v>
      </c>
      <c r="F705" s="14" t="s">
        <v>39</v>
      </c>
      <c r="G705" s="14">
        <v>400</v>
      </c>
      <c r="H705" s="14" t="str">
        <f>VLOOKUP(A705,'SV Child INS Apr'!$A:$H,1,0)</f>
        <v>76075567</v>
      </c>
      <c r="L705" s="14" t="str">
        <f>VLOOKUP(A705,'TV Apr Prorated Billing Sites'!$A:$I,1,0)</f>
        <v>76075567</v>
      </c>
    </row>
    <row r="706" spans="1:12">
      <c r="A706" t="str">
        <f t="shared" si="13"/>
        <v>76075751</v>
      </c>
      <c r="B706" t="s">
        <v>2781</v>
      </c>
      <c r="C706" t="s">
        <v>2782</v>
      </c>
      <c r="D706">
        <v>76075751</v>
      </c>
      <c r="E706">
        <v>0</v>
      </c>
      <c r="F706" t="s">
        <v>39</v>
      </c>
      <c r="G706">
        <v>450</v>
      </c>
      <c r="H706" t="str">
        <f>VLOOKUP(A706,'SV Child INS Apr'!$A:$H,1,0)</f>
        <v>76075751</v>
      </c>
      <c r="L706" t="e">
        <f>VLOOKUP(A706,'TV Apr Prorated Billing Sites'!$A:$I,1,0)</f>
        <v>#N/A</v>
      </c>
    </row>
    <row r="707" spans="1:12">
      <c r="A707" t="str">
        <f t="shared" si="13"/>
        <v>76076129</v>
      </c>
      <c r="B707" t="s">
        <v>2783</v>
      </c>
      <c r="C707" t="s">
        <v>2784</v>
      </c>
      <c r="D707">
        <v>76076129</v>
      </c>
      <c r="E707">
        <v>3000711</v>
      </c>
      <c r="F707" t="s">
        <v>39</v>
      </c>
      <c r="G707">
        <v>300</v>
      </c>
      <c r="H707" t="str">
        <f>VLOOKUP(A707,'SV Child INS Apr'!$A:$H,1,0)</f>
        <v>76076129</v>
      </c>
      <c r="L707" t="e">
        <f>VLOOKUP(A707,'TV Apr Prorated Billing Sites'!$A:$I,1,0)</f>
        <v>#N/A</v>
      </c>
    </row>
    <row r="708" spans="1:12">
      <c r="A708" t="str">
        <f t="shared" si="13"/>
        <v>76076364</v>
      </c>
      <c r="B708" t="s">
        <v>2785</v>
      </c>
      <c r="C708" t="s">
        <v>2786</v>
      </c>
      <c r="D708">
        <v>76076364</v>
      </c>
      <c r="E708">
        <v>6044</v>
      </c>
      <c r="F708" t="s">
        <v>39</v>
      </c>
      <c r="G708">
        <v>300</v>
      </c>
      <c r="H708" t="str">
        <f>VLOOKUP(A708,'SV Child INS Apr'!$A:$H,1,0)</f>
        <v>76076364</v>
      </c>
      <c r="L708" t="e">
        <f>VLOOKUP(A708,'TV Apr Prorated Billing Sites'!$A:$I,1,0)</f>
        <v>#N/A</v>
      </c>
    </row>
    <row r="709" spans="1:12">
      <c r="A709" t="str">
        <f t="shared" si="13"/>
        <v>76076543</v>
      </c>
      <c r="B709" t="s">
        <v>2787</v>
      </c>
      <c r="C709" t="s">
        <v>2788</v>
      </c>
      <c r="D709">
        <v>76076543</v>
      </c>
      <c r="E709">
        <v>1500222</v>
      </c>
      <c r="F709" t="s">
        <v>39</v>
      </c>
      <c r="G709">
        <v>300</v>
      </c>
      <c r="H709" t="str">
        <f>VLOOKUP(A709,'SV Child INS Apr'!$A:$H,1,0)</f>
        <v>76076543</v>
      </c>
      <c r="L709" t="str">
        <f>VLOOKUP(A709,'TV Apr Prorated Billing Sites'!$A:$I,1,0)</f>
        <v>76076543</v>
      </c>
    </row>
    <row r="710" spans="1:12">
      <c r="A710" t="str">
        <f t="shared" si="13"/>
        <v>76076581</v>
      </c>
      <c r="B710" t="s">
        <v>2789</v>
      </c>
      <c r="C710" t="s">
        <v>2790</v>
      </c>
      <c r="D710">
        <v>76076581</v>
      </c>
      <c r="E710">
        <v>2002637</v>
      </c>
      <c r="F710" t="s">
        <v>39</v>
      </c>
      <c r="G710">
        <v>300</v>
      </c>
      <c r="H710" t="str">
        <f>VLOOKUP(A710,'SV Child INS Apr'!$A:$H,1,0)</f>
        <v>76076581</v>
      </c>
      <c r="L710" t="e">
        <f>VLOOKUP(A710,'TV Apr Prorated Billing Sites'!$A:$I,1,0)</f>
        <v>#N/A</v>
      </c>
    </row>
    <row r="711" spans="1:12">
      <c r="A711" t="str">
        <f t="shared" si="13"/>
        <v>76076583</v>
      </c>
      <c r="B711" t="s">
        <v>2791</v>
      </c>
      <c r="C711" t="s">
        <v>2792</v>
      </c>
      <c r="D711">
        <v>76076583</v>
      </c>
      <c r="E711">
        <v>2001924</v>
      </c>
      <c r="F711" t="s">
        <v>39</v>
      </c>
      <c r="G711">
        <v>300</v>
      </c>
      <c r="H711" t="str">
        <f>VLOOKUP(A711,'SV Child INS Apr'!$A:$H,1,0)</f>
        <v>76076583</v>
      </c>
      <c r="L711" t="e">
        <f>VLOOKUP(A711,'TV Apr Prorated Billing Sites'!$A:$I,1,0)</f>
        <v>#N/A</v>
      </c>
    </row>
    <row r="712" spans="1:12">
      <c r="A712" t="str">
        <f t="shared" si="13"/>
        <v>76077218</v>
      </c>
      <c r="B712" t="s">
        <v>2793</v>
      </c>
      <c r="C712" t="s">
        <v>2794</v>
      </c>
      <c r="D712">
        <v>76077218</v>
      </c>
      <c r="E712">
        <v>2503650</v>
      </c>
      <c r="F712" t="s">
        <v>39</v>
      </c>
      <c r="G712">
        <v>300</v>
      </c>
      <c r="H712" t="str">
        <f>VLOOKUP(A712,'SV Child INS Apr'!$A:$H,1,0)</f>
        <v>76077218</v>
      </c>
      <c r="L712" t="e">
        <f>VLOOKUP(A712,'TV Apr Prorated Billing Sites'!$A:$I,1,0)</f>
        <v>#N/A</v>
      </c>
    </row>
    <row r="713" spans="1:12">
      <c r="A713" t="str">
        <f t="shared" si="13"/>
        <v>76077258</v>
      </c>
      <c r="B713" t="s">
        <v>2795</v>
      </c>
      <c r="C713" t="s">
        <v>2796</v>
      </c>
      <c r="D713">
        <v>76077258</v>
      </c>
      <c r="E713">
        <v>2500070</v>
      </c>
      <c r="F713" t="s">
        <v>39</v>
      </c>
      <c r="G713">
        <v>300</v>
      </c>
      <c r="H713" t="str">
        <f>VLOOKUP(A713,'SV Child INS Apr'!$A:$H,1,0)</f>
        <v>76077258</v>
      </c>
      <c r="L713" t="e">
        <f>VLOOKUP(A713,'TV Apr Prorated Billing Sites'!$A:$I,1,0)</f>
        <v>#N/A</v>
      </c>
    </row>
    <row r="714" spans="1:12">
      <c r="A714" t="str">
        <f t="shared" si="13"/>
        <v>76077479</v>
      </c>
      <c r="B714" t="s">
        <v>2797</v>
      </c>
      <c r="C714" t="s">
        <v>2798</v>
      </c>
      <c r="D714">
        <v>76077479</v>
      </c>
      <c r="E714">
        <v>3001148</v>
      </c>
      <c r="F714" t="s">
        <v>39</v>
      </c>
      <c r="G714">
        <v>300</v>
      </c>
      <c r="H714" t="str">
        <f>VLOOKUP(A714,'SV Child INS Apr'!$A:$H,1,0)</f>
        <v>76077479</v>
      </c>
      <c r="L714" t="e">
        <f>VLOOKUP(A714,'TV Apr Prorated Billing Sites'!$A:$I,1,0)</f>
        <v>#N/A</v>
      </c>
    </row>
    <row r="715" spans="1:12">
      <c r="A715" t="str">
        <f t="shared" si="13"/>
        <v>76078758</v>
      </c>
      <c r="B715" t="s">
        <v>2799</v>
      </c>
      <c r="C715" t="s">
        <v>2800</v>
      </c>
      <c r="D715">
        <v>76078758</v>
      </c>
      <c r="E715">
        <v>2002967</v>
      </c>
      <c r="F715" t="s">
        <v>39</v>
      </c>
      <c r="G715">
        <v>300</v>
      </c>
      <c r="H715" t="str">
        <f>VLOOKUP(A715,'SV Child INS Apr'!$A:$H,1,0)</f>
        <v>76078758</v>
      </c>
      <c r="L715" t="e">
        <f>VLOOKUP(A715,'TV Apr Prorated Billing Sites'!$A:$I,1,0)</f>
        <v>#N/A</v>
      </c>
    </row>
    <row r="716" spans="1:12">
      <c r="A716" t="str">
        <f t="shared" si="13"/>
        <v>76078798</v>
      </c>
      <c r="B716" t="s">
        <v>2801</v>
      </c>
      <c r="C716" t="s">
        <v>2802</v>
      </c>
      <c r="D716">
        <v>76078798</v>
      </c>
      <c r="E716">
        <v>2000430</v>
      </c>
      <c r="F716" t="s">
        <v>39</v>
      </c>
      <c r="G716">
        <v>300</v>
      </c>
      <c r="H716" t="str">
        <f>VLOOKUP(A716,'SV Child INS Apr'!$A:$H,1,0)</f>
        <v>76078798</v>
      </c>
      <c r="L716" t="e">
        <f>VLOOKUP(A716,'TV Apr Prorated Billing Sites'!$A:$I,1,0)</f>
        <v>#N/A</v>
      </c>
    </row>
    <row r="717" spans="1:12">
      <c r="A717" t="str">
        <f t="shared" si="13"/>
        <v>76078800</v>
      </c>
      <c r="B717" t="s">
        <v>2803</v>
      </c>
      <c r="C717" t="s">
        <v>2804</v>
      </c>
      <c r="D717">
        <v>76078800</v>
      </c>
      <c r="E717">
        <v>2000914</v>
      </c>
      <c r="F717" t="s">
        <v>39</v>
      </c>
      <c r="G717">
        <v>300</v>
      </c>
      <c r="H717" t="str">
        <f>VLOOKUP(A717,'SV Child INS Apr'!$A:$H,1,0)</f>
        <v>76078800</v>
      </c>
      <c r="L717" t="e">
        <f>VLOOKUP(A717,'TV Apr Prorated Billing Sites'!$A:$I,1,0)</f>
        <v>#N/A</v>
      </c>
    </row>
    <row r="718" spans="1:12">
      <c r="A718" t="str">
        <f t="shared" si="13"/>
        <v>76078918</v>
      </c>
      <c r="B718" t="s">
        <v>2805</v>
      </c>
      <c r="C718" t="s">
        <v>2806</v>
      </c>
      <c r="D718">
        <v>76078918</v>
      </c>
      <c r="E718">
        <v>2500456</v>
      </c>
      <c r="F718" t="s">
        <v>39</v>
      </c>
      <c r="G718">
        <v>300</v>
      </c>
      <c r="H718" t="str">
        <f>VLOOKUP(A718,'SV Child INS Apr'!$A:$H,1,0)</f>
        <v>76078918</v>
      </c>
      <c r="L718" t="str">
        <f>VLOOKUP(A718,'TV Apr Prorated Billing Sites'!$A:$I,1,0)</f>
        <v>76078918</v>
      </c>
    </row>
    <row r="719" spans="1:12">
      <c r="A719" t="str">
        <f t="shared" si="13"/>
        <v>76079338</v>
      </c>
      <c r="B719" t="s">
        <v>2807</v>
      </c>
      <c r="C719" t="s">
        <v>2808</v>
      </c>
      <c r="D719">
        <v>76079338</v>
      </c>
      <c r="E719">
        <v>2500893</v>
      </c>
      <c r="F719" t="s">
        <v>39</v>
      </c>
      <c r="G719">
        <v>300</v>
      </c>
      <c r="H719" t="str">
        <f>VLOOKUP(A719,'SV Child INS Apr'!$A:$H,1,0)</f>
        <v>76079338</v>
      </c>
      <c r="L719" t="e">
        <f>VLOOKUP(A719,'TV Apr Prorated Billing Sites'!$A:$I,1,0)</f>
        <v>#N/A</v>
      </c>
    </row>
    <row r="720" spans="1:12">
      <c r="A720" t="str">
        <f t="shared" si="13"/>
        <v>76079339</v>
      </c>
      <c r="B720" t="s">
        <v>2809</v>
      </c>
      <c r="C720" t="s">
        <v>2810</v>
      </c>
      <c r="D720">
        <v>76079339</v>
      </c>
      <c r="E720">
        <v>2500860</v>
      </c>
      <c r="F720" t="s">
        <v>39</v>
      </c>
      <c r="G720">
        <v>300</v>
      </c>
      <c r="H720" t="str">
        <f>VLOOKUP(A720,'SV Child INS Apr'!$A:$H,1,0)</f>
        <v>76079339</v>
      </c>
      <c r="L720" t="e">
        <f>VLOOKUP(A720,'TV Apr Prorated Billing Sites'!$A:$I,1,0)</f>
        <v>#N/A</v>
      </c>
    </row>
    <row r="721" spans="1:12">
      <c r="A721" t="str">
        <f t="shared" si="13"/>
        <v>76082498</v>
      </c>
      <c r="B721" t="s">
        <v>2811</v>
      </c>
      <c r="C721" t="s">
        <v>2812</v>
      </c>
      <c r="D721">
        <v>76082498</v>
      </c>
      <c r="E721">
        <v>143072</v>
      </c>
      <c r="F721" t="s">
        <v>39</v>
      </c>
      <c r="G721">
        <v>300</v>
      </c>
      <c r="H721" t="str">
        <f>VLOOKUP(A721,'SV Child INS Apr'!$A:$H,1,0)</f>
        <v>76082498</v>
      </c>
      <c r="L721" t="e">
        <f>VLOOKUP(A721,'TV Apr Prorated Billing Sites'!$A:$I,1,0)</f>
        <v>#N/A</v>
      </c>
    </row>
    <row r="722" spans="1:12">
      <c r="A722" t="str">
        <f t="shared" si="13"/>
        <v>76085787</v>
      </c>
      <c r="B722" t="s">
        <v>2813</v>
      </c>
      <c r="C722" t="s">
        <v>2814</v>
      </c>
      <c r="D722">
        <v>76085787</v>
      </c>
      <c r="E722">
        <v>2000442</v>
      </c>
      <c r="F722" t="s">
        <v>39</v>
      </c>
      <c r="G722">
        <v>300</v>
      </c>
      <c r="H722" t="str">
        <f>VLOOKUP(A722,'SV Child INS Apr'!$A:$H,1,0)</f>
        <v>76085787</v>
      </c>
      <c r="L722" t="e">
        <f>VLOOKUP(A722,'TV Apr Prorated Billing Sites'!$A:$I,1,0)</f>
        <v>#N/A</v>
      </c>
    </row>
    <row r="723" spans="1:12">
      <c r="A723" t="str">
        <f t="shared" si="13"/>
        <v>76086618</v>
      </c>
      <c r="B723" t="s">
        <v>2815</v>
      </c>
      <c r="C723" t="s">
        <v>2816</v>
      </c>
      <c r="D723">
        <v>76086618</v>
      </c>
      <c r="E723">
        <v>2501302</v>
      </c>
      <c r="F723" t="s">
        <v>39</v>
      </c>
      <c r="G723">
        <v>450</v>
      </c>
      <c r="H723" t="str">
        <f>VLOOKUP(A723,'SV Child INS Apr'!$A:$H,1,0)</f>
        <v>76086618</v>
      </c>
      <c r="L723" t="e">
        <f>VLOOKUP(A723,'TV Apr Prorated Billing Sites'!$A:$I,1,0)</f>
        <v>#N/A</v>
      </c>
    </row>
    <row r="724" spans="1:12">
      <c r="A724" t="str">
        <f t="shared" si="13"/>
        <v>76086618</v>
      </c>
      <c r="B724" t="s">
        <v>2817</v>
      </c>
      <c r="C724" t="s">
        <v>2818</v>
      </c>
      <c r="D724">
        <v>76086618</v>
      </c>
      <c r="E724">
        <v>2501302</v>
      </c>
      <c r="F724" t="s">
        <v>39</v>
      </c>
      <c r="G724">
        <v>300</v>
      </c>
      <c r="H724" t="str">
        <f>VLOOKUP(A724,'SV Child INS Apr'!$A:$H,1,0)</f>
        <v>76086618</v>
      </c>
      <c r="L724" t="e">
        <f>VLOOKUP(A724,'TV Apr Prorated Billing Sites'!$A:$I,1,0)</f>
        <v>#N/A</v>
      </c>
    </row>
    <row r="725" spans="1:12">
      <c r="A725" t="str">
        <f t="shared" si="13"/>
        <v>76087938</v>
      </c>
      <c r="B725" t="s">
        <v>2819</v>
      </c>
      <c r="C725" t="s">
        <v>2820</v>
      </c>
      <c r="D725">
        <v>76087938</v>
      </c>
      <c r="E725">
        <v>2500216</v>
      </c>
      <c r="F725" t="s">
        <v>39</v>
      </c>
      <c r="G725">
        <v>450</v>
      </c>
      <c r="H725" t="str">
        <f>VLOOKUP(A725,'SV Child INS Apr'!$A:$H,1,0)</f>
        <v>76087938</v>
      </c>
      <c r="L725" t="e">
        <f>VLOOKUP(A725,'TV Apr Prorated Billing Sites'!$A:$I,1,0)</f>
        <v>#N/A</v>
      </c>
    </row>
    <row r="726" spans="1:12">
      <c r="A726" t="str">
        <f t="shared" si="13"/>
        <v>76090518</v>
      </c>
      <c r="B726" t="s">
        <v>2821</v>
      </c>
      <c r="C726" t="s">
        <v>2822</v>
      </c>
      <c r="D726">
        <v>76090518</v>
      </c>
      <c r="E726">
        <v>143047</v>
      </c>
      <c r="F726" t="s">
        <v>39</v>
      </c>
      <c r="G726">
        <v>300</v>
      </c>
      <c r="H726" t="str">
        <f>VLOOKUP(A726,'SV Child INS Apr'!$A:$H,1,0)</f>
        <v>76090518</v>
      </c>
      <c r="L726" t="e">
        <f>VLOOKUP(A726,'TV Apr Prorated Billing Sites'!$A:$I,1,0)</f>
        <v>#N/A</v>
      </c>
    </row>
    <row r="727" spans="1:12">
      <c r="A727" t="str">
        <f t="shared" si="13"/>
        <v>76097060</v>
      </c>
      <c r="B727" t="s">
        <v>2823</v>
      </c>
      <c r="C727" t="s">
        <v>2824</v>
      </c>
      <c r="D727">
        <v>76097060</v>
      </c>
      <c r="E727">
        <v>3000944</v>
      </c>
      <c r="F727" t="s">
        <v>39</v>
      </c>
      <c r="G727">
        <v>300</v>
      </c>
      <c r="H727" t="str">
        <f>VLOOKUP(A727,'SV Child INS Apr'!$A:$H,1,0)</f>
        <v>76097060</v>
      </c>
      <c r="L727" t="e">
        <f>VLOOKUP(A727,'TV Apr Prorated Billing Sites'!$A:$I,1,0)</f>
        <v>#N/A</v>
      </c>
    </row>
    <row r="728" spans="1:12">
      <c r="A728" t="str">
        <f t="shared" si="13"/>
        <v>76097658</v>
      </c>
      <c r="B728" t="s">
        <v>87</v>
      </c>
      <c r="C728" t="s">
        <v>88</v>
      </c>
      <c r="D728">
        <v>76097658</v>
      </c>
      <c r="E728">
        <v>3000911</v>
      </c>
      <c r="F728" t="s">
        <v>39</v>
      </c>
      <c r="G728">
        <v>300</v>
      </c>
      <c r="H728" t="e">
        <f>VLOOKUP(A728,'SV Child INS Apr'!$A:$H,1,0)</f>
        <v>#N/A</v>
      </c>
      <c r="I728" t="e">
        <f>VLOOKUP(B728,'SV Child INS Apr'!$D:$F,1,0)</f>
        <v>#N/A</v>
      </c>
      <c r="J728" t="e">
        <f>VLOOKUP(A728,'SV Child BLG Apr'!$A:$J,1,0)</f>
        <v>#N/A</v>
      </c>
      <c r="K728" t="e">
        <f>VLOOKUP(B728,'SV Child BLG Apr'!$D:$I,1,0)</f>
        <v>#N/A</v>
      </c>
      <c r="L728" t="e">
        <f>VLOOKUP(A728,'TV Apr Prorated Billing Sites'!$A:$I,1,0)</f>
        <v>#N/A</v>
      </c>
    </row>
    <row r="729" spans="1:12">
      <c r="A729" t="str">
        <f t="shared" si="13"/>
        <v>76097770</v>
      </c>
      <c r="B729" t="s">
        <v>2825</v>
      </c>
      <c r="C729" t="s">
        <v>2826</v>
      </c>
      <c r="D729">
        <v>76097770</v>
      </c>
      <c r="E729">
        <v>8102</v>
      </c>
      <c r="F729" t="s">
        <v>39</v>
      </c>
      <c r="G729">
        <v>300</v>
      </c>
      <c r="H729" t="str">
        <f>VLOOKUP(A729,'SV Child INS Apr'!$A:$H,1,0)</f>
        <v>76097770</v>
      </c>
      <c r="L729" t="e">
        <f>VLOOKUP(A729,'TV Apr Prorated Billing Sites'!$A:$I,1,0)</f>
        <v>#N/A</v>
      </c>
    </row>
    <row r="730" spans="1:12">
      <c r="A730" t="str">
        <f t="shared" si="13"/>
        <v>76097838</v>
      </c>
      <c r="B730" t="s">
        <v>2827</v>
      </c>
      <c r="C730" t="s">
        <v>2828</v>
      </c>
      <c r="D730">
        <v>76097838</v>
      </c>
      <c r="E730">
        <v>9083</v>
      </c>
      <c r="F730" t="s">
        <v>39</v>
      </c>
      <c r="G730">
        <v>300</v>
      </c>
      <c r="H730" t="str">
        <f>VLOOKUP(A730,'SV Child INS Apr'!$A:$H,1,0)</f>
        <v>76097838</v>
      </c>
      <c r="L730" t="e">
        <f>VLOOKUP(A730,'TV Apr Prorated Billing Sites'!$A:$I,1,0)</f>
        <v>#N/A</v>
      </c>
    </row>
    <row r="731" spans="1:12">
      <c r="A731" t="str">
        <f t="shared" si="13"/>
        <v>76098038</v>
      </c>
      <c r="B731" t="s">
        <v>2829</v>
      </c>
      <c r="C731" t="s">
        <v>2830</v>
      </c>
      <c r="D731">
        <v>76098038</v>
      </c>
      <c r="E731">
        <v>3000731</v>
      </c>
      <c r="F731" t="s">
        <v>39</v>
      </c>
      <c r="G731">
        <v>300</v>
      </c>
      <c r="H731" t="str">
        <f>VLOOKUP(A731,'SV Child INS Apr'!$A:$H,1,0)</f>
        <v>76098038</v>
      </c>
      <c r="L731" t="e">
        <f>VLOOKUP(A731,'TV Apr Prorated Billing Sites'!$A:$I,1,0)</f>
        <v>#N/A</v>
      </c>
    </row>
    <row r="732" spans="1:12">
      <c r="A732" t="str">
        <f t="shared" si="13"/>
        <v>76098118</v>
      </c>
      <c r="B732" t="s">
        <v>2831</v>
      </c>
      <c r="C732" t="s">
        <v>2832</v>
      </c>
      <c r="D732">
        <v>76098118</v>
      </c>
      <c r="E732">
        <v>2001945</v>
      </c>
      <c r="F732" t="s">
        <v>39</v>
      </c>
      <c r="G732">
        <v>450</v>
      </c>
      <c r="H732" t="str">
        <f>VLOOKUP(A732,'SV Child INS Apr'!$A:$H,1,0)</f>
        <v>76098118</v>
      </c>
      <c r="L732" t="e">
        <f>VLOOKUP(A732,'TV Apr Prorated Billing Sites'!$A:$I,1,0)</f>
        <v>#N/A</v>
      </c>
    </row>
    <row r="733" spans="1:12">
      <c r="A733" t="str">
        <f t="shared" si="13"/>
        <v>76099558</v>
      </c>
      <c r="B733" t="s">
        <v>2833</v>
      </c>
      <c r="C733" t="s">
        <v>2834</v>
      </c>
      <c r="D733">
        <v>76099558</v>
      </c>
      <c r="E733">
        <v>3002482</v>
      </c>
      <c r="F733" t="s">
        <v>39</v>
      </c>
      <c r="G733">
        <v>300</v>
      </c>
      <c r="H733" t="str">
        <f>VLOOKUP(A733,'SV Child INS Apr'!$A:$H,1,0)</f>
        <v>76099558</v>
      </c>
      <c r="L733" t="e">
        <f>VLOOKUP(A733,'TV Apr Prorated Billing Sites'!$A:$I,1,0)</f>
        <v>#N/A</v>
      </c>
    </row>
    <row r="734" spans="1:12">
      <c r="A734" t="str">
        <f t="shared" si="13"/>
        <v>76114898</v>
      </c>
      <c r="B734" t="s">
        <v>2835</v>
      </c>
      <c r="C734" t="s">
        <v>2836</v>
      </c>
      <c r="D734">
        <v>76114898</v>
      </c>
      <c r="E734">
        <v>2001709</v>
      </c>
      <c r="F734" t="s">
        <v>39</v>
      </c>
      <c r="G734">
        <v>300</v>
      </c>
      <c r="H734" t="str">
        <f>VLOOKUP(A734,'SV Child INS Apr'!$A:$H,1,0)</f>
        <v>76114898</v>
      </c>
      <c r="L734" t="e">
        <f>VLOOKUP(A734,'TV Apr Prorated Billing Sites'!$A:$I,1,0)</f>
        <v>#N/A</v>
      </c>
    </row>
    <row r="735" spans="1:12">
      <c r="A735" t="str">
        <f t="shared" si="13"/>
        <v>76117440</v>
      </c>
      <c r="B735" t="s">
        <v>2837</v>
      </c>
      <c r="C735" t="s">
        <v>2838</v>
      </c>
      <c r="D735">
        <v>76117440</v>
      </c>
      <c r="E735">
        <v>13094</v>
      </c>
      <c r="F735" t="s">
        <v>39</v>
      </c>
      <c r="G735">
        <v>300</v>
      </c>
      <c r="H735" t="str">
        <f>VLOOKUP(A735,'SV Child INS Apr'!$A:$H,1,0)</f>
        <v>76117440</v>
      </c>
      <c r="L735" t="e">
        <f>VLOOKUP(A735,'TV Apr Prorated Billing Sites'!$A:$I,1,0)</f>
        <v>#N/A</v>
      </c>
    </row>
    <row r="736" spans="1:12">
      <c r="A736" t="str">
        <f t="shared" si="13"/>
        <v>76117702</v>
      </c>
      <c r="B736" t="s">
        <v>2839</v>
      </c>
      <c r="C736" t="s">
        <v>2840</v>
      </c>
      <c r="D736">
        <v>76117702</v>
      </c>
      <c r="E736">
        <v>13096</v>
      </c>
      <c r="F736" t="s">
        <v>39</v>
      </c>
      <c r="G736">
        <v>300</v>
      </c>
      <c r="H736" t="str">
        <f>VLOOKUP(A736,'SV Child INS Apr'!$A:$H,1,0)</f>
        <v>76117702</v>
      </c>
      <c r="L736" t="e">
        <f>VLOOKUP(A736,'TV Apr Prorated Billing Sites'!$A:$I,1,0)</f>
        <v>#N/A</v>
      </c>
    </row>
    <row r="737" spans="1:13">
      <c r="A737" t="str">
        <f t="shared" si="13"/>
        <v>76117703</v>
      </c>
      <c r="B737" t="s">
        <v>2841</v>
      </c>
      <c r="C737" t="s">
        <v>2842</v>
      </c>
      <c r="D737">
        <v>76117703</v>
      </c>
      <c r="E737">
        <v>13097</v>
      </c>
      <c r="F737" t="s">
        <v>39</v>
      </c>
      <c r="G737">
        <v>300</v>
      </c>
      <c r="H737" t="str">
        <f>VLOOKUP(A737,'SV Child INS Apr'!$A:$H,1,0)</f>
        <v>76117703</v>
      </c>
      <c r="L737" t="e">
        <f>VLOOKUP(A737,'TV Apr Prorated Billing Sites'!$A:$I,1,0)</f>
        <v>#N/A</v>
      </c>
    </row>
    <row r="738" spans="1:13">
      <c r="A738" t="str">
        <f t="shared" si="13"/>
        <v>76122958</v>
      </c>
      <c r="B738" t="s">
        <v>2843</v>
      </c>
      <c r="C738" t="s">
        <v>2844</v>
      </c>
      <c r="D738">
        <v>76122958</v>
      </c>
      <c r="E738">
        <v>12031</v>
      </c>
      <c r="F738" t="s">
        <v>39</v>
      </c>
      <c r="G738">
        <v>300</v>
      </c>
      <c r="H738" t="str">
        <f>VLOOKUP(A738,'SV Child INS Apr'!$A:$H,1,0)</f>
        <v>76122958</v>
      </c>
      <c r="L738" t="e">
        <f>VLOOKUP(A738,'TV Apr Prorated Billing Sites'!$A:$I,1,0)</f>
        <v>#N/A</v>
      </c>
    </row>
    <row r="739" spans="1:13">
      <c r="A739" t="str">
        <f t="shared" si="13"/>
        <v>76124458</v>
      </c>
      <c r="B739" t="s">
        <v>512</v>
      </c>
      <c r="C739" t="s">
        <v>513</v>
      </c>
      <c r="D739">
        <v>76124458</v>
      </c>
      <c r="E739">
        <v>3000121</v>
      </c>
      <c r="F739" t="s">
        <v>39</v>
      </c>
      <c r="G739">
        <v>300</v>
      </c>
      <c r="H739" t="e">
        <f>VLOOKUP(A739,'SV Child INS Apr'!$A:$H,1,0)</f>
        <v>#N/A</v>
      </c>
      <c r="I739" t="e">
        <f>VLOOKUP(B739,'SV Child INS Apr'!$D:$F,1,0)</f>
        <v>#N/A</v>
      </c>
      <c r="J739" t="str">
        <f>VLOOKUP(A739,'SV Child BLG Apr'!$A:$J,1,0)</f>
        <v>76124458</v>
      </c>
      <c r="L739" t="e">
        <f>VLOOKUP(A739,'TV Apr Prorated Billing Sites'!$A:$I,1,0)</f>
        <v>#N/A</v>
      </c>
      <c r="M739" t="e">
        <f>VLOOKUP(A739,'CDK asked to retain list'!$H$1:$J$24,1,0)</f>
        <v>#N/A</v>
      </c>
    </row>
    <row r="740" spans="1:13">
      <c r="A740" t="str">
        <f t="shared" si="13"/>
        <v>76133538</v>
      </c>
      <c r="B740" t="s">
        <v>2845</v>
      </c>
      <c r="C740" t="s">
        <v>2846</v>
      </c>
      <c r="D740">
        <v>76133538</v>
      </c>
      <c r="E740">
        <v>2001971</v>
      </c>
      <c r="F740" t="s">
        <v>39</v>
      </c>
      <c r="G740">
        <v>300</v>
      </c>
      <c r="H740" t="str">
        <f>VLOOKUP(A740,'SV Child INS Apr'!$A:$H,1,0)</f>
        <v>76133538</v>
      </c>
      <c r="L740" t="e">
        <f>VLOOKUP(A740,'TV Apr Prorated Billing Sites'!$A:$I,1,0)</f>
        <v>#N/A</v>
      </c>
    </row>
    <row r="741" spans="1:13">
      <c r="A741" t="str">
        <f t="shared" si="13"/>
        <v>76133951</v>
      </c>
      <c r="B741" t="s">
        <v>2847</v>
      </c>
      <c r="C741" t="s">
        <v>2848</v>
      </c>
      <c r="D741">
        <v>76133951</v>
      </c>
      <c r="E741">
        <v>3001522</v>
      </c>
      <c r="F741" t="s">
        <v>39</v>
      </c>
      <c r="G741">
        <v>300</v>
      </c>
      <c r="H741" t="str">
        <f>VLOOKUP(A741,'SV Child INS Apr'!$A:$H,1,0)</f>
        <v>76133951</v>
      </c>
      <c r="L741" t="e">
        <f>VLOOKUP(A741,'TV Apr Prorated Billing Sites'!$A:$I,1,0)</f>
        <v>#N/A</v>
      </c>
    </row>
    <row r="742" spans="1:13">
      <c r="A742" t="str">
        <f t="shared" si="13"/>
        <v>76134179</v>
      </c>
      <c r="B742" t="s">
        <v>2849</v>
      </c>
      <c r="C742" t="s">
        <v>2850</v>
      </c>
      <c r="D742">
        <v>76134179</v>
      </c>
      <c r="E742">
        <v>2501342</v>
      </c>
      <c r="F742" t="s">
        <v>39</v>
      </c>
      <c r="G742">
        <v>300</v>
      </c>
      <c r="H742" t="str">
        <f>VLOOKUP(A742,'SV Child INS Apr'!$A:$H,1,0)</f>
        <v>76134179</v>
      </c>
      <c r="L742" t="e">
        <f>VLOOKUP(A742,'TV Apr Prorated Billing Sites'!$A:$I,1,0)</f>
        <v>#N/A</v>
      </c>
    </row>
    <row r="743" spans="1:13">
      <c r="A743" t="str">
        <f t="shared" si="13"/>
        <v>76134865</v>
      </c>
      <c r="B743" t="s">
        <v>90</v>
      </c>
      <c r="C743" t="s">
        <v>91</v>
      </c>
      <c r="D743">
        <v>76134865</v>
      </c>
      <c r="E743">
        <v>5113</v>
      </c>
      <c r="F743" t="s">
        <v>39</v>
      </c>
      <c r="G743">
        <v>300</v>
      </c>
      <c r="H743" t="e">
        <f>VLOOKUP(A743,'SV Child INS Apr'!$A:$H,1,0)</f>
        <v>#N/A</v>
      </c>
      <c r="I743" t="e">
        <f>VLOOKUP(B743,'SV Child INS Apr'!$D:$F,1,0)</f>
        <v>#N/A</v>
      </c>
      <c r="J743" t="e">
        <f>VLOOKUP(A743,'SV Child BLG Apr'!$A:$J,1,0)</f>
        <v>#N/A</v>
      </c>
      <c r="K743" t="e">
        <f>VLOOKUP(B743,'SV Child BLG Apr'!$D:$I,1,0)</f>
        <v>#N/A</v>
      </c>
      <c r="L743" t="e">
        <f>VLOOKUP(A743,'TV Apr Prorated Billing Sites'!$A:$I,1,0)</f>
        <v>#N/A</v>
      </c>
    </row>
    <row r="744" spans="1:13">
      <c r="A744" t="str">
        <f t="shared" si="13"/>
        <v>76135482</v>
      </c>
      <c r="B744" t="s">
        <v>2851</v>
      </c>
      <c r="C744" t="s">
        <v>2852</v>
      </c>
      <c r="D744">
        <v>76135482</v>
      </c>
      <c r="E744">
        <v>2003140</v>
      </c>
      <c r="F744" t="s">
        <v>39</v>
      </c>
      <c r="G744">
        <v>300</v>
      </c>
      <c r="H744" t="str">
        <f>VLOOKUP(A744,'SV Child INS Apr'!$A:$H,1,0)</f>
        <v>76135482</v>
      </c>
      <c r="L744" t="e">
        <f>VLOOKUP(A744,'TV Apr Prorated Billing Sites'!$A:$I,1,0)</f>
        <v>#N/A</v>
      </c>
    </row>
    <row r="745" spans="1:13">
      <c r="A745" t="str">
        <f t="shared" ref="A745:A808" si="14">TRIM(D745)</f>
        <v>76135779</v>
      </c>
      <c r="B745" t="s">
        <v>2853</v>
      </c>
      <c r="C745" t="s">
        <v>2854</v>
      </c>
      <c r="D745">
        <v>76135779</v>
      </c>
      <c r="E745">
        <v>2503522</v>
      </c>
      <c r="F745" t="s">
        <v>39</v>
      </c>
      <c r="G745">
        <v>300</v>
      </c>
      <c r="H745" t="str">
        <f>VLOOKUP(A745,'SV Child INS Apr'!$A:$H,1,0)</f>
        <v>76135779</v>
      </c>
      <c r="L745" t="e">
        <f>VLOOKUP(A745,'TV Apr Prorated Billing Sites'!$A:$I,1,0)</f>
        <v>#N/A</v>
      </c>
    </row>
    <row r="746" spans="1:13">
      <c r="A746" t="str">
        <f t="shared" si="14"/>
        <v>76135790</v>
      </c>
      <c r="B746" t="s">
        <v>515</v>
      </c>
      <c r="C746" t="s">
        <v>516</v>
      </c>
      <c r="D746">
        <v>76135790</v>
      </c>
      <c r="E746">
        <v>2503496</v>
      </c>
      <c r="F746" t="s">
        <v>39</v>
      </c>
      <c r="G746">
        <v>300</v>
      </c>
      <c r="H746" t="e">
        <f>VLOOKUP(A746,'SV Child INS Apr'!$A:$H,1,0)</f>
        <v>#N/A</v>
      </c>
      <c r="I746" t="e">
        <f>VLOOKUP(B746,'SV Child INS Apr'!$D:$F,1,0)</f>
        <v>#N/A</v>
      </c>
      <c r="J746" t="str">
        <f>VLOOKUP(A746,'SV Child BLG Apr'!$A:$J,1,0)</f>
        <v>76135790</v>
      </c>
      <c r="L746" t="str">
        <f>VLOOKUP(A746,'TV Apr Prorated Billing Sites'!$A:$I,1,0)</f>
        <v>76135790</v>
      </c>
      <c r="M746" t="e">
        <f>VLOOKUP(A746,'CDK asked to retain list'!$H$1:$J$24,1,0)</f>
        <v>#N/A</v>
      </c>
    </row>
    <row r="747" spans="1:13">
      <c r="A747" t="str">
        <f t="shared" si="14"/>
        <v>76135923</v>
      </c>
      <c r="B747" t="s">
        <v>2855</v>
      </c>
      <c r="C747" t="s">
        <v>2856</v>
      </c>
      <c r="D747">
        <v>76135923</v>
      </c>
      <c r="E747">
        <v>2000324</v>
      </c>
      <c r="F747" t="s">
        <v>39</v>
      </c>
      <c r="G747">
        <v>300</v>
      </c>
      <c r="H747" t="str">
        <f>VLOOKUP(A747,'SV Child INS Apr'!$A:$H,1,0)</f>
        <v>76135923</v>
      </c>
      <c r="L747" t="e">
        <f>VLOOKUP(A747,'TV Apr Prorated Billing Sites'!$A:$I,1,0)</f>
        <v>#N/A</v>
      </c>
    </row>
    <row r="748" spans="1:13">
      <c r="A748" t="str">
        <f t="shared" si="14"/>
        <v>76136145</v>
      </c>
      <c r="B748" t="s">
        <v>2857</v>
      </c>
      <c r="C748" t="s">
        <v>2858</v>
      </c>
      <c r="D748">
        <v>76136145</v>
      </c>
      <c r="E748">
        <v>1500231</v>
      </c>
      <c r="F748" t="s">
        <v>39</v>
      </c>
      <c r="G748">
        <v>300</v>
      </c>
      <c r="H748" t="str">
        <f>VLOOKUP(A748,'SV Child INS Apr'!$A:$H,1,0)</f>
        <v>76136145</v>
      </c>
      <c r="L748" t="e">
        <f>VLOOKUP(A748,'TV Apr Prorated Billing Sites'!$A:$I,1,0)</f>
        <v>#N/A</v>
      </c>
    </row>
    <row r="749" spans="1:13">
      <c r="A749" t="str">
        <f t="shared" si="14"/>
        <v>76136381</v>
      </c>
      <c r="B749" t="s">
        <v>2859</v>
      </c>
      <c r="C749" t="s">
        <v>2860</v>
      </c>
      <c r="D749">
        <v>76136381</v>
      </c>
      <c r="E749">
        <v>1500095</v>
      </c>
      <c r="F749" t="s">
        <v>39</v>
      </c>
      <c r="G749">
        <v>450</v>
      </c>
      <c r="H749" t="str">
        <f>VLOOKUP(A749,'SV Child INS Apr'!$A:$H,1,0)</f>
        <v>76136381</v>
      </c>
      <c r="L749" t="e">
        <f>VLOOKUP(A749,'TV Apr Prorated Billing Sites'!$A:$I,1,0)</f>
        <v>#N/A</v>
      </c>
    </row>
    <row r="750" spans="1:13">
      <c r="A750" t="str">
        <f t="shared" si="14"/>
        <v>76136763</v>
      </c>
      <c r="B750" t="s">
        <v>2861</v>
      </c>
      <c r="C750" t="s">
        <v>2862</v>
      </c>
      <c r="D750">
        <v>76136763</v>
      </c>
      <c r="E750">
        <v>2503272</v>
      </c>
      <c r="F750" t="s">
        <v>39</v>
      </c>
      <c r="G750">
        <v>300</v>
      </c>
      <c r="H750" t="str">
        <f>VLOOKUP(A750,'SV Child INS Apr'!$A:$H,1,0)</f>
        <v>76136763</v>
      </c>
      <c r="L750" t="e">
        <f>VLOOKUP(A750,'TV Apr Prorated Billing Sites'!$A:$I,1,0)</f>
        <v>#N/A</v>
      </c>
    </row>
    <row r="751" spans="1:13">
      <c r="A751" t="str">
        <f t="shared" si="14"/>
        <v>76137617</v>
      </c>
      <c r="B751" t="s">
        <v>2863</v>
      </c>
      <c r="C751" t="s">
        <v>2864</v>
      </c>
      <c r="D751">
        <v>76137617</v>
      </c>
      <c r="E751">
        <v>6100</v>
      </c>
      <c r="F751" t="s">
        <v>39</v>
      </c>
      <c r="G751">
        <v>300</v>
      </c>
      <c r="H751" t="str">
        <f>VLOOKUP(A751,'SV Child INS Apr'!$A:$H,1,0)</f>
        <v>76137617</v>
      </c>
      <c r="L751" t="e">
        <f>VLOOKUP(A751,'TV Apr Prorated Billing Sites'!$A:$I,1,0)</f>
        <v>#N/A</v>
      </c>
    </row>
    <row r="752" spans="1:13">
      <c r="A752" t="str">
        <f t="shared" si="14"/>
        <v>76137624</v>
      </c>
      <c r="B752" t="s">
        <v>2865</v>
      </c>
      <c r="C752" t="s">
        <v>2866</v>
      </c>
      <c r="D752">
        <v>76137624</v>
      </c>
      <c r="E752">
        <v>13098</v>
      </c>
      <c r="F752" t="s">
        <v>39</v>
      </c>
      <c r="G752">
        <v>300</v>
      </c>
      <c r="H752" t="str">
        <f>VLOOKUP(A752,'SV Child INS Apr'!$A:$H,1,0)</f>
        <v>76137624</v>
      </c>
      <c r="L752" t="e">
        <f>VLOOKUP(A752,'TV Apr Prorated Billing Sites'!$A:$I,1,0)</f>
        <v>#N/A</v>
      </c>
    </row>
    <row r="753" spans="1:13">
      <c r="A753" t="str">
        <f t="shared" si="14"/>
        <v>76138081</v>
      </c>
      <c r="B753" t="s">
        <v>2867</v>
      </c>
      <c r="C753" t="s">
        <v>2868</v>
      </c>
      <c r="D753">
        <v>76138081</v>
      </c>
      <c r="E753">
        <v>2500981</v>
      </c>
      <c r="F753" t="s">
        <v>39</v>
      </c>
      <c r="G753">
        <v>300</v>
      </c>
      <c r="H753" t="str">
        <f>VLOOKUP(A753,'SV Child INS Apr'!$A:$H,1,0)</f>
        <v>76138081</v>
      </c>
      <c r="L753" t="e">
        <f>VLOOKUP(A753,'TV Apr Prorated Billing Sites'!$A:$I,1,0)</f>
        <v>#N/A</v>
      </c>
    </row>
    <row r="754" spans="1:13">
      <c r="A754" t="str">
        <f t="shared" si="14"/>
        <v>76139444</v>
      </c>
      <c r="B754" t="s">
        <v>2869</v>
      </c>
      <c r="C754" t="s">
        <v>2870</v>
      </c>
      <c r="D754">
        <v>76139444</v>
      </c>
      <c r="E754">
        <v>2503185</v>
      </c>
      <c r="F754" t="s">
        <v>39</v>
      </c>
      <c r="G754">
        <v>300</v>
      </c>
      <c r="H754" t="str">
        <f>VLOOKUP(A754,'SV Child INS Apr'!$A:$H,1,0)</f>
        <v>76139444</v>
      </c>
      <c r="L754" t="e">
        <f>VLOOKUP(A754,'TV Apr Prorated Billing Sites'!$A:$I,1,0)</f>
        <v>#N/A</v>
      </c>
    </row>
    <row r="755" spans="1:13">
      <c r="A755" t="str">
        <f t="shared" si="14"/>
        <v>76139791</v>
      </c>
      <c r="B755" t="s">
        <v>2871</v>
      </c>
      <c r="C755" t="s">
        <v>2872</v>
      </c>
      <c r="D755">
        <v>76139791</v>
      </c>
      <c r="E755">
        <v>3000735</v>
      </c>
      <c r="F755" t="s">
        <v>39</v>
      </c>
      <c r="G755">
        <v>300</v>
      </c>
      <c r="H755" t="str">
        <f>VLOOKUP(A755,'SV Child INS Apr'!$A:$H,1,0)</f>
        <v>76139791</v>
      </c>
      <c r="L755" t="e">
        <f>VLOOKUP(A755,'TV Apr Prorated Billing Sites'!$A:$I,1,0)</f>
        <v>#N/A</v>
      </c>
    </row>
    <row r="756" spans="1:13">
      <c r="A756" t="str">
        <f t="shared" si="14"/>
        <v>76140202</v>
      </c>
      <c r="B756" t="s">
        <v>2873</v>
      </c>
      <c r="C756" t="s">
        <v>2874</v>
      </c>
      <c r="D756">
        <v>76140202</v>
      </c>
      <c r="E756">
        <v>2001740</v>
      </c>
      <c r="F756" t="s">
        <v>39</v>
      </c>
      <c r="G756">
        <v>300</v>
      </c>
      <c r="H756" t="str">
        <f>VLOOKUP(A756,'SV Child INS Apr'!$A:$H,1,0)</f>
        <v>76140202</v>
      </c>
      <c r="L756" t="e">
        <f>VLOOKUP(A756,'TV Apr Prorated Billing Sites'!$A:$I,1,0)</f>
        <v>#N/A</v>
      </c>
    </row>
    <row r="757" spans="1:13">
      <c r="A757" t="str">
        <f t="shared" si="14"/>
        <v>76140738</v>
      </c>
      <c r="B757" t="s">
        <v>2875</v>
      </c>
      <c r="C757" t="s">
        <v>2876</v>
      </c>
      <c r="D757">
        <v>76140738</v>
      </c>
      <c r="E757">
        <v>114017</v>
      </c>
      <c r="F757" t="s">
        <v>39</v>
      </c>
      <c r="G757">
        <v>300</v>
      </c>
      <c r="H757" t="str">
        <f>VLOOKUP(A757,'SV Child INS Apr'!$A:$H,1,0)</f>
        <v>76140738</v>
      </c>
      <c r="L757" t="e">
        <f>VLOOKUP(A757,'TV Apr Prorated Billing Sites'!$A:$I,1,0)</f>
        <v>#N/A</v>
      </c>
    </row>
    <row r="758" spans="1:13">
      <c r="A758" t="str">
        <f t="shared" si="14"/>
        <v>76141509</v>
      </c>
      <c r="B758" t="s">
        <v>2877</v>
      </c>
      <c r="C758" t="s">
        <v>2878</v>
      </c>
      <c r="D758">
        <v>76141509</v>
      </c>
      <c r="E758">
        <v>2502363</v>
      </c>
      <c r="F758" t="s">
        <v>39</v>
      </c>
      <c r="G758">
        <v>300</v>
      </c>
      <c r="H758" t="str">
        <f>VLOOKUP(A758,'SV Child INS Apr'!$A:$H,1,0)</f>
        <v>76141509</v>
      </c>
      <c r="L758" t="e">
        <f>VLOOKUP(A758,'TV Apr Prorated Billing Sites'!$A:$I,1,0)</f>
        <v>#N/A</v>
      </c>
    </row>
    <row r="759" spans="1:13">
      <c r="A759" t="str">
        <f t="shared" si="14"/>
        <v>76141603</v>
      </c>
      <c r="B759" t="s">
        <v>2879</v>
      </c>
      <c r="C759" t="s">
        <v>2880</v>
      </c>
      <c r="D759">
        <v>76141603</v>
      </c>
      <c r="E759">
        <v>3002374</v>
      </c>
      <c r="F759" t="s">
        <v>39</v>
      </c>
      <c r="G759">
        <v>400</v>
      </c>
      <c r="H759" t="str">
        <f>VLOOKUP(A759,'SV Child INS Apr'!$A:$H,1,0)</f>
        <v>76141603</v>
      </c>
      <c r="L759" t="e">
        <f>VLOOKUP(A759,'TV Apr Prorated Billing Sites'!$A:$I,1,0)</f>
        <v>#N/A</v>
      </c>
    </row>
    <row r="760" spans="1:13">
      <c r="A760" t="str">
        <f t="shared" si="14"/>
        <v>76141860</v>
      </c>
      <c r="B760" t="s">
        <v>2881</v>
      </c>
      <c r="C760" t="s">
        <v>2882</v>
      </c>
      <c r="D760">
        <v>76141860</v>
      </c>
      <c r="E760">
        <v>2001293</v>
      </c>
      <c r="F760" t="s">
        <v>39</v>
      </c>
      <c r="G760">
        <v>300</v>
      </c>
      <c r="H760" t="str">
        <f>VLOOKUP(A760,'SV Child INS Apr'!$A:$H,1,0)</f>
        <v>76141860</v>
      </c>
      <c r="L760" t="e">
        <f>VLOOKUP(A760,'TV Apr Prorated Billing Sites'!$A:$I,1,0)</f>
        <v>#N/A</v>
      </c>
    </row>
    <row r="761" spans="1:13">
      <c r="A761" t="str">
        <f t="shared" si="14"/>
        <v>76141860</v>
      </c>
      <c r="B761" t="s">
        <v>2883</v>
      </c>
      <c r="C761" t="s">
        <v>2884</v>
      </c>
      <c r="D761">
        <v>76141860</v>
      </c>
      <c r="E761">
        <v>2001293</v>
      </c>
      <c r="F761" t="s">
        <v>39</v>
      </c>
      <c r="G761">
        <v>300</v>
      </c>
      <c r="H761" t="str">
        <f>VLOOKUP(A761,'SV Child INS Apr'!$A:$H,1,0)</f>
        <v>76141860</v>
      </c>
      <c r="L761" t="e">
        <f>VLOOKUP(A761,'TV Apr Prorated Billing Sites'!$A:$I,1,0)</f>
        <v>#N/A</v>
      </c>
    </row>
    <row r="762" spans="1:13">
      <c r="A762" t="str">
        <f t="shared" si="14"/>
        <v>76141861</v>
      </c>
      <c r="B762" t="s">
        <v>2885</v>
      </c>
      <c r="C762" t="s">
        <v>2886</v>
      </c>
      <c r="D762">
        <v>76141861</v>
      </c>
      <c r="E762">
        <v>2001309</v>
      </c>
      <c r="F762" t="s">
        <v>39</v>
      </c>
      <c r="G762">
        <v>300</v>
      </c>
      <c r="H762" t="str">
        <f>VLOOKUP(A762,'SV Child INS Apr'!$A:$H,1,0)</f>
        <v>76141861</v>
      </c>
      <c r="L762" t="e">
        <f>VLOOKUP(A762,'TV Apr Prorated Billing Sites'!$A:$I,1,0)</f>
        <v>#N/A</v>
      </c>
    </row>
    <row r="763" spans="1:13">
      <c r="A763" t="str">
        <f t="shared" si="14"/>
        <v>76142698</v>
      </c>
      <c r="B763" t="s">
        <v>2887</v>
      </c>
      <c r="C763" t="s">
        <v>2888</v>
      </c>
      <c r="D763">
        <v>76142698</v>
      </c>
      <c r="E763" t="s">
        <v>438</v>
      </c>
      <c r="F763" t="s">
        <v>39</v>
      </c>
      <c r="G763">
        <v>600</v>
      </c>
      <c r="H763" t="str">
        <f>VLOOKUP(A763,'SV Child INS Apr'!$A:$H,1,0)</f>
        <v>76142698</v>
      </c>
      <c r="L763" t="e">
        <f>VLOOKUP(A763,'TV Apr Prorated Billing Sites'!$A:$I,1,0)</f>
        <v>#N/A</v>
      </c>
    </row>
    <row r="764" spans="1:13">
      <c r="A764" t="str">
        <f t="shared" si="14"/>
        <v>76143102</v>
      </c>
      <c r="B764" t="s">
        <v>2889</v>
      </c>
      <c r="C764" t="s">
        <v>2890</v>
      </c>
      <c r="D764">
        <v>76143102</v>
      </c>
      <c r="E764">
        <v>2003009</v>
      </c>
      <c r="F764" t="s">
        <v>39</v>
      </c>
      <c r="G764">
        <v>300</v>
      </c>
      <c r="H764" t="str">
        <f>VLOOKUP(A764,'SV Child INS Apr'!$A:$H,1,0)</f>
        <v>76143102</v>
      </c>
      <c r="L764" t="e">
        <f>VLOOKUP(A764,'TV Apr Prorated Billing Sites'!$A:$I,1,0)</f>
        <v>#N/A</v>
      </c>
    </row>
    <row r="765" spans="1:13">
      <c r="A765" t="str">
        <f t="shared" si="14"/>
        <v>76143293</v>
      </c>
      <c r="B765" t="s">
        <v>518</v>
      </c>
      <c r="C765" t="s">
        <v>519</v>
      </c>
      <c r="D765">
        <v>76143293</v>
      </c>
      <c r="E765">
        <v>3000102</v>
      </c>
      <c r="F765" t="s">
        <v>39</v>
      </c>
      <c r="G765">
        <v>300</v>
      </c>
      <c r="H765" t="e">
        <f>VLOOKUP(A765,'SV Child INS Apr'!$A:$H,1,0)</f>
        <v>#N/A</v>
      </c>
      <c r="I765" t="e">
        <f>VLOOKUP(B765,'SV Child INS Apr'!$D:$F,1,0)</f>
        <v>#N/A</v>
      </c>
      <c r="J765" t="str">
        <f>VLOOKUP(A765,'SV Child BLG Apr'!$A:$J,1,0)</f>
        <v>76143293</v>
      </c>
      <c r="L765" t="e">
        <f>VLOOKUP(A765,'TV Apr Prorated Billing Sites'!$A:$I,1,0)</f>
        <v>#N/A</v>
      </c>
      <c r="M765" t="e">
        <f>VLOOKUP(A765,'CDK asked to retain list'!$H$1:$J$24,1,0)</f>
        <v>#N/A</v>
      </c>
    </row>
    <row r="766" spans="1:13">
      <c r="A766" t="str">
        <f t="shared" si="14"/>
        <v>76143376</v>
      </c>
      <c r="B766" t="s">
        <v>521</v>
      </c>
      <c r="C766" t="s">
        <v>522</v>
      </c>
      <c r="D766">
        <v>76143376</v>
      </c>
      <c r="E766">
        <v>3001863</v>
      </c>
      <c r="F766" t="s">
        <v>39</v>
      </c>
      <c r="G766">
        <v>300</v>
      </c>
      <c r="H766" t="e">
        <f>VLOOKUP(A766,'SV Child INS Apr'!$A:$H,1,0)</f>
        <v>#N/A</v>
      </c>
      <c r="I766" t="e">
        <f>VLOOKUP(B766,'SV Child INS Apr'!$D:$F,1,0)</f>
        <v>#N/A</v>
      </c>
      <c r="J766" t="str">
        <f>VLOOKUP(A766,'SV Child BLG Apr'!$A:$J,1,0)</f>
        <v>76143376</v>
      </c>
      <c r="L766" t="str">
        <f>VLOOKUP(A766,'TV Apr Prorated Billing Sites'!$A:$I,1,0)</f>
        <v>76143376</v>
      </c>
      <c r="M766" t="e">
        <f>VLOOKUP(A766,'CDK asked to retain list'!$H$1:$J$24,1,0)</f>
        <v>#N/A</v>
      </c>
    </row>
    <row r="767" spans="1:13">
      <c r="A767" t="str">
        <f t="shared" si="14"/>
        <v>76143629</v>
      </c>
      <c r="B767" t="s">
        <v>2891</v>
      </c>
      <c r="C767" t="s">
        <v>2892</v>
      </c>
      <c r="D767">
        <v>76143629</v>
      </c>
      <c r="E767">
        <v>143140</v>
      </c>
      <c r="F767" t="s">
        <v>39</v>
      </c>
      <c r="G767">
        <v>450</v>
      </c>
      <c r="H767" t="str">
        <f>VLOOKUP(A767,'SV Child INS Apr'!$A:$H,1,0)</f>
        <v>76143629</v>
      </c>
      <c r="L767" t="e">
        <f>VLOOKUP(A767,'TV Apr Prorated Billing Sites'!$A:$I,1,0)</f>
        <v>#N/A</v>
      </c>
    </row>
    <row r="768" spans="1:13">
      <c r="A768" t="str">
        <f t="shared" si="14"/>
        <v>76143961</v>
      </c>
      <c r="B768" t="s">
        <v>2893</v>
      </c>
      <c r="C768" t="s">
        <v>2894</v>
      </c>
      <c r="D768">
        <v>76143961</v>
      </c>
      <c r="E768">
        <v>2000623</v>
      </c>
      <c r="F768" t="s">
        <v>39</v>
      </c>
      <c r="G768">
        <v>300</v>
      </c>
      <c r="H768" t="str">
        <f>VLOOKUP(A768,'SV Child INS Apr'!$A:$H,1,0)</f>
        <v>76143961</v>
      </c>
      <c r="L768" t="e">
        <f>VLOOKUP(A768,'TV Apr Prorated Billing Sites'!$A:$I,1,0)</f>
        <v>#N/A</v>
      </c>
    </row>
    <row r="769" spans="1:13">
      <c r="A769" t="str">
        <f t="shared" si="14"/>
        <v>76143966</v>
      </c>
      <c r="B769" t="s">
        <v>2895</v>
      </c>
      <c r="C769" t="s">
        <v>2896</v>
      </c>
      <c r="D769">
        <v>76143966</v>
      </c>
      <c r="E769">
        <v>2000629</v>
      </c>
      <c r="F769" t="s">
        <v>39</v>
      </c>
      <c r="G769">
        <v>300</v>
      </c>
      <c r="H769" t="str">
        <f>VLOOKUP(A769,'SV Child INS Apr'!$A:$H,1,0)</f>
        <v>76143966</v>
      </c>
      <c r="L769" t="e">
        <f>VLOOKUP(A769,'TV Apr Prorated Billing Sites'!$A:$I,1,0)</f>
        <v>#N/A</v>
      </c>
    </row>
    <row r="770" spans="1:13">
      <c r="A770" t="str">
        <f t="shared" si="14"/>
        <v>76144136</v>
      </c>
      <c r="B770" t="s">
        <v>524</v>
      </c>
      <c r="C770" t="s">
        <v>525</v>
      </c>
      <c r="D770">
        <v>76144136</v>
      </c>
      <c r="E770">
        <v>3002895</v>
      </c>
      <c r="F770" t="s">
        <v>39</v>
      </c>
      <c r="G770">
        <v>300</v>
      </c>
      <c r="H770" t="e">
        <f>VLOOKUP(A770,'SV Child INS Apr'!$A:$H,1,0)</f>
        <v>#N/A</v>
      </c>
      <c r="I770" t="e">
        <f>VLOOKUP(B770,'SV Child INS Apr'!$D:$F,1,0)</f>
        <v>#N/A</v>
      </c>
      <c r="J770" t="str">
        <f>VLOOKUP(A770,'SV Child BLG Apr'!$A:$J,1,0)</f>
        <v>76144136</v>
      </c>
      <c r="L770" t="str">
        <f>VLOOKUP(A770,'TV Apr Prorated Billing Sites'!$A:$I,1,0)</f>
        <v>76144136</v>
      </c>
      <c r="M770" t="e">
        <f>VLOOKUP(A770,'CDK asked to retain list'!$H$1:$J$24,1,0)</f>
        <v>#N/A</v>
      </c>
    </row>
    <row r="771" spans="1:13">
      <c r="A771" t="str">
        <f t="shared" si="14"/>
        <v>76144324</v>
      </c>
      <c r="B771" t="s">
        <v>2897</v>
      </c>
      <c r="C771" t="s">
        <v>2898</v>
      </c>
      <c r="D771">
        <v>76144324</v>
      </c>
      <c r="E771">
        <v>2502492</v>
      </c>
      <c r="F771" t="s">
        <v>39</v>
      </c>
      <c r="G771">
        <v>450</v>
      </c>
      <c r="H771" t="str">
        <f>VLOOKUP(A771,'SV Child INS Apr'!$A:$H,1,0)</f>
        <v>76144324</v>
      </c>
      <c r="L771" t="e">
        <f>VLOOKUP(A771,'TV Apr Prorated Billing Sites'!$A:$I,1,0)</f>
        <v>#N/A</v>
      </c>
    </row>
    <row r="772" spans="1:13">
      <c r="A772" t="str">
        <f t="shared" si="14"/>
        <v>76144717</v>
      </c>
      <c r="B772" t="s">
        <v>2899</v>
      </c>
      <c r="C772" t="s">
        <v>2900</v>
      </c>
      <c r="D772">
        <v>76144717</v>
      </c>
      <c r="E772">
        <v>2502473</v>
      </c>
      <c r="F772" t="s">
        <v>39</v>
      </c>
      <c r="G772">
        <v>450</v>
      </c>
      <c r="H772" t="str">
        <f>VLOOKUP(A772,'SV Child INS Apr'!$A:$H,1,0)</f>
        <v>76144717</v>
      </c>
      <c r="L772" t="e">
        <f>VLOOKUP(A772,'TV Apr Prorated Billing Sites'!$A:$I,1,0)</f>
        <v>#N/A</v>
      </c>
    </row>
    <row r="773" spans="1:13">
      <c r="A773" t="str">
        <f t="shared" si="14"/>
        <v>76144738</v>
      </c>
      <c r="B773" t="s">
        <v>2901</v>
      </c>
      <c r="C773" t="s">
        <v>2902</v>
      </c>
      <c r="D773">
        <v>76144738</v>
      </c>
      <c r="E773">
        <v>2000012</v>
      </c>
      <c r="F773" t="s">
        <v>39</v>
      </c>
      <c r="G773">
        <v>300</v>
      </c>
      <c r="H773" t="str">
        <f>VLOOKUP(A773,'SV Child INS Apr'!$A:$H,1,0)</f>
        <v>76144738</v>
      </c>
      <c r="L773" t="e">
        <f>VLOOKUP(A773,'TV Apr Prorated Billing Sites'!$A:$I,1,0)</f>
        <v>#N/A</v>
      </c>
    </row>
    <row r="774" spans="1:13">
      <c r="A774" t="str">
        <f t="shared" si="14"/>
        <v>76144974</v>
      </c>
      <c r="B774" t="s">
        <v>2903</v>
      </c>
      <c r="C774" t="s">
        <v>2904</v>
      </c>
      <c r="D774">
        <v>76144974</v>
      </c>
      <c r="E774">
        <v>9074</v>
      </c>
      <c r="F774" t="s">
        <v>39</v>
      </c>
      <c r="G774">
        <v>450</v>
      </c>
      <c r="H774" t="str">
        <f>VLOOKUP(A774,'SV Child INS Apr'!$A:$H,1,0)</f>
        <v>76144974</v>
      </c>
      <c r="L774" t="e">
        <f>VLOOKUP(A774,'TV Apr Prorated Billing Sites'!$A:$I,1,0)</f>
        <v>#N/A</v>
      </c>
    </row>
    <row r="775" spans="1:13">
      <c r="A775" t="str">
        <f t="shared" si="14"/>
        <v>76145158</v>
      </c>
      <c r="B775" t="s">
        <v>2905</v>
      </c>
      <c r="C775" t="s">
        <v>2906</v>
      </c>
      <c r="D775">
        <v>76145158</v>
      </c>
      <c r="E775">
        <v>3000677</v>
      </c>
      <c r="F775" t="s">
        <v>39</v>
      </c>
      <c r="G775">
        <v>300</v>
      </c>
      <c r="H775" t="str">
        <f>VLOOKUP(A775,'SV Child INS Apr'!$A:$H,1,0)</f>
        <v>76145158</v>
      </c>
      <c r="L775" t="e">
        <f>VLOOKUP(A775,'TV Apr Prorated Billing Sites'!$A:$I,1,0)</f>
        <v>#N/A</v>
      </c>
    </row>
    <row r="776" spans="1:13">
      <c r="A776" t="str">
        <f t="shared" si="14"/>
        <v>76145456</v>
      </c>
      <c r="B776" t="s">
        <v>2907</v>
      </c>
      <c r="C776" t="s">
        <v>2908</v>
      </c>
      <c r="D776">
        <v>76145456</v>
      </c>
      <c r="E776">
        <v>2500633</v>
      </c>
      <c r="F776" t="s">
        <v>39</v>
      </c>
      <c r="G776">
        <v>300</v>
      </c>
      <c r="H776" t="str">
        <f>VLOOKUP(A776,'SV Child INS Apr'!$A:$H,1,0)</f>
        <v>76145456</v>
      </c>
      <c r="L776" t="e">
        <f>VLOOKUP(A776,'TV Apr Prorated Billing Sites'!$A:$I,1,0)</f>
        <v>#N/A</v>
      </c>
    </row>
    <row r="777" spans="1:13">
      <c r="A777" t="str">
        <f t="shared" si="14"/>
        <v>76145631</v>
      </c>
      <c r="B777" t="s">
        <v>2909</v>
      </c>
      <c r="C777" t="s">
        <v>2910</v>
      </c>
      <c r="D777">
        <v>76145631</v>
      </c>
      <c r="E777">
        <v>3001344</v>
      </c>
      <c r="F777" t="s">
        <v>39</v>
      </c>
      <c r="G777">
        <v>300</v>
      </c>
      <c r="H777" t="str">
        <f>VLOOKUP(A777,'SV Child INS Apr'!$A:$H,1,0)</f>
        <v>76145631</v>
      </c>
      <c r="L777" t="e">
        <f>VLOOKUP(A777,'TV Apr Prorated Billing Sites'!$A:$I,1,0)</f>
        <v>#N/A</v>
      </c>
    </row>
    <row r="778" spans="1:13">
      <c r="A778" t="str">
        <f t="shared" si="14"/>
        <v>76145953</v>
      </c>
      <c r="B778" t="s">
        <v>2911</v>
      </c>
      <c r="C778" t="s">
        <v>2912</v>
      </c>
      <c r="D778">
        <v>76145953</v>
      </c>
      <c r="E778">
        <v>2003010</v>
      </c>
      <c r="F778" t="s">
        <v>39</v>
      </c>
      <c r="G778">
        <v>300</v>
      </c>
      <c r="H778" t="str">
        <f>VLOOKUP(A778,'SV Child INS Apr'!$A:$H,1,0)</f>
        <v>76145953</v>
      </c>
      <c r="L778" t="e">
        <f>VLOOKUP(A778,'TV Apr Prorated Billing Sites'!$A:$I,1,0)</f>
        <v>#N/A</v>
      </c>
    </row>
    <row r="779" spans="1:13">
      <c r="A779" t="str">
        <f t="shared" si="14"/>
        <v>76146350</v>
      </c>
      <c r="B779" t="s">
        <v>527</v>
      </c>
      <c r="C779" t="s">
        <v>528</v>
      </c>
      <c r="D779">
        <v>76146350</v>
      </c>
      <c r="E779">
        <v>11106</v>
      </c>
      <c r="F779" t="s">
        <v>39</v>
      </c>
      <c r="G779">
        <v>300</v>
      </c>
      <c r="H779" t="e">
        <f>VLOOKUP(A779,'SV Child INS Apr'!$A:$H,1,0)</f>
        <v>#N/A</v>
      </c>
      <c r="I779" t="e">
        <f>VLOOKUP(B779,'SV Child INS Apr'!$D:$F,1,0)</f>
        <v>#N/A</v>
      </c>
      <c r="J779" t="str">
        <f>VLOOKUP(A779,'SV Child BLG Apr'!$A:$J,1,0)</f>
        <v>76146350</v>
      </c>
      <c r="L779" t="e">
        <f>VLOOKUP(A779,'TV Apr Prorated Billing Sites'!$A:$I,1,0)</f>
        <v>#N/A</v>
      </c>
      <c r="M779" t="e">
        <f>VLOOKUP(A779,'CDK asked to retain list'!$H$1:$J$24,1,0)</f>
        <v>#N/A</v>
      </c>
    </row>
    <row r="780" spans="1:13">
      <c r="A780" t="str">
        <f t="shared" si="14"/>
        <v>76146760</v>
      </c>
      <c r="B780" t="s">
        <v>2913</v>
      </c>
      <c r="C780" t="s">
        <v>2914</v>
      </c>
      <c r="D780">
        <v>76146760</v>
      </c>
      <c r="E780">
        <v>9084</v>
      </c>
      <c r="F780" t="s">
        <v>39</v>
      </c>
      <c r="G780">
        <v>300</v>
      </c>
      <c r="H780" t="str">
        <f>VLOOKUP(A780,'SV Child INS Apr'!$A:$H,1,0)</f>
        <v>76146760</v>
      </c>
      <c r="L780" t="e">
        <f>VLOOKUP(A780,'TV Apr Prorated Billing Sites'!$A:$I,1,0)</f>
        <v>#N/A</v>
      </c>
    </row>
    <row r="781" spans="1:13">
      <c r="A781" t="str">
        <f t="shared" si="14"/>
        <v>76146834</v>
      </c>
      <c r="B781" t="s">
        <v>2915</v>
      </c>
      <c r="C781" t="s">
        <v>2916</v>
      </c>
      <c r="D781">
        <v>76146834</v>
      </c>
      <c r="E781">
        <v>2502450</v>
      </c>
      <c r="F781" t="s">
        <v>39</v>
      </c>
      <c r="G781">
        <v>450</v>
      </c>
      <c r="H781" t="str">
        <f>VLOOKUP(A781,'SV Child INS Apr'!$A:$H,1,0)</f>
        <v>76146834</v>
      </c>
      <c r="L781" t="e">
        <f>VLOOKUP(A781,'TV Apr Prorated Billing Sites'!$A:$I,1,0)</f>
        <v>#N/A</v>
      </c>
    </row>
    <row r="782" spans="1:13">
      <c r="A782" t="str">
        <f t="shared" si="14"/>
        <v>76148275</v>
      </c>
      <c r="B782" t="s">
        <v>2917</v>
      </c>
      <c r="C782" t="s">
        <v>2918</v>
      </c>
      <c r="D782">
        <v>76148275</v>
      </c>
      <c r="E782">
        <v>2502258</v>
      </c>
      <c r="F782" t="s">
        <v>39</v>
      </c>
      <c r="G782">
        <v>450</v>
      </c>
      <c r="H782" t="str">
        <f>VLOOKUP(A782,'SV Child INS Apr'!$A:$H,1,0)</f>
        <v>76148275</v>
      </c>
      <c r="L782" t="e">
        <f>VLOOKUP(A782,'TV Apr Prorated Billing Sites'!$A:$I,1,0)</f>
        <v>#N/A</v>
      </c>
    </row>
    <row r="783" spans="1:13">
      <c r="A783" t="str">
        <f t="shared" si="14"/>
        <v>76148335</v>
      </c>
      <c r="B783" t="s">
        <v>2919</v>
      </c>
      <c r="C783" t="s">
        <v>2920</v>
      </c>
      <c r="D783">
        <v>76148335</v>
      </c>
      <c r="E783">
        <v>2502488</v>
      </c>
      <c r="F783" t="s">
        <v>39</v>
      </c>
      <c r="G783">
        <v>300</v>
      </c>
      <c r="H783" t="str">
        <f>VLOOKUP(A783,'SV Child INS Apr'!$A:$H,1,0)</f>
        <v>76148335</v>
      </c>
      <c r="L783" t="e">
        <f>VLOOKUP(A783,'TV Apr Prorated Billing Sites'!$A:$I,1,0)</f>
        <v>#N/A</v>
      </c>
    </row>
    <row r="784" spans="1:13">
      <c r="A784" t="str">
        <f t="shared" si="14"/>
        <v>76148582</v>
      </c>
      <c r="B784" t="s">
        <v>2921</v>
      </c>
      <c r="C784" t="s">
        <v>2922</v>
      </c>
      <c r="D784">
        <v>76148582</v>
      </c>
      <c r="E784">
        <v>2502462</v>
      </c>
      <c r="F784" t="s">
        <v>39</v>
      </c>
      <c r="G784">
        <v>450</v>
      </c>
      <c r="H784" t="str">
        <f>VLOOKUP(A784,'SV Child INS Apr'!$A:$H,1,0)</f>
        <v>76148582</v>
      </c>
      <c r="L784" t="e">
        <f>VLOOKUP(A784,'TV Apr Prorated Billing Sites'!$A:$I,1,0)</f>
        <v>#N/A</v>
      </c>
    </row>
    <row r="785" spans="1:12">
      <c r="A785" t="str">
        <f t="shared" si="14"/>
        <v>76149027</v>
      </c>
      <c r="B785" t="s">
        <v>2923</v>
      </c>
      <c r="C785" t="s">
        <v>2924</v>
      </c>
      <c r="D785">
        <v>76149027</v>
      </c>
      <c r="E785">
        <v>2503341</v>
      </c>
      <c r="F785" t="s">
        <v>39</v>
      </c>
      <c r="G785">
        <v>300</v>
      </c>
      <c r="H785" t="str">
        <f>VLOOKUP(A785,'SV Child INS Apr'!$A:$H,1,0)</f>
        <v>76149027</v>
      </c>
      <c r="L785" t="e">
        <f>VLOOKUP(A785,'TV Apr Prorated Billing Sites'!$A:$I,1,0)</f>
        <v>#N/A</v>
      </c>
    </row>
    <row r="786" spans="1:12">
      <c r="A786" t="str">
        <f t="shared" si="14"/>
        <v>76149136</v>
      </c>
      <c r="B786" t="s">
        <v>2925</v>
      </c>
      <c r="C786" t="s">
        <v>2926</v>
      </c>
      <c r="D786">
        <v>76149136</v>
      </c>
      <c r="E786">
        <v>2501441</v>
      </c>
      <c r="F786" t="s">
        <v>39</v>
      </c>
      <c r="G786">
        <v>450</v>
      </c>
      <c r="H786" t="str">
        <f>VLOOKUP(A786,'SV Child INS Apr'!$A:$H,1,0)</f>
        <v>76149136</v>
      </c>
      <c r="L786" t="e">
        <f>VLOOKUP(A786,'TV Apr Prorated Billing Sites'!$A:$I,1,0)</f>
        <v>#N/A</v>
      </c>
    </row>
    <row r="787" spans="1:12">
      <c r="A787" t="str">
        <f t="shared" si="14"/>
        <v>76149528</v>
      </c>
      <c r="B787" t="s">
        <v>2927</v>
      </c>
      <c r="C787" t="s">
        <v>2928</v>
      </c>
      <c r="D787">
        <v>76149528</v>
      </c>
      <c r="E787">
        <v>2500163</v>
      </c>
      <c r="F787" t="s">
        <v>39</v>
      </c>
      <c r="G787">
        <v>300</v>
      </c>
      <c r="H787" t="str">
        <f>VLOOKUP(A787,'SV Child INS Apr'!$A:$H,1,0)</f>
        <v>76149528</v>
      </c>
      <c r="L787" t="e">
        <f>VLOOKUP(A787,'TV Apr Prorated Billing Sites'!$A:$I,1,0)</f>
        <v>#N/A</v>
      </c>
    </row>
    <row r="788" spans="1:12">
      <c r="A788" t="str">
        <f t="shared" si="14"/>
        <v>76149630</v>
      </c>
      <c r="B788" t="s">
        <v>2929</v>
      </c>
      <c r="C788" t="s">
        <v>2930</v>
      </c>
      <c r="D788">
        <v>76149630</v>
      </c>
      <c r="E788">
        <v>2000733</v>
      </c>
      <c r="F788" t="s">
        <v>39</v>
      </c>
      <c r="G788">
        <v>300</v>
      </c>
      <c r="H788" t="str">
        <f>VLOOKUP(A788,'SV Child INS Apr'!$A:$H,1,0)</f>
        <v>76149630</v>
      </c>
      <c r="L788" t="e">
        <f>VLOOKUP(A788,'TV Apr Prorated Billing Sites'!$A:$I,1,0)</f>
        <v>#N/A</v>
      </c>
    </row>
    <row r="789" spans="1:12">
      <c r="A789" t="str">
        <f t="shared" si="14"/>
        <v>76149709</v>
      </c>
      <c r="B789" t="s">
        <v>2931</v>
      </c>
      <c r="C789" t="s">
        <v>2932</v>
      </c>
      <c r="D789">
        <v>76149709</v>
      </c>
      <c r="E789">
        <v>3000669</v>
      </c>
      <c r="F789" t="s">
        <v>39</v>
      </c>
      <c r="G789">
        <v>300</v>
      </c>
      <c r="H789" t="str">
        <f>VLOOKUP(A789,'SV Child INS Apr'!$A:$H,1,0)</f>
        <v>76149709</v>
      </c>
      <c r="L789" t="e">
        <f>VLOOKUP(A789,'TV Apr Prorated Billing Sites'!$A:$I,1,0)</f>
        <v>#N/A</v>
      </c>
    </row>
    <row r="790" spans="1:12">
      <c r="A790" t="str">
        <f t="shared" si="14"/>
        <v>76150535</v>
      </c>
      <c r="B790" t="s">
        <v>2933</v>
      </c>
      <c r="C790" t="s">
        <v>2934</v>
      </c>
      <c r="D790">
        <v>76150535</v>
      </c>
      <c r="E790">
        <v>2503374</v>
      </c>
      <c r="F790" t="s">
        <v>39</v>
      </c>
      <c r="G790">
        <v>300</v>
      </c>
      <c r="H790" t="str">
        <f>VLOOKUP(A790,'SV Child INS Apr'!$A:$H,1,0)</f>
        <v>76150535</v>
      </c>
      <c r="L790" t="e">
        <f>VLOOKUP(A790,'TV Apr Prorated Billing Sites'!$A:$I,1,0)</f>
        <v>#N/A</v>
      </c>
    </row>
    <row r="791" spans="1:12">
      <c r="A791" t="str">
        <f t="shared" si="14"/>
        <v>76150627</v>
      </c>
      <c r="B791" t="s">
        <v>2935</v>
      </c>
      <c r="C791" t="s">
        <v>2936</v>
      </c>
      <c r="D791">
        <v>76150627</v>
      </c>
      <c r="E791">
        <v>2503585</v>
      </c>
      <c r="F791" t="s">
        <v>39</v>
      </c>
      <c r="G791">
        <v>300</v>
      </c>
      <c r="H791" t="str">
        <f>VLOOKUP(A791,'SV Child INS Apr'!$A:$H,1,0)</f>
        <v>76150627</v>
      </c>
      <c r="L791" t="e">
        <f>VLOOKUP(A791,'TV Apr Prorated Billing Sites'!$A:$I,1,0)</f>
        <v>#N/A</v>
      </c>
    </row>
    <row r="792" spans="1:12">
      <c r="A792" t="str">
        <f t="shared" si="14"/>
        <v>76151556</v>
      </c>
      <c r="B792" t="s">
        <v>2937</v>
      </c>
      <c r="C792" t="s">
        <v>2938</v>
      </c>
      <c r="D792">
        <v>76151556</v>
      </c>
      <c r="E792">
        <v>3001564</v>
      </c>
      <c r="F792" t="s">
        <v>39</v>
      </c>
      <c r="G792">
        <v>300</v>
      </c>
      <c r="H792" t="str">
        <f>VLOOKUP(A792,'SV Child INS Apr'!$A:$H,1,0)</f>
        <v>76151556</v>
      </c>
      <c r="L792" t="e">
        <f>VLOOKUP(A792,'TV Apr Prorated Billing Sites'!$A:$I,1,0)</f>
        <v>#N/A</v>
      </c>
    </row>
    <row r="793" spans="1:12">
      <c r="A793" t="str">
        <f t="shared" si="14"/>
        <v>76151557</v>
      </c>
      <c r="B793" t="s">
        <v>2939</v>
      </c>
      <c r="C793" t="s">
        <v>2940</v>
      </c>
      <c r="D793">
        <v>76151557</v>
      </c>
      <c r="E793">
        <v>3001298</v>
      </c>
      <c r="F793" t="s">
        <v>39</v>
      </c>
      <c r="G793">
        <v>300</v>
      </c>
      <c r="H793" t="str">
        <f>VLOOKUP(A793,'SV Child INS Apr'!$A:$H,1,0)</f>
        <v>76151557</v>
      </c>
      <c r="L793" t="e">
        <f>VLOOKUP(A793,'TV Apr Prorated Billing Sites'!$A:$I,1,0)</f>
        <v>#N/A</v>
      </c>
    </row>
    <row r="794" spans="1:12">
      <c r="A794" t="str">
        <f t="shared" si="14"/>
        <v>76151592</v>
      </c>
      <c r="B794" t="s">
        <v>2941</v>
      </c>
      <c r="C794" t="s">
        <v>2942</v>
      </c>
      <c r="D794">
        <v>76151592</v>
      </c>
      <c r="E794">
        <v>8101</v>
      </c>
      <c r="F794" t="s">
        <v>39</v>
      </c>
      <c r="G794">
        <v>300</v>
      </c>
      <c r="H794" t="str">
        <f>VLOOKUP(A794,'SV Child INS Apr'!$A:$H,1,0)</f>
        <v>76151592</v>
      </c>
      <c r="L794" t="e">
        <f>VLOOKUP(A794,'TV Apr Prorated Billing Sites'!$A:$I,1,0)</f>
        <v>#N/A</v>
      </c>
    </row>
    <row r="795" spans="1:12">
      <c r="A795" t="str">
        <f t="shared" si="14"/>
        <v>76152121</v>
      </c>
      <c r="B795" t="s">
        <v>2943</v>
      </c>
      <c r="C795" t="s">
        <v>2944</v>
      </c>
      <c r="D795">
        <v>76152121</v>
      </c>
      <c r="E795">
        <v>2000785</v>
      </c>
      <c r="F795" t="s">
        <v>39</v>
      </c>
      <c r="G795">
        <v>300</v>
      </c>
      <c r="H795" t="str">
        <f>VLOOKUP(A795,'SV Child INS Apr'!$A:$H,1,0)</f>
        <v>76152121</v>
      </c>
      <c r="L795" t="e">
        <f>VLOOKUP(A795,'TV Apr Prorated Billing Sites'!$A:$I,1,0)</f>
        <v>#N/A</v>
      </c>
    </row>
    <row r="796" spans="1:12">
      <c r="A796" t="str">
        <f t="shared" si="14"/>
        <v>76152121</v>
      </c>
      <c r="B796" t="s">
        <v>2945</v>
      </c>
      <c r="C796" t="s">
        <v>2946</v>
      </c>
      <c r="D796">
        <v>76152121</v>
      </c>
      <c r="E796">
        <v>2000785</v>
      </c>
      <c r="F796" t="s">
        <v>39</v>
      </c>
      <c r="G796">
        <v>300</v>
      </c>
      <c r="H796" t="str">
        <f>VLOOKUP(A796,'SV Child INS Apr'!$A:$H,1,0)</f>
        <v>76152121</v>
      </c>
      <c r="L796" t="e">
        <f>VLOOKUP(A796,'TV Apr Prorated Billing Sites'!$A:$I,1,0)</f>
        <v>#N/A</v>
      </c>
    </row>
    <row r="797" spans="1:12">
      <c r="A797" t="str">
        <f t="shared" si="14"/>
        <v>76152121</v>
      </c>
      <c r="B797" t="s">
        <v>2947</v>
      </c>
      <c r="C797" t="s">
        <v>2948</v>
      </c>
      <c r="D797">
        <v>76152121</v>
      </c>
      <c r="E797">
        <v>2000785</v>
      </c>
      <c r="F797" t="s">
        <v>39</v>
      </c>
      <c r="G797">
        <v>300</v>
      </c>
      <c r="H797" t="str">
        <f>VLOOKUP(A797,'SV Child INS Apr'!$A:$H,1,0)</f>
        <v>76152121</v>
      </c>
      <c r="L797" t="e">
        <f>VLOOKUP(A797,'TV Apr Prorated Billing Sites'!$A:$I,1,0)</f>
        <v>#N/A</v>
      </c>
    </row>
    <row r="798" spans="1:12">
      <c r="A798" t="str">
        <f t="shared" si="14"/>
        <v>76152360</v>
      </c>
      <c r="B798" t="s">
        <v>2949</v>
      </c>
      <c r="C798" t="s">
        <v>2950</v>
      </c>
      <c r="D798">
        <v>76152360</v>
      </c>
      <c r="E798">
        <v>2503345</v>
      </c>
      <c r="F798" t="s">
        <v>39</v>
      </c>
      <c r="G798">
        <v>300</v>
      </c>
      <c r="H798" t="str">
        <f>VLOOKUP(A798,'SV Child INS Apr'!$A:$H,1,0)</f>
        <v>76152360</v>
      </c>
      <c r="L798" t="e">
        <f>VLOOKUP(A798,'TV Apr Prorated Billing Sites'!$A:$I,1,0)</f>
        <v>#N/A</v>
      </c>
    </row>
    <row r="799" spans="1:12">
      <c r="A799" t="str">
        <f t="shared" si="14"/>
        <v>76152361</v>
      </c>
      <c r="B799" t="s">
        <v>2951</v>
      </c>
      <c r="C799" t="s">
        <v>2952</v>
      </c>
      <c r="D799">
        <v>76152361</v>
      </c>
      <c r="E799">
        <v>2503345</v>
      </c>
      <c r="F799" t="s">
        <v>39</v>
      </c>
      <c r="G799">
        <v>300</v>
      </c>
      <c r="H799" t="str">
        <f>VLOOKUP(A799,'SV Child INS Apr'!$A:$H,1,0)</f>
        <v>76152361</v>
      </c>
      <c r="L799" t="e">
        <f>VLOOKUP(A799,'TV Apr Prorated Billing Sites'!$A:$I,1,0)</f>
        <v>#N/A</v>
      </c>
    </row>
    <row r="800" spans="1:12">
      <c r="A800" t="str">
        <f t="shared" si="14"/>
        <v>76152362</v>
      </c>
      <c r="B800" t="s">
        <v>2953</v>
      </c>
      <c r="C800" t="s">
        <v>2954</v>
      </c>
      <c r="D800">
        <v>76152362</v>
      </c>
      <c r="E800">
        <v>2503390</v>
      </c>
      <c r="F800" t="s">
        <v>39</v>
      </c>
      <c r="G800">
        <v>450</v>
      </c>
      <c r="H800" t="str">
        <f>VLOOKUP(A800,'SV Child INS Apr'!$A:$H,1,0)</f>
        <v>76152362</v>
      </c>
      <c r="L800" t="e">
        <f>VLOOKUP(A800,'TV Apr Prorated Billing Sites'!$A:$I,1,0)</f>
        <v>#N/A</v>
      </c>
    </row>
    <row r="801" spans="1:12">
      <c r="A801" t="str">
        <f t="shared" si="14"/>
        <v>76152864</v>
      </c>
      <c r="B801" t="s">
        <v>2955</v>
      </c>
      <c r="C801" t="s">
        <v>2956</v>
      </c>
      <c r="D801">
        <v>76152864</v>
      </c>
      <c r="E801">
        <v>1500133</v>
      </c>
      <c r="F801" t="s">
        <v>39</v>
      </c>
      <c r="G801">
        <v>300</v>
      </c>
      <c r="H801" t="str">
        <f>VLOOKUP(A801,'SV Child INS Apr'!$A:$H,1,0)</f>
        <v>76152864</v>
      </c>
      <c r="L801" t="e">
        <f>VLOOKUP(A801,'TV Apr Prorated Billing Sites'!$A:$I,1,0)</f>
        <v>#N/A</v>
      </c>
    </row>
    <row r="802" spans="1:12">
      <c r="A802" t="str">
        <f t="shared" si="14"/>
        <v>76152875</v>
      </c>
      <c r="B802" t="s">
        <v>2957</v>
      </c>
      <c r="C802" t="s">
        <v>2958</v>
      </c>
      <c r="D802">
        <v>76152875</v>
      </c>
      <c r="E802">
        <v>2000325</v>
      </c>
      <c r="F802" t="s">
        <v>39</v>
      </c>
      <c r="G802">
        <v>300</v>
      </c>
      <c r="H802" t="str">
        <f>VLOOKUP(A802,'SV Child INS Apr'!$A:$H,1,0)</f>
        <v>76152875</v>
      </c>
      <c r="L802" t="e">
        <f>VLOOKUP(A802,'TV Apr Prorated Billing Sites'!$A:$I,1,0)</f>
        <v>#N/A</v>
      </c>
    </row>
    <row r="803" spans="1:12">
      <c r="A803" t="str">
        <f t="shared" si="14"/>
        <v>76153500</v>
      </c>
      <c r="B803" t="s">
        <v>2959</v>
      </c>
      <c r="C803" t="s">
        <v>2960</v>
      </c>
      <c r="D803">
        <v>76153500</v>
      </c>
      <c r="E803">
        <v>2700009</v>
      </c>
      <c r="F803" t="s">
        <v>39</v>
      </c>
      <c r="G803">
        <v>300</v>
      </c>
      <c r="H803" t="str">
        <f>VLOOKUP(A803,'SV Child INS Apr'!$A:$H,1,0)</f>
        <v>76153500</v>
      </c>
      <c r="L803" t="e">
        <f>VLOOKUP(A803,'TV Apr Prorated Billing Sites'!$A:$I,1,0)</f>
        <v>#N/A</v>
      </c>
    </row>
    <row r="804" spans="1:12">
      <c r="A804" t="str">
        <f t="shared" si="14"/>
        <v>76153879</v>
      </c>
      <c r="B804" t="s">
        <v>2961</v>
      </c>
      <c r="C804" t="s">
        <v>2962</v>
      </c>
      <c r="D804">
        <v>76153879</v>
      </c>
      <c r="E804">
        <v>2001283</v>
      </c>
      <c r="F804" t="s">
        <v>39</v>
      </c>
      <c r="G804">
        <v>300</v>
      </c>
      <c r="H804" t="str">
        <f>VLOOKUP(A804,'SV Child INS Apr'!$A:$H,1,0)</f>
        <v>76153879</v>
      </c>
      <c r="L804" t="e">
        <f>VLOOKUP(A804,'TV Apr Prorated Billing Sites'!$A:$I,1,0)</f>
        <v>#N/A</v>
      </c>
    </row>
    <row r="805" spans="1:12">
      <c r="A805" t="str">
        <f t="shared" si="14"/>
        <v>76154117</v>
      </c>
      <c r="B805" t="s">
        <v>2963</v>
      </c>
      <c r="C805" t="s">
        <v>2964</v>
      </c>
      <c r="D805">
        <v>76154117</v>
      </c>
      <c r="E805">
        <v>2501830</v>
      </c>
      <c r="F805" t="s">
        <v>39</v>
      </c>
      <c r="G805">
        <v>300</v>
      </c>
      <c r="H805" t="str">
        <f>VLOOKUP(A805,'SV Child INS Apr'!$A:$H,1,0)</f>
        <v>76154117</v>
      </c>
      <c r="L805" t="e">
        <f>VLOOKUP(A805,'TV Apr Prorated Billing Sites'!$A:$I,1,0)</f>
        <v>#N/A</v>
      </c>
    </row>
    <row r="806" spans="1:12">
      <c r="A806" t="str">
        <f t="shared" si="14"/>
        <v>76154119</v>
      </c>
      <c r="B806" t="s">
        <v>2965</v>
      </c>
      <c r="C806" t="s">
        <v>2966</v>
      </c>
      <c r="D806">
        <v>76154119</v>
      </c>
      <c r="E806">
        <v>2503655</v>
      </c>
      <c r="F806" t="s">
        <v>39</v>
      </c>
      <c r="G806">
        <v>300</v>
      </c>
      <c r="H806" t="str">
        <f>VLOOKUP(A806,'SV Child INS Apr'!$A:$H,1,0)</f>
        <v>76154119</v>
      </c>
      <c r="L806" t="e">
        <f>VLOOKUP(A806,'TV Apr Prorated Billing Sites'!$A:$I,1,0)</f>
        <v>#N/A</v>
      </c>
    </row>
    <row r="807" spans="1:12">
      <c r="A807" t="str">
        <f t="shared" si="14"/>
        <v>76154153</v>
      </c>
      <c r="B807" t="s">
        <v>2967</v>
      </c>
      <c r="C807" t="s">
        <v>2968</v>
      </c>
      <c r="D807">
        <v>76154153</v>
      </c>
      <c r="E807">
        <v>2502410</v>
      </c>
      <c r="F807" t="s">
        <v>39</v>
      </c>
      <c r="G807">
        <v>450</v>
      </c>
      <c r="H807" t="str">
        <f>VLOOKUP(A807,'SV Child INS Apr'!$A:$H,1,0)</f>
        <v>76154153</v>
      </c>
      <c r="L807" t="e">
        <f>VLOOKUP(A807,'TV Apr Prorated Billing Sites'!$A:$I,1,0)</f>
        <v>#N/A</v>
      </c>
    </row>
    <row r="808" spans="1:12">
      <c r="A808" t="str">
        <f t="shared" si="14"/>
        <v>76154183</v>
      </c>
      <c r="B808" t="s">
        <v>2969</v>
      </c>
      <c r="C808" t="s">
        <v>2970</v>
      </c>
      <c r="D808">
        <v>76154183</v>
      </c>
      <c r="E808">
        <v>418</v>
      </c>
      <c r="F808" t="s">
        <v>39</v>
      </c>
      <c r="G808">
        <v>450</v>
      </c>
      <c r="H808" t="str">
        <f>VLOOKUP(A808,'SV Child INS Apr'!$A:$H,1,0)</f>
        <v>76154183</v>
      </c>
      <c r="L808" t="e">
        <f>VLOOKUP(A808,'TV Apr Prorated Billing Sites'!$A:$I,1,0)</f>
        <v>#N/A</v>
      </c>
    </row>
    <row r="809" spans="1:12">
      <c r="A809" t="str">
        <f t="shared" ref="A809:A872" si="15">TRIM(D809)</f>
        <v>76154344</v>
      </c>
      <c r="B809" t="s">
        <v>2971</v>
      </c>
      <c r="C809" t="s">
        <v>2972</v>
      </c>
      <c r="D809">
        <v>76154344</v>
      </c>
      <c r="E809">
        <v>123026</v>
      </c>
      <c r="F809" t="s">
        <v>39</v>
      </c>
      <c r="G809">
        <v>300</v>
      </c>
      <c r="H809" t="str">
        <f>VLOOKUP(A809,'SV Child INS Apr'!$A:$H,1,0)</f>
        <v>76154344</v>
      </c>
      <c r="L809" t="e">
        <f>VLOOKUP(A809,'TV Apr Prorated Billing Sites'!$A:$I,1,0)</f>
        <v>#N/A</v>
      </c>
    </row>
    <row r="810" spans="1:12">
      <c r="A810" t="str">
        <f t="shared" si="15"/>
        <v>76154476</v>
      </c>
      <c r="B810" t="s">
        <v>2973</v>
      </c>
      <c r="C810" t="s">
        <v>2974</v>
      </c>
      <c r="D810">
        <v>76154476</v>
      </c>
      <c r="E810">
        <v>2501489</v>
      </c>
      <c r="F810" t="s">
        <v>39</v>
      </c>
      <c r="G810">
        <v>300</v>
      </c>
      <c r="H810" t="str">
        <f>VLOOKUP(A810,'SV Child INS Apr'!$A:$H,1,0)</f>
        <v>76154476</v>
      </c>
      <c r="L810" t="e">
        <f>VLOOKUP(A810,'TV Apr Prorated Billing Sites'!$A:$I,1,0)</f>
        <v>#N/A</v>
      </c>
    </row>
    <row r="811" spans="1:12">
      <c r="A811" t="str">
        <f t="shared" si="15"/>
        <v>76154763</v>
      </c>
      <c r="B811" t="s">
        <v>2975</v>
      </c>
      <c r="C811" t="s">
        <v>2976</v>
      </c>
      <c r="D811">
        <v>76154763</v>
      </c>
      <c r="E811">
        <v>2500848</v>
      </c>
      <c r="F811" t="s">
        <v>39</v>
      </c>
      <c r="G811">
        <v>300</v>
      </c>
      <c r="H811" t="str">
        <f>VLOOKUP(A811,'SV Child INS Apr'!$A:$H,1,0)</f>
        <v>76154763</v>
      </c>
      <c r="L811" t="e">
        <f>VLOOKUP(A811,'TV Apr Prorated Billing Sites'!$A:$I,1,0)</f>
        <v>#N/A</v>
      </c>
    </row>
    <row r="812" spans="1:12">
      <c r="A812" t="str">
        <f t="shared" si="15"/>
        <v>76155267</v>
      </c>
      <c r="B812" t="s">
        <v>2977</v>
      </c>
      <c r="C812" t="s">
        <v>2978</v>
      </c>
      <c r="D812">
        <v>76155267</v>
      </c>
      <c r="E812">
        <v>2502467</v>
      </c>
      <c r="F812" t="s">
        <v>39</v>
      </c>
      <c r="G812">
        <v>300</v>
      </c>
      <c r="H812" t="str">
        <f>VLOOKUP(A812,'SV Child INS Apr'!$A:$H,1,0)</f>
        <v>76155267</v>
      </c>
      <c r="L812" t="e">
        <f>VLOOKUP(A812,'TV Apr Prorated Billing Sites'!$A:$I,1,0)</f>
        <v>#N/A</v>
      </c>
    </row>
    <row r="813" spans="1:12">
      <c r="A813" t="str">
        <f t="shared" si="15"/>
        <v>76155736</v>
      </c>
      <c r="B813" t="s">
        <v>2979</v>
      </c>
      <c r="C813" t="s">
        <v>2980</v>
      </c>
      <c r="D813">
        <v>76155736</v>
      </c>
      <c r="E813">
        <v>2502040</v>
      </c>
      <c r="F813" t="s">
        <v>39</v>
      </c>
      <c r="G813">
        <v>300</v>
      </c>
      <c r="H813" t="str">
        <f>VLOOKUP(A813,'SV Child INS Apr'!$A:$H,1,0)</f>
        <v>76155736</v>
      </c>
      <c r="L813" t="e">
        <f>VLOOKUP(A813,'TV Apr Prorated Billing Sites'!$A:$I,1,0)</f>
        <v>#N/A</v>
      </c>
    </row>
    <row r="814" spans="1:12">
      <c r="A814" t="str">
        <f t="shared" si="15"/>
        <v>76155780</v>
      </c>
      <c r="B814" t="s">
        <v>2981</v>
      </c>
      <c r="C814" t="s">
        <v>2982</v>
      </c>
      <c r="D814">
        <v>76155780</v>
      </c>
      <c r="E814">
        <v>2502687</v>
      </c>
      <c r="F814" t="s">
        <v>39</v>
      </c>
      <c r="G814">
        <v>300</v>
      </c>
      <c r="H814" t="str">
        <f>VLOOKUP(A814,'SV Child INS Apr'!$A:$H,1,0)</f>
        <v>76155780</v>
      </c>
      <c r="L814" t="e">
        <f>VLOOKUP(A814,'TV Apr Prorated Billing Sites'!$A:$I,1,0)</f>
        <v>#N/A</v>
      </c>
    </row>
    <row r="815" spans="1:12">
      <c r="A815" t="str">
        <f t="shared" si="15"/>
        <v>76155829</v>
      </c>
      <c r="B815" t="s">
        <v>2983</v>
      </c>
      <c r="C815" t="s">
        <v>2984</v>
      </c>
      <c r="D815">
        <v>76155829</v>
      </c>
      <c r="E815">
        <v>2502692</v>
      </c>
      <c r="F815" t="s">
        <v>39</v>
      </c>
      <c r="G815">
        <v>300</v>
      </c>
      <c r="H815" t="e">
        <f>VLOOKUP(A815,'SV Child INS Apr'!$A:$H,1,0)</f>
        <v>#N/A</v>
      </c>
      <c r="I815" t="str">
        <f>VLOOKUP(B815,'SV Child INS Apr'!$D:$F,1,0)</f>
        <v>NATIONWIDE INFINITI</v>
      </c>
      <c r="L815" t="e">
        <f>VLOOKUP(A815,'TV Apr Prorated Billing Sites'!$A:$I,1,0)</f>
        <v>#N/A</v>
      </c>
    </row>
    <row r="816" spans="1:12">
      <c r="A816" t="str">
        <f t="shared" si="15"/>
        <v>76156389</v>
      </c>
      <c r="B816" t="s">
        <v>2985</v>
      </c>
      <c r="C816" t="s">
        <v>2986</v>
      </c>
      <c r="D816">
        <v>76156389</v>
      </c>
      <c r="E816">
        <v>3000725</v>
      </c>
      <c r="F816" t="s">
        <v>39</v>
      </c>
      <c r="G816">
        <v>300</v>
      </c>
      <c r="H816" t="str">
        <f>VLOOKUP(A816,'SV Child INS Apr'!$A:$H,1,0)</f>
        <v>76156389</v>
      </c>
      <c r="L816" t="e">
        <f>VLOOKUP(A816,'TV Apr Prorated Billing Sites'!$A:$I,1,0)</f>
        <v>#N/A</v>
      </c>
    </row>
    <row r="817" spans="1:13">
      <c r="A817" t="str">
        <f t="shared" si="15"/>
        <v>76156785</v>
      </c>
      <c r="B817" t="s">
        <v>2987</v>
      </c>
      <c r="C817" t="s">
        <v>2988</v>
      </c>
      <c r="D817">
        <v>76156785</v>
      </c>
      <c r="E817">
        <v>2001117</v>
      </c>
      <c r="F817" t="s">
        <v>39</v>
      </c>
      <c r="G817">
        <v>300</v>
      </c>
      <c r="H817" t="str">
        <f>VLOOKUP(A817,'SV Child INS Apr'!$A:$H,1,0)</f>
        <v>76156785</v>
      </c>
      <c r="L817" t="e">
        <f>VLOOKUP(A817,'TV Apr Prorated Billing Sites'!$A:$I,1,0)</f>
        <v>#N/A</v>
      </c>
    </row>
    <row r="818" spans="1:13">
      <c r="A818" t="str">
        <f t="shared" si="15"/>
        <v>76157326</v>
      </c>
      <c r="B818" t="s">
        <v>2989</v>
      </c>
      <c r="C818" t="s">
        <v>2990</v>
      </c>
      <c r="D818">
        <v>76157326</v>
      </c>
      <c r="E818">
        <v>10189</v>
      </c>
      <c r="F818" t="s">
        <v>39</v>
      </c>
      <c r="G818">
        <v>400</v>
      </c>
      <c r="H818" t="str">
        <f>VLOOKUP(A818,'SV Child INS Apr'!$A:$H,1,0)</f>
        <v>76157326</v>
      </c>
      <c r="L818" t="e">
        <f>VLOOKUP(A818,'TV Apr Prorated Billing Sites'!$A:$I,1,0)</f>
        <v>#N/A</v>
      </c>
    </row>
    <row r="819" spans="1:13">
      <c r="A819" t="str">
        <f t="shared" si="15"/>
        <v>76157327</v>
      </c>
      <c r="B819" t="s">
        <v>93</v>
      </c>
      <c r="C819" t="s">
        <v>94</v>
      </c>
      <c r="D819">
        <v>76157327</v>
      </c>
      <c r="E819">
        <v>10190</v>
      </c>
      <c r="F819" t="s">
        <v>39</v>
      </c>
      <c r="G819">
        <v>300</v>
      </c>
      <c r="H819" t="e">
        <f>VLOOKUP(A819,'SV Child INS Apr'!$A:$H,1,0)</f>
        <v>#N/A</v>
      </c>
      <c r="I819" t="e">
        <f>VLOOKUP(B819,'SV Child INS Apr'!$D:$F,1,0)</f>
        <v>#N/A</v>
      </c>
      <c r="J819" t="e">
        <f>VLOOKUP(A819,'SV Child BLG Apr'!$A:$J,1,0)</f>
        <v>#N/A</v>
      </c>
      <c r="K819" t="e">
        <f>VLOOKUP(B819,'SV Child BLG Apr'!$D:$I,1,0)</f>
        <v>#N/A</v>
      </c>
      <c r="L819" t="e">
        <f>VLOOKUP(A819,'TV Apr Prorated Billing Sites'!$A:$I,1,0)</f>
        <v>#N/A</v>
      </c>
    </row>
    <row r="820" spans="1:13">
      <c r="A820" t="str">
        <f t="shared" si="15"/>
        <v>76157328</v>
      </c>
      <c r="B820" t="s">
        <v>2991</v>
      </c>
      <c r="C820" t="s">
        <v>2992</v>
      </c>
      <c r="D820">
        <v>76157328</v>
      </c>
      <c r="E820">
        <v>532</v>
      </c>
      <c r="F820" t="s">
        <v>39</v>
      </c>
      <c r="G820">
        <v>300</v>
      </c>
      <c r="H820" t="str">
        <f>VLOOKUP(A820,'SV Child INS Apr'!$A:$H,1,0)</f>
        <v>76157328</v>
      </c>
      <c r="L820" t="e">
        <f>VLOOKUP(A820,'TV Apr Prorated Billing Sites'!$A:$I,1,0)</f>
        <v>#N/A</v>
      </c>
    </row>
    <row r="821" spans="1:13">
      <c r="A821" t="str">
        <f t="shared" si="15"/>
        <v>76157649</v>
      </c>
      <c r="B821" t="s">
        <v>2993</v>
      </c>
      <c r="C821" t="s">
        <v>2994</v>
      </c>
      <c r="D821">
        <v>76157649</v>
      </c>
      <c r="E821">
        <v>2501566</v>
      </c>
      <c r="F821" t="s">
        <v>39</v>
      </c>
      <c r="G821">
        <v>450</v>
      </c>
      <c r="H821" t="str">
        <f>VLOOKUP(A821,'SV Child INS Apr'!$A:$H,1,0)</f>
        <v>76157649</v>
      </c>
      <c r="L821" t="e">
        <f>VLOOKUP(A821,'TV Apr Prorated Billing Sites'!$A:$I,1,0)</f>
        <v>#N/A</v>
      </c>
    </row>
    <row r="822" spans="1:13">
      <c r="A822" t="str">
        <f t="shared" si="15"/>
        <v>76157682</v>
      </c>
      <c r="B822" t="s">
        <v>2995</v>
      </c>
      <c r="C822" t="s">
        <v>2996</v>
      </c>
      <c r="D822">
        <v>76157682</v>
      </c>
      <c r="E822" t="s">
        <v>438</v>
      </c>
      <c r="F822" t="s">
        <v>39</v>
      </c>
      <c r="G822">
        <v>400</v>
      </c>
      <c r="H822" t="str">
        <f>VLOOKUP(A822,'SV Child INS Apr'!$A:$H,1,0)</f>
        <v>76157682</v>
      </c>
      <c r="L822" t="e">
        <f>VLOOKUP(A822,'TV Apr Prorated Billing Sites'!$A:$I,1,0)</f>
        <v>#N/A</v>
      </c>
    </row>
    <row r="823" spans="1:13">
      <c r="A823" t="str">
        <f t="shared" si="15"/>
        <v>76157694</v>
      </c>
      <c r="B823" t="s">
        <v>530</v>
      </c>
      <c r="C823" t="s">
        <v>531</v>
      </c>
      <c r="D823">
        <v>76157694</v>
      </c>
      <c r="E823">
        <v>2002138</v>
      </c>
      <c r="F823" t="s">
        <v>39</v>
      </c>
      <c r="G823">
        <v>300</v>
      </c>
      <c r="H823" t="e">
        <f>VLOOKUP(A823,'SV Child INS Apr'!$A:$H,1,0)</f>
        <v>#N/A</v>
      </c>
      <c r="I823" t="e">
        <f>VLOOKUP(B823,'SV Child INS Apr'!$D:$F,1,0)</f>
        <v>#N/A</v>
      </c>
      <c r="J823" t="str">
        <f>VLOOKUP(A823,'SV Child BLG Apr'!$A:$J,1,0)</f>
        <v>76157694</v>
      </c>
      <c r="L823" t="e">
        <f>VLOOKUP(A823,'TV Apr Prorated Billing Sites'!$A:$I,1,0)</f>
        <v>#N/A</v>
      </c>
      <c r="M823" t="e">
        <f>VLOOKUP(A823,'CDK asked to retain list'!$H$1:$J$24,1,0)</f>
        <v>#N/A</v>
      </c>
    </row>
    <row r="824" spans="1:13">
      <c r="A824" t="str">
        <f t="shared" si="15"/>
        <v>76157719</v>
      </c>
      <c r="B824" t="s">
        <v>2997</v>
      </c>
      <c r="C824" t="s">
        <v>2998</v>
      </c>
      <c r="D824">
        <v>76157719</v>
      </c>
      <c r="E824">
        <v>2503649</v>
      </c>
      <c r="F824" t="s">
        <v>39</v>
      </c>
      <c r="G824">
        <v>300</v>
      </c>
      <c r="H824" t="str">
        <f>VLOOKUP(A824,'SV Child INS Apr'!$A:$H,1,0)</f>
        <v>76157719</v>
      </c>
      <c r="L824" t="e">
        <f>VLOOKUP(A824,'TV Apr Prorated Billing Sites'!$A:$I,1,0)</f>
        <v>#N/A</v>
      </c>
    </row>
    <row r="825" spans="1:13">
      <c r="A825" t="str">
        <f t="shared" si="15"/>
        <v>76157889</v>
      </c>
      <c r="B825" t="s">
        <v>2999</v>
      </c>
      <c r="C825" t="s">
        <v>3000</v>
      </c>
      <c r="D825">
        <v>76157889</v>
      </c>
      <c r="E825">
        <v>2000307</v>
      </c>
      <c r="F825" t="s">
        <v>39</v>
      </c>
      <c r="G825">
        <v>400</v>
      </c>
      <c r="H825" t="str">
        <f>VLOOKUP(A825,'SV Child INS Apr'!$A:$H,1,0)</f>
        <v>76157889</v>
      </c>
      <c r="L825" t="e">
        <f>VLOOKUP(A825,'TV Apr Prorated Billing Sites'!$A:$I,1,0)</f>
        <v>#N/A</v>
      </c>
    </row>
    <row r="826" spans="1:13">
      <c r="A826" t="str">
        <f t="shared" si="15"/>
        <v>76158138</v>
      </c>
      <c r="B826" t="s">
        <v>3001</v>
      </c>
      <c r="C826" t="s">
        <v>3002</v>
      </c>
      <c r="D826">
        <v>76158138</v>
      </c>
      <c r="E826">
        <v>3000756</v>
      </c>
      <c r="F826" t="s">
        <v>39</v>
      </c>
      <c r="G826">
        <v>300</v>
      </c>
      <c r="H826" t="str">
        <f>VLOOKUP(A826,'SV Child INS Apr'!$A:$H,1,0)</f>
        <v>76158138</v>
      </c>
      <c r="L826" t="e">
        <f>VLOOKUP(A826,'TV Apr Prorated Billing Sites'!$A:$I,1,0)</f>
        <v>#N/A</v>
      </c>
    </row>
    <row r="827" spans="1:13">
      <c r="A827" t="str">
        <f t="shared" si="15"/>
        <v>76158362</v>
      </c>
      <c r="B827" t="s">
        <v>3003</v>
      </c>
      <c r="C827" t="s">
        <v>3004</v>
      </c>
      <c r="D827">
        <v>76158362</v>
      </c>
      <c r="E827">
        <v>2501199</v>
      </c>
      <c r="F827" t="s">
        <v>39</v>
      </c>
      <c r="G827">
        <v>300</v>
      </c>
      <c r="H827" t="str">
        <f>VLOOKUP(A827,'SV Child INS Apr'!$A:$H,1,0)</f>
        <v>76158362</v>
      </c>
      <c r="L827" t="e">
        <f>VLOOKUP(A827,'TV Apr Prorated Billing Sites'!$A:$I,1,0)</f>
        <v>#N/A</v>
      </c>
    </row>
    <row r="828" spans="1:13">
      <c r="A828" t="str">
        <f t="shared" si="15"/>
        <v>76158627</v>
      </c>
      <c r="B828" t="s">
        <v>3005</v>
      </c>
      <c r="C828" t="s">
        <v>3006</v>
      </c>
      <c r="D828">
        <v>76158627</v>
      </c>
      <c r="E828">
        <v>2002029</v>
      </c>
      <c r="F828" t="s">
        <v>39</v>
      </c>
      <c r="G828">
        <v>450</v>
      </c>
      <c r="H828" t="str">
        <f>VLOOKUP(A828,'SV Child INS Apr'!$A:$H,1,0)</f>
        <v>76158627</v>
      </c>
      <c r="L828" t="e">
        <f>VLOOKUP(A828,'TV Apr Prorated Billing Sites'!$A:$I,1,0)</f>
        <v>#N/A</v>
      </c>
    </row>
    <row r="829" spans="1:13">
      <c r="A829" t="str">
        <f t="shared" si="15"/>
        <v>76158689</v>
      </c>
      <c r="B829" t="s">
        <v>3007</v>
      </c>
      <c r="C829" t="s">
        <v>3008</v>
      </c>
      <c r="D829">
        <v>76158689</v>
      </c>
      <c r="E829">
        <v>2001636</v>
      </c>
      <c r="F829" t="s">
        <v>39</v>
      </c>
      <c r="G829">
        <v>450</v>
      </c>
      <c r="H829" t="str">
        <f>VLOOKUP(A829,'SV Child INS Apr'!$A:$H,1,0)</f>
        <v>76158689</v>
      </c>
      <c r="L829" t="e">
        <f>VLOOKUP(A829,'TV Apr Prorated Billing Sites'!$A:$I,1,0)</f>
        <v>#N/A</v>
      </c>
    </row>
    <row r="830" spans="1:13">
      <c r="A830" t="str">
        <f t="shared" si="15"/>
        <v>76158989</v>
      </c>
      <c r="B830" t="s">
        <v>3009</v>
      </c>
      <c r="C830" t="s">
        <v>3010</v>
      </c>
      <c r="D830">
        <v>76158989</v>
      </c>
      <c r="E830">
        <v>2502284</v>
      </c>
      <c r="F830" t="s">
        <v>39</v>
      </c>
      <c r="G830">
        <v>450</v>
      </c>
      <c r="H830" t="str">
        <f>VLOOKUP(A830,'SV Child INS Apr'!$A:$H,1,0)</f>
        <v>76158989</v>
      </c>
      <c r="L830" t="e">
        <f>VLOOKUP(A830,'TV Apr Prorated Billing Sites'!$A:$I,1,0)</f>
        <v>#N/A</v>
      </c>
    </row>
    <row r="831" spans="1:13">
      <c r="A831" t="str">
        <f t="shared" si="15"/>
        <v>76159018</v>
      </c>
      <c r="B831" t="s">
        <v>3011</v>
      </c>
      <c r="C831" t="s">
        <v>3012</v>
      </c>
      <c r="D831">
        <v>76159018</v>
      </c>
      <c r="E831">
        <v>3000818</v>
      </c>
      <c r="F831" t="s">
        <v>39</v>
      </c>
      <c r="G831">
        <v>300</v>
      </c>
      <c r="H831" t="str">
        <f>VLOOKUP(A831,'SV Child INS Apr'!$A:$H,1,0)</f>
        <v>76159018</v>
      </c>
      <c r="L831" t="e">
        <f>VLOOKUP(A831,'TV Apr Prorated Billing Sites'!$A:$I,1,0)</f>
        <v>#N/A</v>
      </c>
    </row>
    <row r="832" spans="1:13">
      <c r="A832" t="str">
        <f t="shared" si="15"/>
        <v>76159093</v>
      </c>
      <c r="B832" t="s">
        <v>3013</v>
      </c>
      <c r="C832" t="s">
        <v>3014</v>
      </c>
      <c r="D832">
        <v>76159093</v>
      </c>
      <c r="E832">
        <v>2503026</v>
      </c>
      <c r="F832" t="s">
        <v>39</v>
      </c>
      <c r="G832">
        <v>300</v>
      </c>
      <c r="H832" t="str">
        <f>VLOOKUP(A832,'SV Child INS Apr'!$A:$H,1,0)</f>
        <v>76159093</v>
      </c>
      <c r="L832" t="e">
        <f>VLOOKUP(A832,'TV Apr Prorated Billing Sites'!$A:$I,1,0)</f>
        <v>#N/A</v>
      </c>
    </row>
    <row r="833" spans="1:13">
      <c r="A833" t="str">
        <f t="shared" si="15"/>
        <v>76159110</v>
      </c>
      <c r="B833" t="s">
        <v>3015</v>
      </c>
      <c r="C833" t="s">
        <v>3016</v>
      </c>
      <c r="D833">
        <v>76159110</v>
      </c>
      <c r="E833">
        <v>2501568</v>
      </c>
      <c r="F833" t="s">
        <v>39</v>
      </c>
      <c r="G833">
        <v>300</v>
      </c>
      <c r="H833" t="str">
        <f>VLOOKUP(A833,'SV Child INS Apr'!$A:$H,1,0)</f>
        <v>76159110</v>
      </c>
      <c r="L833" t="e">
        <f>VLOOKUP(A833,'TV Apr Prorated Billing Sites'!$A:$I,1,0)</f>
        <v>#N/A</v>
      </c>
    </row>
    <row r="834" spans="1:13">
      <c r="A834" t="str">
        <f t="shared" si="15"/>
        <v>76159148</v>
      </c>
      <c r="B834" t="s">
        <v>3017</v>
      </c>
      <c r="C834" t="s">
        <v>3018</v>
      </c>
      <c r="D834">
        <v>76159148</v>
      </c>
      <c r="E834">
        <v>3000823</v>
      </c>
      <c r="F834" t="s">
        <v>39</v>
      </c>
      <c r="G834">
        <v>300</v>
      </c>
      <c r="H834" t="str">
        <f>VLOOKUP(A834,'SV Child INS Apr'!$A:$H,1,0)</f>
        <v>76159148</v>
      </c>
      <c r="L834" t="e">
        <f>VLOOKUP(A834,'TV Apr Prorated Billing Sites'!$A:$I,1,0)</f>
        <v>#N/A</v>
      </c>
    </row>
    <row r="835" spans="1:13">
      <c r="A835" t="str">
        <f t="shared" si="15"/>
        <v>76159225</v>
      </c>
      <c r="B835" t="s">
        <v>533</v>
      </c>
      <c r="C835" t="s">
        <v>534</v>
      </c>
      <c r="D835">
        <v>76159225</v>
      </c>
      <c r="E835">
        <v>2502115</v>
      </c>
      <c r="F835" t="s">
        <v>39</v>
      </c>
      <c r="G835">
        <v>300</v>
      </c>
      <c r="H835" t="e">
        <f>VLOOKUP(A835,'SV Child INS Apr'!$A:$H,1,0)</f>
        <v>#N/A</v>
      </c>
      <c r="I835" t="e">
        <f>VLOOKUP(B835,'SV Child INS Apr'!$D:$F,1,0)</f>
        <v>#N/A</v>
      </c>
      <c r="J835" t="str">
        <f>VLOOKUP(A835,'SV Child BLG Apr'!$A:$J,1,0)</f>
        <v>76159225</v>
      </c>
      <c r="L835" t="str">
        <f>VLOOKUP(A835,'TV Apr Prorated Billing Sites'!$A:$I,1,0)</f>
        <v>76159225</v>
      </c>
      <c r="M835" t="e">
        <f>VLOOKUP(A835,'CDK asked to retain list'!$H$1:$J$24,1,0)</f>
        <v>#N/A</v>
      </c>
    </row>
    <row r="836" spans="1:13">
      <c r="A836" t="str">
        <f t="shared" si="15"/>
        <v>76159263</v>
      </c>
      <c r="B836" t="s">
        <v>3019</v>
      </c>
      <c r="C836" t="s">
        <v>3020</v>
      </c>
      <c r="D836">
        <v>76159263</v>
      </c>
      <c r="E836">
        <v>2501176</v>
      </c>
      <c r="F836" t="s">
        <v>39</v>
      </c>
      <c r="G836">
        <v>300</v>
      </c>
      <c r="H836" t="str">
        <f>VLOOKUP(A836,'SV Child INS Apr'!$A:$H,1,0)</f>
        <v>76159263</v>
      </c>
      <c r="L836" t="e">
        <f>VLOOKUP(A836,'TV Apr Prorated Billing Sites'!$A:$I,1,0)</f>
        <v>#N/A</v>
      </c>
    </row>
    <row r="837" spans="1:13">
      <c r="A837" t="str">
        <f t="shared" si="15"/>
        <v>76159809</v>
      </c>
      <c r="B837" t="s">
        <v>3021</v>
      </c>
      <c r="C837" t="s">
        <v>3022</v>
      </c>
      <c r="D837">
        <v>76159809</v>
      </c>
      <c r="E837" t="s">
        <v>438</v>
      </c>
      <c r="F837" t="s">
        <v>39</v>
      </c>
      <c r="G837">
        <v>400</v>
      </c>
      <c r="H837" t="str">
        <f>VLOOKUP(A837,'SV Child INS Apr'!$A:$H,1,0)</f>
        <v>76159809</v>
      </c>
      <c r="L837" t="e">
        <f>VLOOKUP(A837,'TV Apr Prorated Billing Sites'!$A:$I,1,0)</f>
        <v>#N/A</v>
      </c>
    </row>
    <row r="838" spans="1:13">
      <c r="A838" t="str">
        <f t="shared" si="15"/>
        <v>76159907</v>
      </c>
      <c r="B838" t="s">
        <v>3023</v>
      </c>
      <c r="C838" t="s">
        <v>3024</v>
      </c>
      <c r="D838">
        <v>76159907</v>
      </c>
      <c r="E838">
        <v>2000839</v>
      </c>
      <c r="F838" t="s">
        <v>39</v>
      </c>
      <c r="G838">
        <v>300</v>
      </c>
      <c r="H838" t="str">
        <f>VLOOKUP(A838,'SV Child INS Apr'!$A:$H,1,0)</f>
        <v>76159907</v>
      </c>
      <c r="L838" t="e">
        <f>VLOOKUP(A838,'TV Apr Prorated Billing Sites'!$A:$I,1,0)</f>
        <v>#N/A</v>
      </c>
    </row>
    <row r="839" spans="1:13">
      <c r="A839" t="str">
        <f t="shared" si="15"/>
        <v>76159908</v>
      </c>
      <c r="B839" t="s">
        <v>3025</v>
      </c>
      <c r="C839" t="s">
        <v>3026</v>
      </c>
      <c r="D839">
        <v>76159908</v>
      </c>
      <c r="E839">
        <v>2000724</v>
      </c>
      <c r="F839" t="s">
        <v>39</v>
      </c>
      <c r="G839">
        <v>400</v>
      </c>
      <c r="H839" t="str">
        <f>VLOOKUP(A839,'SV Child INS Apr'!$A:$H,1,0)</f>
        <v>76159908</v>
      </c>
      <c r="L839" t="e">
        <f>VLOOKUP(A839,'TV Apr Prorated Billing Sites'!$A:$I,1,0)</f>
        <v>#N/A</v>
      </c>
    </row>
    <row r="840" spans="1:13">
      <c r="A840" t="str">
        <f t="shared" si="15"/>
        <v>76159913</v>
      </c>
      <c r="B840" t="s">
        <v>536</v>
      </c>
      <c r="C840" t="s">
        <v>537</v>
      </c>
      <c r="D840">
        <v>76159913</v>
      </c>
      <c r="E840">
        <v>2500592</v>
      </c>
      <c r="F840" t="s">
        <v>39</v>
      </c>
      <c r="G840">
        <v>300</v>
      </c>
      <c r="H840" t="e">
        <f>VLOOKUP(A840,'SV Child INS Apr'!$A:$H,1,0)</f>
        <v>#N/A</v>
      </c>
      <c r="I840" t="e">
        <f>VLOOKUP(B840,'SV Child INS Apr'!$D:$F,1,0)</f>
        <v>#N/A</v>
      </c>
      <c r="J840" t="str">
        <f>VLOOKUP(A840,'SV Child BLG Apr'!$A:$J,1,0)</f>
        <v>76159913</v>
      </c>
      <c r="L840" t="str">
        <f>VLOOKUP(A840,'TV Apr Prorated Billing Sites'!$A:$I,1,0)</f>
        <v>76159913</v>
      </c>
      <c r="M840" t="e">
        <f>VLOOKUP(A840,'CDK asked to retain list'!$H$1:$J$24,1,0)</f>
        <v>#N/A</v>
      </c>
    </row>
    <row r="841" spans="1:13">
      <c r="A841" t="str">
        <f t="shared" si="15"/>
        <v>76160283</v>
      </c>
      <c r="B841" t="s">
        <v>3027</v>
      </c>
      <c r="C841" t="s">
        <v>3028</v>
      </c>
      <c r="D841">
        <v>76160283</v>
      </c>
      <c r="E841">
        <v>2503043</v>
      </c>
      <c r="F841" t="s">
        <v>39</v>
      </c>
      <c r="G841">
        <v>300</v>
      </c>
      <c r="H841" t="str">
        <f>VLOOKUP(A841,'SV Child INS Apr'!$A:$H,1,0)</f>
        <v>76160283</v>
      </c>
      <c r="L841" t="e">
        <f>VLOOKUP(A841,'TV Apr Prorated Billing Sites'!$A:$I,1,0)</f>
        <v>#N/A</v>
      </c>
    </row>
    <row r="842" spans="1:13">
      <c r="A842" t="str">
        <f t="shared" si="15"/>
        <v>76160393</v>
      </c>
      <c r="B842" t="s">
        <v>3029</v>
      </c>
      <c r="C842" t="s">
        <v>3030</v>
      </c>
      <c r="D842">
        <v>76160393</v>
      </c>
      <c r="E842">
        <v>1500034</v>
      </c>
      <c r="F842" t="s">
        <v>39</v>
      </c>
      <c r="G842">
        <v>400</v>
      </c>
      <c r="H842" t="str">
        <f>VLOOKUP(A842,'SV Child INS Apr'!$A:$H,1,0)</f>
        <v>76160393</v>
      </c>
      <c r="L842" t="e">
        <f>VLOOKUP(A842,'TV Apr Prorated Billing Sites'!$A:$I,1,0)</f>
        <v>#N/A</v>
      </c>
    </row>
    <row r="843" spans="1:13">
      <c r="A843" t="str">
        <f t="shared" si="15"/>
        <v>76160927</v>
      </c>
      <c r="B843" t="s">
        <v>3031</v>
      </c>
      <c r="C843" t="s">
        <v>3032</v>
      </c>
      <c r="D843">
        <v>76160927</v>
      </c>
      <c r="E843">
        <v>2502763</v>
      </c>
      <c r="F843" t="s">
        <v>39</v>
      </c>
      <c r="G843">
        <v>300</v>
      </c>
      <c r="H843" t="str">
        <f>VLOOKUP(A843,'SV Child INS Apr'!$A:$H,1,0)</f>
        <v>76160927</v>
      </c>
      <c r="L843" t="e">
        <f>VLOOKUP(A843,'TV Apr Prorated Billing Sites'!$A:$I,1,0)</f>
        <v>#N/A</v>
      </c>
    </row>
    <row r="844" spans="1:13">
      <c r="A844" t="str">
        <f t="shared" si="15"/>
        <v>76161091</v>
      </c>
      <c r="B844" t="s">
        <v>3033</v>
      </c>
      <c r="C844" t="s">
        <v>3034</v>
      </c>
      <c r="D844">
        <v>76161091</v>
      </c>
      <c r="E844">
        <v>3000523</v>
      </c>
      <c r="F844" t="s">
        <v>39</v>
      </c>
      <c r="G844">
        <v>300</v>
      </c>
      <c r="H844" t="str">
        <f>VLOOKUP(A844,'SV Child INS Apr'!$A:$H,1,0)</f>
        <v>76161091</v>
      </c>
      <c r="L844" t="e">
        <f>VLOOKUP(A844,'TV Apr Prorated Billing Sites'!$A:$I,1,0)</f>
        <v>#N/A</v>
      </c>
    </row>
    <row r="845" spans="1:13">
      <c r="A845" t="str">
        <f t="shared" si="15"/>
        <v>76162198</v>
      </c>
      <c r="B845" t="s">
        <v>3035</v>
      </c>
      <c r="C845" t="s">
        <v>3036</v>
      </c>
      <c r="D845">
        <v>76162198</v>
      </c>
      <c r="E845">
        <v>2500060</v>
      </c>
      <c r="F845" t="s">
        <v>39</v>
      </c>
      <c r="G845">
        <v>300</v>
      </c>
      <c r="H845" t="str">
        <f>VLOOKUP(A845,'SV Child INS Apr'!$A:$H,1,0)</f>
        <v>76162198</v>
      </c>
      <c r="L845" t="e">
        <f>VLOOKUP(A845,'TV Apr Prorated Billing Sites'!$A:$I,1,0)</f>
        <v>#N/A</v>
      </c>
    </row>
    <row r="846" spans="1:13">
      <c r="A846" t="str">
        <f t="shared" si="15"/>
        <v>76162426</v>
      </c>
      <c r="B846" t="s">
        <v>3037</v>
      </c>
      <c r="C846" t="s">
        <v>3038</v>
      </c>
      <c r="D846">
        <v>76162426</v>
      </c>
      <c r="E846">
        <v>5004</v>
      </c>
      <c r="F846" t="s">
        <v>39</v>
      </c>
      <c r="G846">
        <v>300</v>
      </c>
      <c r="H846" t="str">
        <f>VLOOKUP(A846,'SV Child INS Apr'!$A:$H,1,0)</f>
        <v>76162426</v>
      </c>
      <c r="L846" t="e">
        <f>VLOOKUP(A846,'TV Apr Prorated Billing Sites'!$A:$I,1,0)</f>
        <v>#N/A</v>
      </c>
    </row>
    <row r="847" spans="1:13">
      <c r="A847" t="str">
        <f t="shared" si="15"/>
        <v>76162431</v>
      </c>
      <c r="B847" t="s">
        <v>3039</v>
      </c>
      <c r="C847" t="s">
        <v>3040</v>
      </c>
      <c r="D847">
        <v>76162431</v>
      </c>
      <c r="E847">
        <v>5025</v>
      </c>
      <c r="F847" t="s">
        <v>39</v>
      </c>
      <c r="G847">
        <v>300</v>
      </c>
      <c r="H847" t="e">
        <f>VLOOKUP(A847,'SV Child INS Apr'!$A:$H,1,0)</f>
        <v>#N/A</v>
      </c>
      <c r="I847" t="str">
        <f>VLOOKUP(B847,'SV Child INS Apr'!$D:$F,1,0)</f>
        <v>MODERN SUBARU OF BOONE</v>
      </c>
      <c r="L847" t="e">
        <f>VLOOKUP(A847,'TV Apr Prorated Billing Sites'!$A:$I,1,0)</f>
        <v>#N/A</v>
      </c>
    </row>
    <row r="848" spans="1:13">
      <c r="A848" t="str">
        <f t="shared" si="15"/>
        <v>76162825</v>
      </c>
      <c r="B848" t="s">
        <v>3041</v>
      </c>
      <c r="C848" t="s">
        <v>3042</v>
      </c>
      <c r="D848">
        <v>76162825</v>
      </c>
      <c r="E848">
        <v>2002165</v>
      </c>
      <c r="F848" t="s">
        <v>39</v>
      </c>
      <c r="G848">
        <v>300</v>
      </c>
      <c r="H848" t="str">
        <f>VLOOKUP(A848,'SV Child INS Apr'!$A:$H,1,0)</f>
        <v>76162825</v>
      </c>
      <c r="L848" t="str">
        <f>VLOOKUP(A848,'TV Apr Prorated Billing Sites'!$A:$I,1,0)</f>
        <v>76162825</v>
      </c>
    </row>
    <row r="849" spans="1:13">
      <c r="A849" t="str">
        <f t="shared" si="15"/>
        <v>76163027</v>
      </c>
      <c r="B849" t="s">
        <v>3043</v>
      </c>
      <c r="C849" t="s">
        <v>3044</v>
      </c>
      <c r="D849">
        <v>76163027</v>
      </c>
      <c r="E849">
        <v>2500795</v>
      </c>
      <c r="F849" t="s">
        <v>39</v>
      </c>
      <c r="G849">
        <v>300</v>
      </c>
      <c r="H849" t="str">
        <f>VLOOKUP(A849,'SV Child INS Apr'!$A:$H,1,0)</f>
        <v>76163027</v>
      </c>
      <c r="L849" t="e">
        <f>VLOOKUP(A849,'TV Apr Prorated Billing Sites'!$A:$I,1,0)</f>
        <v>#N/A</v>
      </c>
    </row>
    <row r="850" spans="1:13">
      <c r="A850" t="str">
        <f t="shared" si="15"/>
        <v>76163363</v>
      </c>
      <c r="B850" t="s">
        <v>3045</v>
      </c>
      <c r="C850" t="s">
        <v>3046</v>
      </c>
      <c r="D850">
        <v>76163363</v>
      </c>
      <c r="E850">
        <v>9012</v>
      </c>
      <c r="F850" t="s">
        <v>39</v>
      </c>
      <c r="G850">
        <v>450</v>
      </c>
      <c r="H850" t="str">
        <f>VLOOKUP(A850,'SV Child INS Apr'!$A:$H,1,0)</f>
        <v>76163363</v>
      </c>
      <c r="L850" t="e">
        <f>VLOOKUP(A850,'TV Apr Prorated Billing Sites'!$A:$I,1,0)</f>
        <v>#N/A</v>
      </c>
    </row>
    <row r="851" spans="1:13">
      <c r="A851" t="str">
        <f t="shared" si="15"/>
        <v>76163572</v>
      </c>
      <c r="B851" t="s">
        <v>3047</v>
      </c>
      <c r="C851" t="s">
        <v>3048</v>
      </c>
      <c r="D851">
        <v>76163572</v>
      </c>
      <c r="E851">
        <v>2502531</v>
      </c>
      <c r="F851" t="s">
        <v>39</v>
      </c>
      <c r="G851">
        <v>450</v>
      </c>
      <c r="H851" t="str">
        <f>VLOOKUP(A851,'SV Child INS Apr'!$A:$H,1,0)</f>
        <v>76163572</v>
      </c>
      <c r="L851" t="e">
        <f>VLOOKUP(A851,'TV Apr Prorated Billing Sites'!$A:$I,1,0)</f>
        <v>#N/A</v>
      </c>
    </row>
    <row r="852" spans="1:13">
      <c r="A852" t="str">
        <f t="shared" si="15"/>
        <v>76164316</v>
      </c>
      <c r="B852" t="s">
        <v>3049</v>
      </c>
      <c r="C852" t="s">
        <v>3050</v>
      </c>
      <c r="D852">
        <v>76164316</v>
      </c>
      <c r="E852">
        <v>2001838</v>
      </c>
      <c r="F852" t="s">
        <v>39</v>
      </c>
      <c r="G852">
        <v>450</v>
      </c>
      <c r="H852" t="str">
        <f>VLOOKUP(A852,'SV Child INS Apr'!$A:$H,1,0)</f>
        <v>76164316</v>
      </c>
      <c r="L852" t="e">
        <f>VLOOKUP(A852,'TV Apr Prorated Billing Sites'!$A:$I,1,0)</f>
        <v>#N/A</v>
      </c>
    </row>
    <row r="853" spans="1:13">
      <c r="A853" t="str">
        <f t="shared" si="15"/>
        <v>76164461</v>
      </c>
      <c r="B853" t="s">
        <v>3051</v>
      </c>
      <c r="C853" t="s">
        <v>3052</v>
      </c>
      <c r="D853">
        <v>76164461</v>
      </c>
      <c r="E853">
        <v>10098</v>
      </c>
      <c r="F853" t="s">
        <v>39</v>
      </c>
      <c r="G853">
        <v>300</v>
      </c>
      <c r="H853" t="str">
        <f>VLOOKUP(A853,'SV Child INS Apr'!$A:$H,1,0)</f>
        <v>76164461</v>
      </c>
      <c r="L853" t="e">
        <f>VLOOKUP(A853,'TV Apr Prorated Billing Sites'!$A:$I,1,0)</f>
        <v>#N/A</v>
      </c>
    </row>
    <row r="854" spans="1:13">
      <c r="A854" t="str">
        <f t="shared" si="15"/>
        <v>76164480</v>
      </c>
      <c r="B854" t="s">
        <v>539</v>
      </c>
      <c r="C854" t="s">
        <v>540</v>
      </c>
      <c r="D854">
        <v>76164480</v>
      </c>
      <c r="E854">
        <v>2000978</v>
      </c>
      <c r="F854" t="s">
        <v>39</v>
      </c>
      <c r="G854">
        <v>300</v>
      </c>
      <c r="H854" t="e">
        <f>VLOOKUP(A854,'SV Child INS Apr'!$A:$H,1,0)</f>
        <v>#N/A</v>
      </c>
      <c r="I854" t="e">
        <f>VLOOKUP(B854,'SV Child INS Apr'!$D:$F,1,0)</f>
        <v>#N/A</v>
      </c>
      <c r="J854" t="str">
        <f>VLOOKUP(A854,'SV Child BLG Apr'!$A:$J,1,0)</f>
        <v>76164480</v>
      </c>
      <c r="L854" t="str">
        <f>VLOOKUP(A854,'TV Apr Prorated Billing Sites'!$A:$I,1,0)</f>
        <v>76164480</v>
      </c>
      <c r="M854" t="e">
        <f>VLOOKUP(A854,'CDK asked to retain list'!$H$1:$J$24,1,0)</f>
        <v>#N/A</v>
      </c>
    </row>
    <row r="855" spans="1:13">
      <c r="A855" t="str">
        <f t="shared" si="15"/>
        <v>76164483</v>
      </c>
      <c r="B855" t="s">
        <v>3053</v>
      </c>
      <c r="C855" t="s">
        <v>3054</v>
      </c>
      <c r="D855">
        <v>76164483</v>
      </c>
      <c r="E855" t="s">
        <v>438</v>
      </c>
      <c r="F855" t="s">
        <v>39</v>
      </c>
      <c r="G855">
        <v>300</v>
      </c>
      <c r="H855" t="str">
        <f>VLOOKUP(A855,'SV Child INS Apr'!$A:$H,1,0)</f>
        <v>76164483</v>
      </c>
      <c r="L855" t="e">
        <f>VLOOKUP(A855,'TV Apr Prorated Billing Sites'!$A:$I,1,0)</f>
        <v>#N/A</v>
      </c>
    </row>
    <row r="856" spans="1:13">
      <c r="A856" t="str">
        <f t="shared" si="15"/>
        <v>76164485</v>
      </c>
      <c r="B856" t="s">
        <v>3055</v>
      </c>
      <c r="C856" t="s">
        <v>3056</v>
      </c>
      <c r="D856">
        <v>76164485</v>
      </c>
      <c r="E856" t="s">
        <v>438</v>
      </c>
      <c r="F856" t="s">
        <v>39</v>
      </c>
      <c r="G856">
        <v>300</v>
      </c>
      <c r="H856" t="str">
        <f>VLOOKUP(A856,'SV Child INS Apr'!$A:$H,1,0)</f>
        <v>76164485</v>
      </c>
      <c r="L856" t="e">
        <f>VLOOKUP(A856,'TV Apr Prorated Billing Sites'!$A:$I,1,0)</f>
        <v>#N/A</v>
      </c>
    </row>
    <row r="857" spans="1:13">
      <c r="A857" t="str">
        <f t="shared" si="15"/>
        <v>76164488</v>
      </c>
      <c r="B857" t="s">
        <v>3057</v>
      </c>
      <c r="C857" t="s">
        <v>3058</v>
      </c>
      <c r="D857">
        <v>76164488</v>
      </c>
      <c r="E857" t="s">
        <v>438</v>
      </c>
      <c r="F857" t="s">
        <v>39</v>
      </c>
      <c r="G857">
        <v>300</v>
      </c>
      <c r="H857" t="str">
        <f>VLOOKUP(A857,'SV Child INS Apr'!$A:$H,1,0)</f>
        <v>76164488</v>
      </c>
      <c r="L857" t="e">
        <f>VLOOKUP(A857,'TV Apr Prorated Billing Sites'!$A:$I,1,0)</f>
        <v>#N/A</v>
      </c>
    </row>
    <row r="858" spans="1:13">
      <c r="A858" t="str">
        <f t="shared" si="15"/>
        <v>76164489</v>
      </c>
      <c r="B858" t="s">
        <v>3059</v>
      </c>
      <c r="C858" t="s">
        <v>3060</v>
      </c>
      <c r="D858">
        <v>76164489</v>
      </c>
      <c r="E858" t="s">
        <v>438</v>
      </c>
      <c r="F858" t="s">
        <v>39</v>
      </c>
      <c r="G858">
        <v>300</v>
      </c>
      <c r="H858" t="str">
        <f>VLOOKUP(A858,'SV Child INS Apr'!$A:$H,1,0)</f>
        <v>76164489</v>
      </c>
      <c r="L858" t="e">
        <f>VLOOKUP(A858,'TV Apr Prorated Billing Sites'!$A:$I,1,0)</f>
        <v>#N/A</v>
      </c>
    </row>
    <row r="859" spans="1:13">
      <c r="A859" t="str">
        <f t="shared" si="15"/>
        <v>76164493</v>
      </c>
      <c r="B859" t="s">
        <v>3061</v>
      </c>
      <c r="C859" t="s">
        <v>3062</v>
      </c>
      <c r="D859">
        <v>76164493</v>
      </c>
      <c r="E859" t="s">
        <v>438</v>
      </c>
      <c r="F859" t="s">
        <v>39</v>
      </c>
      <c r="G859">
        <v>300</v>
      </c>
      <c r="H859" t="str">
        <f>VLOOKUP(A859,'SV Child INS Apr'!$A:$H,1,0)</f>
        <v>76164493</v>
      </c>
      <c r="L859" t="e">
        <f>VLOOKUP(A859,'TV Apr Prorated Billing Sites'!$A:$I,1,0)</f>
        <v>#N/A</v>
      </c>
    </row>
    <row r="860" spans="1:13">
      <c r="A860" t="str">
        <f t="shared" si="15"/>
        <v>76164494</v>
      </c>
      <c r="B860" t="s">
        <v>3063</v>
      </c>
      <c r="C860" t="s">
        <v>3064</v>
      </c>
      <c r="D860">
        <v>76164494</v>
      </c>
      <c r="E860" t="s">
        <v>438</v>
      </c>
      <c r="F860" t="s">
        <v>39</v>
      </c>
      <c r="G860">
        <v>300</v>
      </c>
      <c r="H860" t="str">
        <f>VLOOKUP(A860,'SV Child INS Apr'!$A:$H,1,0)</f>
        <v>76164494</v>
      </c>
      <c r="L860" t="e">
        <f>VLOOKUP(A860,'TV Apr Prorated Billing Sites'!$A:$I,1,0)</f>
        <v>#N/A</v>
      </c>
    </row>
    <row r="861" spans="1:13">
      <c r="A861" t="str">
        <f t="shared" si="15"/>
        <v>76164502</v>
      </c>
      <c r="B861" t="s">
        <v>3065</v>
      </c>
      <c r="C861" t="s">
        <v>3066</v>
      </c>
      <c r="D861">
        <v>76164502</v>
      </c>
      <c r="E861" t="s">
        <v>438</v>
      </c>
      <c r="F861" t="s">
        <v>39</v>
      </c>
      <c r="G861">
        <v>300</v>
      </c>
      <c r="H861" t="str">
        <f>VLOOKUP(A861,'SV Child INS Apr'!$A:$H,1,0)</f>
        <v>76164502</v>
      </c>
      <c r="L861" t="e">
        <f>VLOOKUP(A861,'TV Apr Prorated Billing Sites'!$A:$I,1,0)</f>
        <v>#N/A</v>
      </c>
    </row>
    <row r="862" spans="1:13">
      <c r="A862" t="str">
        <f t="shared" si="15"/>
        <v>76164503</v>
      </c>
      <c r="B862" t="s">
        <v>3067</v>
      </c>
      <c r="C862" t="s">
        <v>3068</v>
      </c>
      <c r="D862">
        <v>76164503</v>
      </c>
      <c r="E862" t="s">
        <v>438</v>
      </c>
      <c r="F862" t="s">
        <v>39</v>
      </c>
      <c r="G862">
        <v>300</v>
      </c>
      <c r="H862" t="str">
        <f>VLOOKUP(A862,'SV Child INS Apr'!$A:$H,1,0)</f>
        <v>76164503</v>
      </c>
      <c r="L862" t="e">
        <f>VLOOKUP(A862,'TV Apr Prorated Billing Sites'!$A:$I,1,0)</f>
        <v>#N/A</v>
      </c>
    </row>
    <row r="863" spans="1:13">
      <c r="A863" t="str">
        <f t="shared" si="15"/>
        <v>76164505</v>
      </c>
      <c r="B863" t="s">
        <v>3069</v>
      </c>
      <c r="C863" t="s">
        <v>3070</v>
      </c>
      <c r="D863">
        <v>76164505</v>
      </c>
      <c r="E863" t="s">
        <v>438</v>
      </c>
      <c r="F863" t="s">
        <v>39</v>
      </c>
      <c r="G863">
        <v>300</v>
      </c>
      <c r="H863" t="str">
        <f>VLOOKUP(A863,'SV Child INS Apr'!$A:$H,1,0)</f>
        <v>76164505</v>
      </c>
      <c r="L863" t="e">
        <f>VLOOKUP(A863,'TV Apr Prorated Billing Sites'!$A:$I,1,0)</f>
        <v>#N/A</v>
      </c>
    </row>
    <row r="864" spans="1:13">
      <c r="A864" t="str">
        <f t="shared" si="15"/>
        <v>76164507</v>
      </c>
      <c r="B864" t="s">
        <v>3071</v>
      </c>
      <c r="C864" t="s">
        <v>3072</v>
      </c>
      <c r="D864">
        <v>76164507</v>
      </c>
      <c r="E864" t="s">
        <v>438</v>
      </c>
      <c r="F864" t="s">
        <v>39</v>
      </c>
      <c r="G864">
        <v>300</v>
      </c>
      <c r="H864" t="str">
        <f>VLOOKUP(A864,'SV Child INS Apr'!$A:$H,1,0)</f>
        <v>76164507</v>
      </c>
      <c r="L864" t="e">
        <f>VLOOKUP(A864,'TV Apr Prorated Billing Sites'!$A:$I,1,0)</f>
        <v>#N/A</v>
      </c>
    </row>
    <row r="865" spans="1:13">
      <c r="A865" t="str">
        <f t="shared" si="15"/>
        <v>76164765</v>
      </c>
      <c r="B865" t="s">
        <v>542</v>
      </c>
      <c r="C865" t="s">
        <v>543</v>
      </c>
      <c r="D865">
        <v>76164765</v>
      </c>
      <c r="E865">
        <v>8110</v>
      </c>
      <c r="F865" t="s">
        <v>39</v>
      </c>
      <c r="G865">
        <v>300</v>
      </c>
      <c r="H865" t="e">
        <f>VLOOKUP(A865,'SV Child INS Apr'!$A:$H,1,0)</f>
        <v>#N/A</v>
      </c>
      <c r="I865" t="e">
        <f>VLOOKUP(B865,'SV Child INS Apr'!$D:$F,1,0)</f>
        <v>#N/A</v>
      </c>
      <c r="J865" t="str">
        <f>VLOOKUP(A865,'SV Child BLG Apr'!$A:$J,1,0)</f>
        <v>76164765</v>
      </c>
      <c r="L865" t="e">
        <f>VLOOKUP(A865,'TV Apr Prorated Billing Sites'!$A:$I,1,0)</f>
        <v>#N/A</v>
      </c>
      <c r="M865" t="e">
        <f>VLOOKUP(A865,'CDK asked to retain list'!$H$1:$J$24,1,0)</f>
        <v>#N/A</v>
      </c>
    </row>
    <row r="866" spans="1:13">
      <c r="A866" t="str">
        <f t="shared" si="15"/>
        <v>76165246</v>
      </c>
      <c r="B866" t="s">
        <v>3073</v>
      </c>
      <c r="C866" t="s">
        <v>3074</v>
      </c>
      <c r="D866">
        <v>76165246</v>
      </c>
      <c r="E866">
        <v>2502683</v>
      </c>
      <c r="F866" t="s">
        <v>39</v>
      </c>
      <c r="G866">
        <v>300</v>
      </c>
      <c r="H866" t="str">
        <f>VLOOKUP(A866,'SV Child INS Apr'!$A:$H,1,0)</f>
        <v>76165246</v>
      </c>
      <c r="L866" t="e">
        <f>VLOOKUP(A866,'TV Apr Prorated Billing Sites'!$A:$I,1,0)</f>
        <v>#N/A</v>
      </c>
    </row>
    <row r="867" spans="1:13">
      <c r="A867" t="str">
        <f t="shared" si="15"/>
        <v>76165337</v>
      </c>
      <c r="B867" t="s">
        <v>3075</v>
      </c>
      <c r="C867" t="s">
        <v>3076</v>
      </c>
      <c r="D867">
        <v>76165337</v>
      </c>
      <c r="E867">
        <v>3001009</v>
      </c>
      <c r="F867" t="s">
        <v>39</v>
      </c>
      <c r="G867">
        <v>300</v>
      </c>
      <c r="H867" t="str">
        <f>VLOOKUP(A867,'SV Child INS Apr'!$A:$H,1,0)</f>
        <v>76165337</v>
      </c>
      <c r="L867" t="e">
        <f>VLOOKUP(A867,'TV Apr Prorated Billing Sites'!$A:$I,1,0)</f>
        <v>#N/A</v>
      </c>
    </row>
    <row r="868" spans="1:13">
      <c r="A868" t="str">
        <f t="shared" si="15"/>
        <v>76165465</v>
      </c>
      <c r="B868" t="s">
        <v>3077</v>
      </c>
      <c r="C868" t="s">
        <v>3078</v>
      </c>
      <c r="D868">
        <v>76165465</v>
      </c>
      <c r="E868">
        <v>3000429</v>
      </c>
      <c r="F868" t="s">
        <v>39</v>
      </c>
      <c r="G868">
        <v>300</v>
      </c>
      <c r="H868" t="str">
        <f>VLOOKUP(A868,'SV Child INS Apr'!$A:$H,1,0)</f>
        <v>76165465</v>
      </c>
      <c r="L868" t="e">
        <f>VLOOKUP(A868,'TV Apr Prorated Billing Sites'!$A:$I,1,0)</f>
        <v>#N/A</v>
      </c>
    </row>
    <row r="869" spans="1:13">
      <c r="A869" t="str">
        <f t="shared" si="15"/>
        <v>76166150</v>
      </c>
      <c r="B869" t="s">
        <v>3079</v>
      </c>
      <c r="C869" t="s">
        <v>3080</v>
      </c>
      <c r="D869">
        <v>76166150</v>
      </c>
      <c r="E869">
        <v>2500654</v>
      </c>
      <c r="F869" t="s">
        <v>39</v>
      </c>
      <c r="G869">
        <v>300</v>
      </c>
      <c r="H869" t="str">
        <f>VLOOKUP(A869,'SV Child INS Apr'!$A:$H,1,0)</f>
        <v>76166150</v>
      </c>
      <c r="L869" t="e">
        <f>VLOOKUP(A869,'TV Apr Prorated Billing Sites'!$A:$I,1,0)</f>
        <v>#N/A</v>
      </c>
    </row>
    <row r="870" spans="1:13">
      <c r="A870" t="str">
        <f t="shared" si="15"/>
        <v>76166553</v>
      </c>
      <c r="B870" t="s">
        <v>3081</v>
      </c>
      <c r="C870" t="s">
        <v>3082</v>
      </c>
      <c r="D870">
        <v>76166553</v>
      </c>
      <c r="E870">
        <v>1500019</v>
      </c>
      <c r="F870" t="s">
        <v>39</v>
      </c>
      <c r="G870">
        <v>300</v>
      </c>
      <c r="H870" t="str">
        <f>VLOOKUP(A870,'SV Child INS Apr'!$A:$H,1,0)</f>
        <v>76166553</v>
      </c>
      <c r="L870" t="e">
        <f>VLOOKUP(A870,'TV Apr Prorated Billing Sites'!$A:$I,1,0)</f>
        <v>#N/A</v>
      </c>
    </row>
    <row r="871" spans="1:13">
      <c r="A871" t="str">
        <f t="shared" si="15"/>
        <v>76166727</v>
      </c>
      <c r="B871" t="s">
        <v>3083</v>
      </c>
      <c r="C871" t="s">
        <v>3084</v>
      </c>
      <c r="D871">
        <v>76166727</v>
      </c>
      <c r="E871">
        <v>2002594</v>
      </c>
      <c r="F871" t="s">
        <v>39</v>
      </c>
      <c r="G871">
        <v>300</v>
      </c>
      <c r="H871" t="str">
        <f>VLOOKUP(A871,'SV Child INS Apr'!$A:$H,1,0)</f>
        <v>76166727</v>
      </c>
      <c r="L871" t="e">
        <f>VLOOKUP(A871,'TV Apr Prorated Billing Sites'!$A:$I,1,0)</f>
        <v>#N/A</v>
      </c>
    </row>
    <row r="872" spans="1:13">
      <c r="A872" t="str">
        <f t="shared" si="15"/>
        <v>76166867</v>
      </c>
      <c r="B872" t="s">
        <v>3085</v>
      </c>
      <c r="C872" t="s">
        <v>3086</v>
      </c>
      <c r="D872">
        <v>76166867</v>
      </c>
      <c r="E872">
        <v>2502152</v>
      </c>
      <c r="F872" t="s">
        <v>39</v>
      </c>
      <c r="G872">
        <v>300</v>
      </c>
      <c r="H872" t="str">
        <f>VLOOKUP(A872,'SV Child INS Apr'!$A:$H,1,0)</f>
        <v>76166867</v>
      </c>
      <c r="L872" t="e">
        <f>VLOOKUP(A872,'TV Apr Prorated Billing Sites'!$A:$I,1,0)</f>
        <v>#N/A</v>
      </c>
    </row>
    <row r="873" spans="1:13">
      <c r="A873" t="str">
        <f t="shared" ref="A873:A936" si="16">TRIM(D873)</f>
        <v>76167047</v>
      </c>
      <c r="B873" t="s">
        <v>3087</v>
      </c>
      <c r="C873" t="s">
        <v>3088</v>
      </c>
      <c r="D873">
        <v>76167047</v>
      </c>
      <c r="E873">
        <v>3000746</v>
      </c>
      <c r="F873" t="s">
        <v>39</v>
      </c>
      <c r="G873">
        <v>300</v>
      </c>
      <c r="H873" t="str">
        <f>VLOOKUP(A873,'SV Child INS Apr'!$A:$H,1,0)</f>
        <v>76167047</v>
      </c>
      <c r="L873" t="e">
        <f>VLOOKUP(A873,'TV Apr Prorated Billing Sites'!$A:$I,1,0)</f>
        <v>#N/A</v>
      </c>
    </row>
    <row r="874" spans="1:13">
      <c r="A874" t="str">
        <f t="shared" si="16"/>
        <v>76167113</v>
      </c>
      <c r="B874" t="s">
        <v>3089</v>
      </c>
      <c r="C874" t="s">
        <v>3090</v>
      </c>
      <c r="D874">
        <v>76167113</v>
      </c>
      <c r="E874">
        <v>2000504</v>
      </c>
      <c r="F874" t="s">
        <v>39</v>
      </c>
      <c r="G874">
        <v>300</v>
      </c>
      <c r="H874" t="str">
        <f>VLOOKUP(A874,'SV Child INS Apr'!$A:$H,1,0)</f>
        <v>76167113</v>
      </c>
      <c r="L874" t="e">
        <f>VLOOKUP(A874,'TV Apr Prorated Billing Sites'!$A:$I,1,0)</f>
        <v>#N/A</v>
      </c>
    </row>
    <row r="875" spans="1:13">
      <c r="A875" t="str">
        <f t="shared" si="16"/>
        <v>76167157</v>
      </c>
      <c r="B875" t="s">
        <v>3091</v>
      </c>
      <c r="C875" t="s">
        <v>3092</v>
      </c>
      <c r="D875">
        <v>76167157</v>
      </c>
      <c r="E875">
        <v>8035</v>
      </c>
      <c r="F875" t="s">
        <v>39</v>
      </c>
      <c r="G875">
        <v>300</v>
      </c>
      <c r="H875" t="str">
        <f>VLOOKUP(A875,'SV Child INS Apr'!$A:$H,1,0)</f>
        <v>76167157</v>
      </c>
      <c r="L875" t="e">
        <f>VLOOKUP(A875,'TV Apr Prorated Billing Sites'!$A:$I,1,0)</f>
        <v>#N/A</v>
      </c>
    </row>
    <row r="876" spans="1:13">
      <c r="A876" t="str">
        <f t="shared" si="16"/>
        <v>76167668</v>
      </c>
      <c r="B876" t="s">
        <v>3093</v>
      </c>
      <c r="C876" t="s">
        <v>3094</v>
      </c>
      <c r="D876">
        <v>76167668</v>
      </c>
      <c r="E876">
        <v>2002627</v>
      </c>
      <c r="F876" t="s">
        <v>39</v>
      </c>
      <c r="G876">
        <v>400</v>
      </c>
      <c r="H876" t="str">
        <f>VLOOKUP(A876,'SV Child INS Apr'!$A:$H,1,0)</f>
        <v>76167668</v>
      </c>
      <c r="L876" t="e">
        <f>VLOOKUP(A876,'TV Apr Prorated Billing Sites'!$A:$I,1,0)</f>
        <v>#N/A</v>
      </c>
    </row>
    <row r="877" spans="1:13">
      <c r="A877" t="str">
        <f t="shared" si="16"/>
        <v>76167742</v>
      </c>
      <c r="B877" t="s">
        <v>3095</v>
      </c>
      <c r="C877" t="s">
        <v>3096</v>
      </c>
      <c r="D877">
        <v>76167742</v>
      </c>
      <c r="E877">
        <v>2002242</v>
      </c>
      <c r="F877" t="s">
        <v>39</v>
      </c>
      <c r="G877">
        <v>300</v>
      </c>
      <c r="H877" t="str">
        <f>VLOOKUP(A877,'SV Child INS Apr'!$A:$H,1,0)</f>
        <v>76167742</v>
      </c>
      <c r="L877" t="e">
        <f>VLOOKUP(A877,'TV Apr Prorated Billing Sites'!$A:$I,1,0)</f>
        <v>#N/A</v>
      </c>
    </row>
    <row r="878" spans="1:13">
      <c r="A878" t="str">
        <f t="shared" si="16"/>
        <v>76168076</v>
      </c>
      <c r="B878" t="s">
        <v>3097</v>
      </c>
      <c r="C878" t="s">
        <v>3098</v>
      </c>
      <c r="D878">
        <v>76168076</v>
      </c>
      <c r="E878" t="s">
        <v>438</v>
      </c>
      <c r="F878" t="s">
        <v>39</v>
      </c>
      <c r="G878">
        <v>300</v>
      </c>
      <c r="H878" t="str">
        <f>VLOOKUP(A878,'SV Child INS Apr'!$A:$H,1,0)</f>
        <v>76168076</v>
      </c>
      <c r="L878" t="e">
        <f>VLOOKUP(A878,'TV Apr Prorated Billing Sites'!$A:$I,1,0)</f>
        <v>#N/A</v>
      </c>
    </row>
    <row r="879" spans="1:13">
      <c r="A879" t="str">
        <f t="shared" si="16"/>
        <v>76168735</v>
      </c>
      <c r="B879" t="s">
        <v>3099</v>
      </c>
      <c r="C879" t="s">
        <v>3100</v>
      </c>
      <c r="D879">
        <v>76168735</v>
      </c>
      <c r="E879">
        <v>2001533</v>
      </c>
      <c r="F879" t="s">
        <v>39</v>
      </c>
      <c r="G879">
        <v>300</v>
      </c>
      <c r="H879" t="str">
        <f>VLOOKUP(A879,'SV Child INS Apr'!$A:$H,1,0)</f>
        <v>76168735</v>
      </c>
      <c r="L879" t="e">
        <f>VLOOKUP(A879,'TV Apr Prorated Billing Sites'!$A:$I,1,0)</f>
        <v>#N/A</v>
      </c>
    </row>
    <row r="880" spans="1:13">
      <c r="A880" t="str">
        <f t="shared" si="16"/>
        <v>76168775</v>
      </c>
      <c r="B880" t="s">
        <v>3101</v>
      </c>
      <c r="C880" t="s">
        <v>3102</v>
      </c>
      <c r="D880">
        <v>76168775</v>
      </c>
      <c r="E880">
        <v>2502083</v>
      </c>
      <c r="F880" t="s">
        <v>39</v>
      </c>
      <c r="G880">
        <v>300</v>
      </c>
      <c r="H880" t="str">
        <f>VLOOKUP(A880,'SV Child INS Apr'!$A:$H,1,0)</f>
        <v>76168775</v>
      </c>
      <c r="L880" t="e">
        <f>VLOOKUP(A880,'TV Apr Prorated Billing Sites'!$A:$I,1,0)</f>
        <v>#N/A</v>
      </c>
    </row>
    <row r="881" spans="1:13">
      <c r="A881" t="str">
        <f t="shared" si="16"/>
        <v>76168999</v>
      </c>
      <c r="B881" t="s">
        <v>3103</v>
      </c>
      <c r="C881" t="s">
        <v>3104</v>
      </c>
      <c r="D881">
        <v>76168999</v>
      </c>
      <c r="E881">
        <v>2500856</v>
      </c>
      <c r="F881" t="s">
        <v>39</v>
      </c>
      <c r="G881">
        <v>300</v>
      </c>
      <c r="H881" t="str">
        <f>VLOOKUP(A881,'SV Child INS Apr'!$A:$H,1,0)</f>
        <v>76168999</v>
      </c>
      <c r="L881" t="e">
        <f>VLOOKUP(A881,'TV Apr Prorated Billing Sites'!$A:$I,1,0)</f>
        <v>#N/A</v>
      </c>
    </row>
    <row r="882" spans="1:13">
      <c r="A882" t="str">
        <f t="shared" si="16"/>
        <v>76169007</v>
      </c>
      <c r="B882" t="s">
        <v>3105</v>
      </c>
      <c r="C882" t="s">
        <v>3106</v>
      </c>
      <c r="D882">
        <v>76169007</v>
      </c>
      <c r="E882">
        <v>2500864</v>
      </c>
      <c r="F882" t="s">
        <v>39</v>
      </c>
      <c r="G882">
        <v>300</v>
      </c>
      <c r="H882" t="str">
        <f>VLOOKUP(A882,'SV Child INS Apr'!$A:$H,1,0)</f>
        <v>76169007</v>
      </c>
      <c r="L882" t="e">
        <f>VLOOKUP(A882,'TV Apr Prorated Billing Sites'!$A:$I,1,0)</f>
        <v>#N/A</v>
      </c>
    </row>
    <row r="883" spans="1:13">
      <c r="A883" t="str">
        <f t="shared" si="16"/>
        <v>76169148</v>
      </c>
      <c r="B883" t="s">
        <v>545</v>
      </c>
      <c r="C883" t="s">
        <v>546</v>
      </c>
      <c r="D883">
        <v>76169148</v>
      </c>
      <c r="E883">
        <v>2001102</v>
      </c>
      <c r="F883" t="s">
        <v>39</v>
      </c>
      <c r="G883">
        <v>300</v>
      </c>
      <c r="H883" t="e">
        <f>VLOOKUP(A883,'SV Child INS Apr'!$A:$H,1,0)</f>
        <v>#N/A</v>
      </c>
      <c r="I883" t="e">
        <f>VLOOKUP(B883,'SV Child INS Apr'!$D:$F,1,0)</f>
        <v>#N/A</v>
      </c>
      <c r="J883" t="str">
        <f>VLOOKUP(A883,'SV Child BLG Apr'!$A:$J,1,0)</f>
        <v>76169148</v>
      </c>
      <c r="L883" t="e">
        <f>VLOOKUP(A883,'TV Apr Prorated Billing Sites'!$A:$I,1,0)</f>
        <v>#N/A</v>
      </c>
      <c r="M883" t="e">
        <f>VLOOKUP(A883,'CDK asked to retain list'!$H$1:$J$24,1,0)</f>
        <v>#N/A</v>
      </c>
    </row>
    <row r="884" spans="1:13">
      <c r="A884" t="str">
        <f t="shared" si="16"/>
        <v>76169221</v>
      </c>
      <c r="B884" t="s">
        <v>3107</v>
      </c>
      <c r="C884" t="s">
        <v>3108</v>
      </c>
      <c r="D884">
        <v>76169221</v>
      </c>
      <c r="E884">
        <v>2000227</v>
      </c>
      <c r="F884" t="s">
        <v>39</v>
      </c>
      <c r="G884">
        <v>300</v>
      </c>
      <c r="H884" t="str">
        <f>VLOOKUP(A884,'SV Child INS Apr'!$A:$H,1,0)</f>
        <v>76169221</v>
      </c>
      <c r="L884" t="e">
        <f>VLOOKUP(A884,'TV Apr Prorated Billing Sites'!$A:$I,1,0)</f>
        <v>#N/A</v>
      </c>
    </row>
    <row r="885" spans="1:13">
      <c r="A885" t="str">
        <f t="shared" si="16"/>
        <v>76169223</v>
      </c>
      <c r="B885" t="s">
        <v>3109</v>
      </c>
      <c r="C885" t="s">
        <v>3110</v>
      </c>
      <c r="D885">
        <v>76169223</v>
      </c>
      <c r="E885">
        <v>2000229</v>
      </c>
      <c r="F885" t="s">
        <v>39</v>
      </c>
      <c r="G885">
        <v>300</v>
      </c>
      <c r="H885" t="str">
        <f>VLOOKUP(A885,'SV Child INS Apr'!$A:$H,1,0)</f>
        <v>76169223</v>
      </c>
      <c r="L885" t="e">
        <f>VLOOKUP(A885,'TV Apr Prorated Billing Sites'!$A:$I,1,0)</f>
        <v>#N/A</v>
      </c>
    </row>
    <row r="886" spans="1:13">
      <c r="A886" t="str">
        <f t="shared" si="16"/>
        <v>76169336</v>
      </c>
      <c r="B886" t="s">
        <v>3111</v>
      </c>
      <c r="C886" t="s">
        <v>3112</v>
      </c>
      <c r="D886">
        <v>76169336</v>
      </c>
      <c r="E886">
        <v>2501598</v>
      </c>
      <c r="F886" t="s">
        <v>39</v>
      </c>
      <c r="G886">
        <v>400</v>
      </c>
      <c r="H886" t="str">
        <f>VLOOKUP(A886,'SV Child INS Apr'!$A:$H,1,0)</f>
        <v>76169336</v>
      </c>
      <c r="L886" t="e">
        <f>VLOOKUP(A886,'TV Apr Prorated Billing Sites'!$A:$I,1,0)</f>
        <v>#N/A</v>
      </c>
    </row>
    <row r="887" spans="1:13">
      <c r="A887" t="str">
        <f t="shared" si="16"/>
        <v>76169756</v>
      </c>
      <c r="B887" t="s">
        <v>3113</v>
      </c>
      <c r="C887" t="s">
        <v>3114</v>
      </c>
      <c r="D887">
        <v>76169756</v>
      </c>
      <c r="E887">
        <v>2502448</v>
      </c>
      <c r="F887" t="s">
        <v>39</v>
      </c>
      <c r="G887">
        <v>300</v>
      </c>
      <c r="H887" t="str">
        <f>VLOOKUP(A887,'SV Child INS Apr'!$A:$H,1,0)</f>
        <v>76169756</v>
      </c>
      <c r="L887" t="e">
        <f>VLOOKUP(A887,'TV Apr Prorated Billing Sites'!$A:$I,1,0)</f>
        <v>#N/A</v>
      </c>
    </row>
    <row r="888" spans="1:13">
      <c r="A888" t="str">
        <f t="shared" si="16"/>
        <v>76170220</v>
      </c>
      <c r="B888" t="s">
        <v>3115</v>
      </c>
      <c r="C888" t="s">
        <v>3116</v>
      </c>
      <c r="D888">
        <v>76170220</v>
      </c>
      <c r="E888">
        <v>2001070</v>
      </c>
      <c r="F888" t="s">
        <v>39</v>
      </c>
      <c r="G888">
        <v>400</v>
      </c>
      <c r="H888" t="str">
        <f>VLOOKUP(A888,'SV Child INS Apr'!$A:$H,1,0)</f>
        <v>76170220</v>
      </c>
      <c r="L888" t="e">
        <f>VLOOKUP(A888,'TV Apr Prorated Billing Sites'!$A:$I,1,0)</f>
        <v>#N/A</v>
      </c>
    </row>
    <row r="889" spans="1:13">
      <c r="A889" t="str">
        <f t="shared" si="16"/>
        <v>76170343</v>
      </c>
      <c r="B889" t="s">
        <v>3117</v>
      </c>
      <c r="C889" t="s">
        <v>3118</v>
      </c>
      <c r="D889">
        <v>76170343</v>
      </c>
      <c r="E889">
        <v>9049</v>
      </c>
      <c r="F889" t="s">
        <v>39</v>
      </c>
      <c r="G889">
        <v>300</v>
      </c>
      <c r="H889" t="str">
        <f>VLOOKUP(A889,'SV Child INS Apr'!$A:$H,1,0)</f>
        <v>76170343</v>
      </c>
      <c r="L889" t="e">
        <f>VLOOKUP(A889,'TV Apr Prorated Billing Sites'!$A:$I,1,0)</f>
        <v>#N/A</v>
      </c>
    </row>
    <row r="890" spans="1:13">
      <c r="A890" t="str">
        <f t="shared" si="16"/>
        <v>76170714</v>
      </c>
      <c r="B890" t="s">
        <v>3119</v>
      </c>
      <c r="C890" t="s">
        <v>3120</v>
      </c>
      <c r="D890">
        <v>76170714</v>
      </c>
      <c r="E890" t="s">
        <v>438</v>
      </c>
      <c r="F890" t="s">
        <v>39</v>
      </c>
      <c r="G890">
        <v>300</v>
      </c>
      <c r="H890" t="str">
        <f>VLOOKUP(A890,'SV Child INS Apr'!$A:$H,1,0)</f>
        <v>76170714</v>
      </c>
      <c r="L890" t="e">
        <f>VLOOKUP(A890,'TV Apr Prorated Billing Sites'!$A:$I,1,0)</f>
        <v>#N/A</v>
      </c>
    </row>
    <row r="891" spans="1:13">
      <c r="A891" t="str">
        <f t="shared" si="16"/>
        <v>76170737</v>
      </c>
      <c r="B891" t="s">
        <v>3121</v>
      </c>
      <c r="C891" t="s">
        <v>3122</v>
      </c>
      <c r="D891">
        <v>76170737</v>
      </c>
      <c r="E891">
        <v>2503316</v>
      </c>
      <c r="F891" t="s">
        <v>39</v>
      </c>
      <c r="G891">
        <v>300</v>
      </c>
      <c r="H891" t="str">
        <f>VLOOKUP(A891,'SV Child INS Apr'!$A:$H,1,0)</f>
        <v>76170737</v>
      </c>
      <c r="L891" t="e">
        <f>VLOOKUP(A891,'TV Apr Prorated Billing Sites'!$A:$I,1,0)</f>
        <v>#N/A</v>
      </c>
    </row>
    <row r="892" spans="1:13">
      <c r="A892" t="str">
        <f t="shared" si="16"/>
        <v>76170921</v>
      </c>
      <c r="B892" t="s">
        <v>548</v>
      </c>
      <c r="C892" t="s">
        <v>549</v>
      </c>
      <c r="D892">
        <v>76170921</v>
      </c>
      <c r="E892" t="s">
        <v>438</v>
      </c>
      <c r="F892" t="s">
        <v>39</v>
      </c>
      <c r="G892">
        <v>300</v>
      </c>
      <c r="H892" t="e">
        <f>VLOOKUP(A892,'SV Child INS Apr'!$A:$H,1,0)</f>
        <v>#N/A</v>
      </c>
      <c r="I892" t="e">
        <f>VLOOKUP(B892,'SV Child INS Apr'!$D:$F,1,0)</f>
        <v>#N/A</v>
      </c>
      <c r="J892" t="str">
        <f>VLOOKUP(A892,'SV Child BLG Apr'!$A:$J,1,0)</f>
        <v>76170921</v>
      </c>
      <c r="L892" t="e">
        <f>VLOOKUP(A892,'TV Apr Prorated Billing Sites'!$A:$I,1,0)</f>
        <v>#N/A</v>
      </c>
      <c r="M892" t="e">
        <f>VLOOKUP(A892,'CDK asked to retain list'!$H$1:$J$24,1,0)</f>
        <v>#N/A</v>
      </c>
    </row>
    <row r="893" spans="1:13">
      <c r="A893" t="str">
        <f t="shared" si="16"/>
        <v>76171023</v>
      </c>
      <c r="B893" t="s">
        <v>3123</v>
      </c>
      <c r="C893" t="s">
        <v>3124</v>
      </c>
      <c r="D893">
        <v>76171023</v>
      </c>
      <c r="E893">
        <v>2502147</v>
      </c>
      <c r="F893" t="s">
        <v>39</v>
      </c>
      <c r="G893">
        <v>300</v>
      </c>
      <c r="H893" t="str">
        <f>VLOOKUP(A893,'SV Child INS Apr'!$A:$H,1,0)</f>
        <v>76171023</v>
      </c>
      <c r="L893" t="e">
        <f>VLOOKUP(A893,'TV Apr Prorated Billing Sites'!$A:$I,1,0)</f>
        <v>#N/A</v>
      </c>
    </row>
    <row r="894" spans="1:13">
      <c r="A894" t="str">
        <f t="shared" si="16"/>
        <v>76171174</v>
      </c>
      <c r="B894" t="s">
        <v>3125</v>
      </c>
      <c r="C894" t="s">
        <v>3126</v>
      </c>
      <c r="D894">
        <v>76171174</v>
      </c>
      <c r="E894">
        <v>2000092</v>
      </c>
      <c r="F894" t="s">
        <v>39</v>
      </c>
      <c r="G894">
        <v>300</v>
      </c>
      <c r="H894" t="str">
        <f>VLOOKUP(A894,'SV Child INS Apr'!$A:$H,1,0)</f>
        <v>76171174</v>
      </c>
      <c r="L894" t="str">
        <f>VLOOKUP(A894,'TV Apr Prorated Billing Sites'!$A:$I,1,0)</f>
        <v>76171174</v>
      </c>
    </row>
    <row r="895" spans="1:13">
      <c r="A895" t="str">
        <f t="shared" si="16"/>
        <v>76171400</v>
      </c>
      <c r="B895" t="s">
        <v>551</v>
      </c>
      <c r="C895" t="s">
        <v>552</v>
      </c>
      <c r="D895">
        <v>76171400</v>
      </c>
      <c r="E895">
        <v>2002889</v>
      </c>
      <c r="F895" t="s">
        <v>39</v>
      </c>
      <c r="G895">
        <v>300</v>
      </c>
      <c r="H895" t="e">
        <f>VLOOKUP(A895,'SV Child INS Apr'!$A:$H,1,0)</f>
        <v>#N/A</v>
      </c>
      <c r="I895" t="e">
        <f>VLOOKUP(B895,'SV Child INS Apr'!$D:$F,1,0)</f>
        <v>#N/A</v>
      </c>
      <c r="J895" t="str">
        <f>VLOOKUP(A895,'SV Child BLG Apr'!$A:$J,1,0)</f>
        <v>76171400</v>
      </c>
      <c r="L895" t="e">
        <f>VLOOKUP(A895,'TV Apr Prorated Billing Sites'!$A:$I,1,0)</f>
        <v>#N/A</v>
      </c>
      <c r="M895" t="e">
        <f>VLOOKUP(A895,'CDK asked to retain list'!$H$1:$J$24,1,0)</f>
        <v>#N/A</v>
      </c>
    </row>
    <row r="896" spans="1:13">
      <c r="A896" t="str">
        <f t="shared" si="16"/>
        <v>76171550</v>
      </c>
      <c r="B896" t="s">
        <v>3127</v>
      </c>
      <c r="C896" t="s">
        <v>3128</v>
      </c>
      <c r="D896">
        <v>76171550</v>
      </c>
      <c r="E896">
        <v>2501107</v>
      </c>
      <c r="F896" t="s">
        <v>39</v>
      </c>
      <c r="G896">
        <v>300</v>
      </c>
      <c r="H896" t="str">
        <f>VLOOKUP(A896,'SV Child INS Apr'!$A:$H,1,0)</f>
        <v>76171550</v>
      </c>
      <c r="L896" t="e">
        <f>VLOOKUP(A896,'TV Apr Prorated Billing Sites'!$A:$I,1,0)</f>
        <v>#N/A</v>
      </c>
    </row>
    <row r="897" spans="1:13">
      <c r="A897" t="str">
        <f t="shared" si="16"/>
        <v>76171624</v>
      </c>
      <c r="B897" t="s">
        <v>3129</v>
      </c>
      <c r="C897" t="s">
        <v>3130</v>
      </c>
      <c r="D897">
        <v>76171624</v>
      </c>
      <c r="E897">
        <v>143018</v>
      </c>
      <c r="F897" t="s">
        <v>39</v>
      </c>
      <c r="G897">
        <v>300</v>
      </c>
      <c r="H897" t="str">
        <f>VLOOKUP(A897,'SV Child INS Apr'!$A:$H,1,0)</f>
        <v>76171624</v>
      </c>
      <c r="L897" t="e">
        <f>VLOOKUP(A897,'TV Apr Prorated Billing Sites'!$A:$I,1,0)</f>
        <v>#N/A</v>
      </c>
    </row>
    <row r="898" spans="1:13">
      <c r="A898" t="str">
        <f t="shared" si="16"/>
        <v>76171629</v>
      </c>
      <c r="B898" t="s">
        <v>3131</v>
      </c>
      <c r="C898" t="s">
        <v>3132</v>
      </c>
      <c r="D898">
        <v>76171629</v>
      </c>
      <c r="E898">
        <v>143020</v>
      </c>
      <c r="F898" t="s">
        <v>39</v>
      </c>
      <c r="G898">
        <v>300</v>
      </c>
      <c r="H898" t="str">
        <f>VLOOKUP(A898,'SV Child INS Apr'!$A:$H,1,0)</f>
        <v>76171629</v>
      </c>
      <c r="L898" t="e">
        <f>VLOOKUP(A898,'TV Apr Prorated Billing Sites'!$A:$I,1,0)</f>
        <v>#N/A</v>
      </c>
    </row>
    <row r="899" spans="1:13">
      <c r="A899" t="str">
        <f t="shared" si="16"/>
        <v>76171630</v>
      </c>
      <c r="B899" t="s">
        <v>3133</v>
      </c>
      <c r="C899" t="s">
        <v>3134</v>
      </c>
      <c r="D899">
        <v>76171630</v>
      </c>
      <c r="E899">
        <v>143019</v>
      </c>
      <c r="F899" t="s">
        <v>39</v>
      </c>
      <c r="G899">
        <v>450</v>
      </c>
      <c r="H899" t="str">
        <f>VLOOKUP(A899,'SV Child INS Apr'!$A:$H,1,0)</f>
        <v>76171630</v>
      </c>
      <c r="L899" t="e">
        <f>VLOOKUP(A899,'TV Apr Prorated Billing Sites'!$A:$I,1,0)</f>
        <v>#N/A</v>
      </c>
    </row>
    <row r="900" spans="1:13">
      <c r="A900" t="str">
        <f t="shared" si="16"/>
        <v>76171631</v>
      </c>
      <c r="B900" t="s">
        <v>3135</v>
      </c>
      <c r="C900" t="s">
        <v>3136</v>
      </c>
      <c r="D900">
        <v>76171631</v>
      </c>
      <c r="E900">
        <v>143016</v>
      </c>
      <c r="F900" t="s">
        <v>39</v>
      </c>
      <c r="G900">
        <v>300</v>
      </c>
      <c r="H900" t="str">
        <f>VLOOKUP(A900,'SV Child INS Apr'!$A:$H,1,0)</f>
        <v>76171631</v>
      </c>
      <c r="L900" t="e">
        <f>VLOOKUP(A900,'TV Apr Prorated Billing Sites'!$A:$I,1,0)</f>
        <v>#N/A</v>
      </c>
    </row>
    <row r="901" spans="1:13">
      <c r="A901" t="str">
        <f t="shared" si="16"/>
        <v>76171640</v>
      </c>
      <c r="B901" t="s">
        <v>554</v>
      </c>
      <c r="C901" t="s">
        <v>555</v>
      </c>
      <c r="D901">
        <v>76171640</v>
      </c>
      <c r="E901">
        <v>3001065</v>
      </c>
      <c r="F901" t="s">
        <v>39</v>
      </c>
      <c r="G901">
        <v>300</v>
      </c>
      <c r="H901" t="e">
        <f>VLOOKUP(A901,'SV Child INS Apr'!$A:$H,1,0)</f>
        <v>#N/A</v>
      </c>
      <c r="I901" t="e">
        <f>VLOOKUP(B901,'SV Child INS Apr'!$D:$F,1,0)</f>
        <v>#N/A</v>
      </c>
      <c r="J901" t="str">
        <f>VLOOKUP(A901,'SV Child BLG Apr'!$A:$J,1,0)</f>
        <v>76171640</v>
      </c>
      <c r="L901" t="e">
        <f>VLOOKUP(A901,'TV Apr Prorated Billing Sites'!$A:$I,1,0)</f>
        <v>#N/A</v>
      </c>
      <c r="M901" t="e">
        <f>VLOOKUP(A901,'CDK asked to retain list'!$H$1:$J$24,1,0)</f>
        <v>#N/A</v>
      </c>
    </row>
    <row r="902" spans="1:13">
      <c r="A902" t="str">
        <f t="shared" si="16"/>
        <v>76171651</v>
      </c>
      <c r="B902" t="s">
        <v>3137</v>
      </c>
      <c r="C902" t="s">
        <v>3138</v>
      </c>
      <c r="D902">
        <v>76171651</v>
      </c>
      <c r="E902">
        <v>2502257</v>
      </c>
      <c r="F902" t="s">
        <v>39</v>
      </c>
      <c r="G902">
        <v>450</v>
      </c>
      <c r="H902" t="str">
        <f>VLOOKUP(A902,'SV Child INS Apr'!$A:$H,1,0)</f>
        <v>76171651</v>
      </c>
      <c r="L902" t="e">
        <f>VLOOKUP(A902,'TV Apr Prorated Billing Sites'!$A:$I,1,0)</f>
        <v>#N/A</v>
      </c>
    </row>
    <row r="903" spans="1:13">
      <c r="A903" t="str">
        <f t="shared" si="16"/>
        <v>76171983</v>
      </c>
      <c r="B903" t="s">
        <v>3139</v>
      </c>
      <c r="C903" t="s">
        <v>3140</v>
      </c>
      <c r="D903">
        <v>76171983</v>
      </c>
      <c r="E903">
        <v>13099</v>
      </c>
      <c r="F903" t="s">
        <v>39</v>
      </c>
      <c r="G903">
        <v>300</v>
      </c>
      <c r="H903" t="str">
        <f>VLOOKUP(A903,'SV Child INS Apr'!$A:$H,1,0)</f>
        <v>76171983</v>
      </c>
      <c r="L903" t="e">
        <f>VLOOKUP(A903,'TV Apr Prorated Billing Sites'!$A:$I,1,0)</f>
        <v>#N/A</v>
      </c>
    </row>
    <row r="904" spans="1:13">
      <c r="A904" t="str">
        <f t="shared" si="16"/>
        <v>76172218</v>
      </c>
      <c r="B904" t="s">
        <v>3141</v>
      </c>
      <c r="C904" t="s">
        <v>3142</v>
      </c>
      <c r="D904">
        <v>76172218</v>
      </c>
      <c r="E904">
        <v>2500846</v>
      </c>
      <c r="F904" t="s">
        <v>39</v>
      </c>
      <c r="G904">
        <v>300</v>
      </c>
      <c r="H904" t="str">
        <f>VLOOKUP(A904,'SV Child INS Apr'!$A:$H,1,0)</f>
        <v>76172218</v>
      </c>
      <c r="L904" t="e">
        <f>VLOOKUP(A904,'TV Apr Prorated Billing Sites'!$A:$I,1,0)</f>
        <v>#N/A</v>
      </c>
    </row>
    <row r="905" spans="1:13">
      <c r="A905" t="str">
        <f t="shared" si="16"/>
        <v>76172296</v>
      </c>
      <c r="B905" t="s">
        <v>3143</v>
      </c>
      <c r="C905" t="s">
        <v>3144</v>
      </c>
      <c r="D905">
        <v>76172296</v>
      </c>
      <c r="E905">
        <v>2500817</v>
      </c>
      <c r="F905" t="s">
        <v>39</v>
      </c>
      <c r="G905">
        <v>300</v>
      </c>
      <c r="H905" t="str">
        <f>VLOOKUP(A905,'SV Child INS Apr'!$A:$H,1,0)</f>
        <v>76172296</v>
      </c>
      <c r="L905" t="e">
        <f>VLOOKUP(A905,'TV Apr Prorated Billing Sites'!$A:$I,1,0)</f>
        <v>#N/A</v>
      </c>
    </row>
    <row r="906" spans="1:13">
      <c r="A906" t="str">
        <f t="shared" si="16"/>
        <v>76172298</v>
      </c>
      <c r="B906" t="s">
        <v>3145</v>
      </c>
      <c r="C906" t="s">
        <v>3146</v>
      </c>
      <c r="D906">
        <v>76172298</v>
      </c>
      <c r="E906">
        <v>2500778</v>
      </c>
      <c r="F906" t="s">
        <v>39</v>
      </c>
      <c r="G906">
        <v>300</v>
      </c>
      <c r="H906" t="str">
        <f>VLOOKUP(A906,'SV Child INS Apr'!$A:$H,1,0)</f>
        <v>76172298</v>
      </c>
      <c r="L906" t="e">
        <f>VLOOKUP(A906,'TV Apr Prorated Billing Sites'!$A:$I,1,0)</f>
        <v>#N/A</v>
      </c>
    </row>
    <row r="907" spans="1:13">
      <c r="A907" t="str">
        <f t="shared" si="16"/>
        <v>76172299</v>
      </c>
      <c r="B907" t="s">
        <v>3147</v>
      </c>
      <c r="C907" t="s">
        <v>3148</v>
      </c>
      <c r="D907">
        <v>76172299</v>
      </c>
      <c r="E907">
        <v>2500794</v>
      </c>
      <c r="F907" t="s">
        <v>39</v>
      </c>
      <c r="G907">
        <v>300</v>
      </c>
      <c r="H907" t="str">
        <f>VLOOKUP(A907,'SV Child INS Apr'!$A:$H,1,0)</f>
        <v>76172299</v>
      </c>
      <c r="L907" t="e">
        <f>VLOOKUP(A907,'TV Apr Prorated Billing Sites'!$A:$I,1,0)</f>
        <v>#N/A</v>
      </c>
    </row>
    <row r="908" spans="1:13">
      <c r="A908" t="str">
        <f t="shared" si="16"/>
        <v>76172449</v>
      </c>
      <c r="B908" t="s">
        <v>3149</v>
      </c>
      <c r="C908" t="s">
        <v>3150</v>
      </c>
      <c r="D908">
        <v>76172449</v>
      </c>
      <c r="E908">
        <v>3000415</v>
      </c>
      <c r="F908" t="s">
        <v>39</v>
      </c>
      <c r="G908">
        <v>300</v>
      </c>
      <c r="H908" t="str">
        <f>VLOOKUP(A908,'SV Child INS Apr'!$A:$H,1,0)</f>
        <v>76172449</v>
      </c>
      <c r="L908" t="e">
        <f>VLOOKUP(A908,'TV Apr Prorated Billing Sites'!$A:$I,1,0)</f>
        <v>#N/A</v>
      </c>
    </row>
    <row r="909" spans="1:13">
      <c r="A909" t="str">
        <f t="shared" si="16"/>
        <v>76172751</v>
      </c>
      <c r="B909" t="s">
        <v>3151</v>
      </c>
      <c r="C909" t="s">
        <v>3152</v>
      </c>
      <c r="D909">
        <v>76172751</v>
      </c>
      <c r="E909">
        <v>3000979</v>
      </c>
      <c r="F909" t="s">
        <v>39</v>
      </c>
      <c r="G909">
        <v>300</v>
      </c>
      <c r="H909" t="str">
        <f>VLOOKUP(A909,'SV Child INS Apr'!$A:$H,1,0)</f>
        <v>76172751</v>
      </c>
      <c r="L909" t="str">
        <f>VLOOKUP(A909,'TV Apr Prorated Billing Sites'!$A:$I,1,0)</f>
        <v>76172751</v>
      </c>
    </row>
    <row r="910" spans="1:13">
      <c r="A910" t="str">
        <f t="shared" si="16"/>
        <v>76173064</v>
      </c>
      <c r="B910" t="s">
        <v>96</v>
      </c>
      <c r="C910" t="s">
        <v>97</v>
      </c>
      <c r="D910">
        <v>76173064</v>
      </c>
      <c r="E910">
        <v>3000888</v>
      </c>
      <c r="F910" t="s">
        <v>39</v>
      </c>
      <c r="G910">
        <v>300</v>
      </c>
      <c r="H910" t="e">
        <f>VLOOKUP(A910,'SV Child INS Apr'!$A:$H,1,0)</f>
        <v>#N/A</v>
      </c>
      <c r="I910" t="e">
        <f>VLOOKUP(B910,'SV Child INS Apr'!$D:$F,1,0)</f>
        <v>#N/A</v>
      </c>
      <c r="J910" t="e">
        <f>VLOOKUP(A910,'SV Child BLG Apr'!$A:$J,1,0)</f>
        <v>#N/A</v>
      </c>
      <c r="K910" t="e">
        <f>VLOOKUP(B910,'SV Child BLG Apr'!$D:$I,1,0)</f>
        <v>#N/A</v>
      </c>
      <c r="L910" t="e">
        <f>VLOOKUP(A910,'TV Apr Prorated Billing Sites'!$A:$I,1,0)</f>
        <v>#N/A</v>
      </c>
    </row>
    <row r="911" spans="1:13">
      <c r="A911" t="str">
        <f t="shared" si="16"/>
        <v>76174026</v>
      </c>
      <c r="B911" t="s">
        <v>3153</v>
      </c>
      <c r="C911" t="s">
        <v>3154</v>
      </c>
      <c r="D911">
        <v>76174026</v>
      </c>
      <c r="E911">
        <v>3000051</v>
      </c>
      <c r="F911" t="s">
        <v>39</v>
      </c>
      <c r="G911">
        <v>300</v>
      </c>
      <c r="H911" t="str">
        <f>VLOOKUP(A911,'SV Child INS Apr'!$A:$H,1,0)</f>
        <v>76174026</v>
      </c>
      <c r="L911" t="e">
        <f>VLOOKUP(A911,'TV Apr Prorated Billing Sites'!$A:$I,1,0)</f>
        <v>#N/A</v>
      </c>
    </row>
    <row r="912" spans="1:13">
      <c r="A912" t="str">
        <f t="shared" si="16"/>
        <v>76174241</v>
      </c>
      <c r="B912" t="s">
        <v>3155</v>
      </c>
      <c r="C912" t="s">
        <v>3156</v>
      </c>
      <c r="D912">
        <v>76174241</v>
      </c>
      <c r="E912">
        <v>8080</v>
      </c>
      <c r="F912" t="s">
        <v>39</v>
      </c>
      <c r="G912">
        <v>300</v>
      </c>
      <c r="H912" t="str">
        <f>VLOOKUP(A912,'SV Child INS Apr'!$A:$H,1,0)</f>
        <v>76174241</v>
      </c>
      <c r="L912" t="e">
        <f>VLOOKUP(A912,'TV Apr Prorated Billing Sites'!$A:$I,1,0)</f>
        <v>#N/A</v>
      </c>
    </row>
    <row r="913" spans="1:13">
      <c r="A913" t="str">
        <f t="shared" si="16"/>
        <v>76174651</v>
      </c>
      <c r="B913" t="s">
        <v>557</v>
      </c>
      <c r="C913" t="s">
        <v>558</v>
      </c>
      <c r="D913">
        <v>76174651</v>
      </c>
      <c r="E913">
        <v>3000945</v>
      </c>
      <c r="F913" t="s">
        <v>39</v>
      </c>
      <c r="G913">
        <v>300</v>
      </c>
      <c r="H913" t="e">
        <f>VLOOKUP(A913,'SV Child INS Apr'!$A:$H,1,0)</f>
        <v>#N/A</v>
      </c>
      <c r="I913" t="e">
        <f>VLOOKUP(B913,'SV Child INS Apr'!$D:$F,1,0)</f>
        <v>#N/A</v>
      </c>
      <c r="J913" t="str">
        <f>VLOOKUP(A913,'SV Child BLG Apr'!$A:$J,1,0)</f>
        <v>76174651</v>
      </c>
      <c r="L913" t="e">
        <f>VLOOKUP(A913,'TV Apr Prorated Billing Sites'!$A:$I,1,0)</f>
        <v>#N/A</v>
      </c>
      <c r="M913" t="e">
        <f>VLOOKUP(A913,'CDK asked to retain list'!$H$1:$J$24,1,0)</f>
        <v>#N/A</v>
      </c>
    </row>
    <row r="914" spans="1:13">
      <c r="A914" t="str">
        <f t="shared" si="16"/>
        <v>76174833</v>
      </c>
      <c r="B914" t="s">
        <v>3157</v>
      </c>
      <c r="C914" t="s">
        <v>3158</v>
      </c>
      <c r="D914">
        <v>76174833</v>
      </c>
      <c r="E914">
        <v>2002951</v>
      </c>
      <c r="F914" t="s">
        <v>39</v>
      </c>
      <c r="G914">
        <v>300</v>
      </c>
      <c r="H914" t="str">
        <f>VLOOKUP(A914,'SV Child INS Apr'!$A:$H,1,0)</f>
        <v>76174833</v>
      </c>
      <c r="L914" t="e">
        <f>VLOOKUP(A914,'TV Apr Prorated Billing Sites'!$A:$I,1,0)</f>
        <v>#N/A</v>
      </c>
    </row>
    <row r="915" spans="1:13">
      <c r="A915" t="str">
        <f t="shared" si="16"/>
        <v>76176208</v>
      </c>
      <c r="B915" t="s">
        <v>3159</v>
      </c>
      <c r="C915" t="s">
        <v>3160</v>
      </c>
      <c r="D915">
        <v>76176208</v>
      </c>
      <c r="E915">
        <v>11141</v>
      </c>
      <c r="F915" t="s">
        <v>39</v>
      </c>
      <c r="G915">
        <v>300</v>
      </c>
      <c r="H915" t="str">
        <f>VLOOKUP(A915,'SV Child INS Apr'!$A:$H,1,0)</f>
        <v>76176208</v>
      </c>
      <c r="L915" t="e">
        <f>VLOOKUP(A915,'TV Apr Prorated Billing Sites'!$A:$I,1,0)</f>
        <v>#N/A</v>
      </c>
    </row>
    <row r="916" spans="1:13">
      <c r="A916" t="str">
        <f t="shared" si="16"/>
        <v>76176376</v>
      </c>
      <c r="B916" t="s">
        <v>3161</v>
      </c>
      <c r="C916" t="s">
        <v>3162</v>
      </c>
      <c r="D916">
        <v>76176376</v>
      </c>
      <c r="E916">
        <v>2501335</v>
      </c>
      <c r="F916" t="s">
        <v>39</v>
      </c>
      <c r="G916">
        <v>300</v>
      </c>
      <c r="H916" t="str">
        <f>VLOOKUP(A916,'SV Child INS Apr'!$A:$H,1,0)</f>
        <v>76176376</v>
      </c>
      <c r="L916" t="e">
        <f>VLOOKUP(A916,'TV Apr Prorated Billing Sites'!$A:$I,1,0)</f>
        <v>#N/A</v>
      </c>
    </row>
    <row r="917" spans="1:13">
      <c r="A917" t="str">
        <f t="shared" si="16"/>
        <v>76176478</v>
      </c>
      <c r="B917" t="s">
        <v>3163</v>
      </c>
      <c r="C917" t="s">
        <v>3164</v>
      </c>
      <c r="D917">
        <v>76176478</v>
      </c>
      <c r="E917">
        <v>2500571</v>
      </c>
      <c r="F917" t="s">
        <v>39</v>
      </c>
      <c r="G917">
        <v>300</v>
      </c>
      <c r="H917" t="str">
        <f>VLOOKUP(A917,'SV Child INS Apr'!$A:$H,1,0)</f>
        <v>76176478</v>
      </c>
      <c r="L917" t="e">
        <f>VLOOKUP(A917,'TV Apr Prorated Billing Sites'!$A:$I,1,0)</f>
        <v>#N/A</v>
      </c>
    </row>
    <row r="918" spans="1:13">
      <c r="A918" t="str">
        <f t="shared" si="16"/>
        <v>76176659</v>
      </c>
      <c r="B918" t="s">
        <v>3165</v>
      </c>
      <c r="C918" t="s">
        <v>3166</v>
      </c>
      <c r="D918">
        <v>76176659</v>
      </c>
      <c r="E918">
        <v>2501316</v>
      </c>
      <c r="F918" t="s">
        <v>39</v>
      </c>
      <c r="G918">
        <v>400</v>
      </c>
      <c r="H918" t="str">
        <f>VLOOKUP(A918,'SV Child INS Apr'!$A:$H,1,0)</f>
        <v>76176659</v>
      </c>
      <c r="L918" t="e">
        <f>VLOOKUP(A918,'TV Apr Prorated Billing Sites'!$A:$I,1,0)</f>
        <v>#N/A</v>
      </c>
    </row>
    <row r="919" spans="1:13">
      <c r="A919" t="str">
        <f t="shared" si="16"/>
        <v>76177532</v>
      </c>
      <c r="B919" t="s">
        <v>3167</v>
      </c>
      <c r="C919" t="s">
        <v>3168</v>
      </c>
      <c r="D919">
        <v>76177532</v>
      </c>
      <c r="E919">
        <v>2502696</v>
      </c>
      <c r="F919" t="s">
        <v>39</v>
      </c>
      <c r="G919">
        <v>300</v>
      </c>
      <c r="H919" t="str">
        <f>VLOOKUP(A919,'SV Child INS Apr'!$A:$H,1,0)</f>
        <v>76177532</v>
      </c>
      <c r="L919" t="e">
        <f>VLOOKUP(A919,'TV Apr Prorated Billing Sites'!$A:$I,1,0)</f>
        <v>#N/A</v>
      </c>
    </row>
    <row r="920" spans="1:13">
      <c r="A920" t="str">
        <f t="shared" si="16"/>
        <v>76177578</v>
      </c>
      <c r="B920" t="s">
        <v>3169</v>
      </c>
      <c r="C920" t="s">
        <v>3170</v>
      </c>
      <c r="D920">
        <v>76177578</v>
      </c>
      <c r="E920">
        <v>13100</v>
      </c>
      <c r="F920" t="s">
        <v>39</v>
      </c>
      <c r="G920">
        <v>300</v>
      </c>
      <c r="H920" t="str">
        <f>VLOOKUP(A920,'SV Child INS Apr'!$A:$H,1,0)</f>
        <v>76177578</v>
      </c>
      <c r="L920" t="e">
        <f>VLOOKUP(A920,'TV Apr Prorated Billing Sites'!$A:$I,1,0)</f>
        <v>#N/A</v>
      </c>
    </row>
    <row r="921" spans="1:13">
      <c r="A921" t="str">
        <f t="shared" si="16"/>
        <v>76177663</v>
      </c>
      <c r="B921" t="s">
        <v>3171</v>
      </c>
      <c r="C921" t="s">
        <v>3172</v>
      </c>
      <c r="D921">
        <v>76177663</v>
      </c>
      <c r="E921">
        <v>2000154</v>
      </c>
      <c r="F921" t="s">
        <v>39</v>
      </c>
      <c r="G921">
        <v>300</v>
      </c>
      <c r="H921" t="str">
        <f>VLOOKUP(A921,'SV Child INS Apr'!$A:$H,1,0)</f>
        <v>76177663</v>
      </c>
      <c r="L921" t="e">
        <f>VLOOKUP(A921,'TV Apr Prorated Billing Sites'!$A:$I,1,0)</f>
        <v>#N/A</v>
      </c>
    </row>
    <row r="922" spans="1:13">
      <c r="A922" t="str">
        <f t="shared" si="16"/>
        <v>76177688</v>
      </c>
      <c r="B922" t="s">
        <v>3173</v>
      </c>
      <c r="C922" t="s">
        <v>3174</v>
      </c>
      <c r="D922">
        <v>76177688</v>
      </c>
      <c r="E922">
        <v>2500031</v>
      </c>
      <c r="F922" t="s">
        <v>39</v>
      </c>
      <c r="G922">
        <v>300</v>
      </c>
      <c r="H922" t="str">
        <f>VLOOKUP(A922,'SV Child INS Apr'!$A:$H,1,0)</f>
        <v>76177688</v>
      </c>
      <c r="L922" t="e">
        <f>VLOOKUP(A922,'TV Apr Prorated Billing Sites'!$A:$I,1,0)</f>
        <v>#N/A</v>
      </c>
    </row>
    <row r="923" spans="1:13">
      <c r="A923" t="str">
        <f t="shared" si="16"/>
        <v>76177895</v>
      </c>
      <c r="B923" t="s">
        <v>3175</v>
      </c>
      <c r="C923" t="s">
        <v>3176</v>
      </c>
      <c r="D923">
        <v>76177895</v>
      </c>
      <c r="E923">
        <v>2500603</v>
      </c>
      <c r="F923" t="s">
        <v>39</v>
      </c>
      <c r="G923">
        <v>400</v>
      </c>
      <c r="H923" t="str">
        <f>VLOOKUP(A923,'SV Child INS Apr'!$A:$H,1,0)</f>
        <v>76177895</v>
      </c>
      <c r="L923" t="e">
        <f>VLOOKUP(A923,'TV Apr Prorated Billing Sites'!$A:$I,1,0)</f>
        <v>#N/A</v>
      </c>
    </row>
    <row r="924" spans="1:13">
      <c r="A924" t="str">
        <f t="shared" si="16"/>
        <v>76177905</v>
      </c>
      <c r="B924" t="s">
        <v>3177</v>
      </c>
      <c r="C924" t="s">
        <v>3178</v>
      </c>
      <c r="D924">
        <v>76177905</v>
      </c>
      <c r="E924">
        <v>2500604</v>
      </c>
      <c r="F924" t="s">
        <v>39</v>
      </c>
      <c r="G924">
        <v>400</v>
      </c>
      <c r="H924" t="str">
        <f>VLOOKUP(A924,'SV Child INS Apr'!$A:$H,1,0)</f>
        <v>76177905</v>
      </c>
      <c r="L924" t="e">
        <f>VLOOKUP(A924,'TV Apr Prorated Billing Sites'!$A:$I,1,0)</f>
        <v>#N/A</v>
      </c>
    </row>
    <row r="925" spans="1:13">
      <c r="A925" t="str">
        <f t="shared" si="16"/>
        <v>76178011</v>
      </c>
      <c r="B925" t="s">
        <v>3179</v>
      </c>
      <c r="C925" t="s">
        <v>3180</v>
      </c>
      <c r="D925">
        <v>76178011</v>
      </c>
      <c r="E925">
        <v>2502891</v>
      </c>
      <c r="F925" t="s">
        <v>39</v>
      </c>
      <c r="G925">
        <v>300</v>
      </c>
      <c r="H925" t="str">
        <f>VLOOKUP(A925,'SV Child INS Apr'!$A:$H,1,0)</f>
        <v>76178011</v>
      </c>
      <c r="L925" t="e">
        <f>VLOOKUP(A925,'TV Apr Prorated Billing Sites'!$A:$I,1,0)</f>
        <v>#N/A</v>
      </c>
    </row>
    <row r="926" spans="1:13">
      <c r="A926" t="str">
        <f t="shared" si="16"/>
        <v>76178530</v>
      </c>
      <c r="B926" t="s">
        <v>3181</v>
      </c>
      <c r="C926" t="s">
        <v>3182</v>
      </c>
      <c r="D926">
        <v>76178530</v>
      </c>
      <c r="E926">
        <v>2502558</v>
      </c>
      <c r="F926" t="s">
        <v>39</v>
      </c>
      <c r="G926">
        <v>450</v>
      </c>
      <c r="H926" t="str">
        <f>VLOOKUP(A926,'SV Child INS Apr'!$A:$H,1,0)</f>
        <v>76178530</v>
      </c>
      <c r="L926" t="e">
        <f>VLOOKUP(A926,'TV Apr Prorated Billing Sites'!$A:$I,1,0)</f>
        <v>#N/A</v>
      </c>
    </row>
    <row r="927" spans="1:13">
      <c r="A927" t="str">
        <f t="shared" si="16"/>
        <v>76179273</v>
      </c>
      <c r="B927" t="s">
        <v>3183</v>
      </c>
      <c r="C927" t="s">
        <v>3184</v>
      </c>
      <c r="D927">
        <v>76179273</v>
      </c>
      <c r="E927" t="s">
        <v>438</v>
      </c>
      <c r="F927" t="s">
        <v>39</v>
      </c>
      <c r="G927">
        <v>300</v>
      </c>
      <c r="H927" t="str">
        <f>VLOOKUP(A927,'SV Child INS Apr'!$A:$H,1,0)</f>
        <v>76179273</v>
      </c>
      <c r="L927" t="e">
        <f>VLOOKUP(A927,'TV Apr Prorated Billing Sites'!$A:$I,1,0)</f>
        <v>#N/A</v>
      </c>
    </row>
    <row r="928" spans="1:13">
      <c r="A928" t="str">
        <f t="shared" si="16"/>
        <v>76179355</v>
      </c>
      <c r="B928" t="s">
        <v>3185</v>
      </c>
      <c r="C928" t="s">
        <v>3186</v>
      </c>
      <c r="D928">
        <v>76179355</v>
      </c>
      <c r="E928">
        <v>3000151</v>
      </c>
      <c r="F928" t="s">
        <v>39</v>
      </c>
      <c r="G928">
        <v>300</v>
      </c>
      <c r="H928" t="str">
        <f>VLOOKUP(A928,'SV Child INS Apr'!$A:$H,1,0)</f>
        <v>76179355</v>
      </c>
      <c r="L928" t="e">
        <f>VLOOKUP(A928,'TV Apr Prorated Billing Sites'!$A:$I,1,0)</f>
        <v>#N/A</v>
      </c>
    </row>
    <row r="929" spans="1:13">
      <c r="A929" t="str">
        <f t="shared" si="16"/>
        <v>76179491</v>
      </c>
      <c r="B929" t="s">
        <v>3187</v>
      </c>
      <c r="C929" t="s">
        <v>3188</v>
      </c>
      <c r="D929">
        <v>76179491</v>
      </c>
      <c r="E929">
        <v>2500266</v>
      </c>
      <c r="F929" t="s">
        <v>39</v>
      </c>
      <c r="G929">
        <v>300</v>
      </c>
      <c r="H929" t="str">
        <f>VLOOKUP(A929,'SV Child INS Apr'!$A:$H,1,0)</f>
        <v>76179491</v>
      </c>
      <c r="L929" t="e">
        <f>VLOOKUP(A929,'TV Apr Prorated Billing Sites'!$A:$I,1,0)</f>
        <v>#N/A</v>
      </c>
    </row>
    <row r="930" spans="1:13">
      <c r="A930" t="str">
        <f t="shared" si="16"/>
        <v>76179594</v>
      </c>
      <c r="B930" t="s">
        <v>3189</v>
      </c>
      <c r="C930" t="s">
        <v>3190</v>
      </c>
      <c r="D930">
        <v>76179594</v>
      </c>
      <c r="E930">
        <v>2003079</v>
      </c>
      <c r="F930" t="s">
        <v>39</v>
      </c>
      <c r="G930">
        <v>300</v>
      </c>
      <c r="H930" t="str">
        <f>VLOOKUP(A930,'SV Child INS Apr'!$A:$H,1,0)</f>
        <v>76179594</v>
      </c>
      <c r="L930" t="e">
        <f>VLOOKUP(A930,'TV Apr Prorated Billing Sites'!$A:$I,1,0)</f>
        <v>#N/A</v>
      </c>
    </row>
    <row r="931" spans="1:13">
      <c r="A931" t="str">
        <f t="shared" si="16"/>
        <v>76179599</v>
      </c>
      <c r="B931" t="s">
        <v>3191</v>
      </c>
      <c r="C931" t="s">
        <v>3192</v>
      </c>
      <c r="D931">
        <v>76179599</v>
      </c>
      <c r="E931">
        <v>2003078</v>
      </c>
      <c r="F931" t="s">
        <v>39</v>
      </c>
      <c r="G931">
        <v>300</v>
      </c>
      <c r="H931" t="str">
        <f>VLOOKUP(A931,'SV Child INS Apr'!$A:$H,1,0)</f>
        <v>76179599</v>
      </c>
      <c r="L931" t="e">
        <f>VLOOKUP(A931,'TV Apr Prorated Billing Sites'!$A:$I,1,0)</f>
        <v>#N/A</v>
      </c>
    </row>
    <row r="932" spans="1:13">
      <c r="A932" t="str">
        <f t="shared" si="16"/>
        <v>76179746</v>
      </c>
      <c r="B932" t="s">
        <v>3193</v>
      </c>
      <c r="C932" t="s">
        <v>3194</v>
      </c>
      <c r="D932">
        <v>76179746</v>
      </c>
      <c r="E932">
        <v>3000692</v>
      </c>
      <c r="F932" t="s">
        <v>39</v>
      </c>
      <c r="G932">
        <v>300</v>
      </c>
      <c r="H932" t="str">
        <f>VLOOKUP(A932,'SV Child INS Apr'!$A:$H,1,0)</f>
        <v>76179746</v>
      </c>
      <c r="L932" t="e">
        <f>VLOOKUP(A932,'TV Apr Prorated Billing Sites'!$A:$I,1,0)</f>
        <v>#N/A</v>
      </c>
    </row>
    <row r="933" spans="1:13">
      <c r="A933" t="str">
        <f t="shared" si="16"/>
        <v>76179851</v>
      </c>
      <c r="B933" t="s">
        <v>3195</v>
      </c>
      <c r="C933" t="s">
        <v>3196</v>
      </c>
      <c r="D933">
        <v>76179851</v>
      </c>
      <c r="E933">
        <v>2500857</v>
      </c>
      <c r="F933" t="s">
        <v>39</v>
      </c>
      <c r="G933">
        <v>450</v>
      </c>
      <c r="H933" t="str">
        <f>VLOOKUP(A933,'SV Child INS Apr'!$A:$H,1,0)</f>
        <v>76179851</v>
      </c>
      <c r="L933" t="e">
        <f>VLOOKUP(A933,'TV Apr Prorated Billing Sites'!$A:$I,1,0)</f>
        <v>#N/A</v>
      </c>
    </row>
    <row r="934" spans="1:13">
      <c r="A934" t="str">
        <f t="shared" si="16"/>
        <v>76179995</v>
      </c>
      <c r="B934" t="s">
        <v>3197</v>
      </c>
      <c r="C934" t="s">
        <v>3198</v>
      </c>
      <c r="D934">
        <v>76179995</v>
      </c>
      <c r="E934">
        <v>2000049</v>
      </c>
      <c r="F934" t="s">
        <v>39</v>
      </c>
      <c r="G934">
        <v>300</v>
      </c>
      <c r="H934" t="str">
        <f>VLOOKUP(A934,'SV Child INS Apr'!$A:$H,1,0)</f>
        <v>76179995</v>
      </c>
      <c r="L934" t="e">
        <f>VLOOKUP(A934,'TV Apr Prorated Billing Sites'!$A:$I,1,0)</f>
        <v>#N/A</v>
      </c>
    </row>
    <row r="935" spans="1:13">
      <c r="A935" t="str">
        <f t="shared" si="16"/>
        <v>76180057</v>
      </c>
      <c r="B935" t="s">
        <v>3199</v>
      </c>
      <c r="C935" t="s">
        <v>3200</v>
      </c>
      <c r="D935">
        <v>76180057</v>
      </c>
      <c r="E935">
        <v>2002806</v>
      </c>
      <c r="F935" t="s">
        <v>39</v>
      </c>
      <c r="G935">
        <v>300</v>
      </c>
      <c r="H935" t="str">
        <f>VLOOKUP(A935,'SV Child INS Apr'!$A:$H,1,0)</f>
        <v>76180057</v>
      </c>
      <c r="L935" t="e">
        <f>VLOOKUP(A935,'TV Apr Prorated Billing Sites'!$A:$I,1,0)</f>
        <v>#N/A</v>
      </c>
    </row>
    <row r="936" spans="1:13">
      <c r="A936" t="str">
        <f t="shared" si="16"/>
        <v>76180102</v>
      </c>
      <c r="B936" t="s">
        <v>560</v>
      </c>
      <c r="C936" t="s">
        <v>561</v>
      </c>
      <c r="D936">
        <v>76180102</v>
      </c>
      <c r="E936">
        <v>2502528</v>
      </c>
      <c r="F936" t="s">
        <v>39</v>
      </c>
      <c r="G936">
        <v>300</v>
      </c>
      <c r="H936" t="e">
        <f>VLOOKUP(A936,'SV Child INS Apr'!$A:$H,1,0)</f>
        <v>#N/A</v>
      </c>
      <c r="I936" t="e">
        <f>VLOOKUP(B936,'SV Child INS Apr'!$D:$F,1,0)</f>
        <v>#N/A</v>
      </c>
      <c r="J936" t="str">
        <f>VLOOKUP(A936,'SV Child BLG Apr'!$A:$J,1,0)</f>
        <v>76180102</v>
      </c>
      <c r="L936" t="str">
        <f>VLOOKUP(A936,'TV Apr Prorated Billing Sites'!$A:$I,1,0)</f>
        <v>76180102</v>
      </c>
      <c r="M936" t="e">
        <f>VLOOKUP(A936,'CDK asked to retain list'!$H$1:$J$24,1,0)</f>
        <v>#N/A</v>
      </c>
    </row>
    <row r="937" spans="1:13">
      <c r="A937" t="str">
        <f t="shared" ref="A937:A1000" si="17">TRIM(D937)</f>
        <v>76180284</v>
      </c>
      <c r="B937" t="s">
        <v>3201</v>
      </c>
      <c r="C937" t="s">
        <v>3202</v>
      </c>
      <c r="D937">
        <v>76180284</v>
      </c>
      <c r="E937">
        <v>2000925</v>
      </c>
      <c r="F937" t="s">
        <v>39</v>
      </c>
      <c r="G937">
        <v>300</v>
      </c>
      <c r="H937" t="str">
        <f>VLOOKUP(A937,'SV Child INS Apr'!$A:$H,1,0)</f>
        <v>76180284</v>
      </c>
      <c r="L937" t="e">
        <f>VLOOKUP(A937,'TV Apr Prorated Billing Sites'!$A:$I,1,0)</f>
        <v>#N/A</v>
      </c>
    </row>
    <row r="938" spans="1:13">
      <c r="A938" t="str">
        <f t="shared" si="17"/>
        <v>76180535</v>
      </c>
      <c r="B938" t="s">
        <v>3203</v>
      </c>
      <c r="C938" t="s">
        <v>3204</v>
      </c>
      <c r="D938">
        <v>76180535</v>
      </c>
      <c r="E938">
        <v>2503647</v>
      </c>
      <c r="F938" t="s">
        <v>39</v>
      </c>
      <c r="G938">
        <v>300</v>
      </c>
      <c r="H938" t="str">
        <f>VLOOKUP(A938,'SV Child INS Apr'!$A:$H,1,0)</f>
        <v>76180535</v>
      </c>
      <c r="L938" t="e">
        <f>VLOOKUP(A938,'TV Apr Prorated Billing Sites'!$A:$I,1,0)</f>
        <v>#N/A</v>
      </c>
    </row>
    <row r="939" spans="1:13">
      <c r="A939" t="str">
        <f t="shared" si="17"/>
        <v>76180931</v>
      </c>
      <c r="B939" t="s">
        <v>3205</v>
      </c>
      <c r="C939" t="s">
        <v>3206</v>
      </c>
      <c r="D939">
        <v>76180931</v>
      </c>
      <c r="E939">
        <v>2503527</v>
      </c>
      <c r="F939" t="s">
        <v>39</v>
      </c>
      <c r="G939">
        <v>300</v>
      </c>
      <c r="H939" t="str">
        <f>VLOOKUP(A939,'SV Child INS Apr'!$A:$H,1,0)</f>
        <v>76180931</v>
      </c>
      <c r="L939" t="e">
        <f>VLOOKUP(A939,'TV Apr Prorated Billing Sites'!$A:$I,1,0)</f>
        <v>#N/A</v>
      </c>
    </row>
    <row r="940" spans="1:13">
      <c r="A940" t="str">
        <f t="shared" si="17"/>
        <v>76181139</v>
      </c>
      <c r="B940" t="s">
        <v>99</v>
      </c>
      <c r="C940" t="s">
        <v>100</v>
      </c>
      <c r="D940">
        <v>76181139</v>
      </c>
      <c r="E940">
        <v>3000966</v>
      </c>
      <c r="F940" t="s">
        <v>39</v>
      </c>
      <c r="G940">
        <v>300</v>
      </c>
      <c r="H940" t="e">
        <f>VLOOKUP(A940,'SV Child INS Apr'!$A:$H,1,0)</f>
        <v>#N/A</v>
      </c>
      <c r="I940" t="e">
        <f>VLOOKUP(B940,'SV Child INS Apr'!$D:$F,1,0)</f>
        <v>#N/A</v>
      </c>
      <c r="J940" t="e">
        <f>VLOOKUP(A940,'SV Child BLG Apr'!$A:$J,1,0)</f>
        <v>#N/A</v>
      </c>
      <c r="K940" t="e">
        <f>VLOOKUP(B940,'SV Child BLG Apr'!$D:$I,1,0)</f>
        <v>#N/A</v>
      </c>
      <c r="L940" t="e">
        <f>VLOOKUP(A940,'TV Apr Prorated Billing Sites'!$A:$I,1,0)</f>
        <v>#N/A</v>
      </c>
    </row>
    <row r="941" spans="1:13">
      <c r="A941" t="str">
        <f t="shared" si="17"/>
        <v>76181307</v>
      </c>
      <c r="B941" t="s">
        <v>3207</v>
      </c>
      <c r="C941" t="s">
        <v>3208</v>
      </c>
      <c r="D941">
        <v>76181307</v>
      </c>
      <c r="E941">
        <v>2500980</v>
      </c>
      <c r="F941" t="s">
        <v>39</v>
      </c>
      <c r="G941">
        <v>300</v>
      </c>
      <c r="H941" t="str">
        <f>VLOOKUP(A941,'SV Child INS Apr'!$A:$H,1,0)</f>
        <v>76181307</v>
      </c>
      <c r="L941" t="e">
        <f>VLOOKUP(A941,'TV Apr Prorated Billing Sites'!$A:$I,1,0)</f>
        <v>#N/A</v>
      </c>
    </row>
    <row r="942" spans="1:13">
      <c r="A942" t="str">
        <f t="shared" si="17"/>
        <v>76181308</v>
      </c>
      <c r="B942" t="s">
        <v>3209</v>
      </c>
      <c r="C942" t="s">
        <v>3210</v>
      </c>
      <c r="D942">
        <v>76181308</v>
      </c>
      <c r="E942">
        <v>2500908</v>
      </c>
      <c r="F942" t="s">
        <v>39</v>
      </c>
      <c r="G942">
        <v>300</v>
      </c>
      <c r="H942" t="str">
        <f>VLOOKUP(A942,'SV Child INS Apr'!$A:$H,1,0)</f>
        <v>76181308</v>
      </c>
      <c r="L942" t="e">
        <f>VLOOKUP(A942,'TV Apr Prorated Billing Sites'!$A:$I,1,0)</f>
        <v>#N/A</v>
      </c>
    </row>
    <row r="943" spans="1:13">
      <c r="A943" t="str">
        <f t="shared" si="17"/>
        <v>76181398</v>
      </c>
      <c r="B943" t="s">
        <v>563</v>
      </c>
      <c r="C943" t="s">
        <v>564</v>
      </c>
      <c r="D943">
        <v>76181398</v>
      </c>
      <c r="E943">
        <v>3002455</v>
      </c>
      <c r="F943" t="s">
        <v>39</v>
      </c>
      <c r="G943">
        <v>300</v>
      </c>
      <c r="H943" t="e">
        <f>VLOOKUP(A943,'SV Child INS Apr'!$A:$H,1,0)</f>
        <v>#N/A</v>
      </c>
      <c r="I943" t="e">
        <f>VLOOKUP(B943,'SV Child INS Apr'!$D:$F,1,0)</f>
        <v>#N/A</v>
      </c>
      <c r="J943" t="str">
        <f>VLOOKUP(A943,'SV Child BLG Apr'!$A:$J,1,0)</f>
        <v>76181398</v>
      </c>
      <c r="L943" t="e">
        <f>VLOOKUP(A943,'TV Apr Prorated Billing Sites'!$A:$I,1,0)</f>
        <v>#N/A</v>
      </c>
      <c r="M943" t="e">
        <f>VLOOKUP(A943,'CDK asked to retain list'!$H$1:$J$24,1,0)</f>
        <v>#N/A</v>
      </c>
    </row>
    <row r="944" spans="1:13">
      <c r="A944" t="str">
        <f t="shared" si="17"/>
        <v>76181513</v>
      </c>
      <c r="B944" t="s">
        <v>566</v>
      </c>
      <c r="C944" t="s">
        <v>567</v>
      </c>
      <c r="D944">
        <v>76181513</v>
      </c>
      <c r="E944">
        <v>3001083</v>
      </c>
      <c r="F944" t="s">
        <v>39</v>
      </c>
      <c r="G944">
        <v>300</v>
      </c>
      <c r="H944" t="e">
        <f>VLOOKUP(A944,'SV Child INS Apr'!$A:$H,1,0)</f>
        <v>#N/A</v>
      </c>
      <c r="I944" t="e">
        <f>VLOOKUP(B944,'SV Child INS Apr'!$D:$F,1,0)</f>
        <v>#N/A</v>
      </c>
      <c r="J944" t="str">
        <f>VLOOKUP(A944,'SV Child BLG Apr'!$A:$J,1,0)</f>
        <v>76181513</v>
      </c>
      <c r="L944" t="str">
        <f>VLOOKUP(A944,'TV Apr Prorated Billing Sites'!$A:$I,1,0)</f>
        <v>76181513</v>
      </c>
      <c r="M944" t="e">
        <f>VLOOKUP(A944,'CDK asked to retain list'!$H$1:$J$24,1,0)</f>
        <v>#N/A</v>
      </c>
    </row>
    <row r="945" spans="1:12">
      <c r="A945" t="str">
        <f t="shared" si="17"/>
        <v>76181603</v>
      </c>
      <c r="B945" t="s">
        <v>3211</v>
      </c>
      <c r="C945" t="s">
        <v>3212</v>
      </c>
      <c r="D945">
        <v>76181603</v>
      </c>
      <c r="E945">
        <v>2503607</v>
      </c>
      <c r="F945" t="s">
        <v>39</v>
      </c>
      <c r="G945">
        <v>300</v>
      </c>
      <c r="H945" t="str">
        <f>VLOOKUP(A945,'SV Child INS Apr'!$A:$H,1,0)</f>
        <v>76181603</v>
      </c>
      <c r="L945" t="e">
        <f>VLOOKUP(A945,'TV Apr Prorated Billing Sites'!$A:$I,1,0)</f>
        <v>#N/A</v>
      </c>
    </row>
    <row r="946" spans="1:12">
      <c r="A946" t="str">
        <f t="shared" si="17"/>
        <v>76181608</v>
      </c>
      <c r="B946" t="s">
        <v>3213</v>
      </c>
      <c r="C946" t="s">
        <v>3214</v>
      </c>
      <c r="D946">
        <v>76181608</v>
      </c>
      <c r="E946">
        <v>2003117</v>
      </c>
      <c r="F946" t="s">
        <v>39</v>
      </c>
      <c r="G946">
        <v>300</v>
      </c>
      <c r="H946" t="str">
        <f>VLOOKUP(A946,'SV Child INS Apr'!$A:$H,1,0)</f>
        <v>76181608</v>
      </c>
      <c r="L946" t="e">
        <f>VLOOKUP(A946,'TV Apr Prorated Billing Sites'!$A:$I,1,0)</f>
        <v>#N/A</v>
      </c>
    </row>
    <row r="947" spans="1:12">
      <c r="A947" t="str">
        <f t="shared" si="17"/>
        <v>76184827</v>
      </c>
      <c r="B947" t="s">
        <v>3215</v>
      </c>
      <c r="C947" t="s">
        <v>3216</v>
      </c>
      <c r="D947">
        <v>76184827</v>
      </c>
      <c r="E947">
        <v>3000752</v>
      </c>
      <c r="F947" t="s">
        <v>39</v>
      </c>
      <c r="G947">
        <v>300</v>
      </c>
      <c r="H947" t="str">
        <f>VLOOKUP(A947,'SV Child INS Apr'!$A:$H,1,0)</f>
        <v>76184827</v>
      </c>
      <c r="L947" t="e">
        <f>VLOOKUP(A947,'TV Apr Prorated Billing Sites'!$A:$I,1,0)</f>
        <v>#N/A</v>
      </c>
    </row>
    <row r="948" spans="1:12">
      <c r="A948" t="str">
        <f t="shared" si="17"/>
        <v>76184910</v>
      </c>
      <c r="B948" t="s">
        <v>3217</v>
      </c>
      <c r="C948" t="s">
        <v>3218</v>
      </c>
      <c r="D948">
        <v>76184910</v>
      </c>
      <c r="E948">
        <v>2501204</v>
      </c>
      <c r="F948" t="s">
        <v>39</v>
      </c>
      <c r="G948">
        <v>300</v>
      </c>
      <c r="H948" t="str">
        <f>VLOOKUP(A948,'SV Child INS Apr'!$A:$H,1,0)</f>
        <v>76184910</v>
      </c>
      <c r="L948" t="e">
        <f>VLOOKUP(A948,'TV Apr Prorated Billing Sites'!$A:$I,1,0)</f>
        <v>#N/A</v>
      </c>
    </row>
    <row r="949" spans="1:12">
      <c r="A949" t="str">
        <f t="shared" si="17"/>
        <v>76184938</v>
      </c>
      <c r="B949" t="s">
        <v>102</v>
      </c>
      <c r="C949" t="s">
        <v>103</v>
      </c>
      <c r="D949">
        <v>76184938</v>
      </c>
      <c r="E949">
        <v>3000690</v>
      </c>
      <c r="F949" t="s">
        <v>39</v>
      </c>
      <c r="G949">
        <v>300</v>
      </c>
      <c r="H949" t="e">
        <f>VLOOKUP(A949,'SV Child INS Apr'!$A:$H,1,0)</f>
        <v>#N/A</v>
      </c>
      <c r="I949" t="e">
        <f>VLOOKUP(B949,'SV Child INS Apr'!$D:$F,1,0)</f>
        <v>#N/A</v>
      </c>
      <c r="J949" t="e">
        <f>VLOOKUP(A949,'SV Child BLG Apr'!$A:$J,1,0)</f>
        <v>#N/A</v>
      </c>
      <c r="K949" t="e">
        <f>VLOOKUP(B949,'SV Child BLG Apr'!$D:$I,1,0)</f>
        <v>#N/A</v>
      </c>
      <c r="L949" t="e">
        <f>VLOOKUP(A949,'TV Apr Prorated Billing Sites'!$A:$I,1,0)</f>
        <v>#N/A</v>
      </c>
    </row>
    <row r="950" spans="1:12">
      <c r="A950" t="str">
        <f t="shared" si="17"/>
        <v>76184940</v>
      </c>
      <c r="B950" t="s">
        <v>3219</v>
      </c>
      <c r="C950" t="s">
        <v>3220</v>
      </c>
      <c r="D950">
        <v>76184940</v>
      </c>
      <c r="E950">
        <v>143027</v>
      </c>
      <c r="F950" t="s">
        <v>39</v>
      </c>
      <c r="G950">
        <v>400</v>
      </c>
      <c r="H950" t="str">
        <f>VLOOKUP(A950,'SV Child INS Apr'!$A:$H,1,0)</f>
        <v>76184940</v>
      </c>
      <c r="L950" t="e">
        <f>VLOOKUP(A950,'TV Apr Prorated Billing Sites'!$A:$I,1,0)</f>
        <v>#N/A</v>
      </c>
    </row>
    <row r="951" spans="1:12">
      <c r="A951" t="str">
        <f t="shared" si="17"/>
        <v>76184940</v>
      </c>
      <c r="B951" t="s">
        <v>3221</v>
      </c>
      <c r="C951" t="s">
        <v>3222</v>
      </c>
      <c r="D951">
        <v>76184940</v>
      </c>
      <c r="E951">
        <v>143027</v>
      </c>
      <c r="F951" t="s">
        <v>39</v>
      </c>
      <c r="G951">
        <v>400</v>
      </c>
      <c r="H951" t="str">
        <f>VLOOKUP(A951,'SV Child INS Apr'!$A:$H,1,0)</f>
        <v>76184940</v>
      </c>
      <c r="L951" t="e">
        <f>VLOOKUP(A951,'TV Apr Prorated Billing Sites'!$A:$I,1,0)</f>
        <v>#N/A</v>
      </c>
    </row>
    <row r="952" spans="1:12">
      <c r="A952" t="str">
        <f t="shared" si="17"/>
        <v>76185026</v>
      </c>
      <c r="B952" t="s">
        <v>3223</v>
      </c>
      <c r="C952" t="s">
        <v>3224</v>
      </c>
      <c r="D952">
        <v>76185026</v>
      </c>
      <c r="E952">
        <v>2503524</v>
      </c>
      <c r="F952" t="s">
        <v>39</v>
      </c>
      <c r="G952">
        <v>300</v>
      </c>
      <c r="H952" t="str">
        <f>VLOOKUP(A952,'SV Child INS Apr'!$A:$H,1,0)</f>
        <v>76185026</v>
      </c>
      <c r="L952" t="e">
        <f>VLOOKUP(A952,'TV Apr Prorated Billing Sites'!$A:$I,1,0)</f>
        <v>#N/A</v>
      </c>
    </row>
    <row r="953" spans="1:12">
      <c r="A953" t="str">
        <f t="shared" si="17"/>
        <v>76186840</v>
      </c>
      <c r="B953" t="s">
        <v>3225</v>
      </c>
      <c r="C953" t="s">
        <v>3226</v>
      </c>
      <c r="D953">
        <v>76186840</v>
      </c>
      <c r="E953">
        <v>2500099</v>
      </c>
      <c r="F953" t="s">
        <v>39</v>
      </c>
      <c r="G953">
        <v>300</v>
      </c>
      <c r="H953" t="str">
        <f>VLOOKUP(A953,'SV Child INS Apr'!$A:$H,1,0)</f>
        <v>76186840</v>
      </c>
      <c r="L953" t="e">
        <f>VLOOKUP(A953,'TV Apr Prorated Billing Sites'!$A:$I,1,0)</f>
        <v>#N/A</v>
      </c>
    </row>
    <row r="954" spans="1:12">
      <c r="A954" t="str">
        <f t="shared" si="17"/>
        <v>76186861</v>
      </c>
      <c r="B954" t="s">
        <v>3227</v>
      </c>
      <c r="C954" t="s">
        <v>3228</v>
      </c>
      <c r="D954">
        <v>76186861</v>
      </c>
      <c r="E954">
        <v>2500152</v>
      </c>
      <c r="F954" t="s">
        <v>39</v>
      </c>
      <c r="G954">
        <v>300</v>
      </c>
      <c r="H954" t="e">
        <f>VLOOKUP(A954,'SV Child INS Apr'!$A:$H,1,0)</f>
        <v>#N/A</v>
      </c>
      <c r="I954" t="str">
        <f>VLOOKUP(B954,'SV Child INS Apr'!$D:$F,1,0)</f>
        <v>AUDI GAINESVILLE</v>
      </c>
      <c r="L954" t="e">
        <f>VLOOKUP(A954,'TV Apr Prorated Billing Sites'!$A:$I,1,0)</f>
        <v>#N/A</v>
      </c>
    </row>
    <row r="955" spans="1:12">
      <c r="A955" t="str">
        <f t="shared" si="17"/>
        <v>76186876</v>
      </c>
      <c r="B955" t="s">
        <v>3229</v>
      </c>
      <c r="C955" t="s">
        <v>3230</v>
      </c>
      <c r="D955">
        <v>76186876</v>
      </c>
      <c r="E955">
        <v>2002469</v>
      </c>
      <c r="F955" t="s">
        <v>39</v>
      </c>
      <c r="G955">
        <v>300</v>
      </c>
      <c r="H955" t="str">
        <f>VLOOKUP(A955,'SV Child INS Apr'!$A:$H,1,0)</f>
        <v>76186876</v>
      </c>
      <c r="L955" t="e">
        <f>VLOOKUP(A955,'TV Apr Prorated Billing Sites'!$A:$I,1,0)</f>
        <v>#N/A</v>
      </c>
    </row>
    <row r="956" spans="1:12">
      <c r="A956" t="str">
        <f t="shared" si="17"/>
        <v>76186877</v>
      </c>
      <c r="B956" t="s">
        <v>3231</v>
      </c>
      <c r="C956" t="s">
        <v>3232</v>
      </c>
      <c r="D956">
        <v>76186877</v>
      </c>
      <c r="E956">
        <v>2002478</v>
      </c>
      <c r="F956" t="s">
        <v>39</v>
      </c>
      <c r="G956">
        <v>300</v>
      </c>
      <c r="H956" t="str">
        <f>VLOOKUP(A956,'SV Child INS Apr'!$A:$H,1,0)</f>
        <v>76186877</v>
      </c>
      <c r="L956" t="e">
        <f>VLOOKUP(A956,'TV Apr Prorated Billing Sites'!$A:$I,1,0)</f>
        <v>#N/A</v>
      </c>
    </row>
    <row r="957" spans="1:12">
      <c r="A957" t="str">
        <f t="shared" si="17"/>
        <v>76186951</v>
      </c>
      <c r="B957" t="s">
        <v>3233</v>
      </c>
      <c r="C957" t="s">
        <v>3234</v>
      </c>
      <c r="D957">
        <v>76186951</v>
      </c>
      <c r="E957">
        <v>143174</v>
      </c>
      <c r="F957" t="s">
        <v>39</v>
      </c>
      <c r="G957">
        <v>300</v>
      </c>
      <c r="H957" t="str">
        <f>VLOOKUP(A957,'SV Child INS Apr'!$A:$H,1,0)</f>
        <v>76186951</v>
      </c>
      <c r="L957" t="e">
        <f>VLOOKUP(A957,'TV Apr Prorated Billing Sites'!$A:$I,1,0)</f>
        <v>#N/A</v>
      </c>
    </row>
    <row r="958" spans="1:12">
      <c r="A958" t="str">
        <f t="shared" si="17"/>
        <v>76187406</v>
      </c>
      <c r="B958" t="s">
        <v>3235</v>
      </c>
      <c r="C958" t="s">
        <v>3236</v>
      </c>
      <c r="D958">
        <v>76187406</v>
      </c>
      <c r="E958" t="s">
        <v>438</v>
      </c>
      <c r="F958" t="s">
        <v>39</v>
      </c>
      <c r="G958">
        <v>300</v>
      </c>
      <c r="H958" t="str">
        <f>VLOOKUP(A958,'SV Child INS Apr'!$A:$H,1,0)</f>
        <v>76187406</v>
      </c>
      <c r="L958" t="e">
        <f>VLOOKUP(A958,'TV Apr Prorated Billing Sites'!$A:$I,1,0)</f>
        <v>#N/A</v>
      </c>
    </row>
    <row r="959" spans="1:12">
      <c r="A959" t="str">
        <f t="shared" si="17"/>
        <v>76187407</v>
      </c>
      <c r="B959" t="s">
        <v>3237</v>
      </c>
      <c r="C959" t="s">
        <v>3238</v>
      </c>
      <c r="D959">
        <v>76187407</v>
      </c>
      <c r="E959" t="s">
        <v>438</v>
      </c>
      <c r="F959" t="s">
        <v>39</v>
      </c>
      <c r="G959">
        <v>300</v>
      </c>
      <c r="H959" t="str">
        <f>VLOOKUP(A959,'SV Child INS Apr'!$A:$H,1,0)</f>
        <v>76187407</v>
      </c>
      <c r="L959" t="e">
        <f>VLOOKUP(A959,'TV Apr Prorated Billing Sites'!$A:$I,1,0)</f>
        <v>#N/A</v>
      </c>
    </row>
    <row r="960" spans="1:12">
      <c r="A960" t="str">
        <f t="shared" si="17"/>
        <v>76187412</v>
      </c>
      <c r="B960" t="s">
        <v>3239</v>
      </c>
      <c r="C960" t="s">
        <v>3240</v>
      </c>
      <c r="D960">
        <v>76187412</v>
      </c>
      <c r="E960" t="s">
        <v>438</v>
      </c>
      <c r="F960" t="s">
        <v>39</v>
      </c>
      <c r="G960">
        <v>300</v>
      </c>
      <c r="H960" t="str">
        <f>VLOOKUP(A960,'SV Child INS Apr'!$A:$H,1,0)</f>
        <v>76187412</v>
      </c>
      <c r="L960" t="e">
        <f>VLOOKUP(A960,'TV Apr Prorated Billing Sites'!$A:$I,1,0)</f>
        <v>#N/A</v>
      </c>
    </row>
    <row r="961" spans="1:13">
      <c r="A961" t="str">
        <f t="shared" si="17"/>
        <v>76187537</v>
      </c>
      <c r="B961" t="s">
        <v>569</v>
      </c>
      <c r="C961" t="s">
        <v>570</v>
      </c>
      <c r="D961">
        <v>76187537</v>
      </c>
      <c r="E961">
        <v>10143</v>
      </c>
      <c r="F961" t="s">
        <v>39</v>
      </c>
      <c r="G961">
        <v>300</v>
      </c>
      <c r="H961" t="e">
        <f>VLOOKUP(A961,'SV Child INS Apr'!$A:$H,1,0)</f>
        <v>#N/A</v>
      </c>
      <c r="I961" t="e">
        <f>VLOOKUP(B961,'SV Child INS Apr'!$D:$F,1,0)</f>
        <v>#N/A</v>
      </c>
      <c r="J961" t="str">
        <f>VLOOKUP(A961,'SV Child BLG Apr'!$A:$J,1,0)</f>
        <v>76187537</v>
      </c>
      <c r="L961" t="str">
        <f>VLOOKUP(A961,'TV Apr Prorated Billing Sites'!$A:$I,1,0)</f>
        <v>76187537</v>
      </c>
      <c r="M961" t="e">
        <f>VLOOKUP(A961,'CDK asked to retain list'!$H$1:$J$24,1,0)</f>
        <v>#N/A</v>
      </c>
    </row>
    <row r="962" spans="1:13">
      <c r="A962" t="str">
        <f t="shared" si="17"/>
        <v>76188034</v>
      </c>
      <c r="B962" t="s">
        <v>3241</v>
      </c>
      <c r="C962" t="s">
        <v>3242</v>
      </c>
      <c r="D962">
        <v>76188034</v>
      </c>
      <c r="E962">
        <v>2500285</v>
      </c>
      <c r="F962" t="s">
        <v>39</v>
      </c>
      <c r="G962">
        <v>400</v>
      </c>
      <c r="H962" t="str">
        <f>VLOOKUP(A962,'SV Child INS Apr'!$A:$H,1,0)</f>
        <v>76188034</v>
      </c>
      <c r="L962" t="e">
        <f>VLOOKUP(A962,'TV Apr Prorated Billing Sites'!$A:$I,1,0)</f>
        <v>#N/A</v>
      </c>
    </row>
    <row r="963" spans="1:13">
      <c r="A963" t="str">
        <f t="shared" si="17"/>
        <v>76188207</v>
      </c>
      <c r="B963" t="s">
        <v>3243</v>
      </c>
      <c r="C963" t="s">
        <v>3244</v>
      </c>
      <c r="D963">
        <v>76188207</v>
      </c>
      <c r="E963">
        <v>1500052</v>
      </c>
      <c r="F963" t="s">
        <v>39</v>
      </c>
      <c r="G963">
        <v>300</v>
      </c>
      <c r="H963" t="str">
        <f>VLOOKUP(A963,'SV Child INS Apr'!$A:$H,1,0)</f>
        <v>76188207</v>
      </c>
      <c r="L963" t="e">
        <f>VLOOKUP(A963,'TV Apr Prorated Billing Sites'!$A:$I,1,0)</f>
        <v>#N/A</v>
      </c>
    </row>
    <row r="964" spans="1:13">
      <c r="A964" t="str">
        <f t="shared" si="17"/>
        <v>76188296</v>
      </c>
      <c r="B964" t="s">
        <v>572</v>
      </c>
      <c r="C964" t="s">
        <v>573</v>
      </c>
      <c r="D964">
        <v>76188296</v>
      </c>
      <c r="E964">
        <v>3001076</v>
      </c>
      <c r="F964" t="s">
        <v>39</v>
      </c>
      <c r="G964">
        <v>300</v>
      </c>
      <c r="H964" t="e">
        <f>VLOOKUP(A964,'SV Child INS Apr'!$A:$H,1,0)</f>
        <v>#N/A</v>
      </c>
      <c r="I964" t="e">
        <f>VLOOKUP(B964,'SV Child INS Apr'!$D:$F,1,0)</f>
        <v>#N/A</v>
      </c>
      <c r="J964" t="str">
        <f>VLOOKUP(A964,'SV Child BLG Apr'!$A:$J,1,0)</f>
        <v>76188296</v>
      </c>
      <c r="L964" t="str">
        <f>VLOOKUP(A964,'TV Apr Prorated Billing Sites'!$A:$I,1,0)</f>
        <v>76188296</v>
      </c>
      <c r="M964" t="e">
        <f>VLOOKUP(A964,'CDK asked to retain list'!$H$1:$J$24,1,0)</f>
        <v>#N/A</v>
      </c>
    </row>
    <row r="965" spans="1:13">
      <c r="A965" t="str">
        <f t="shared" si="17"/>
        <v>76188331</v>
      </c>
      <c r="B965" t="s">
        <v>3245</v>
      </c>
      <c r="C965" t="s">
        <v>3246</v>
      </c>
      <c r="D965">
        <v>76188331</v>
      </c>
      <c r="E965">
        <v>2502624</v>
      </c>
      <c r="F965" t="s">
        <v>39</v>
      </c>
      <c r="G965">
        <v>450</v>
      </c>
      <c r="H965" t="str">
        <f>VLOOKUP(A965,'SV Child INS Apr'!$A:$H,1,0)</f>
        <v>76188331</v>
      </c>
      <c r="L965" t="e">
        <f>VLOOKUP(A965,'TV Apr Prorated Billing Sites'!$A:$I,1,0)</f>
        <v>#N/A</v>
      </c>
    </row>
    <row r="966" spans="1:13">
      <c r="A966" t="str">
        <f t="shared" si="17"/>
        <v>76188429</v>
      </c>
      <c r="B966" t="s">
        <v>3247</v>
      </c>
      <c r="C966" t="s">
        <v>3248</v>
      </c>
      <c r="D966">
        <v>76188429</v>
      </c>
      <c r="E966">
        <v>2500793</v>
      </c>
      <c r="F966" t="s">
        <v>39</v>
      </c>
      <c r="G966">
        <v>300</v>
      </c>
      <c r="H966" t="str">
        <f>VLOOKUP(A966,'SV Child INS Apr'!$A:$H,1,0)</f>
        <v>76188429</v>
      </c>
      <c r="L966" t="e">
        <f>VLOOKUP(A966,'TV Apr Prorated Billing Sites'!$A:$I,1,0)</f>
        <v>#N/A</v>
      </c>
    </row>
    <row r="967" spans="1:13">
      <c r="A967" t="str">
        <f t="shared" si="17"/>
        <v>76189065</v>
      </c>
      <c r="B967" t="s">
        <v>3249</v>
      </c>
      <c r="C967" t="s">
        <v>3250</v>
      </c>
      <c r="D967">
        <v>76189065</v>
      </c>
      <c r="E967">
        <v>2500865</v>
      </c>
      <c r="F967" t="s">
        <v>39</v>
      </c>
      <c r="G967">
        <v>300</v>
      </c>
      <c r="H967" t="str">
        <f>VLOOKUP(A967,'SV Child INS Apr'!$A:$H,1,0)</f>
        <v>76189065</v>
      </c>
      <c r="L967" t="e">
        <f>VLOOKUP(A967,'TV Apr Prorated Billing Sites'!$A:$I,1,0)</f>
        <v>#N/A</v>
      </c>
    </row>
    <row r="968" spans="1:13">
      <c r="A968" t="str">
        <f t="shared" si="17"/>
        <v>76189066</v>
      </c>
      <c r="B968" t="s">
        <v>3251</v>
      </c>
      <c r="C968" t="s">
        <v>3252</v>
      </c>
      <c r="D968">
        <v>76189066</v>
      </c>
      <c r="E968">
        <v>2500957</v>
      </c>
      <c r="F968" t="s">
        <v>39</v>
      </c>
      <c r="G968">
        <v>300</v>
      </c>
      <c r="H968" t="str">
        <f>VLOOKUP(A968,'SV Child INS Apr'!$A:$H,1,0)</f>
        <v>76189066</v>
      </c>
      <c r="L968" t="e">
        <f>VLOOKUP(A968,'TV Apr Prorated Billing Sites'!$A:$I,1,0)</f>
        <v>#N/A</v>
      </c>
    </row>
    <row r="969" spans="1:13">
      <c r="A969" t="str">
        <f t="shared" si="17"/>
        <v>76189122</v>
      </c>
      <c r="B969" t="s">
        <v>3253</v>
      </c>
      <c r="C969" t="s">
        <v>3254</v>
      </c>
      <c r="D969">
        <v>76189122</v>
      </c>
      <c r="E969">
        <v>2001377</v>
      </c>
      <c r="F969" t="s">
        <v>39</v>
      </c>
      <c r="G969">
        <v>300</v>
      </c>
      <c r="H969" t="str">
        <f>VLOOKUP(A969,'SV Child INS Apr'!$A:$H,1,0)</f>
        <v>76189122</v>
      </c>
      <c r="L969" t="e">
        <f>VLOOKUP(A969,'TV Apr Prorated Billing Sites'!$A:$I,1,0)</f>
        <v>#N/A</v>
      </c>
    </row>
    <row r="970" spans="1:13">
      <c r="A970" t="str">
        <f t="shared" si="17"/>
        <v>76189179</v>
      </c>
      <c r="B970" t="s">
        <v>3255</v>
      </c>
      <c r="C970" t="s">
        <v>3256</v>
      </c>
      <c r="D970">
        <v>76189179</v>
      </c>
      <c r="E970" t="s">
        <v>438</v>
      </c>
      <c r="F970" t="s">
        <v>39</v>
      </c>
      <c r="G970">
        <v>300</v>
      </c>
      <c r="H970" t="str">
        <f>VLOOKUP(A970,'SV Child INS Apr'!$A:$H,1,0)</f>
        <v>76189179</v>
      </c>
      <c r="L970" t="e">
        <f>VLOOKUP(A970,'TV Apr Prorated Billing Sites'!$A:$I,1,0)</f>
        <v>#N/A</v>
      </c>
    </row>
    <row r="971" spans="1:13">
      <c r="A971" t="str">
        <f t="shared" si="17"/>
        <v>76189267</v>
      </c>
      <c r="B971" t="s">
        <v>3257</v>
      </c>
      <c r="C971" t="s">
        <v>3258</v>
      </c>
      <c r="D971">
        <v>76189267</v>
      </c>
      <c r="E971">
        <v>2500181</v>
      </c>
      <c r="F971" t="s">
        <v>39</v>
      </c>
      <c r="G971">
        <v>300</v>
      </c>
      <c r="H971" t="str">
        <f>VLOOKUP(A971,'SV Child INS Apr'!$A:$H,1,0)</f>
        <v>76189267</v>
      </c>
      <c r="L971" t="e">
        <f>VLOOKUP(A971,'TV Apr Prorated Billing Sites'!$A:$I,1,0)</f>
        <v>#N/A</v>
      </c>
    </row>
    <row r="972" spans="1:13">
      <c r="A972" t="str">
        <f t="shared" si="17"/>
        <v>76189422</v>
      </c>
      <c r="B972" t="s">
        <v>3259</v>
      </c>
      <c r="C972" t="s">
        <v>3260</v>
      </c>
      <c r="D972">
        <v>76189422</v>
      </c>
      <c r="E972">
        <v>2500102</v>
      </c>
      <c r="F972" t="s">
        <v>39</v>
      </c>
      <c r="G972">
        <v>300</v>
      </c>
      <c r="H972" t="str">
        <f>VLOOKUP(A972,'SV Child INS Apr'!$A:$H,1,0)</f>
        <v>76189422</v>
      </c>
      <c r="L972" t="e">
        <f>VLOOKUP(A972,'TV Apr Prorated Billing Sites'!$A:$I,1,0)</f>
        <v>#N/A</v>
      </c>
    </row>
    <row r="973" spans="1:13">
      <c r="A973" t="str">
        <f t="shared" si="17"/>
        <v>76189684</v>
      </c>
      <c r="B973" t="s">
        <v>3261</v>
      </c>
      <c r="C973" t="s">
        <v>3262</v>
      </c>
      <c r="D973">
        <v>76189684</v>
      </c>
      <c r="E973">
        <v>2503437</v>
      </c>
      <c r="F973" t="s">
        <v>39</v>
      </c>
      <c r="G973">
        <v>300</v>
      </c>
      <c r="H973" t="str">
        <f>VLOOKUP(A973,'SV Child INS Apr'!$A:$H,1,0)</f>
        <v>76189684</v>
      </c>
      <c r="L973" t="e">
        <f>VLOOKUP(A973,'TV Apr Prorated Billing Sites'!$A:$I,1,0)</f>
        <v>#N/A</v>
      </c>
    </row>
    <row r="974" spans="1:13">
      <c r="A974" t="str">
        <f t="shared" si="17"/>
        <v>76189730</v>
      </c>
      <c r="B974" t="s">
        <v>3263</v>
      </c>
      <c r="C974" t="s">
        <v>3264</v>
      </c>
      <c r="D974">
        <v>76189730</v>
      </c>
      <c r="E974">
        <v>2000093</v>
      </c>
      <c r="F974" t="s">
        <v>39</v>
      </c>
      <c r="G974">
        <v>300</v>
      </c>
      <c r="H974" t="str">
        <f>VLOOKUP(A974,'SV Child INS Apr'!$A:$H,1,0)</f>
        <v>76189730</v>
      </c>
      <c r="L974" t="e">
        <f>VLOOKUP(A974,'TV Apr Prorated Billing Sites'!$A:$I,1,0)</f>
        <v>#N/A</v>
      </c>
    </row>
    <row r="975" spans="1:13">
      <c r="A975" t="str">
        <f t="shared" si="17"/>
        <v>76190156</v>
      </c>
      <c r="B975" t="s">
        <v>3265</v>
      </c>
      <c r="C975" t="s">
        <v>3266</v>
      </c>
      <c r="D975">
        <v>76190156</v>
      </c>
      <c r="E975">
        <v>2503371</v>
      </c>
      <c r="F975" t="s">
        <v>39</v>
      </c>
      <c r="G975">
        <v>300</v>
      </c>
      <c r="H975" t="str">
        <f>VLOOKUP(A975,'SV Child INS Apr'!$A:$H,1,0)</f>
        <v>76190156</v>
      </c>
      <c r="L975" t="e">
        <f>VLOOKUP(A975,'TV Apr Prorated Billing Sites'!$A:$I,1,0)</f>
        <v>#N/A</v>
      </c>
    </row>
    <row r="976" spans="1:13">
      <c r="A976" t="str">
        <f t="shared" si="17"/>
        <v>76190193</v>
      </c>
      <c r="B976" t="s">
        <v>3267</v>
      </c>
      <c r="C976" t="s">
        <v>3268</v>
      </c>
      <c r="D976">
        <v>76190193</v>
      </c>
      <c r="E976">
        <v>2000096</v>
      </c>
      <c r="F976" t="s">
        <v>39</v>
      </c>
      <c r="G976">
        <v>300</v>
      </c>
      <c r="H976" t="str">
        <f>VLOOKUP(A976,'SV Child INS Apr'!$A:$H,1,0)</f>
        <v>76190193</v>
      </c>
      <c r="L976" t="e">
        <f>VLOOKUP(A976,'TV Apr Prorated Billing Sites'!$A:$I,1,0)</f>
        <v>#N/A</v>
      </c>
    </row>
    <row r="977" spans="1:12">
      <c r="A977" t="str">
        <f t="shared" si="17"/>
        <v>76190212</v>
      </c>
      <c r="B977" t="s">
        <v>3269</v>
      </c>
      <c r="C977" t="s">
        <v>3270</v>
      </c>
      <c r="D977">
        <v>76190212</v>
      </c>
      <c r="E977">
        <v>2001381</v>
      </c>
      <c r="F977" t="s">
        <v>39</v>
      </c>
      <c r="G977">
        <v>300</v>
      </c>
      <c r="H977" t="str">
        <f>VLOOKUP(A977,'SV Child INS Apr'!$A:$H,1,0)</f>
        <v>76190212</v>
      </c>
      <c r="L977" t="e">
        <f>VLOOKUP(A977,'TV Apr Prorated Billing Sites'!$A:$I,1,0)</f>
        <v>#N/A</v>
      </c>
    </row>
    <row r="978" spans="1:12">
      <c r="A978" t="str">
        <f t="shared" si="17"/>
        <v>76190250</v>
      </c>
      <c r="B978" t="s">
        <v>3271</v>
      </c>
      <c r="C978" t="s">
        <v>3272</v>
      </c>
      <c r="D978">
        <v>76190250</v>
      </c>
      <c r="E978" t="s">
        <v>438</v>
      </c>
      <c r="F978" t="s">
        <v>39</v>
      </c>
      <c r="G978">
        <v>400</v>
      </c>
      <c r="H978" t="str">
        <f>VLOOKUP(A978,'SV Child INS Apr'!$A:$H,1,0)</f>
        <v>76190250</v>
      </c>
      <c r="L978" t="e">
        <f>VLOOKUP(A978,'TV Apr Prorated Billing Sites'!$A:$I,1,0)</f>
        <v>#N/A</v>
      </c>
    </row>
    <row r="979" spans="1:12">
      <c r="A979" t="str">
        <f t="shared" si="17"/>
        <v>76190341</v>
      </c>
      <c r="B979" t="s">
        <v>3273</v>
      </c>
      <c r="C979" t="s">
        <v>3274</v>
      </c>
      <c r="D979">
        <v>76190341</v>
      </c>
      <c r="E979">
        <v>2502699</v>
      </c>
      <c r="F979" t="s">
        <v>39</v>
      </c>
      <c r="G979">
        <v>300</v>
      </c>
      <c r="H979" t="str">
        <f>VLOOKUP(A979,'SV Child INS Apr'!$A:$H,1,0)</f>
        <v>76190341</v>
      </c>
      <c r="L979" t="e">
        <f>VLOOKUP(A979,'TV Apr Prorated Billing Sites'!$A:$I,1,0)</f>
        <v>#N/A</v>
      </c>
    </row>
    <row r="980" spans="1:12">
      <c r="A980" t="str">
        <f t="shared" si="17"/>
        <v>76190434</v>
      </c>
      <c r="B980" t="s">
        <v>3275</v>
      </c>
      <c r="C980" t="s">
        <v>3276</v>
      </c>
      <c r="D980">
        <v>76190434</v>
      </c>
      <c r="E980">
        <v>2503651</v>
      </c>
      <c r="F980" t="s">
        <v>39</v>
      </c>
      <c r="G980">
        <v>300</v>
      </c>
      <c r="H980" t="str">
        <f>VLOOKUP(A980,'SV Child INS Apr'!$A:$H,1,0)</f>
        <v>76190434</v>
      </c>
      <c r="L980" t="e">
        <f>VLOOKUP(A980,'TV Apr Prorated Billing Sites'!$A:$I,1,0)</f>
        <v>#N/A</v>
      </c>
    </row>
    <row r="981" spans="1:12">
      <c r="A981" t="str">
        <f t="shared" si="17"/>
        <v>76190518</v>
      </c>
      <c r="B981" t="s">
        <v>3277</v>
      </c>
      <c r="C981" t="s">
        <v>3278</v>
      </c>
      <c r="D981">
        <v>76190518</v>
      </c>
      <c r="E981">
        <v>2002194</v>
      </c>
      <c r="F981" t="s">
        <v>39</v>
      </c>
      <c r="G981">
        <v>450</v>
      </c>
      <c r="H981" t="str">
        <f>VLOOKUP(A981,'SV Child INS Apr'!$A:$H,1,0)</f>
        <v>76190518</v>
      </c>
      <c r="L981" t="e">
        <f>VLOOKUP(A981,'TV Apr Prorated Billing Sites'!$A:$I,1,0)</f>
        <v>#N/A</v>
      </c>
    </row>
    <row r="982" spans="1:12">
      <c r="A982" t="str">
        <f t="shared" si="17"/>
        <v>76191357</v>
      </c>
      <c r="B982" t="s">
        <v>3279</v>
      </c>
      <c r="C982" t="s">
        <v>3280</v>
      </c>
      <c r="D982">
        <v>76191357</v>
      </c>
      <c r="E982">
        <v>2501794</v>
      </c>
      <c r="F982" t="s">
        <v>39</v>
      </c>
      <c r="G982">
        <v>300</v>
      </c>
      <c r="H982" t="str">
        <f>VLOOKUP(A982,'SV Child INS Apr'!$A:$H,1,0)</f>
        <v>76191357</v>
      </c>
      <c r="L982" t="e">
        <f>VLOOKUP(A982,'TV Apr Prorated Billing Sites'!$A:$I,1,0)</f>
        <v>#N/A</v>
      </c>
    </row>
    <row r="983" spans="1:12">
      <c r="A983" t="str">
        <f t="shared" si="17"/>
        <v>76191358</v>
      </c>
      <c r="B983" t="s">
        <v>3281</v>
      </c>
      <c r="C983" t="s">
        <v>3282</v>
      </c>
      <c r="D983">
        <v>76191358</v>
      </c>
      <c r="E983">
        <v>2501444</v>
      </c>
      <c r="F983" t="s">
        <v>39</v>
      </c>
      <c r="G983">
        <v>400</v>
      </c>
      <c r="H983" t="str">
        <f>VLOOKUP(A983,'SV Child INS Apr'!$A:$H,1,0)</f>
        <v>76191358</v>
      </c>
      <c r="L983" t="e">
        <f>VLOOKUP(A983,'TV Apr Prorated Billing Sites'!$A:$I,1,0)</f>
        <v>#N/A</v>
      </c>
    </row>
    <row r="984" spans="1:12">
      <c r="A984" t="str">
        <f t="shared" si="17"/>
        <v>76191838</v>
      </c>
      <c r="B984" t="s">
        <v>3283</v>
      </c>
      <c r="C984" t="s">
        <v>3284</v>
      </c>
      <c r="D984">
        <v>76191838</v>
      </c>
      <c r="E984">
        <v>2500186</v>
      </c>
      <c r="F984" t="s">
        <v>39</v>
      </c>
      <c r="G984">
        <v>300</v>
      </c>
      <c r="H984" t="str">
        <f>VLOOKUP(A984,'SV Child INS Apr'!$A:$H,1,0)</f>
        <v>76191838</v>
      </c>
      <c r="L984" t="e">
        <f>VLOOKUP(A984,'TV Apr Prorated Billing Sites'!$A:$I,1,0)</f>
        <v>#N/A</v>
      </c>
    </row>
    <row r="985" spans="1:12">
      <c r="A985" t="str">
        <f t="shared" si="17"/>
        <v>76192281</v>
      </c>
      <c r="B985" t="s">
        <v>3285</v>
      </c>
      <c r="C985" t="s">
        <v>3286</v>
      </c>
      <c r="D985">
        <v>76192281</v>
      </c>
      <c r="E985">
        <v>2000735</v>
      </c>
      <c r="F985" t="s">
        <v>39</v>
      </c>
      <c r="G985">
        <v>400</v>
      </c>
      <c r="H985" t="str">
        <f>VLOOKUP(A985,'SV Child INS Apr'!$A:$H,1,0)</f>
        <v>76192281</v>
      </c>
      <c r="L985" t="e">
        <f>VLOOKUP(A985,'TV Apr Prorated Billing Sites'!$A:$I,1,0)</f>
        <v>#N/A</v>
      </c>
    </row>
    <row r="986" spans="1:12">
      <c r="A986" t="str">
        <f t="shared" si="17"/>
        <v>76192284</v>
      </c>
      <c r="B986" t="s">
        <v>3287</v>
      </c>
      <c r="C986" t="s">
        <v>3288</v>
      </c>
      <c r="D986">
        <v>76192284</v>
      </c>
      <c r="E986">
        <v>2000757</v>
      </c>
      <c r="F986" t="s">
        <v>39</v>
      </c>
      <c r="G986">
        <v>300</v>
      </c>
      <c r="H986" t="str">
        <f>VLOOKUP(A986,'SV Child INS Apr'!$A:$H,1,0)</f>
        <v>76192284</v>
      </c>
      <c r="L986" t="e">
        <f>VLOOKUP(A986,'TV Apr Prorated Billing Sites'!$A:$I,1,0)</f>
        <v>#N/A</v>
      </c>
    </row>
    <row r="987" spans="1:12">
      <c r="A987" t="str">
        <f t="shared" si="17"/>
        <v>76193009</v>
      </c>
      <c r="B987" t="s">
        <v>3289</v>
      </c>
      <c r="C987" t="s">
        <v>3290</v>
      </c>
      <c r="D987">
        <v>76193009</v>
      </c>
      <c r="E987">
        <v>2502695</v>
      </c>
      <c r="F987" t="s">
        <v>39</v>
      </c>
      <c r="G987">
        <v>300</v>
      </c>
      <c r="H987" t="e">
        <f>VLOOKUP(A987,'SV Child INS Apr'!$A:$H,1,0)</f>
        <v>#N/A</v>
      </c>
      <c r="I987" t="str">
        <f>VLOOKUP(B987,'SV Child INS Apr'!$D:$F,1,0)</f>
        <v>NATIONWIDE NISSAN</v>
      </c>
      <c r="L987" t="e">
        <f>VLOOKUP(A987,'TV Apr Prorated Billing Sites'!$A:$I,1,0)</f>
        <v>#N/A</v>
      </c>
    </row>
    <row r="988" spans="1:12">
      <c r="A988" t="str">
        <f t="shared" si="17"/>
        <v>76193444</v>
      </c>
      <c r="B988" t="s">
        <v>3291</v>
      </c>
      <c r="C988" t="s">
        <v>3292</v>
      </c>
      <c r="D988">
        <v>76193444</v>
      </c>
      <c r="E988">
        <v>11070</v>
      </c>
      <c r="F988" t="s">
        <v>39</v>
      </c>
      <c r="G988">
        <v>300</v>
      </c>
      <c r="H988" t="str">
        <f>VLOOKUP(A988,'SV Child INS Apr'!$A:$H,1,0)</f>
        <v>76193444</v>
      </c>
      <c r="L988" t="e">
        <f>VLOOKUP(A988,'TV Apr Prorated Billing Sites'!$A:$I,1,0)</f>
        <v>#N/A</v>
      </c>
    </row>
    <row r="989" spans="1:12">
      <c r="A989" t="str">
        <f t="shared" si="17"/>
        <v>76193713</v>
      </c>
      <c r="B989" t="s">
        <v>3293</v>
      </c>
      <c r="C989" t="s">
        <v>3294</v>
      </c>
      <c r="D989">
        <v>76193713</v>
      </c>
      <c r="E989">
        <v>143042</v>
      </c>
      <c r="F989" t="s">
        <v>39</v>
      </c>
      <c r="G989">
        <v>300</v>
      </c>
      <c r="H989" t="str">
        <f>VLOOKUP(A989,'SV Child INS Apr'!$A:$H,1,0)</f>
        <v>76193713</v>
      </c>
      <c r="L989" t="e">
        <f>VLOOKUP(A989,'TV Apr Prorated Billing Sites'!$A:$I,1,0)</f>
        <v>#N/A</v>
      </c>
    </row>
    <row r="990" spans="1:12">
      <c r="A990" t="str">
        <f t="shared" si="17"/>
        <v>76193780</v>
      </c>
      <c r="B990" t="s">
        <v>3295</v>
      </c>
      <c r="C990" t="s">
        <v>3296</v>
      </c>
      <c r="D990">
        <v>76193780</v>
      </c>
      <c r="E990">
        <v>2001583</v>
      </c>
      <c r="F990" t="s">
        <v>39</v>
      </c>
      <c r="G990">
        <v>300</v>
      </c>
      <c r="H990" t="str">
        <f>VLOOKUP(A990,'SV Child INS Apr'!$A:$H,1,0)</f>
        <v>76193780</v>
      </c>
      <c r="L990" t="e">
        <f>VLOOKUP(A990,'TV Apr Prorated Billing Sites'!$A:$I,1,0)</f>
        <v>#N/A</v>
      </c>
    </row>
    <row r="991" spans="1:12">
      <c r="A991" t="str">
        <f t="shared" si="17"/>
        <v>76194213</v>
      </c>
      <c r="B991" t="s">
        <v>3297</v>
      </c>
      <c r="C991" t="s">
        <v>3298</v>
      </c>
      <c r="D991">
        <v>76194213</v>
      </c>
      <c r="E991">
        <v>2503196</v>
      </c>
      <c r="F991" t="s">
        <v>39</v>
      </c>
      <c r="G991">
        <v>300</v>
      </c>
      <c r="H991" t="str">
        <f>VLOOKUP(A991,'SV Child INS Apr'!$A:$H,1,0)</f>
        <v>76194213</v>
      </c>
      <c r="L991" t="e">
        <f>VLOOKUP(A991,'TV Apr Prorated Billing Sites'!$A:$I,1,0)</f>
        <v>#N/A</v>
      </c>
    </row>
    <row r="992" spans="1:12">
      <c r="A992" t="str">
        <f t="shared" si="17"/>
        <v>76194352</v>
      </c>
      <c r="B992" t="s">
        <v>3299</v>
      </c>
      <c r="C992" t="s">
        <v>3300</v>
      </c>
      <c r="D992">
        <v>76194352</v>
      </c>
      <c r="E992">
        <v>2002082</v>
      </c>
      <c r="F992" t="s">
        <v>39</v>
      </c>
      <c r="G992">
        <v>300</v>
      </c>
      <c r="H992" t="str">
        <f>VLOOKUP(A992,'SV Child INS Apr'!$A:$H,1,0)</f>
        <v>76194352</v>
      </c>
      <c r="L992" t="e">
        <f>VLOOKUP(A992,'TV Apr Prorated Billing Sites'!$A:$I,1,0)</f>
        <v>#N/A</v>
      </c>
    </row>
    <row r="993" spans="1:12">
      <c r="A993" t="str">
        <f t="shared" si="17"/>
        <v>76194724</v>
      </c>
      <c r="B993" t="s">
        <v>3301</v>
      </c>
      <c r="C993" t="s">
        <v>3302</v>
      </c>
      <c r="D993">
        <v>76194724</v>
      </c>
      <c r="E993">
        <v>2503191</v>
      </c>
      <c r="F993" t="s">
        <v>39</v>
      </c>
      <c r="G993">
        <v>450</v>
      </c>
      <c r="H993" t="str">
        <f>VLOOKUP(A993,'SV Child INS Apr'!$A:$H,1,0)</f>
        <v>76194724</v>
      </c>
      <c r="L993" t="e">
        <f>VLOOKUP(A993,'TV Apr Prorated Billing Sites'!$A:$I,1,0)</f>
        <v>#N/A</v>
      </c>
    </row>
    <row r="994" spans="1:12">
      <c r="A994" t="str">
        <f t="shared" si="17"/>
        <v>76194812</v>
      </c>
      <c r="B994" t="s">
        <v>105</v>
      </c>
      <c r="C994" t="s">
        <v>106</v>
      </c>
      <c r="D994">
        <v>76194812</v>
      </c>
      <c r="E994">
        <v>0</v>
      </c>
      <c r="F994" t="s">
        <v>39</v>
      </c>
      <c r="G994">
        <v>400</v>
      </c>
      <c r="H994" t="e">
        <f>VLOOKUP(A994,'SV Child INS Apr'!$A:$H,1,0)</f>
        <v>#N/A</v>
      </c>
      <c r="I994" t="e">
        <f>VLOOKUP(B994,'SV Child INS Apr'!$D:$F,1,0)</f>
        <v>#N/A</v>
      </c>
      <c r="J994" t="e">
        <f>VLOOKUP(A994,'SV Child BLG Apr'!$A:$J,1,0)</f>
        <v>#N/A</v>
      </c>
      <c r="K994" t="e">
        <f>VLOOKUP(B994,'SV Child BLG Apr'!$D:$I,1,0)</f>
        <v>#N/A</v>
      </c>
      <c r="L994" t="e">
        <f>VLOOKUP(A994,'TV Apr Prorated Billing Sites'!$A:$I,1,0)</f>
        <v>#N/A</v>
      </c>
    </row>
    <row r="995" spans="1:12">
      <c r="A995" t="str">
        <f t="shared" si="17"/>
        <v>76195161</v>
      </c>
      <c r="B995" t="s">
        <v>3303</v>
      </c>
      <c r="C995" t="s">
        <v>3304</v>
      </c>
      <c r="D995">
        <v>76195161</v>
      </c>
      <c r="E995">
        <v>2003027</v>
      </c>
      <c r="F995" t="s">
        <v>39</v>
      </c>
      <c r="G995">
        <v>300</v>
      </c>
      <c r="H995" t="str">
        <f>VLOOKUP(A995,'SV Child INS Apr'!$A:$H,1,0)</f>
        <v>76195161</v>
      </c>
      <c r="L995" t="e">
        <f>VLOOKUP(A995,'TV Apr Prorated Billing Sites'!$A:$I,1,0)</f>
        <v>#N/A</v>
      </c>
    </row>
    <row r="996" spans="1:12">
      <c r="A996" t="str">
        <f t="shared" si="17"/>
        <v>76195162</v>
      </c>
      <c r="B996" t="s">
        <v>3305</v>
      </c>
      <c r="C996" t="s">
        <v>3306</v>
      </c>
      <c r="D996">
        <v>76195162</v>
      </c>
      <c r="E996">
        <v>2001815</v>
      </c>
      <c r="F996" t="s">
        <v>39</v>
      </c>
      <c r="G996">
        <v>300</v>
      </c>
      <c r="H996" t="str">
        <f>VLOOKUP(A996,'SV Child INS Apr'!$A:$H,1,0)</f>
        <v>76195162</v>
      </c>
      <c r="L996" t="e">
        <f>VLOOKUP(A996,'TV Apr Prorated Billing Sites'!$A:$I,1,0)</f>
        <v>#N/A</v>
      </c>
    </row>
    <row r="997" spans="1:12">
      <c r="A997" t="str">
        <f t="shared" si="17"/>
        <v>76195231</v>
      </c>
      <c r="B997" t="s">
        <v>3307</v>
      </c>
      <c r="C997" t="s">
        <v>3308</v>
      </c>
      <c r="D997">
        <v>76195231</v>
      </c>
      <c r="E997" t="s">
        <v>438</v>
      </c>
      <c r="F997" t="s">
        <v>39</v>
      </c>
      <c r="G997">
        <v>600</v>
      </c>
      <c r="H997" t="str">
        <f>VLOOKUP(A997,'SV Child INS Apr'!$A:$H,1,0)</f>
        <v>76195231</v>
      </c>
      <c r="L997" t="e">
        <f>VLOOKUP(A997,'TV Apr Prorated Billing Sites'!$A:$I,1,0)</f>
        <v>#N/A</v>
      </c>
    </row>
    <row r="998" spans="1:12">
      <c r="A998" t="str">
        <f t="shared" si="17"/>
        <v>76195237</v>
      </c>
      <c r="B998" t="s">
        <v>3309</v>
      </c>
      <c r="C998" t="s">
        <v>3310</v>
      </c>
      <c r="D998">
        <v>76195237</v>
      </c>
      <c r="E998" t="s">
        <v>438</v>
      </c>
      <c r="F998" t="s">
        <v>39</v>
      </c>
      <c r="G998">
        <v>600</v>
      </c>
      <c r="H998" t="str">
        <f>VLOOKUP(A998,'SV Child INS Apr'!$A:$H,1,0)</f>
        <v>76195237</v>
      </c>
      <c r="L998" t="e">
        <f>VLOOKUP(A998,'TV Apr Prorated Billing Sites'!$A:$I,1,0)</f>
        <v>#N/A</v>
      </c>
    </row>
    <row r="999" spans="1:12">
      <c r="A999" t="str">
        <f t="shared" si="17"/>
        <v>76195274</v>
      </c>
      <c r="B999" t="s">
        <v>3311</v>
      </c>
      <c r="C999" t="s">
        <v>3312</v>
      </c>
      <c r="D999">
        <v>76195274</v>
      </c>
      <c r="E999" t="s">
        <v>438</v>
      </c>
      <c r="F999" t="s">
        <v>39</v>
      </c>
      <c r="G999">
        <v>400</v>
      </c>
      <c r="H999" t="str">
        <f>VLOOKUP(A999,'SV Child INS Apr'!$A:$H,1,0)</f>
        <v>76195274</v>
      </c>
      <c r="L999" t="e">
        <f>VLOOKUP(A999,'TV Apr Prorated Billing Sites'!$A:$I,1,0)</f>
        <v>#N/A</v>
      </c>
    </row>
    <row r="1000" spans="1:12">
      <c r="A1000" t="str">
        <f t="shared" si="17"/>
        <v>76195519</v>
      </c>
      <c r="B1000" t="s">
        <v>3313</v>
      </c>
      <c r="C1000" t="s">
        <v>3314</v>
      </c>
      <c r="D1000">
        <v>76195519</v>
      </c>
      <c r="E1000">
        <v>2501885</v>
      </c>
      <c r="F1000" t="s">
        <v>39</v>
      </c>
      <c r="G1000">
        <v>300</v>
      </c>
      <c r="H1000" t="str">
        <f>VLOOKUP(A1000,'SV Child INS Apr'!$A:$H,1,0)</f>
        <v>76195519</v>
      </c>
      <c r="L1000" t="e">
        <f>VLOOKUP(A1000,'TV Apr Prorated Billing Sites'!$A:$I,1,0)</f>
        <v>#N/A</v>
      </c>
    </row>
    <row r="1001" spans="1:12">
      <c r="A1001" t="str">
        <f t="shared" ref="A1001:A1064" si="18">TRIM(D1001)</f>
        <v>76195573</v>
      </c>
      <c r="B1001" t="s">
        <v>3315</v>
      </c>
      <c r="C1001" t="s">
        <v>3316</v>
      </c>
      <c r="D1001">
        <v>76195573</v>
      </c>
      <c r="E1001">
        <v>2000198</v>
      </c>
      <c r="F1001" t="s">
        <v>39</v>
      </c>
      <c r="G1001">
        <v>300</v>
      </c>
      <c r="H1001" t="str">
        <f>VLOOKUP(A1001,'SV Child INS Apr'!$A:$H,1,0)</f>
        <v>76195573</v>
      </c>
      <c r="L1001" t="e">
        <f>VLOOKUP(A1001,'TV Apr Prorated Billing Sites'!$A:$I,1,0)</f>
        <v>#N/A</v>
      </c>
    </row>
    <row r="1002" spans="1:12">
      <c r="A1002" t="str">
        <f t="shared" si="18"/>
        <v>76195599</v>
      </c>
      <c r="B1002" t="s">
        <v>3317</v>
      </c>
      <c r="C1002" t="s">
        <v>3318</v>
      </c>
      <c r="D1002">
        <v>76195599</v>
      </c>
      <c r="E1002" t="s">
        <v>438</v>
      </c>
      <c r="F1002" t="s">
        <v>39</v>
      </c>
      <c r="G1002">
        <v>600</v>
      </c>
      <c r="H1002" t="str">
        <f>VLOOKUP(A1002,'SV Child INS Apr'!$A:$H,1,0)</f>
        <v>76195599</v>
      </c>
      <c r="L1002" t="e">
        <f>VLOOKUP(A1002,'TV Apr Prorated Billing Sites'!$A:$I,1,0)</f>
        <v>#N/A</v>
      </c>
    </row>
    <row r="1003" spans="1:12">
      <c r="A1003" t="str">
        <f t="shared" si="18"/>
        <v>76195982</v>
      </c>
      <c r="B1003" t="s">
        <v>3319</v>
      </c>
      <c r="C1003" t="s">
        <v>3320</v>
      </c>
      <c r="D1003">
        <v>76195982</v>
      </c>
      <c r="E1003">
        <v>2001448</v>
      </c>
      <c r="F1003" t="s">
        <v>39</v>
      </c>
      <c r="G1003">
        <v>300</v>
      </c>
      <c r="H1003" t="str">
        <f>VLOOKUP(A1003,'SV Child INS Apr'!$A:$H,1,0)</f>
        <v>76195982</v>
      </c>
      <c r="L1003" t="e">
        <f>VLOOKUP(A1003,'TV Apr Prorated Billing Sites'!$A:$I,1,0)</f>
        <v>#N/A</v>
      </c>
    </row>
    <row r="1004" spans="1:12">
      <c r="A1004" t="str">
        <f t="shared" si="18"/>
        <v>76196475</v>
      </c>
      <c r="B1004" t="s">
        <v>3321</v>
      </c>
      <c r="C1004" t="s">
        <v>3322</v>
      </c>
      <c r="D1004">
        <v>76196475</v>
      </c>
      <c r="E1004">
        <v>2503005</v>
      </c>
      <c r="F1004" t="s">
        <v>39</v>
      </c>
      <c r="G1004">
        <v>300</v>
      </c>
      <c r="H1004" t="str">
        <f>VLOOKUP(A1004,'SV Child INS Apr'!$A:$H,1,0)</f>
        <v>76196475</v>
      </c>
      <c r="L1004" t="e">
        <f>VLOOKUP(A1004,'TV Apr Prorated Billing Sites'!$A:$I,1,0)</f>
        <v>#N/A</v>
      </c>
    </row>
    <row r="1005" spans="1:12">
      <c r="A1005" t="str">
        <f t="shared" si="18"/>
        <v>76196537</v>
      </c>
      <c r="B1005" t="s">
        <v>3323</v>
      </c>
      <c r="C1005" t="s">
        <v>3324</v>
      </c>
      <c r="D1005">
        <v>76196537</v>
      </c>
      <c r="E1005">
        <v>2500280</v>
      </c>
      <c r="F1005" t="s">
        <v>39</v>
      </c>
      <c r="G1005">
        <v>300</v>
      </c>
      <c r="H1005" t="str">
        <f>VLOOKUP(A1005,'SV Child INS Apr'!$A:$H,1,0)</f>
        <v>76196537</v>
      </c>
      <c r="L1005" t="e">
        <f>VLOOKUP(A1005,'TV Apr Prorated Billing Sites'!$A:$I,1,0)</f>
        <v>#N/A</v>
      </c>
    </row>
    <row r="1006" spans="1:12">
      <c r="A1006" t="str">
        <f t="shared" si="18"/>
        <v>76197076</v>
      </c>
      <c r="B1006" t="s">
        <v>3325</v>
      </c>
      <c r="C1006" t="s">
        <v>3326</v>
      </c>
      <c r="D1006">
        <v>76197076</v>
      </c>
      <c r="E1006">
        <v>2501997</v>
      </c>
      <c r="F1006" t="s">
        <v>39</v>
      </c>
      <c r="G1006">
        <v>450</v>
      </c>
      <c r="H1006" t="str">
        <f>VLOOKUP(A1006,'SV Child INS Apr'!$A:$H,1,0)</f>
        <v>76197076</v>
      </c>
      <c r="L1006" t="e">
        <f>VLOOKUP(A1006,'TV Apr Prorated Billing Sites'!$A:$I,1,0)</f>
        <v>#N/A</v>
      </c>
    </row>
    <row r="1007" spans="1:12">
      <c r="A1007" t="str">
        <f t="shared" si="18"/>
        <v>76197109</v>
      </c>
      <c r="B1007" t="s">
        <v>108</v>
      </c>
      <c r="C1007" t="s">
        <v>109</v>
      </c>
      <c r="D1007">
        <v>76197109</v>
      </c>
      <c r="E1007">
        <v>2503116</v>
      </c>
      <c r="F1007" t="s">
        <v>39</v>
      </c>
      <c r="G1007">
        <v>300</v>
      </c>
      <c r="H1007" t="e">
        <f>VLOOKUP(A1007,'SV Child INS Apr'!$A:$H,1,0)</f>
        <v>#N/A</v>
      </c>
      <c r="I1007" t="e">
        <f>VLOOKUP(B1007,'SV Child INS Apr'!$D:$F,1,0)</f>
        <v>#N/A</v>
      </c>
      <c r="J1007" t="e">
        <f>VLOOKUP(A1007,'SV Child BLG Apr'!$A:$J,1,0)</f>
        <v>#N/A</v>
      </c>
      <c r="K1007" t="e">
        <f>VLOOKUP(B1007,'SV Child BLG Apr'!$D:$I,1,0)</f>
        <v>#N/A</v>
      </c>
      <c r="L1007" t="e">
        <f>VLOOKUP(A1007,'TV Apr Prorated Billing Sites'!$A:$I,1,0)</f>
        <v>#N/A</v>
      </c>
    </row>
    <row r="1008" spans="1:12">
      <c r="A1008" t="str">
        <f t="shared" si="18"/>
        <v>76197237</v>
      </c>
      <c r="B1008" t="s">
        <v>3327</v>
      </c>
      <c r="C1008" t="s">
        <v>3328</v>
      </c>
      <c r="D1008">
        <v>76197237</v>
      </c>
      <c r="E1008">
        <v>2502462</v>
      </c>
      <c r="F1008" t="s">
        <v>39</v>
      </c>
      <c r="G1008">
        <v>400</v>
      </c>
      <c r="H1008" t="str">
        <f>VLOOKUP(A1008,'SV Child INS Apr'!$A:$H,1,0)</f>
        <v>76197237</v>
      </c>
      <c r="L1008" t="e">
        <f>VLOOKUP(A1008,'TV Apr Prorated Billing Sites'!$A:$I,1,0)</f>
        <v>#N/A</v>
      </c>
    </row>
    <row r="1009" spans="1:12">
      <c r="A1009" t="str">
        <f t="shared" si="18"/>
        <v>76199198</v>
      </c>
      <c r="B1009" t="s">
        <v>3329</v>
      </c>
      <c r="C1009" t="s">
        <v>3330</v>
      </c>
      <c r="D1009">
        <v>76199198</v>
      </c>
      <c r="E1009">
        <v>2002996</v>
      </c>
      <c r="F1009" t="s">
        <v>39</v>
      </c>
      <c r="G1009">
        <v>300</v>
      </c>
      <c r="H1009" t="str">
        <f>VLOOKUP(A1009,'SV Child INS Apr'!$A:$H,1,0)</f>
        <v>76199198</v>
      </c>
      <c r="L1009" t="e">
        <f>VLOOKUP(A1009,'TV Apr Prorated Billing Sites'!$A:$I,1,0)</f>
        <v>#N/A</v>
      </c>
    </row>
    <row r="1010" spans="1:12">
      <c r="A1010" t="str">
        <f t="shared" si="18"/>
        <v>76199615</v>
      </c>
      <c r="B1010" t="s">
        <v>3331</v>
      </c>
      <c r="C1010" t="s">
        <v>3332</v>
      </c>
      <c r="D1010">
        <v>76199615</v>
      </c>
      <c r="E1010">
        <v>2500598</v>
      </c>
      <c r="F1010" t="s">
        <v>39</v>
      </c>
      <c r="G1010">
        <v>300</v>
      </c>
      <c r="H1010" t="e">
        <f>VLOOKUP(A1010,'SV Child INS Apr'!$A:$H,1,0)</f>
        <v>#N/A</v>
      </c>
      <c r="I1010" t="str">
        <f>VLOOKUP(B1010,'SV Child INS Apr'!$D:$F,1,0)</f>
        <v>JAGUAR LAND ROVER WILLOW GROVE</v>
      </c>
      <c r="L1010" t="e">
        <f>VLOOKUP(A1010,'TV Apr Prorated Billing Sites'!$A:$I,1,0)</f>
        <v>#N/A</v>
      </c>
    </row>
    <row r="1011" spans="1:12">
      <c r="A1011" t="str">
        <f t="shared" si="18"/>
        <v>76199824</v>
      </c>
      <c r="B1011" t="s">
        <v>3333</v>
      </c>
      <c r="C1011" t="s">
        <v>3334</v>
      </c>
      <c r="D1011">
        <v>76199824</v>
      </c>
      <c r="E1011">
        <v>2500094</v>
      </c>
      <c r="F1011" t="s">
        <v>39</v>
      </c>
      <c r="G1011">
        <v>300</v>
      </c>
      <c r="H1011" t="str">
        <f>VLOOKUP(A1011,'SV Child INS Apr'!$A:$H,1,0)</f>
        <v>76199824</v>
      </c>
      <c r="L1011" t="e">
        <f>VLOOKUP(A1011,'TV Apr Prorated Billing Sites'!$A:$I,1,0)</f>
        <v>#N/A</v>
      </c>
    </row>
    <row r="1012" spans="1:12">
      <c r="A1012" t="str">
        <f t="shared" si="18"/>
        <v>76200172</v>
      </c>
      <c r="B1012" t="s">
        <v>3335</v>
      </c>
      <c r="C1012" t="s">
        <v>3336</v>
      </c>
      <c r="D1012">
        <v>76200172</v>
      </c>
      <c r="E1012">
        <v>2003002</v>
      </c>
      <c r="F1012" t="s">
        <v>39</v>
      </c>
      <c r="G1012">
        <v>300</v>
      </c>
      <c r="H1012" t="str">
        <f>VLOOKUP(A1012,'SV Child INS Apr'!$A:$H,1,0)</f>
        <v>76200172</v>
      </c>
      <c r="L1012" t="e">
        <f>VLOOKUP(A1012,'TV Apr Prorated Billing Sites'!$A:$I,1,0)</f>
        <v>#N/A</v>
      </c>
    </row>
    <row r="1013" spans="1:12">
      <c r="A1013" t="str">
        <f t="shared" si="18"/>
        <v>76200454</v>
      </c>
      <c r="B1013" t="s">
        <v>3337</v>
      </c>
      <c r="C1013" t="s">
        <v>3338</v>
      </c>
      <c r="D1013">
        <v>76200454</v>
      </c>
      <c r="E1013">
        <v>5057</v>
      </c>
      <c r="F1013" t="s">
        <v>39</v>
      </c>
      <c r="G1013">
        <v>450</v>
      </c>
      <c r="H1013" t="str">
        <f>VLOOKUP(A1013,'SV Child INS Apr'!$A:$H,1,0)</f>
        <v>76200454</v>
      </c>
      <c r="L1013" t="e">
        <f>VLOOKUP(A1013,'TV Apr Prorated Billing Sites'!$A:$I,1,0)</f>
        <v>#N/A</v>
      </c>
    </row>
    <row r="1014" spans="1:12">
      <c r="A1014" t="str">
        <f t="shared" si="18"/>
        <v>76200704</v>
      </c>
      <c r="B1014" t="s">
        <v>3339</v>
      </c>
      <c r="C1014" t="s">
        <v>3340</v>
      </c>
      <c r="D1014">
        <v>76200704</v>
      </c>
      <c r="E1014">
        <v>2503572</v>
      </c>
      <c r="F1014" t="s">
        <v>39</v>
      </c>
      <c r="G1014">
        <v>300</v>
      </c>
      <c r="H1014" t="str">
        <f>VLOOKUP(A1014,'SV Child INS Apr'!$A:$H,1,0)</f>
        <v>76200704</v>
      </c>
      <c r="L1014" t="e">
        <f>VLOOKUP(A1014,'TV Apr Prorated Billing Sites'!$A:$I,1,0)</f>
        <v>#N/A</v>
      </c>
    </row>
    <row r="1015" spans="1:12">
      <c r="A1015" t="str">
        <f t="shared" si="18"/>
        <v>76200805</v>
      </c>
      <c r="B1015" t="s">
        <v>3341</v>
      </c>
      <c r="C1015" t="s">
        <v>3342</v>
      </c>
      <c r="D1015">
        <v>76200805</v>
      </c>
      <c r="E1015">
        <v>2500464</v>
      </c>
      <c r="F1015" t="s">
        <v>39</v>
      </c>
      <c r="G1015">
        <v>300</v>
      </c>
      <c r="H1015" t="str">
        <f>VLOOKUP(A1015,'SV Child INS Apr'!$A:$H,1,0)</f>
        <v>76200805</v>
      </c>
      <c r="L1015" t="e">
        <f>VLOOKUP(A1015,'TV Apr Prorated Billing Sites'!$A:$I,1,0)</f>
        <v>#N/A</v>
      </c>
    </row>
    <row r="1016" spans="1:12">
      <c r="A1016" t="str">
        <f t="shared" si="18"/>
        <v>76200918</v>
      </c>
      <c r="B1016" t="s">
        <v>3343</v>
      </c>
      <c r="C1016" t="s">
        <v>3344</v>
      </c>
      <c r="D1016">
        <v>76200918</v>
      </c>
      <c r="E1016">
        <v>2501127</v>
      </c>
      <c r="F1016" t="s">
        <v>39</v>
      </c>
      <c r="G1016">
        <v>300</v>
      </c>
      <c r="H1016" t="str">
        <f>VLOOKUP(A1016,'SV Child INS Apr'!$A:$H,1,0)</f>
        <v>76200918</v>
      </c>
      <c r="L1016" t="e">
        <f>VLOOKUP(A1016,'TV Apr Prorated Billing Sites'!$A:$I,1,0)</f>
        <v>#N/A</v>
      </c>
    </row>
    <row r="1017" spans="1:12">
      <c r="A1017" t="str">
        <f t="shared" si="18"/>
        <v>76200980</v>
      </c>
      <c r="B1017" t="s">
        <v>3345</v>
      </c>
      <c r="C1017" t="s">
        <v>3346</v>
      </c>
      <c r="D1017">
        <v>76200980</v>
      </c>
      <c r="E1017">
        <v>123006</v>
      </c>
      <c r="F1017" t="s">
        <v>39</v>
      </c>
      <c r="G1017">
        <v>300</v>
      </c>
      <c r="H1017" t="str">
        <f>VLOOKUP(A1017,'SV Child INS Apr'!$A:$H,1,0)</f>
        <v>76200980</v>
      </c>
      <c r="L1017" t="e">
        <f>VLOOKUP(A1017,'TV Apr Prorated Billing Sites'!$A:$I,1,0)</f>
        <v>#N/A</v>
      </c>
    </row>
    <row r="1018" spans="1:12">
      <c r="A1018" t="str">
        <f t="shared" si="18"/>
        <v>76201294</v>
      </c>
      <c r="B1018" t="s">
        <v>3347</v>
      </c>
      <c r="C1018" t="s">
        <v>3348</v>
      </c>
      <c r="D1018">
        <v>76201294</v>
      </c>
      <c r="E1018">
        <v>2001111</v>
      </c>
      <c r="F1018" t="s">
        <v>39</v>
      </c>
      <c r="G1018">
        <v>300</v>
      </c>
      <c r="H1018" t="str">
        <f>VLOOKUP(A1018,'SV Child INS Apr'!$A:$H,1,0)</f>
        <v>76201294</v>
      </c>
      <c r="L1018" t="e">
        <f>VLOOKUP(A1018,'TV Apr Prorated Billing Sites'!$A:$I,1,0)</f>
        <v>#N/A</v>
      </c>
    </row>
    <row r="1019" spans="1:12">
      <c r="A1019" t="str">
        <f t="shared" si="18"/>
        <v>76201479</v>
      </c>
      <c r="B1019" t="s">
        <v>3349</v>
      </c>
      <c r="C1019" t="s">
        <v>3350</v>
      </c>
      <c r="D1019">
        <v>76201479</v>
      </c>
      <c r="E1019">
        <v>8037</v>
      </c>
      <c r="F1019" t="s">
        <v>39</v>
      </c>
      <c r="G1019">
        <v>300</v>
      </c>
      <c r="H1019" t="str">
        <f>VLOOKUP(A1019,'SV Child INS Apr'!$A:$H,1,0)</f>
        <v>76201479</v>
      </c>
      <c r="L1019" t="e">
        <f>VLOOKUP(A1019,'TV Apr Prorated Billing Sites'!$A:$I,1,0)</f>
        <v>#N/A</v>
      </c>
    </row>
    <row r="1020" spans="1:12">
      <c r="A1020" t="str">
        <f t="shared" si="18"/>
        <v>76201530</v>
      </c>
      <c r="B1020" t="s">
        <v>3351</v>
      </c>
      <c r="C1020" t="s">
        <v>3352</v>
      </c>
      <c r="D1020">
        <v>76201530</v>
      </c>
      <c r="E1020">
        <v>2500251</v>
      </c>
      <c r="F1020" t="s">
        <v>39</v>
      </c>
      <c r="G1020">
        <v>300</v>
      </c>
      <c r="H1020" t="str">
        <f>VLOOKUP(A1020,'SV Child INS Apr'!$A:$H,1,0)</f>
        <v>76201530</v>
      </c>
      <c r="L1020" t="e">
        <f>VLOOKUP(A1020,'TV Apr Prorated Billing Sites'!$A:$I,1,0)</f>
        <v>#N/A</v>
      </c>
    </row>
    <row r="1021" spans="1:12">
      <c r="A1021" t="str">
        <f t="shared" si="18"/>
        <v>76201531</v>
      </c>
      <c r="B1021" t="s">
        <v>3353</v>
      </c>
      <c r="C1021" t="s">
        <v>3354</v>
      </c>
      <c r="D1021">
        <v>76201531</v>
      </c>
      <c r="E1021">
        <v>2500320</v>
      </c>
      <c r="F1021" t="s">
        <v>39</v>
      </c>
      <c r="G1021">
        <v>300</v>
      </c>
      <c r="H1021" t="str">
        <f>VLOOKUP(A1021,'SV Child INS Apr'!$A:$H,1,0)</f>
        <v>76201531</v>
      </c>
      <c r="L1021" t="e">
        <f>VLOOKUP(A1021,'TV Apr Prorated Billing Sites'!$A:$I,1,0)</f>
        <v>#N/A</v>
      </c>
    </row>
    <row r="1022" spans="1:12">
      <c r="A1022" t="str">
        <f t="shared" si="18"/>
        <v>76201829</v>
      </c>
      <c r="B1022" t="s">
        <v>3355</v>
      </c>
      <c r="C1022" t="s">
        <v>3356</v>
      </c>
      <c r="D1022">
        <v>76201829</v>
      </c>
      <c r="E1022">
        <v>2000521</v>
      </c>
      <c r="F1022" t="s">
        <v>39</v>
      </c>
      <c r="G1022">
        <v>300</v>
      </c>
      <c r="H1022" t="str">
        <f>VLOOKUP(A1022,'SV Child INS Apr'!$A:$H,1,0)</f>
        <v>76201829</v>
      </c>
      <c r="L1022" t="e">
        <f>VLOOKUP(A1022,'TV Apr Prorated Billing Sites'!$A:$I,1,0)</f>
        <v>#N/A</v>
      </c>
    </row>
    <row r="1023" spans="1:12">
      <c r="A1023" t="str">
        <f t="shared" si="18"/>
        <v>76201835</v>
      </c>
      <c r="B1023" t="s">
        <v>3357</v>
      </c>
      <c r="C1023" t="s">
        <v>3358</v>
      </c>
      <c r="D1023">
        <v>76201835</v>
      </c>
      <c r="E1023">
        <v>2503417</v>
      </c>
      <c r="F1023" t="s">
        <v>39</v>
      </c>
      <c r="G1023">
        <v>300</v>
      </c>
      <c r="H1023" t="str">
        <f>VLOOKUP(A1023,'SV Child INS Apr'!$A:$H,1,0)</f>
        <v>76201835</v>
      </c>
      <c r="L1023" t="e">
        <f>VLOOKUP(A1023,'TV Apr Prorated Billing Sites'!$A:$I,1,0)</f>
        <v>#N/A</v>
      </c>
    </row>
    <row r="1024" spans="1:12">
      <c r="A1024" t="str">
        <f t="shared" si="18"/>
        <v>76201836</v>
      </c>
      <c r="B1024" t="s">
        <v>111</v>
      </c>
      <c r="C1024" t="s">
        <v>112</v>
      </c>
      <c r="D1024">
        <v>76201836</v>
      </c>
      <c r="E1024">
        <v>3000889</v>
      </c>
      <c r="F1024" t="s">
        <v>39</v>
      </c>
      <c r="G1024">
        <v>300</v>
      </c>
      <c r="H1024" t="e">
        <f>VLOOKUP(A1024,'SV Child INS Apr'!$A:$H,1,0)</f>
        <v>#N/A</v>
      </c>
      <c r="I1024" t="e">
        <f>VLOOKUP(B1024,'SV Child INS Apr'!$D:$F,1,0)</f>
        <v>#N/A</v>
      </c>
      <c r="J1024" t="e">
        <f>VLOOKUP(A1024,'SV Child BLG Apr'!$A:$J,1,0)</f>
        <v>#N/A</v>
      </c>
      <c r="K1024" t="e">
        <f>VLOOKUP(B1024,'SV Child BLG Apr'!$D:$I,1,0)</f>
        <v>#N/A</v>
      </c>
      <c r="L1024" t="e">
        <f>VLOOKUP(A1024,'TV Apr Prorated Billing Sites'!$A:$I,1,0)</f>
        <v>#N/A</v>
      </c>
    </row>
    <row r="1025" spans="1:12">
      <c r="A1025" t="str">
        <f t="shared" si="18"/>
        <v>76202036</v>
      </c>
      <c r="B1025" t="s">
        <v>3359</v>
      </c>
      <c r="C1025" t="s">
        <v>3360</v>
      </c>
      <c r="D1025">
        <v>76202036</v>
      </c>
      <c r="E1025">
        <v>2002667</v>
      </c>
      <c r="F1025" t="s">
        <v>39</v>
      </c>
      <c r="G1025">
        <v>300</v>
      </c>
      <c r="H1025" t="str">
        <f>VLOOKUP(A1025,'SV Child INS Apr'!$A:$H,1,0)</f>
        <v>76202036</v>
      </c>
      <c r="L1025" t="e">
        <f>VLOOKUP(A1025,'TV Apr Prorated Billing Sites'!$A:$I,1,0)</f>
        <v>#N/A</v>
      </c>
    </row>
    <row r="1026" spans="1:12">
      <c r="A1026" t="str">
        <f t="shared" si="18"/>
        <v>76202162</v>
      </c>
      <c r="B1026" t="s">
        <v>3361</v>
      </c>
      <c r="C1026" t="s">
        <v>3362</v>
      </c>
      <c r="D1026">
        <v>76202162</v>
      </c>
      <c r="E1026">
        <v>239</v>
      </c>
      <c r="F1026" t="s">
        <v>39</v>
      </c>
      <c r="G1026">
        <v>300</v>
      </c>
      <c r="H1026" t="str">
        <f>VLOOKUP(A1026,'SV Child INS Apr'!$A:$H,1,0)</f>
        <v>76202162</v>
      </c>
      <c r="L1026" t="e">
        <f>VLOOKUP(A1026,'TV Apr Prorated Billing Sites'!$A:$I,1,0)</f>
        <v>#N/A</v>
      </c>
    </row>
    <row r="1027" spans="1:12">
      <c r="A1027" t="str">
        <f t="shared" si="18"/>
        <v>76202167</v>
      </c>
      <c r="B1027" t="s">
        <v>3363</v>
      </c>
      <c r="C1027" t="s">
        <v>3364</v>
      </c>
      <c r="D1027">
        <v>76202167</v>
      </c>
      <c r="E1027">
        <v>2002307</v>
      </c>
      <c r="F1027" t="s">
        <v>39</v>
      </c>
      <c r="G1027">
        <v>300</v>
      </c>
      <c r="H1027" t="str">
        <f>VLOOKUP(A1027,'SV Child INS Apr'!$A:$H,1,0)</f>
        <v>76202167</v>
      </c>
      <c r="L1027" t="e">
        <f>VLOOKUP(A1027,'TV Apr Prorated Billing Sites'!$A:$I,1,0)</f>
        <v>#N/A</v>
      </c>
    </row>
    <row r="1028" spans="1:12">
      <c r="A1028" t="str">
        <f t="shared" si="18"/>
        <v>76202516</v>
      </c>
      <c r="B1028" t="s">
        <v>114</v>
      </c>
      <c r="C1028" t="s">
        <v>115</v>
      </c>
      <c r="D1028">
        <v>76202516</v>
      </c>
      <c r="E1028">
        <v>1500109</v>
      </c>
      <c r="F1028" t="s">
        <v>39</v>
      </c>
      <c r="G1028">
        <v>300</v>
      </c>
      <c r="H1028" t="e">
        <f>VLOOKUP(A1028,'SV Child INS Apr'!$A:$H,1,0)</f>
        <v>#N/A</v>
      </c>
      <c r="I1028" t="e">
        <f>VLOOKUP(B1028,'SV Child INS Apr'!$D:$F,1,0)</f>
        <v>#N/A</v>
      </c>
      <c r="J1028" t="e">
        <f>VLOOKUP(A1028,'SV Child BLG Apr'!$A:$J,1,0)</f>
        <v>#N/A</v>
      </c>
      <c r="K1028" t="e">
        <f>VLOOKUP(B1028,'SV Child BLG Apr'!$D:$I,1,0)</f>
        <v>#N/A</v>
      </c>
      <c r="L1028" t="e">
        <f>VLOOKUP(A1028,'TV Apr Prorated Billing Sites'!$A:$I,1,0)</f>
        <v>#N/A</v>
      </c>
    </row>
    <row r="1029" spans="1:12">
      <c r="A1029" t="str">
        <f t="shared" si="18"/>
        <v>76202585</v>
      </c>
      <c r="B1029" t="s">
        <v>3365</v>
      </c>
      <c r="C1029" t="s">
        <v>3366</v>
      </c>
      <c r="D1029">
        <v>76202585</v>
      </c>
      <c r="E1029">
        <v>2502480</v>
      </c>
      <c r="F1029" t="s">
        <v>39</v>
      </c>
      <c r="G1029">
        <v>300</v>
      </c>
      <c r="H1029" t="str">
        <f>VLOOKUP(A1029,'SV Child INS Apr'!$A:$H,1,0)</f>
        <v>76202585</v>
      </c>
      <c r="L1029" t="e">
        <f>VLOOKUP(A1029,'TV Apr Prorated Billing Sites'!$A:$I,1,0)</f>
        <v>#N/A</v>
      </c>
    </row>
    <row r="1030" spans="1:12">
      <c r="A1030" t="str">
        <f t="shared" si="18"/>
        <v>76202773</v>
      </c>
      <c r="B1030" t="s">
        <v>3367</v>
      </c>
      <c r="C1030" t="s">
        <v>3368</v>
      </c>
      <c r="D1030">
        <v>76202773</v>
      </c>
      <c r="E1030">
        <v>2500610</v>
      </c>
      <c r="F1030" t="s">
        <v>39</v>
      </c>
      <c r="G1030">
        <v>400</v>
      </c>
      <c r="H1030" t="str">
        <f>VLOOKUP(A1030,'SV Child INS Apr'!$A:$H,1,0)</f>
        <v>76202773</v>
      </c>
      <c r="L1030" t="e">
        <f>VLOOKUP(A1030,'TV Apr Prorated Billing Sites'!$A:$I,1,0)</f>
        <v>#N/A</v>
      </c>
    </row>
    <row r="1031" spans="1:12">
      <c r="A1031" t="str">
        <f t="shared" si="18"/>
        <v>76202969</v>
      </c>
      <c r="B1031" t="s">
        <v>3369</v>
      </c>
      <c r="C1031" t="s">
        <v>3370</v>
      </c>
      <c r="D1031">
        <v>76202969</v>
      </c>
      <c r="E1031">
        <v>2000546</v>
      </c>
      <c r="F1031" t="s">
        <v>39</v>
      </c>
      <c r="G1031">
        <v>300</v>
      </c>
      <c r="H1031" t="str">
        <f>VLOOKUP(A1031,'SV Child INS Apr'!$A:$H,1,0)</f>
        <v>76202969</v>
      </c>
      <c r="L1031" t="e">
        <f>VLOOKUP(A1031,'TV Apr Prorated Billing Sites'!$A:$I,1,0)</f>
        <v>#N/A</v>
      </c>
    </row>
    <row r="1032" spans="1:12">
      <c r="A1032" t="str">
        <f t="shared" si="18"/>
        <v>76203096</v>
      </c>
      <c r="B1032" t="s">
        <v>3371</v>
      </c>
      <c r="C1032" t="s">
        <v>3372</v>
      </c>
      <c r="D1032">
        <v>76203096</v>
      </c>
      <c r="E1032">
        <v>2003085</v>
      </c>
      <c r="F1032" t="s">
        <v>39</v>
      </c>
      <c r="G1032">
        <v>400</v>
      </c>
      <c r="H1032" t="str">
        <f>VLOOKUP(A1032,'SV Child INS Apr'!$A:$H,1,0)</f>
        <v>76203096</v>
      </c>
      <c r="L1032" t="e">
        <f>VLOOKUP(A1032,'TV Apr Prorated Billing Sites'!$A:$I,1,0)</f>
        <v>#N/A</v>
      </c>
    </row>
    <row r="1033" spans="1:12">
      <c r="A1033" t="str">
        <f t="shared" si="18"/>
        <v>76203101</v>
      </c>
      <c r="B1033" t="s">
        <v>3373</v>
      </c>
      <c r="C1033" t="s">
        <v>3374</v>
      </c>
      <c r="D1033">
        <v>76203101</v>
      </c>
      <c r="E1033">
        <v>2502822</v>
      </c>
      <c r="F1033" t="s">
        <v>39</v>
      </c>
      <c r="G1033">
        <v>300</v>
      </c>
      <c r="H1033" t="str">
        <f>VLOOKUP(A1033,'SV Child INS Apr'!$A:$H,1,0)</f>
        <v>76203101</v>
      </c>
      <c r="L1033" t="e">
        <f>VLOOKUP(A1033,'TV Apr Prorated Billing Sites'!$A:$I,1,0)</f>
        <v>#N/A</v>
      </c>
    </row>
    <row r="1034" spans="1:12">
      <c r="A1034" t="str">
        <f t="shared" si="18"/>
        <v>76203379</v>
      </c>
      <c r="B1034" t="s">
        <v>3375</v>
      </c>
      <c r="C1034" t="s">
        <v>3376</v>
      </c>
      <c r="D1034">
        <v>76203379</v>
      </c>
      <c r="E1034">
        <v>2002876</v>
      </c>
      <c r="F1034" t="s">
        <v>39</v>
      </c>
      <c r="G1034">
        <v>400</v>
      </c>
      <c r="H1034" t="str">
        <f>VLOOKUP(A1034,'SV Child INS Apr'!$A:$H,1,0)</f>
        <v>76203379</v>
      </c>
      <c r="L1034" t="e">
        <f>VLOOKUP(A1034,'TV Apr Prorated Billing Sites'!$A:$I,1,0)</f>
        <v>#N/A</v>
      </c>
    </row>
    <row r="1035" spans="1:12">
      <c r="A1035" t="str">
        <f t="shared" si="18"/>
        <v>76203392</v>
      </c>
      <c r="B1035" t="s">
        <v>3377</v>
      </c>
      <c r="C1035" t="s">
        <v>3378</v>
      </c>
      <c r="D1035">
        <v>76203392</v>
      </c>
      <c r="E1035">
        <v>2002055</v>
      </c>
      <c r="F1035" t="s">
        <v>39</v>
      </c>
      <c r="G1035">
        <v>300</v>
      </c>
      <c r="H1035" t="str">
        <f>VLOOKUP(A1035,'SV Child INS Apr'!$A:$H,1,0)</f>
        <v>76203392</v>
      </c>
      <c r="L1035" t="e">
        <f>VLOOKUP(A1035,'TV Apr Prorated Billing Sites'!$A:$I,1,0)</f>
        <v>#N/A</v>
      </c>
    </row>
    <row r="1036" spans="1:12">
      <c r="A1036" t="str">
        <f t="shared" si="18"/>
        <v>76203700</v>
      </c>
      <c r="B1036" t="s">
        <v>3379</v>
      </c>
      <c r="C1036" t="s">
        <v>3380</v>
      </c>
      <c r="D1036">
        <v>76203700</v>
      </c>
      <c r="E1036">
        <v>2500382</v>
      </c>
      <c r="F1036" t="s">
        <v>39</v>
      </c>
      <c r="G1036">
        <v>300</v>
      </c>
      <c r="H1036" t="str">
        <f>VLOOKUP(A1036,'SV Child INS Apr'!$A:$H,1,0)</f>
        <v>76203700</v>
      </c>
      <c r="L1036" t="e">
        <f>VLOOKUP(A1036,'TV Apr Prorated Billing Sites'!$A:$I,1,0)</f>
        <v>#N/A</v>
      </c>
    </row>
    <row r="1037" spans="1:12">
      <c r="A1037" t="str">
        <f t="shared" si="18"/>
        <v>76203742</v>
      </c>
      <c r="B1037" t="s">
        <v>3381</v>
      </c>
      <c r="C1037" t="s">
        <v>3382</v>
      </c>
      <c r="D1037">
        <v>76203742</v>
      </c>
      <c r="E1037">
        <v>2500381</v>
      </c>
      <c r="F1037" t="s">
        <v>39</v>
      </c>
      <c r="G1037">
        <v>300</v>
      </c>
      <c r="H1037" t="str">
        <f>VLOOKUP(A1037,'SV Child INS Apr'!$A:$H,1,0)</f>
        <v>76203742</v>
      </c>
      <c r="L1037" t="e">
        <f>VLOOKUP(A1037,'TV Apr Prorated Billing Sites'!$A:$I,1,0)</f>
        <v>#N/A</v>
      </c>
    </row>
    <row r="1038" spans="1:12">
      <c r="A1038" t="str">
        <f t="shared" si="18"/>
        <v>76203763</v>
      </c>
      <c r="B1038" t="s">
        <v>3383</v>
      </c>
      <c r="C1038" t="s">
        <v>3384</v>
      </c>
      <c r="D1038">
        <v>76203763</v>
      </c>
      <c r="E1038">
        <v>2502645</v>
      </c>
      <c r="F1038" t="s">
        <v>39</v>
      </c>
      <c r="G1038">
        <v>300</v>
      </c>
      <c r="H1038" t="str">
        <f>VLOOKUP(A1038,'SV Child INS Apr'!$A:$H,1,0)</f>
        <v>76203763</v>
      </c>
      <c r="L1038" t="e">
        <f>VLOOKUP(A1038,'TV Apr Prorated Billing Sites'!$A:$I,1,0)</f>
        <v>#N/A</v>
      </c>
    </row>
    <row r="1039" spans="1:12">
      <c r="A1039" t="str">
        <f t="shared" si="18"/>
        <v>76203889</v>
      </c>
      <c r="B1039" t="s">
        <v>3385</v>
      </c>
      <c r="C1039" t="s">
        <v>3386</v>
      </c>
      <c r="D1039">
        <v>76203889</v>
      </c>
      <c r="E1039">
        <v>2501136</v>
      </c>
      <c r="F1039" t="s">
        <v>39</v>
      </c>
      <c r="G1039">
        <v>400</v>
      </c>
      <c r="H1039" t="str">
        <f>VLOOKUP(A1039,'SV Child INS Apr'!$A:$H,1,0)</f>
        <v>76203889</v>
      </c>
      <c r="L1039" t="e">
        <f>VLOOKUP(A1039,'TV Apr Prorated Billing Sites'!$A:$I,1,0)</f>
        <v>#N/A</v>
      </c>
    </row>
    <row r="1040" spans="1:12">
      <c r="A1040" t="str">
        <f t="shared" si="18"/>
        <v>76204147</v>
      </c>
      <c r="B1040" t="s">
        <v>3387</v>
      </c>
      <c r="C1040" t="s">
        <v>3388</v>
      </c>
      <c r="D1040">
        <v>76204147</v>
      </c>
      <c r="E1040">
        <v>2003124</v>
      </c>
      <c r="F1040" t="s">
        <v>39</v>
      </c>
      <c r="G1040">
        <v>300</v>
      </c>
      <c r="H1040" t="str">
        <f>VLOOKUP(A1040,'SV Child INS Apr'!$A:$H,1,0)</f>
        <v>76204147</v>
      </c>
      <c r="L1040" t="e">
        <f>VLOOKUP(A1040,'TV Apr Prorated Billing Sites'!$A:$I,1,0)</f>
        <v>#N/A</v>
      </c>
    </row>
    <row r="1041" spans="1:13">
      <c r="A1041" t="str">
        <f t="shared" si="18"/>
        <v>76204178</v>
      </c>
      <c r="B1041" t="s">
        <v>3389</v>
      </c>
      <c r="C1041" t="s">
        <v>3390</v>
      </c>
      <c r="D1041">
        <v>76204178</v>
      </c>
      <c r="E1041">
        <v>2003110</v>
      </c>
      <c r="F1041" t="s">
        <v>39</v>
      </c>
      <c r="G1041">
        <v>300</v>
      </c>
      <c r="H1041" t="str">
        <f>VLOOKUP(A1041,'SV Child INS Apr'!$A:$H,1,0)</f>
        <v>76204178</v>
      </c>
      <c r="L1041" t="e">
        <f>VLOOKUP(A1041,'TV Apr Prorated Billing Sites'!$A:$I,1,0)</f>
        <v>#N/A</v>
      </c>
    </row>
    <row r="1042" spans="1:13">
      <c r="A1042" t="str">
        <f t="shared" si="18"/>
        <v>76204179</v>
      </c>
      <c r="B1042" t="s">
        <v>3391</v>
      </c>
      <c r="C1042" t="s">
        <v>3392</v>
      </c>
      <c r="D1042">
        <v>76204179</v>
      </c>
      <c r="E1042">
        <v>2003129</v>
      </c>
      <c r="F1042" t="s">
        <v>39</v>
      </c>
      <c r="G1042">
        <v>300</v>
      </c>
      <c r="H1042" t="str">
        <f>VLOOKUP(A1042,'SV Child INS Apr'!$A:$H,1,0)</f>
        <v>76204179</v>
      </c>
      <c r="L1042" t="e">
        <f>VLOOKUP(A1042,'TV Apr Prorated Billing Sites'!$A:$I,1,0)</f>
        <v>#N/A</v>
      </c>
    </row>
    <row r="1043" spans="1:13">
      <c r="A1043" t="str">
        <f t="shared" si="18"/>
        <v>76204181</v>
      </c>
      <c r="B1043" t="s">
        <v>921</v>
      </c>
      <c r="C1043" t="s">
        <v>1341</v>
      </c>
      <c r="D1043">
        <v>76204181</v>
      </c>
      <c r="E1043">
        <v>2001785</v>
      </c>
      <c r="F1043" t="s">
        <v>39</v>
      </c>
      <c r="G1043">
        <v>300</v>
      </c>
      <c r="H1043" t="str">
        <f>VLOOKUP(A1043,'SV Child INS Apr'!$A:$H,1,0)</f>
        <v>76204181</v>
      </c>
      <c r="L1043" t="e">
        <f>VLOOKUP(A1043,'TV Apr Prorated Billing Sites'!$A:$I,1,0)</f>
        <v>#N/A</v>
      </c>
    </row>
    <row r="1044" spans="1:13">
      <c r="A1044" t="str">
        <f t="shared" si="18"/>
        <v>76204182</v>
      </c>
      <c r="B1044" t="s">
        <v>117</v>
      </c>
      <c r="C1044" t="s">
        <v>118</v>
      </c>
      <c r="D1044">
        <v>76204182</v>
      </c>
      <c r="E1044">
        <v>2001776</v>
      </c>
      <c r="F1044" t="s">
        <v>39</v>
      </c>
      <c r="G1044">
        <v>300</v>
      </c>
      <c r="H1044" t="e">
        <f>VLOOKUP(A1044,'SV Child INS Apr'!$A:$H,1,0)</f>
        <v>#N/A</v>
      </c>
      <c r="I1044" t="e">
        <f>VLOOKUP(B1044,'SV Child INS Apr'!$D:$F,1,0)</f>
        <v>#N/A</v>
      </c>
      <c r="J1044" t="e">
        <f>VLOOKUP(A1044,'SV Child BLG Apr'!$A:$J,1,0)</f>
        <v>#N/A</v>
      </c>
      <c r="K1044" t="e">
        <f>VLOOKUP(B1044,'SV Child BLG Apr'!$D:$I,1,0)</f>
        <v>#N/A</v>
      </c>
      <c r="L1044" t="e">
        <f>VLOOKUP(A1044,'TV Apr Prorated Billing Sites'!$A:$I,1,0)</f>
        <v>#N/A</v>
      </c>
    </row>
    <row r="1045" spans="1:13">
      <c r="A1045" t="str">
        <f t="shared" si="18"/>
        <v>76204183</v>
      </c>
      <c r="B1045" t="s">
        <v>3393</v>
      </c>
      <c r="C1045" t="s">
        <v>3394</v>
      </c>
      <c r="D1045">
        <v>76204183</v>
      </c>
      <c r="E1045">
        <v>2003105</v>
      </c>
      <c r="F1045" t="s">
        <v>39</v>
      </c>
      <c r="G1045">
        <v>300</v>
      </c>
      <c r="H1045" t="str">
        <f>VLOOKUP(A1045,'SV Child INS Apr'!$A:$H,1,0)</f>
        <v>76204183</v>
      </c>
      <c r="L1045" t="e">
        <f>VLOOKUP(A1045,'TV Apr Prorated Billing Sites'!$A:$I,1,0)</f>
        <v>#N/A</v>
      </c>
    </row>
    <row r="1046" spans="1:13">
      <c r="A1046" t="str">
        <f t="shared" si="18"/>
        <v>76204189</v>
      </c>
      <c r="B1046" t="s">
        <v>3395</v>
      </c>
      <c r="C1046" t="s">
        <v>3396</v>
      </c>
      <c r="D1046">
        <v>76204189</v>
      </c>
      <c r="E1046">
        <v>2002157</v>
      </c>
      <c r="F1046" t="s">
        <v>39</v>
      </c>
      <c r="G1046">
        <v>300</v>
      </c>
      <c r="H1046" t="str">
        <f>VLOOKUP(A1046,'SV Child INS Apr'!$A:$H,1,0)</f>
        <v>76204189</v>
      </c>
      <c r="L1046" t="e">
        <f>VLOOKUP(A1046,'TV Apr Prorated Billing Sites'!$A:$I,1,0)</f>
        <v>#N/A</v>
      </c>
    </row>
    <row r="1047" spans="1:13">
      <c r="A1047" t="str">
        <f t="shared" si="18"/>
        <v>76204278</v>
      </c>
      <c r="B1047" t="s">
        <v>3397</v>
      </c>
      <c r="C1047" t="s">
        <v>3398</v>
      </c>
      <c r="D1047">
        <v>76204278</v>
      </c>
      <c r="E1047">
        <v>2001698</v>
      </c>
      <c r="F1047" t="s">
        <v>39</v>
      </c>
      <c r="G1047">
        <v>400</v>
      </c>
      <c r="H1047" t="str">
        <f>VLOOKUP(A1047,'SV Child INS Apr'!$A:$H,1,0)</f>
        <v>76204278</v>
      </c>
      <c r="L1047" t="e">
        <f>VLOOKUP(A1047,'TV Apr Prorated Billing Sites'!$A:$I,1,0)</f>
        <v>#N/A</v>
      </c>
    </row>
    <row r="1048" spans="1:13">
      <c r="A1048" t="str">
        <f t="shared" si="18"/>
        <v>76204394</v>
      </c>
      <c r="B1048" t="s">
        <v>575</v>
      </c>
      <c r="C1048" t="s">
        <v>576</v>
      </c>
      <c r="D1048">
        <v>76204394</v>
      </c>
      <c r="E1048">
        <v>2503164</v>
      </c>
      <c r="F1048" t="s">
        <v>39</v>
      </c>
      <c r="G1048">
        <v>300</v>
      </c>
      <c r="H1048" t="e">
        <f>VLOOKUP(A1048,'SV Child INS Apr'!$A:$H,1,0)</f>
        <v>#N/A</v>
      </c>
      <c r="I1048" t="e">
        <f>VLOOKUP(B1048,'SV Child INS Apr'!$D:$F,1,0)</f>
        <v>#N/A</v>
      </c>
      <c r="J1048" t="str">
        <f>VLOOKUP(A1048,'SV Child BLG Apr'!$A:$J,1,0)</f>
        <v>76204394</v>
      </c>
      <c r="L1048" t="str">
        <f>VLOOKUP(A1048,'TV Apr Prorated Billing Sites'!$A:$I,1,0)</f>
        <v>76204394</v>
      </c>
      <c r="M1048" t="e">
        <f>VLOOKUP(A1048,'CDK asked to retain list'!$H$1:$J$24,1,0)</f>
        <v>#N/A</v>
      </c>
    </row>
    <row r="1049" spans="1:13">
      <c r="A1049" t="str">
        <f t="shared" si="18"/>
        <v>76204610</v>
      </c>
      <c r="B1049" t="s">
        <v>578</v>
      </c>
      <c r="C1049" t="s">
        <v>579</v>
      </c>
      <c r="D1049">
        <v>76204610</v>
      </c>
      <c r="E1049">
        <v>2500558</v>
      </c>
      <c r="F1049" t="s">
        <v>39</v>
      </c>
      <c r="G1049">
        <v>300</v>
      </c>
      <c r="H1049" t="e">
        <f>VLOOKUP(A1049,'SV Child INS Apr'!$A:$H,1,0)</f>
        <v>#N/A</v>
      </c>
      <c r="I1049" t="e">
        <f>VLOOKUP(B1049,'SV Child INS Apr'!$D:$F,1,0)</f>
        <v>#N/A</v>
      </c>
      <c r="J1049" t="str">
        <f>VLOOKUP(A1049,'SV Child BLG Apr'!$A:$J,1,0)</f>
        <v>76204610</v>
      </c>
      <c r="L1049" t="e">
        <f>VLOOKUP(A1049,'TV Apr Prorated Billing Sites'!$A:$I,1,0)</f>
        <v>#N/A</v>
      </c>
      <c r="M1049" t="e">
        <f>VLOOKUP(A1049,'CDK asked to retain list'!$H$1:$J$24,1,0)</f>
        <v>#N/A</v>
      </c>
    </row>
    <row r="1050" spans="1:13">
      <c r="A1050" t="str">
        <f t="shared" si="18"/>
        <v>76204679</v>
      </c>
      <c r="B1050" t="s">
        <v>3399</v>
      </c>
      <c r="C1050" t="s">
        <v>3400</v>
      </c>
      <c r="D1050">
        <v>76204679</v>
      </c>
      <c r="E1050">
        <v>2503540</v>
      </c>
      <c r="F1050" t="s">
        <v>39</v>
      </c>
      <c r="G1050">
        <v>300</v>
      </c>
      <c r="H1050" t="str">
        <f>VLOOKUP(A1050,'SV Child INS Apr'!$A:$H,1,0)</f>
        <v>76204679</v>
      </c>
      <c r="L1050" t="e">
        <f>VLOOKUP(A1050,'TV Apr Prorated Billing Sites'!$A:$I,1,0)</f>
        <v>#N/A</v>
      </c>
    </row>
    <row r="1051" spans="1:13">
      <c r="A1051" t="str">
        <f t="shared" si="18"/>
        <v>76204818</v>
      </c>
      <c r="B1051" t="s">
        <v>3401</v>
      </c>
      <c r="C1051" t="s">
        <v>3402</v>
      </c>
      <c r="D1051">
        <v>76204818</v>
      </c>
      <c r="E1051">
        <v>2000773</v>
      </c>
      <c r="F1051" t="s">
        <v>39</v>
      </c>
      <c r="G1051">
        <v>300</v>
      </c>
      <c r="H1051" t="str">
        <f>VLOOKUP(A1051,'SV Child INS Apr'!$A:$H,1,0)</f>
        <v>76204818</v>
      </c>
      <c r="L1051" t="e">
        <f>VLOOKUP(A1051,'TV Apr Prorated Billing Sites'!$A:$I,1,0)</f>
        <v>#N/A</v>
      </c>
    </row>
    <row r="1052" spans="1:13">
      <c r="A1052" t="str">
        <f t="shared" si="18"/>
        <v>76205075</v>
      </c>
      <c r="B1052" t="s">
        <v>3403</v>
      </c>
      <c r="C1052" t="s">
        <v>3404</v>
      </c>
      <c r="D1052">
        <v>76205075</v>
      </c>
      <c r="E1052">
        <v>2000676</v>
      </c>
      <c r="F1052" t="s">
        <v>39</v>
      </c>
      <c r="G1052">
        <v>300</v>
      </c>
      <c r="H1052" t="str">
        <f>VLOOKUP(A1052,'SV Child INS Apr'!$A:$H,1,0)</f>
        <v>76205075</v>
      </c>
      <c r="L1052" t="e">
        <f>VLOOKUP(A1052,'TV Apr Prorated Billing Sites'!$A:$I,1,0)</f>
        <v>#N/A</v>
      </c>
    </row>
    <row r="1053" spans="1:13">
      <c r="A1053" t="str">
        <f t="shared" si="18"/>
        <v>76205076</v>
      </c>
      <c r="B1053" t="s">
        <v>3405</v>
      </c>
      <c r="C1053" t="s">
        <v>3406</v>
      </c>
      <c r="D1053">
        <v>76205076</v>
      </c>
      <c r="E1053">
        <v>2503288</v>
      </c>
      <c r="F1053" t="s">
        <v>39</v>
      </c>
      <c r="G1053">
        <v>300</v>
      </c>
      <c r="H1053" t="str">
        <f>VLOOKUP(A1053,'SV Child INS Apr'!$A:$H,1,0)</f>
        <v>76205076</v>
      </c>
      <c r="L1053" t="e">
        <f>VLOOKUP(A1053,'TV Apr Prorated Billing Sites'!$A:$I,1,0)</f>
        <v>#N/A</v>
      </c>
    </row>
    <row r="1054" spans="1:13">
      <c r="A1054" t="str">
        <f t="shared" si="18"/>
        <v>76205095</v>
      </c>
      <c r="B1054" t="s">
        <v>3407</v>
      </c>
      <c r="C1054" t="s">
        <v>3408</v>
      </c>
      <c r="D1054">
        <v>76205095</v>
      </c>
      <c r="E1054">
        <v>2501206</v>
      </c>
      <c r="F1054" t="s">
        <v>39</v>
      </c>
      <c r="G1054">
        <v>300</v>
      </c>
      <c r="H1054" t="str">
        <f>VLOOKUP(A1054,'SV Child INS Apr'!$A:$H,1,0)</f>
        <v>76205095</v>
      </c>
      <c r="L1054" t="e">
        <f>VLOOKUP(A1054,'TV Apr Prorated Billing Sites'!$A:$I,1,0)</f>
        <v>#N/A</v>
      </c>
    </row>
    <row r="1055" spans="1:13">
      <c r="A1055" t="str">
        <f t="shared" si="18"/>
        <v>76205154</v>
      </c>
      <c r="B1055" t="s">
        <v>3409</v>
      </c>
      <c r="C1055" t="s">
        <v>3410</v>
      </c>
      <c r="D1055">
        <v>76205154</v>
      </c>
      <c r="E1055">
        <v>13100</v>
      </c>
      <c r="F1055" t="s">
        <v>39</v>
      </c>
      <c r="G1055">
        <v>300</v>
      </c>
      <c r="H1055" t="str">
        <f>VLOOKUP(A1055,'SV Child INS Apr'!$A:$H,1,0)</f>
        <v>76205154</v>
      </c>
      <c r="L1055" t="e">
        <f>VLOOKUP(A1055,'TV Apr Prorated Billing Sites'!$A:$I,1,0)</f>
        <v>#N/A</v>
      </c>
    </row>
    <row r="1056" spans="1:13">
      <c r="A1056" t="str">
        <f t="shared" si="18"/>
        <v>76205529</v>
      </c>
      <c r="B1056" t="s">
        <v>3411</v>
      </c>
      <c r="C1056" t="s">
        <v>3412</v>
      </c>
      <c r="D1056">
        <v>76205529</v>
      </c>
      <c r="E1056">
        <v>2500614</v>
      </c>
      <c r="F1056" t="s">
        <v>39</v>
      </c>
      <c r="G1056">
        <v>400</v>
      </c>
      <c r="H1056" t="str">
        <f>VLOOKUP(A1056,'SV Child INS Apr'!$A:$H,1,0)</f>
        <v>76205529</v>
      </c>
      <c r="L1056" t="e">
        <f>VLOOKUP(A1056,'TV Apr Prorated Billing Sites'!$A:$I,1,0)</f>
        <v>#N/A</v>
      </c>
    </row>
    <row r="1057" spans="1:12">
      <c r="A1057" t="str">
        <f t="shared" si="18"/>
        <v>76205530</v>
      </c>
      <c r="B1057" t="s">
        <v>3413</v>
      </c>
      <c r="C1057" t="s">
        <v>3414</v>
      </c>
      <c r="D1057">
        <v>76205530</v>
      </c>
      <c r="E1057">
        <v>2500602</v>
      </c>
      <c r="F1057" t="s">
        <v>39</v>
      </c>
      <c r="G1057">
        <v>400</v>
      </c>
      <c r="H1057" t="str">
        <f>VLOOKUP(A1057,'SV Child INS Apr'!$A:$H,1,0)</f>
        <v>76205530</v>
      </c>
      <c r="L1057" t="e">
        <f>VLOOKUP(A1057,'TV Apr Prorated Billing Sites'!$A:$I,1,0)</f>
        <v>#N/A</v>
      </c>
    </row>
    <row r="1058" spans="1:12">
      <c r="A1058" t="str">
        <f t="shared" si="18"/>
        <v>76205531</v>
      </c>
      <c r="B1058" t="s">
        <v>3415</v>
      </c>
      <c r="C1058" t="s">
        <v>3416</v>
      </c>
      <c r="D1058">
        <v>76205531</v>
      </c>
      <c r="E1058">
        <v>2500612</v>
      </c>
      <c r="F1058" t="s">
        <v>39</v>
      </c>
      <c r="G1058">
        <v>400</v>
      </c>
      <c r="H1058" t="str">
        <f>VLOOKUP(A1058,'SV Child INS Apr'!$A:$H,1,0)</f>
        <v>76205531</v>
      </c>
      <c r="L1058" t="e">
        <f>VLOOKUP(A1058,'TV Apr Prorated Billing Sites'!$A:$I,1,0)</f>
        <v>#N/A</v>
      </c>
    </row>
    <row r="1059" spans="1:12">
      <c r="A1059" t="str">
        <f t="shared" si="18"/>
        <v>76205533</v>
      </c>
      <c r="B1059" t="s">
        <v>3417</v>
      </c>
      <c r="C1059" t="s">
        <v>3418</v>
      </c>
      <c r="D1059">
        <v>76205533</v>
      </c>
      <c r="E1059">
        <v>2500613</v>
      </c>
      <c r="F1059" t="s">
        <v>39</v>
      </c>
      <c r="G1059">
        <v>400</v>
      </c>
      <c r="H1059" t="str">
        <f>VLOOKUP(A1059,'SV Child INS Apr'!$A:$H,1,0)</f>
        <v>76205533</v>
      </c>
      <c r="L1059" t="e">
        <f>VLOOKUP(A1059,'TV Apr Prorated Billing Sites'!$A:$I,1,0)</f>
        <v>#N/A</v>
      </c>
    </row>
    <row r="1060" spans="1:12">
      <c r="A1060" t="str">
        <f t="shared" si="18"/>
        <v>76205534</v>
      </c>
      <c r="B1060" t="s">
        <v>3419</v>
      </c>
      <c r="C1060" t="s">
        <v>3420</v>
      </c>
      <c r="D1060">
        <v>76205534</v>
      </c>
      <c r="E1060">
        <v>2500605</v>
      </c>
      <c r="F1060" t="s">
        <v>39</v>
      </c>
      <c r="G1060">
        <v>400</v>
      </c>
      <c r="H1060" t="str">
        <f>VLOOKUP(A1060,'SV Child INS Apr'!$A:$H,1,0)</f>
        <v>76205534</v>
      </c>
      <c r="L1060" t="e">
        <f>VLOOKUP(A1060,'TV Apr Prorated Billing Sites'!$A:$I,1,0)</f>
        <v>#N/A</v>
      </c>
    </row>
    <row r="1061" spans="1:12">
      <c r="A1061" t="str">
        <f t="shared" si="18"/>
        <v>76205535</v>
      </c>
      <c r="B1061" t="s">
        <v>3421</v>
      </c>
      <c r="C1061" t="s">
        <v>3422</v>
      </c>
      <c r="D1061">
        <v>76205535</v>
      </c>
      <c r="E1061">
        <v>2500608</v>
      </c>
      <c r="F1061" t="s">
        <v>39</v>
      </c>
      <c r="G1061">
        <v>400</v>
      </c>
      <c r="H1061" t="str">
        <f>VLOOKUP(A1061,'SV Child INS Apr'!$A:$H,1,0)</f>
        <v>76205535</v>
      </c>
      <c r="L1061" t="e">
        <f>VLOOKUP(A1061,'TV Apr Prorated Billing Sites'!$A:$I,1,0)</f>
        <v>#N/A</v>
      </c>
    </row>
    <row r="1062" spans="1:12">
      <c r="A1062" t="str">
        <f t="shared" si="18"/>
        <v>76205536</v>
      </c>
      <c r="B1062" t="s">
        <v>3423</v>
      </c>
      <c r="C1062" t="s">
        <v>3424</v>
      </c>
      <c r="D1062">
        <v>76205536</v>
      </c>
      <c r="E1062">
        <v>2500601</v>
      </c>
      <c r="F1062" t="s">
        <v>39</v>
      </c>
      <c r="G1062">
        <v>400</v>
      </c>
      <c r="H1062" t="str">
        <f>VLOOKUP(A1062,'SV Child INS Apr'!$A:$H,1,0)</f>
        <v>76205536</v>
      </c>
      <c r="L1062" t="e">
        <f>VLOOKUP(A1062,'TV Apr Prorated Billing Sites'!$A:$I,1,0)</f>
        <v>#N/A</v>
      </c>
    </row>
    <row r="1063" spans="1:12">
      <c r="A1063" t="str">
        <f t="shared" si="18"/>
        <v>76205537</v>
      </c>
      <c r="B1063" t="s">
        <v>3425</v>
      </c>
      <c r="C1063" t="s">
        <v>3426</v>
      </c>
      <c r="D1063">
        <v>76205537</v>
      </c>
      <c r="E1063">
        <v>2500606</v>
      </c>
      <c r="F1063" t="s">
        <v>39</v>
      </c>
      <c r="G1063">
        <v>300</v>
      </c>
      <c r="H1063" t="str">
        <f>VLOOKUP(A1063,'SV Child INS Apr'!$A:$H,1,0)</f>
        <v>76205537</v>
      </c>
      <c r="L1063" t="e">
        <f>VLOOKUP(A1063,'TV Apr Prorated Billing Sites'!$A:$I,1,0)</f>
        <v>#N/A</v>
      </c>
    </row>
    <row r="1064" spans="1:12">
      <c r="A1064" t="str">
        <f t="shared" si="18"/>
        <v>76205538</v>
      </c>
      <c r="B1064" t="s">
        <v>3427</v>
      </c>
      <c r="C1064" t="s">
        <v>3428</v>
      </c>
      <c r="D1064">
        <v>76205538</v>
      </c>
      <c r="E1064">
        <v>2500609</v>
      </c>
      <c r="F1064" t="s">
        <v>39</v>
      </c>
      <c r="G1064">
        <v>400</v>
      </c>
      <c r="H1064" t="str">
        <f>VLOOKUP(A1064,'SV Child INS Apr'!$A:$H,1,0)</f>
        <v>76205538</v>
      </c>
      <c r="L1064" t="e">
        <f>VLOOKUP(A1064,'TV Apr Prorated Billing Sites'!$A:$I,1,0)</f>
        <v>#N/A</v>
      </c>
    </row>
    <row r="1065" spans="1:12">
      <c r="A1065" t="str">
        <f t="shared" ref="A1065:A1128" si="19">TRIM(D1065)</f>
        <v>76205554</v>
      </c>
      <c r="B1065" t="s">
        <v>3429</v>
      </c>
      <c r="C1065" t="s">
        <v>3430</v>
      </c>
      <c r="D1065">
        <v>76205554</v>
      </c>
      <c r="E1065">
        <v>2001376</v>
      </c>
      <c r="F1065" t="s">
        <v>39</v>
      </c>
      <c r="G1065">
        <v>300</v>
      </c>
      <c r="H1065" t="str">
        <f>VLOOKUP(A1065,'SV Child INS Apr'!$A:$H,1,0)</f>
        <v>76205554</v>
      </c>
      <c r="L1065" t="e">
        <f>VLOOKUP(A1065,'TV Apr Prorated Billing Sites'!$A:$I,1,0)</f>
        <v>#N/A</v>
      </c>
    </row>
    <row r="1066" spans="1:12">
      <c r="A1066" t="str">
        <f t="shared" si="19"/>
        <v>76205609</v>
      </c>
      <c r="B1066" t="s">
        <v>120</v>
      </c>
      <c r="C1066" t="s">
        <v>121</v>
      </c>
      <c r="D1066">
        <v>76205609</v>
      </c>
      <c r="E1066">
        <v>2000850</v>
      </c>
      <c r="F1066" t="s">
        <v>39</v>
      </c>
      <c r="G1066">
        <v>300</v>
      </c>
      <c r="H1066" t="e">
        <f>VLOOKUP(A1066,'SV Child INS Apr'!$A:$H,1,0)</f>
        <v>#N/A</v>
      </c>
      <c r="I1066" t="e">
        <f>VLOOKUP(B1066,'SV Child INS Apr'!$D:$F,1,0)</f>
        <v>#N/A</v>
      </c>
      <c r="J1066" t="e">
        <f>VLOOKUP(A1066,'SV Child BLG Apr'!$A:$J,1,0)</f>
        <v>#N/A</v>
      </c>
      <c r="K1066" t="e">
        <f>VLOOKUP(B1066,'SV Child BLG Apr'!$D:$I,1,0)</f>
        <v>#N/A</v>
      </c>
      <c r="L1066" t="e">
        <f>VLOOKUP(A1066,'TV Apr Prorated Billing Sites'!$A:$I,1,0)</f>
        <v>#N/A</v>
      </c>
    </row>
    <row r="1067" spans="1:12">
      <c r="A1067" t="str">
        <f t="shared" si="19"/>
        <v>76205917</v>
      </c>
      <c r="B1067" t="s">
        <v>3431</v>
      </c>
      <c r="C1067" t="s">
        <v>3432</v>
      </c>
      <c r="D1067">
        <v>76205917</v>
      </c>
      <c r="E1067">
        <v>2500209</v>
      </c>
      <c r="F1067" t="s">
        <v>39</v>
      </c>
      <c r="G1067">
        <v>300</v>
      </c>
      <c r="H1067" t="str">
        <f>VLOOKUP(A1067,'SV Child INS Apr'!$A:$H,1,0)</f>
        <v>76205917</v>
      </c>
      <c r="L1067" t="e">
        <f>VLOOKUP(A1067,'TV Apr Prorated Billing Sites'!$A:$I,1,0)</f>
        <v>#N/A</v>
      </c>
    </row>
    <row r="1068" spans="1:12">
      <c r="A1068" t="str">
        <f t="shared" si="19"/>
        <v>76205968</v>
      </c>
      <c r="B1068" t="s">
        <v>3433</v>
      </c>
      <c r="C1068" t="s">
        <v>3434</v>
      </c>
      <c r="D1068">
        <v>76205968</v>
      </c>
      <c r="E1068">
        <v>3000356</v>
      </c>
      <c r="F1068" t="s">
        <v>39</v>
      </c>
      <c r="G1068">
        <v>300</v>
      </c>
      <c r="H1068" t="str">
        <f>VLOOKUP(A1068,'SV Child INS Apr'!$A:$H,1,0)</f>
        <v>76205968</v>
      </c>
      <c r="L1068" t="e">
        <f>VLOOKUP(A1068,'TV Apr Prorated Billing Sites'!$A:$I,1,0)</f>
        <v>#N/A</v>
      </c>
    </row>
    <row r="1069" spans="1:12">
      <c r="A1069" t="str">
        <f t="shared" si="19"/>
        <v>76206035</v>
      </c>
      <c r="B1069" t="s">
        <v>3435</v>
      </c>
      <c r="C1069" t="s">
        <v>3436</v>
      </c>
      <c r="D1069">
        <v>76206035</v>
      </c>
      <c r="E1069">
        <v>2501072</v>
      </c>
      <c r="F1069" t="s">
        <v>39</v>
      </c>
      <c r="G1069">
        <v>300</v>
      </c>
      <c r="H1069" t="str">
        <f>VLOOKUP(A1069,'SV Child INS Apr'!$A:$H,1,0)</f>
        <v>76206035</v>
      </c>
      <c r="L1069" t="e">
        <f>VLOOKUP(A1069,'TV Apr Prorated Billing Sites'!$A:$I,1,0)</f>
        <v>#N/A</v>
      </c>
    </row>
    <row r="1070" spans="1:12">
      <c r="A1070" t="str">
        <f t="shared" si="19"/>
        <v>76206272</v>
      </c>
      <c r="B1070" t="s">
        <v>3437</v>
      </c>
      <c r="C1070" t="s">
        <v>3438</v>
      </c>
      <c r="D1070">
        <v>76206272</v>
      </c>
      <c r="E1070">
        <v>8084</v>
      </c>
      <c r="F1070" t="s">
        <v>39</v>
      </c>
      <c r="G1070">
        <v>300</v>
      </c>
      <c r="H1070" t="str">
        <f>VLOOKUP(A1070,'SV Child INS Apr'!$A:$H,1,0)</f>
        <v>76206272</v>
      </c>
      <c r="L1070" t="e">
        <f>VLOOKUP(A1070,'TV Apr Prorated Billing Sites'!$A:$I,1,0)</f>
        <v>#N/A</v>
      </c>
    </row>
    <row r="1071" spans="1:12">
      <c r="A1071" t="str">
        <f t="shared" si="19"/>
        <v>76206329</v>
      </c>
      <c r="B1071" t="s">
        <v>3439</v>
      </c>
      <c r="C1071" t="s">
        <v>3440</v>
      </c>
      <c r="D1071">
        <v>76206329</v>
      </c>
      <c r="E1071">
        <v>2000659</v>
      </c>
      <c r="F1071" t="s">
        <v>39</v>
      </c>
      <c r="G1071">
        <v>300</v>
      </c>
      <c r="H1071" t="str">
        <f>VLOOKUP(A1071,'SV Child INS Apr'!$A:$H,1,0)</f>
        <v>76206329</v>
      </c>
      <c r="L1071" t="e">
        <f>VLOOKUP(A1071,'TV Apr Prorated Billing Sites'!$A:$I,1,0)</f>
        <v>#N/A</v>
      </c>
    </row>
    <row r="1072" spans="1:12">
      <c r="A1072" t="str">
        <f t="shared" si="19"/>
        <v>76206366</v>
      </c>
      <c r="B1072" t="s">
        <v>3441</v>
      </c>
      <c r="C1072" t="s">
        <v>3442</v>
      </c>
      <c r="D1072">
        <v>76206366</v>
      </c>
      <c r="E1072">
        <v>2500854</v>
      </c>
      <c r="F1072" t="s">
        <v>39</v>
      </c>
      <c r="G1072">
        <v>400</v>
      </c>
      <c r="H1072" t="str">
        <f>VLOOKUP(A1072,'SV Child INS Apr'!$A:$H,1,0)</f>
        <v>76206366</v>
      </c>
      <c r="L1072" t="e">
        <f>VLOOKUP(A1072,'TV Apr Prorated Billing Sites'!$A:$I,1,0)</f>
        <v>#N/A</v>
      </c>
    </row>
    <row r="1073" spans="1:13">
      <c r="A1073" t="str">
        <f t="shared" si="19"/>
        <v>76206439</v>
      </c>
      <c r="B1073" t="s">
        <v>3443</v>
      </c>
      <c r="C1073" t="s">
        <v>3444</v>
      </c>
      <c r="D1073">
        <v>76206439</v>
      </c>
      <c r="E1073">
        <v>2000748</v>
      </c>
      <c r="F1073" t="s">
        <v>39</v>
      </c>
      <c r="G1073">
        <v>300</v>
      </c>
      <c r="H1073" t="str">
        <f>VLOOKUP(A1073,'SV Child INS Apr'!$A:$H,1,0)</f>
        <v>76206439</v>
      </c>
      <c r="L1073" t="str">
        <f>VLOOKUP(A1073,'TV Apr Prorated Billing Sites'!$A:$I,1,0)</f>
        <v>76206439</v>
      </c>
    </row>
    <row r="1074" spans="1:13">
      <c r="A1074" t="str">
        <f t="shared" si="19"/>
        <v>76206447</v>
      </c>
      <c r="B1074" t="s">
        <v>3445</v>
      </c>
      <c r="C1074" t="s">
        <v>3446</v>
      </c>
      <c r="D1074">
        <v>76206447</v>
      </c>
      <c r="E1074">
        <v>2000755</v>
      </c>
      <c r="F1074" t="s">
        <v>39</v>
      </c>
      <c r="G1074">
        <v>300</v>
      </c>
      <c r="H1074" t="str">
        <f>VLOOKUP(A1074,'SV Child INS Apr'!$A:$H,1,0)</f>
        <v>76206447</v>
      </c>
      <c r="L1074" t="str">
        <f>VLOOKUP(A1074,'TV Apr Prorated Billing Sites'!$A:$I,1,0)</f>
        <v>76206447</v>
      </c>
    </row>
    <row r="1075" spans="1:13">
      <c r="A1075" t="str">
        <f t="shared" si="19"/>
        <v>76206489</v>
      </c>
      <c r="B1075" t="s">
        <v>3447</v>
      </c>
      <c r="C1075" t="s">
        <v>3448</v>
      </c>
      <c r="D1075">
        <v>76206489</v>
      </c>
      <c r="E1075">
        <v>2000862</v>
      </c>
      <c r="F1075" t="s">
        <v>39</v>
      </c>
      <c r="G1075">
        <v>300</v>
      </c>
      <c r="H1075" t="str">
        <f>VLOOKUP(A1075,'SV Child INS Apr'!$A:$H,1,0)</f>
        <v>76206489</v>
      </c>
      <c r="L1075" t="e">
        <f>VLOOKUP(A1075,'TV Apr Prorated Billing Sites'!$A:$I,1,0)</f>
        <v>#N/A</v>
      </c>
    </row>
    <row r="1076" spans="1:13">
      <c r="A1076" t="str">
        <f t="shared" si="19"/>
        <v>76206543</v>
      </c>
      <c r="B1076" t="s">
        <v>581</v>
      </c>
      <c r="C1076" t="s">
        <v>582</v>
      </c>
      <c r="D1076">
        <v>76206543</v>
      </c>
      <c r="E1076">
        <v>3000651</v>
      </c>
      <c r="F1076" t="s">
        <v>39</v>
      </c>
      <c r="G1076">
        <v>300</v>
      </c>
      <c r="H1076" t="e">
        <f>VLOOKUP(A1076,'SV Child INS Apr'!$A:$H,1,0)</f>
        <v>#N/A</v>
      </c>
      <c r="I1076" t="e">
        <f>VLOOKUP(B1076,'SV Child INS Apr'!$D:$F,1,0)</f>
        <v>#N/A</v>
      </c>
      <c r="J1076" t="str">
        <f>VLOOKUP(A1076,'SV Child BLG Apr'!$A:$J,1,0)</f>
        <v>76206543</v>
      </c>
      <c r="L1076" t="e">
        <f>VLOOKUP(A1076,'TV Apr Prorated Billing Sites'!$A:$I,1,0)</f>
        <v>#N/A</v>
      </c>
      <c r="M1076" t="e">
        <f>VLOOKUP(A1076,'CDK asked to retain list'!$H$1:$J$24,1,0)</f>
        <v>#N/A</v>
      </c>
    </row>
    <row r="1077" spans="1:13">
      <c r="A1077" t="str">
        <f t="shared" si="19"/>
        <v>76206565</v>
      </c>
      <c r="B1077" t="s">
        <v>3449</v>
      </c>
      <c r="C1077" t="s">
        <v>3450</v>
      </c>
      <c r="D1077">
        <v>76206565</v>
      </c>
      <c r="E1077">
        <v>2502715</v>
      </c>
      <c r="F1077" t="s">
        <v>39</v>
      </c>
      <c r="G1077">
        <v>300</v>
      </c>
      <c r="H1077" t="str">
        <f>VLOOKUP(A1077,'SV Child INS Apr'!$A:$H,1,0)</f>
        <v>76206565</v>
      </c>
      <c r="L1077" t="e">
        <f>VLOOKUP(A1077,'TV Apr Prorated Billing Sites'!$A:$I,1,0)</f>
        <v>#N/A</v>
      </c>
    </row>
    <row r="1078" spans="1:13">
      <c r="A1078" t="str">
        <f t="shared" si="19"/>
        <v>76206566</v>
      </c>
      <c r="B1078" t="s">
        <v>3451</v>
      </c>
      <c r="C1078" t="s">
        <v>3452</v>
      </c>
      <c r="D1078">
        <v>76206566</v>
      </c>
      <c r="E1078">
        <v>2501577</v>
      </c>
      <c r="F1078" t="s">
        <v>39</v>
      </c>
      <c r="G1078">
        <v>300</v>
      </c>
      <c r="H1078" t="str">
        <f>VLOOKUP(A1078,'SV Child INS Apr'!$A:$H,1,0)</f>
        <v>76206566</v>
      </c>
      <c r="L1078" t="e">
        <f>VLOOKUP(A1078,'TV Apr Prorated Billing Sites'!$A:$I,1,0)</f>
        <v>#N/A</v>
      </c>
    </row>
    <row r="1079" spans="1:13">
      <c r="A1079" t="str">
        <f t="shared" si="19"/>
        <v>76206626</v>
      </c>
      <c r="B1079" t="s">
        <v>3453</v>
      </c>
      <c r="C1079" t="s">
        <v>3454</v>
      </c>
      <c r="D1079">
        <v>76206626</v>
      </c>
      <c r="E1079">
        <v>2503222</v>
      </c>
      <c r="F1079" t="s">
        <v>39</v>
      </c>
      <c r="G1079">
        <v>300</v>
      </c>
      <c r="H1079" t="str">
        <f>VLOOKUP(A1079,'SV Child INS Apr'!$A:$H,1,0)</f>
        <v>76206626</v>
      </c>
      <c r="L1079" t="e">
        <f>VLOOKUP(A1079,'TV Apr Prorated Billing Sites'!$A:$I,1,0)</f>
        <v>#N/A</v>
      </c>
    </row>
    <row r="1080" spans="1:13">
      <c r="A1080" t="str">
        <f t="shared" si="19"/>
        <v>76206628</v>
      </c>
      <c r="B1080" t="s">
        <v>3455</v>
      </c>
      <c r="C1080" t="s">
        <v>3456</v>
      </c>
      <c r="D1080">
        <v>76206628</v>
      </c>
      <c r="E1080">
        <v>1500071</v>
      </c>
      <c r="F1080" t="s">
        <v>39</v>
      </c>
      <c r="G1080">
        <v>300</v>
      </c>
      <c r="H1080" t="e">
        <f>VLOOKUP(A1080,'SV Child INS Apr'!$A:$H,1,0)</f>
        <v>#N/A</v>
      </c>
      <c r="I1080" t="str">
        <f>VLOOKUP(B1080,'SV Child INS Apr'!$D:$F,1,0)</f>
        <v>MODERN INFINITI OF WINSTON-SALEM</v>
      </c>
      <c r="L1080" t="e">
        <f>VLOOKUP(A1080,'TV Apr Prorated Billing Sites'!$A:$I,1,0)</f>
        <v>#N/A</v>
      </c>
    </row>
    <row r="1081" spans="1:13">
      <c r="A1081" t="str">
        <f t="shared" si="19"/>
        <v>76206629</v>
      </c>
      <c r="B1081" t="s">
        <v>3457</v>
      </c>
      <c r="C1081" t="s">
        <v>3458</v>
      </c>
      <c r="D1081">
        <v>76206629</v>
      </c>
      <c r="E1081">
        <v>103004</v>
      </c>
      <c r="F1081" t="s">
        <v>39</v>
      </c>
      <c r="G1081">
        <v>300</v>
      </c>
      <c r="H1081" t="e">
        <f>VLOOKUP(A1081,'SV Child INS Apr'!$A:$H,1,0)</f>
        <v>#N/A</v>
      </c>
      <c r="I1081" t="str">
        <f>VLOOKUP(B1081,'SV Child INS Apr'!$D:$F,1,0)</f>
        <v>MODERN NISSAN OF CONCORD</v>
      </c>
      <c r="L1081" t="e">
        <f>VLOOKUP(A1081,'TV Apr Prorated Billing Sites'!$A:$I,1,0)</f>
        <v>#N/A</v>
      </c>
    </row>
    <row r="1082" spans="1:13">
      <c r="A1082" t="str">
        <f t="shared" si="19"/>
        <v>76206958</v>
      </c>
      <c r="B1082" t="s">
        <v>3459</v>
      </c>
      <c r="C1082" t="s">
        <v>3460</v>
      </c>
      <c r="D1082">
        <v>76206958</v>
      </c>
      <c r="E1082">
        <v>2500647</v>
      </c>
      <c r="F1082" t="s">
        <v>39</v>
      </c>
      <c r="G1082">
        <v>300</v>
      </c>
      <c r="H1082" t="str">
        <f>VLOOKUP(A1082,'SV Child INS Apr'!$A:$H,1,0)</f>
        <v>76206958</v>
      </c>
      <c r="L1082" t="e">
        <f>VLOOKUP(A1082,'TV Apr Prorated Billing Sites'!$A:$I,1,0)</f>
        <v>#N/A</v>
      </c>
    </row>
    <row r="1083" spans="1:13">
      <c r="A1083" t="str">
        <f t="shared" si="19"/>
        <v>76207062</v>
      </c>
      <c r="B1083" t="s">
        <v>3461</v>
      </c>
      <c r="C1083" t="s">
        <v>3462</v>
      </c>
      <c r="D1083">
        <v>76207062</v>
      </c>
      <c r="E1083">
        <v>3001021</v>
      </c>
      <c r="F1083" t="s">
        <v>39</v>
      </c>
      <c r="G1083">
        <v>300</v>
      </c>
      <c r="H1083" t="str">
        <f>VLOOKUP(A1083,'SV Child INS Apr'!$A:$H,1,0)</f>
        <v>76207062</v>
      </c>
      <c r="L1083" t="e">
        <f>VLOOKUP(A1083,'TV Apr Prorated Billing Sites'!$A:$I,1,0)</f>
        <v>#N/A</v>
      </c>
    </row>
    <row r="1084" spans="1:13">
      <c r="A1084" t="str">
        <f t="shared" si="19"/>
        <v>76207080</v>
      </c>
      <c r="B1084" t="s">
        <v>3463</v>
      </c>
      <c r="C1084" t="s">
        <v>3464</v>
      </c>
      <c r="D1084">
        <v>76207080</v>
      </c>
      <c r="E1084">
        <v>2501947</v>
      </c>
      <c r="F1084" t="s">
        <v>39</v>
      </c>
      <c r="G1084">
        <v>300</v>
      </c>
      <c r="H1084" t="str">
        <f>VLOOKUP(A1084,'SV Child INS Apr'!$A:$H,1,0)</f>
        <v>76207080</v>
      </c>
      <c r="L1084" t="e">
        <f>VLOOKUP(A1084,'TV Apr Prorated Billing Sites'!$A:$I,1,0)</f>
        <v>#N/A</v>
      </c>
    </row>
    <row r="1085" spans="1:13">
      <c r="A1085" t="str">
        <f t="shared" si="19"/>
        <v>76207189</v>
      </c>
      <c r="B1085" t="s">
        <v>3465</v>
      </c>
      <c r="C1085" t="s">
        <v>3466</v>
      </c>
      <c r="D1085">
        <v>76207189</v>
      </c>
      <c r="E1085">
        <v>2501617</v>
      </c>
      <c r="F1085" t="s">
        <v>39</v>
      </c>
      <c r="G1085">
        <v>300</v>
      </c>
      <c r="H1085" t="str">
        <f>VLOOKUP(A1085,'SV Child INS Apr'!$A:$H,1,0)</f>
        <v>76207189</v>
      </c>
      <c r="L1085" t="e">
        <f>VLOOKUP(A1085,'TV Apr Prorated Billing Sites'!$A:$I,1,0)</f>
        <v>#N/A</v>
      </c>
    </row>
    <row r="1086" spans="1:13">
      <c r="A1086" t="str">
        <f t="shared" si="19"/>
        <v>76207218</v>
      </c>
      <c r="B1086" t="s">
        <v>3467</v>
      </c>
      <c r="C1086" t="s">
        <v>3468</v>
      </c>
      <c r="D1086">
        <v>76207218</v>
      </c>
      <c r="E1086">
        <v>2500680</v>
      </c>
      <c r="F1086" t="s">
        <v>39</v>
      </c>
      <c r="G1086">
        <v>300</v>
      </c>
      <c r="H1086" t="str">
        <f>VLOOKUP(A1086,'SV Child INS Apr'!$A:$H,1,0)</f>
        <v>76207218</v>
      </c>
      <c r="L1086" t="e">
        <f>VLOOKUP(A1086,'TV Apr Prorated Billing Sites'!$A:$I,1,0)</f>
        <v>#N/A</v>
      </c>
    </row>
    <row r="1087" spans="1:13">
      <c r="A1087" t="str">
        <f t="shared" si="19"/>
        <v>76207219</v>
      </c>
      <c r="B1087" t="s">
        <v>3469</v>
      </c>
      <c r="C1087" t="s">
        <v>3470</v>
      </c>
      <c r="D1087">
        <v>76207219</v>
      </c>
      <c r="E1087">
        <v>2500681</v>
      </c>
      <c r="F1087" t="s">
        <v>39</v>
      </c>
      <c r="G1087">
        <v>300</v>
      </c>
      <c r="H1087" t="str">
        <f>VLOOKUP(A1087,'SV Child INS Apr'!$A:$H,1,0)</f>
        <v>76207219</v>
      </c>
      <c r="L1087" t="e">
        <f>VLOOKUP(A1087,'TV Apr Prorated Billing Sites'!$A:$I,1,0)</f>
        <v>#N/A</v>
      </c>
    </row>
    <row r="1088" spans="1:13">
      <c r="A1088" t="str">
        <f t="shared" si="19"/>
        <v>76207480</v>
      </c>
      <c r="B1088" t="s">
        <v>3471</v>
      </c>
      <c r="C1088" t="s">
        <v>3472</v>
      </c>
      <c r="D1088">
        <v>76207480</v>
      </c>
      <c r="E1088">
        <v>2001296</v>
      </c>
      <c r="F1088" t="s">
        <v>39</v>
      </c>
      <c r="G1088">
        <v>300</v>
      </c>
      <c r="H1088" t="str">
        <f>VLOOKUP(A1088,'SV Child INS Apr'!$A:$H,1,0)</f>
        <v>76207480</v>
      </c>
      <c r="L1088" t="e">
        <f>VLOOKUP(A1088,'TV Apr Prorated Billing Sites'!$A:$I,1,0)</f>
        <v>#N/A</v>
      </c>
    </row>
    <row r="1089" spans="1:12">
      <c r="A1089" t="str">
        <f t="shared" si="19"/>
        <v>76207640</v>
      </c>
      <c r="B1089" t="s">
        <v>3473</v>
      </c>
      <c r="C1089" t="s">
        <v>3474</v>
      </c>
      <c r="D1089">
        <v>76207640</v>
      </c>
      <c r="E1089">
        <v>2000849</v>
      </c>
      <c r="F1089" t="s">
        <v>39</v>
      </c>
      <c r="G1089">
        <v>300</v>
      </c>
      <c r="H1089" t="str">
        <f>VLOOKUP(A1089,'SV Child INS Apr'!$A:$H,1,0)</f>
        <v>76207640</v>
      </c>
      <c r="L1089" t="e">
        <f>VLOOKUP(A1089,'TV Apr Prorated Billing Sites'!$A:$I,1,0)</f>
        <v>#N/A</v>
      </c>
    </row>
    <row r="1090" spans="1:12">
      <c r="A1090" t="str">
        <f t="shared" si="19"/>
        <v>76207657</v>
      </c>
      <c r="B1090" t="s">
        <v>3475</v>
      </c>
      <c r="C1090" t="s">
        <v>3476</v>
      </c>
      <c r="D1090">
        <v>76207657</v>
      </c>
      <c r="E1090">
        <v>2502348</v>
      </c>
      <c r="F1090" t="s">
        <v>39</v>
      </c>
      <c r="G1090">
        <v>450</v>
      </c>
      <c r="H1090" t="str">
        <f>VLOOKUP(A1090,'SV Child INS Apr'!$A:$H,1,0)</f>
        <v>76207657</v>
      </c>
      <c r="L1090" t="e">
        <f>VLOOKUP(A1090,'TV Apr Prorated Billing Sites'!$A:$I,1,0)</f>
        <v>#N/A</v>
      </c>
    </row>
    <row r="1091" spans="1:12">
      <c r="A1091" t="str">
        <f t="shared" si="19"/>
        <v>76207710</v>
      </c>
      <c r="B1091" t="s">
        <v>3477</v>
      </c>
      <c r="C1091" t="s">
        <v>3478</v>
      </c>
      <c r="D1091">
        <v>76207710</v>
      </c>
      <c r="E1091">
        <v>3000548</v>
      </c>
      <c r="F1091" t="s">
        <v>39</v>
      </c>
      <c r="G1091">
        <v>300</v>
      </c>
      <c r="H1091" t="str">
        <f>VLOOKUP(A1091,'SV Child INS Apr'!$A:$H,1,0)</f>
        <v>76207710</v>
      </c>
      <c r="L1091" t="e">
        <f>VLOOKUP(A1091,'TV Apr Prorated Billing Sites'!$A:$I,1,0)</f>
        <v>#N/A</v>
      </c>
    </row>
    <row r="1092" spans="1:12">
      <c r="A1092" t="str">
        <f t="shared" si="19"/>
        <v>76208085</v>
      </c>
      <c r="B1092" t="s">
        <v>3479</v>
      </c>
      <c r="C1092" t="s">
        <v>3480</v>
      </c>
      <c r="D1092">
        <v>76208085</v>
      </c>
      <c r="E1092">
        <v>2003138</v>
      </c>
      <c r="F1092" t="s">
        <v>39</v>
      </c>
      <c r="G1092">
        <v>300</v>
      </c>
      <c r="H1092" t="str">
        <f>VLOOKUP(A1092,'SV Child INS Apr'!$A:$H,1,0)</f>
        <v>76208085</v>
      </c>
      <c r="L1092" t="e">
        <f>VLOOKUP(A1092,'TV Apr Prorated Billing Sites'!$A:$I,1,0)</f>
        <v>#N/A</v>
      </c>
    </row>
    <row r="1093" spans="1:12">
      <c r="A1093" t="str">
        <f t="shared" si="19"/>
        <v>76208110</v>
      </c>
      <c r="B1093" t="s">
        <v>3481</v>
      </c>
      <c r="C1093" t="s">
        <v>3482</v>
      </c>
      <c r="D1093">
        <v>76208110</v>
      </c>
      <c r="E1093">
        <v>2501186</v>
      </c>
      <c r="F1093" t="s">
        <v>39</v>
      </c>
      <c r="G1093">
        <v>450</v>
      </c>
      <c r="H1093" t="str">
        <f>VLOOKUP(A1093,'SV Child INS Apr'!$A:$H,1,0)</f>
        <v>76208110</v>
      </c>
      <c r="L1093" t="e">
        <f>VLOOKUP(A1093,'TV Apr Prorated Billing Sites'!$A:$I,1,0)</f>
        <v>#N/A</v>
      </c>
    </row>
    <row r="1094" spans="1:12">
      <c r="A1094" t="str">
        <f t="shared" si="19"/>
        <v>76208242</v>
      </c>
      <c r="B1094" t="s">
        <v>3483</v>
      </c>
      <c r="C1094" t="s">
        <v>3484</v>
      </c>
      <c r="D1094">
        <v>76208242</v>
      </c>
      <c r="E1094">
        <v>3000389</v>
      </c>
      <c r="F1094" t="s">
        <v>39</v>
      </c>
      <c r="G1094">
        <v>300</v>
      </c>
      <c r="H1094" t="str">
        <f>VLOOKUP(A1094,'SV Child INS Apr'!$A:$H,1,0)</f>
        <v>76208242</v>
      </c>
      <c r="L1094" t="e">
        <f>VLOOKUP(A1094,'TV Apr Prorated Billing Sites'!$A:$I,1,0)</f>
        <v>#N/A</v>
      </c>
    </row>
    <row r="1095" spans="1:12">
      <c r="A1095" t="str">
        <f t="shared" si="19"/>
        <v>76208516</v>
      </c>
      <c r="B1095" t="s">
        <v>3485</v>
      </c>
      <c r="C1095" t="s">
        <v>3486</v>
      </c>
      <c r="D1095">
        <v>76208516</v>
      </c>
      <c r="E1095">
        <v>2501047</v>
      </c>
      <c r="F1095" t="s">
        <v>39</v>
      </c>
      <c r="G1095">
        <v>300</v>
      </c>
      <c r="H1095" t="str">
        <f>VLOOKUP(A1095,'SV Child INS Apr'!$A:$H,1,0)</f>
        <v>76208516</v>
      </c>
      <c r="L1095" t="e">
        <f>VLOOKUP(A1095,'TV Apr Prorated Billing Sites'!$A:$I,1,0)</f>
        <v>#N/A</v>
      </c>
    </row>
    <row r="1096" spans="1:12">
      <c r="A1096" t="str">
        <f t="shared" si="19"/>
        <v>76208689</v>
      </c>
      <c r="B1096" t="s">
        <v>3487</v>
      </c>
      <c r="C1096" t="s">
        <v>3488</v>
      </c>
      <c r="D1096">
        <v>76208689</v>
      </c>
      <c r="E1096">
        <v>2000548</v>
      </c>
      <c r="F1096" t="s">
        <v>39</v>
      </c>
      <c r="G1096">
        <v>300</v>
      </c>
      <c r="H1096" t="str">
        <f>VLOOKUP(A1096,'SV Child INS Apr'!$A:$H,1,0)</f>
        <v>76208689</v>
      </c>
      <c r="L1096" t="e">
        <f>VLOOKUP(A1096,'TV Apr Prorated Billing Sites'!$A:$I,1,0)</f>
        <v>#N/A</v>
      </c>
    </row>
    <row r="1097" spans="1:12">
      <c r="A1097" t="str">
        <f t="shared" si="19"/>
        <v>76208742</v>
      </c>
      <c r="B1097" t="s">
        <v>3489</v>
      </c>
      <c r="C1097" t="s">
        <v>3490</v>
      </c>
      <c r="D1097">
        <v>76208742</v>
      </c>
      <c r="E1097">
        <v>2501234</v>
      </c>
      <c r="F1097" t="s">
        <v>39</v>
      </c>
      <c r="G1097">
        <v>400</v>
      </c>
      <c r="H1097" t="str">
        <f>VLOOKUP(A1097,'SV Child INS Apr'!$A:$H,1,0)</f>
        <v>76208742</v>
      </c>
      <c r="L1097" t="e">
        <f>VLOOKUP(A1097,'TV Apr Prorated Billing Sites'!$A:$I,1,0)</f>
        <v>#N/A</v>
      </c>
    </row>
    <row r="1098" spans="1:12">
      <c r="A1098" t="str">
        <f t="shared" si="19"/>
        <v>76208742</v>
      </c>
      <c r="B1098" t="s">
        <v>3491</v>
      </c>
      <c r="C1098" t="s">
        <v>3492</v>
      </c>
      <c r="D1098">
        <v>76208742</v>
      </c>
      <c r="E1098">
        <v>2501234</v>
      </c>
      <c r="F1098" t="s">
        <v>39</v>
      </c>
      <c r="G1098">
        <v>400</v>
      </c>
      <c r="H1098" t="str">
        <f>VLOOKUP(A1098,'SV Child INS Apr'!$A:$H,1,0)</f>
        <v>76208742</v>
      </c>
      <c r="L1098" t="e">
        <f>VLOOKUP(A1098,'TV Apr Prorated Billing Sites'!$A:$I,1,0)</f>
        <v>#N/A</v>
      </c>
    </row>
    <row r="1099" spans="1:12">
      <c r="A1099" t="str">
        <f t="shared" si="19"/>
        <v>76208743</v>
      </c>
      <c r="B1099" t="s">
        <v>3493</v>
      </c>
      <c r="C1099" t="s">
        <v>3494</v>
      </c>
      <c r="D1099">
        <v>76208743</v>
      </c>
      <c r="E1099">
        <v>2501230</v>
      </c>
      <c r="F1099" t="s">
        <v>39</v>
      </c>
      <c r="G1099">
        <v>400</v>
      </c>
      <c r="H1099" t="str">
        <f>VLOOKUP(A1099,'SV Child INS Apr'!$A:$H,1,0)</f>
        <v>76208743</v>
      </c>
      <c r="L1099" t="e">
        <f>VLOOKUP(A1099,'TV Apr Prorated Billing Sites'!$A:$I,1,0)</f>
        <v>#N/A</v>
      </c>
    </row>
    <row r="1100" spans="1:12">
      <c r="A1100" t="str">
        <f t="shared" si="19"/>
        <v>76208744</v>
      </c>
      <c r="B1100" t="s">
        <v>3495</v>
      </c>
      <c r="C1100" t="s">
        <v>3496</v>
      </c>
      <c r="D1100">
        <v>76208744</v>
      </c>
      <c r="E1100">
        <v>2501231</v>
      </c>
      <c r="F1100" t="s">
        <v>39</v>
      </c>
      <c r="G1100">
        <v>400</v>
      </c>
      <c r="H1100" t="str">
        <f>VLOOKUP(A1100,'SV Child INS Apr'!$A:$H,1,0)</f>
        <v>76208744</v>
      </c>
      <c r="L1100" t="e">
        <f>VLOOKUP(A1100,'TV Apr Prorated Billing Sites'!$A:$I,1,0)</f>
        <v>#N/A</v>
      </c>
    </row>
    <row r="1101" spans="1:12">
      <c r="A1101" t="str">
        <f t="shared" si="19"/>
        <v>76208845</v>
      </c>
      <c r="B1101" t="s">
        <v>3497</v>
      </c>
      <c r="C1101" t="s">
        <v>3498</v>
      </c>
      <c r="D1101">
        <v>76208845</v>
      </c>
      <c r="E1101">
        <v>2500855</v>
      </c>
      <c r="F1101" t="s">
        <v>39</v>
      </c>
      <c r="G1101">
        <v>300</v>
      </c>
      <c r="H1101" t="str">
        <f>VLOOKUP(A1101,'SV Child INS Apr'!$A:$H,1,0)</f>
        <v>76208845</v>
      </c>
      <c r="L1101" t="e">
        <f>VLOOKUP(A1101,'TV Apr Prorated Billing Sites'!$A:$I,1,0)</f>
        <v>#N/A</v>
      </c>
    </row>
    <row r="1102" spans="1:12">
      <c r="A1102" t="str">
        <f t="shared" si="19"/>
        <v>76209027</v>
      </c>
      <c r="B1102" t="s">
        <v>3499</v>
      </c>
      <c r="C1102" t="s">
        <v>3500</v>
      </c>
      <c r="D1102">
        <v>76209027</v>
      </c>
      <c r="E1102">
        <v>2503480</v>
      </c>
      <c r="F1102" t="s">
        <v>39</v>
      </c>
      <c r="G1102">
        <v>300</v>
      </c>
      <c r="H1102" t="str">
        <f>VLOOKUP(A1102,'SV Child INS Apr'!$A:$H,1,0)</f>
        <v>76209027</v>
      </c>
      <c r="L1102" t="e">
        <f>VLOOKUP(A1102,'TV Apr Prorated Billing Sites'!$A:$I,1,0)</f>
        <v>#N/A</v>
      </c>
    </row>
    <row r="1103" spans="1:12">
      <c r="A1103" t="str">
        <f t="shared" si="19"/>
        <v>76209028</v>
      </c>
      <c r="B1103" t="s">
        <v>3501</v>
      </c>
      <c r="C1103" t="s">
        <v>3502</v>
      </c>
      <c r="D1103">
        <v>76209028</v>
      </c>
      <c r="E1103">
        <v>2503281</v>
      </c>
      <c r="F1103" t="s">
        <v>39</v>
      </c>
      <c r="G1103">
        <v>400</v>
      </c>
      <c r="H1103" t="str">
        <f>VLOOKUP(A1103,'SV Child INS Apr'!$A:$H,1,0)</f>
        <v>76209028</v>
      </c>
      <c r="L1103" t="e">
        <f>VLOOKUP(A1103,'TV Apr Prorated Billing Sites'!$A:$I,1,0)</f>
        <v>#N/A</v>
      </c>
    </row>
    <row r="1104" spans="1:12">
      <c r="A1104" t="str">
        <f t="shared" si="19"/>
        <v>76209029</v>
      </c>
      <c r="B1104" t="s">
        <v>3503</v>
      </c>
      <c r="C1104" t="s">
        <v>3504</v>
      </c>
      <c r="D1104">
        <v>76209029</v>
      </c>
      <c r="E1104">
        <v>2002099</v>
      </c>
      <c r="F1104" t="s">
        <v>39</v>
      </c>
      <c r="G1104">
        <v>300</v>
      </c>
      <c r="H1104" t="str">
        <f>VLOOKUP(A1104,'SV Child INS Apr'!$A:$H,1,0)</f>
        <v>76209029</v>
      </c>
      <c r="L1104" t="e">
        <f>VLOOKUP(A1104,'TV Apr Prorated Billing Sites'!$A:$I,1,0)</f>
        <v>#N/A</v>
      </c>
    </row>
    <row r="1105" spans="1:13">
      <c r="A1105" t="str">
        <f t="shared" si="19"/>
        <v>76209039</v>
      </c>
      <c r="B1105" t="s">
        <v>3505</v>
      </c>
      <c r="C1105" t="s">
        <v>3506</v>
      </c>
      <c r="D1105">
        <v>76209039</v>
      </c>
      <c r="E1105">
        <v>2000921</v>
      </c>
      <c r="F1105" t="s">
        <v>39</v>
      </c>
      <c r="G1105">
        <v>450</v>
      </c>
      <c r="H1105" t="str">
        <f>VLOOKUP(A1105,'SV Child INS Apr'!$A:$H,1,0)</f>
        <v>76209039</v>
      </c>
      <c r="L1105" t="e">
        <f>VLOOKUP(A1105,'TV Apr Prorated Billing Sites'!$A:$I,1,0)</f>
        <v>#N/A</v>
      </c>
    </row>
    <row r="1106" spans="1:13">
      <c r="A1106" t="str">
        <f t="shared" si="19"/>
        <v>76209043</v>
      </c>
      <c r="B1106" t="s">
        <v>3507</v>
      </c>
      <c r="C1106" t="s">
        <v>3508</v>
      </c>
      <c r="D1106">
        <v>76209043</v>
      </c>
      <c r="E1106">
        <v>2501792</v>
      </c>
      <c r="F1106" t="s">
        <v>39</v>
      </c>
      <c r="G1106">
        <v>300</v>
      </c>
      <c r="H1106" t="str">
        <f>VLOOKUP(A1106,'SV Child INS Apr'!$A:$H,1,0)</f>
        <v>76209043</v>
      </c>
      <c r="L1106" t="e">
        <f>VLOOKUP(A1106,'TV Apr Prorated Billing Sites'!$A:$I,1,0)</f>
        <v>#N/A</v>
      </c>
    </row>
    <row r="1107" spans="1:13">
      <c r="A1107" t="str">
        <f t="shared" si="19"/>
        <v>76209129</v>
      </c>
      <c r="B1107" t="s">
        <v>3509</v>
      </c>
      <c r="C1107" t="s">
        <v>3510</v>
      </c>
      <c r="D1107">
        <v>76209129</v>
      </c>
      <c r="E1107">
        <v>2003134</v>
      </c>
      <c r="F1107" t="s">
        <v>39</v>
      </c>
      <c r="G1107">
        <v>300</v>
      </c>
      <c r="H1107" t="str">
        <f>VLOOKUP(A1107,'SV Child INS Apr'!$A:$H,1,0)</f>
        <v>76209129</v>
      </c>
      <c r="L1107" t="e">
        <f>VLOOKUP(A1107,'TV Apr Prorated Billing Sites'!$A:$I,1,0)</f>
        <v>#N/A</v>
      </c>
    </row>
    <row r="1108" spans="1:13">
      <c r="A1108" t="str">
        <f t="shared" si="19"/>
        <v>76209183</v>
      </c>
      <c r="B1108" t="s">
        <v>3511</v>
      </c>
      <c r="C1108" t="s">
        <v>3512</v>
      </c>
      <c r="D1108">
        <v>76209183</v>
      </c>
      <c r="E1108">
        <v>2000842</v>
      </c>
      <c r="F1108" t="s">
        <v>39</v>
      </c>
      <c r="G1108">
        <v>450</v>
      </c>
      <c r="H1108" t="str">
        <f>VLOOKUP(A1108,'SV Child INS Apr'!$A:$H,1,0)</f>
        <v>76209183</v>
      </c>
      <c r="L1108" t="e">
        <f>VLOOKUP(A1108,'TV Apr Prorated Billing Sites'!$A:$I,1,0)</f>
        <v>#N/A</v>
      </c>
    </row>
    <row r="1109" spans="1:13">
      <c r="A1109" t="str">
        <f t="shared" si="19"/>
        <v>76209215</v>
      </c>
      <c r="B1109" t="s">
        <v>3513</v>
      </c>
      <c r="C1109" t="s">
        <v>3514</v>
      </c>
      <c r="D1109">
        <v>76209215</v>
      </c>
      <c r="E1109">
        <v>2000817</v>
      </c>
      <c r="F1109" t="s">
        <v>39</v>
      </c>
      <c r="G1109">
        <v>300</v>
      </c>
      <c r="H1109" t="str">
        <f>VLOOKUP(A1109,'SV Child INS Apr'!$A:$H,1,0)</f>
        <v>76209215</v>
      </c>
      <c r="L1109" t="e">
        <f>VLOOKUP(A1109,'TV Apr Prorated Billing Sites'!$A:$I,1,0)</f>
        <v>#N/A</v>
      </c>
    </row>
    <row r="1110" spans="1:13">
      <c r="A1110" t="str">
        <f t="shared" si="19"/>
        <v>76209216</v>
      </c>
      <c r="B1110" t="s">
        <v>3515</v>
      </c>
      <c r="C1110" t="s">
        <v>3516</v>
      </c>
      <c r="D1110">
        <v>76209216</v>
      </c>
      <c r="E1110">
        <v>2000896</v>
      </c>
      <c r="F1110" t="s">
        <v>39</v>
      </c>
      <c r="G1110">
        <v>300</v>
      </c>
      <c r="H1110" t="str">
        <f>VLOOKUP(A1110,'SV Child INS Apr'!$A:$H,1,0)</f>
        <v>76209216</v>
      </c>
      <c r="L1110" t="e">
        <f>VLOOKUP(A1110,'TV Apr Prorated Billing Sites'!$A:$I,1,0)</f>
        <v>#N/A</v>
      </c>
    </row>
    <row r="1111" spans="1:13">
      <c r="A1111" t="str">
        <f t="shared" si="19"/>
        <v>76209236</v>
      </c>
      <c r="B1111" t="s">
        <v>3517</v>
      </c>
      <c r="C1111" t="s">
        <v>3518</v>
      </c>
      <c r="D1111">
        <v>76209236</v>
      </c>
      <c r="E1111">
        <v>2503354</v>
      </c>
      <c r="F1111" t="s">
        <v>39</v>
      </c>
      <c r="G1111">
        <v>300</v>
      </c>
      <c r="H1111" t="str">
        <f>VLOOKUP(A1111,'SV Child INS Apr'!$A:$H,1,0)</f>
        <v>76209236</v>
      </c>
      <c r="L1111" t="e">
        <f>VLOOKUP(A1111,'TV Apr Prorated Billing Sites'!$A:$I,1,0)</f>
        <v>#N/A</v>
      </c>
    </row>
    <row r="1112" spans="1:13">
      <c r="A1112" t="str">
        <f t="shared" si="19"/>
        <v>76209246</v>
      </c>
      <c r="B1112" t="s">
        <v>1272</v>
      </c>
      <c r="C1112" t="s">
        <v>1350</v>
      </c>
      <c r="D1112">
        <v>76209246</v>
      </c>
      <c r="E1112">
        <v>2002024</v>
      </c>
      <c r="F1112" t="s">
        <v>39</v>
      </c>
      <c r="G1112">
        <v>300</v>
      </c>
      <c r="H1112" t="e">
        <f>VLOOKUP(A1112,'SV Child INS Apr'!$A:$H,1,0)</f>
        <v>#N/A</v>
      </c>
      <c r="I1112" t="e">
        <f>VLOOKUP(B1112,'SV Child INS Apr'!$D:$F,1,0)</f>
        <v>#N/A</v>
      </c>
      <c r="J1112" t="str">
        <f>VLOOKUP(A1112,'SV Child BLG Apr'!$A:$J,1,0)</f>
        <v>76209246</v>
      </c>
      <c r="L1112" t="e">
        <f>VLOOKUP(A1112,'TV Apr Prorated Billing Sites'!$A:$I,1,0)</f>
        <v>#N/A</v>
      </c>
      <c r="M1112" t="str">
        <f>VLOOKUP(A1112,'CDK asked to retain list'!$H$1:$J$24,1,0)</f>
        <v>76209246</v>
      </c>
    </row>
    <row r="1113" spans="1:13">
      <c r="A1113" t="str">
        <f t="shared" si="19"/>
        <v>76209254</v>
      </c>
      <c r="B1113" t="s">
        <v>3519</v>
      </c>
      <c r="C1113" t="s">
        <v>3520</v>
      </c>
      <c r="D1113">
        <v>76209254</v>
      </c>
      <c r="E1113">
        <v>2501327</v>
      </c>
      <c r="F1113" t="s">
        <v>39</v>
      </c>
      <c r="G1113">
        <v>300</v>
      </c>
      <c r="H1113" t="str">
        <f>VLOOKUP(A1113,'SV Child INS Apr'!$A:$H,1,0)</f>
        <v>76209254</v>
      </c>
      <c r="L1113" t="e">
        <f>VLOOKUP(A1113,'TV Apr Prorated Billing Sites'!$A:$I,1,0)</f>
        <v>#N/A</v>
      </c>
    </row>
    <row r="1114" spans="1:13">
      <c r="A1114" t="str">
        <f t="shared" si="19"/>
        <v>76209301</v>
      </c>
      <c r="B1114" t="s">
        <v>584</v>
      </c>
      <c r="C1114" t="s">
        <v>585</v>
      </c>
      <c r="D1114">
        <v>76209301</v>
      </c>
      <c r="E1114">
        <v>8113</v>
      </c>
      <c r="F1114" t="s">
        <v>39</v>
      </c>
      <c r="G1114">
        <v>300</v>
      </c>
      <c r="H1114" t="e">
        <f>VLOOKUP(A1114,'SV Child INS Apr'!$A:$H,1,0)</f>
        <v>#N/A</v>
      </c>
      <c r="I1114" t="e">
        <f>VLOOKUP(B1114,'SV Child INS Apr'!$D:$F,1,0)</f>
        <v>#N/A</v>
      </c>
      <c r="J1114" t="str">
        <f>VLOOKUP(A1114,'SV Child BLG Apr'!$A:$J,1,0)</f>
        <v>76209301</v>
      </c>
      <c r="L1114" t="e">
        <f>VLOOKUP(A1114,'TV Apr Prorated Billing Sites'!$A:$I,1,0)</f>
        <v>#N/A</v>
      </c>
      <c r="M1114" t="e">
        <f>VLOOKUP(A1114,'CDK asked to retain list'!$H$1:$J$24,1,0)</f>
        <v>#N/A</v>
      </c>
    </row>
    <row r="1115" spans="1:13">
      <c r="A1115" t="str">
        <f t="shared" si="19"/>
        <v>76209491</v>
      </c>
      <c r="B1115" t="s">
        <v>3521</v>
      </c>
      <c r="C1115" t="s">
        <v>3522</v>
      </c>
      <c r="D1115">
        <v>76209491</v>
      </c>
      <c r="E1115">
        <v>2501296</v>
      </c>
      <c r="F1115" t="s">
        <v>39</v>
      </c>
      <c r="G1115">
        <v>300</v>
      </c>
      <c r="H1115" t="str">
        <f>VLOOKUP(A1115,'SV Child INS Apr'!$A:$H,1,0)</f>
        <v>76209491</v>
      </c>
      <c r="L1115" t="e">
        <f>VLOOKUP(A1115,'TV Apr Prorated Billing Sites'!$A:$I,1,0)</f>
        <v>#N/A</v>
      </c>
    </row>
    <row r="1116" spans="1:13">
      <c r="A1116" t="str">
        <f t="shared" si="19"/>
        <v>76209505</v>
      </c>
      <c r="B1116" t="s">
        <v>3523</v>
      </c>
      <c r="C1116" t="s">
        <v>3524</v>
      </c>
      <c r="D1116">
        <v>76209505</v>
      </c>
      <c r="E1116">
        <v>2501680</v>
      </c>
      <c r="F1116" t="s">
        <v>39</v>
      </c>
      <c r="G1116">
        <v>300</v>
      </c>
      <c r="H1116" t="str">
        <f>VLOOKUP(A1116,'SV Child INS Apr'!$A:$H,1,0)</f>
        <v>76209505</v>
      </c>
      <c r="L1116" t="e">
        <f>VLOOKUP(A1116,'TV Apr Prorated Billing Sites'!$A:$I,1,0)</f>
        <v>#N/A</v>
      </c>
    </row>
    <row r="1117" spans="1:13">
      <c r="A1117" t="str">
        <f t="shared" si="19"/>
        <v>76209538</v>
      </c>
      <c r="B1117" t="s">
        <v>3525</v>
      </c>
      <c r="C1117" t="s">
        <v>3526</v>
      </c>
      <c r="D1117">
        <v>76209538</v>
      </c>
      <c r="E1117">
        <v>2503398</v>
      </c>
      <c r="F1117" t="s">
        <v>39</v>
      </c>
      <c r="G1117">
        <v>300</v>
      </c>
      <c r="H1117" t="str">
        <f>VLOOKUP(A1117,'SV Child INS Apr'!$A:$H,1,0)</f>
        <v>76209538</v>
      </c>
      <c r="L1117" t="e">
        <f>VLOOKUP(A1117,'TV Apr Prorated Billing Sites'!$A:$I,1,0)</f>
        <v>#N/A</v>
      </c>
    </row>
    <row r="1118" spans="1:13">
      <c r="A1118" t="str">
        <f t="shared" si="19"/>
        <v>76209545</v>
      </c>
      <c r="B1118" t="s">
        <v>3527</v>
      </c>
      <c r="C1118" t="s">
        <v>3528</v>
      </c>
      <c r="D1118">
        <v>76209545</v>
      </c>
      <c r="E1118">
        <v>2500923</v>
      </c>
      <c r="F1118" t="s">
        <v>39</v>
      </c>
      <c r="G1118">
        <v>300</v>
      </c>
      <c r="H1118" t="str">
        <f>VLOOKUP(A1118,'SV Child INS Apr'!$A:$H,1,0)</f>
        <v>76209545</v>
      </c>
      <c r="L1118" t="e">
        <f>VLOOKUP(A1118,'TV Apr Prorated Billing Sites'!$A:$I,1,0)</f>
        <v>#N/A</v>
      </c>
    </row>
    <row r="1119" spans="1:13">
      <c r="A1119" t="str">
        <f t="shared" si="19"/>
        <v>76209577</v>
      </c>
      <c r="B1119" t="s">
        <v>3529</v>
      </c>
      <c r="C1119" t="s">
        <v>3530</v>
      </c>
      <c r="D1119">
        <v>76209577</v>
      </c>
      <c r="E1119">
        <v>2500987</v>
      </c>
      <c r="F1119" t="s">
        <v>39</v>
      </c>
      <c r="G1119">
        <v>300</v>
      </c>
      <c r="H1119" t="str">
        <f>VLOOKUP(A1119,'SV Child INS Apr'!$A:$H,1,0)</f>
        <v>76209577</v>
      </c>
      <c r="L1119" t="e">
        <f>VLOOKUP(A1119,'TV Apr Prorated Billing Sites'!$A:$I,1,0)</f>
        <v>#N/A</v>
      </c>
    </row>
    <row r="1120" spans="1:13">
      <c r="A1120" t="str">
        <f t="shared" si="19"/>
        <v>76209637</v>
      </c>
      <c r="B1120" t="s">
        <v>3531</v>
      </c>
      <c r="C1120" t="s">
        <v>3532</v>
      </c>
      <c r="D1120">
        <v>76209637</v>
      </c>
      <c r="E1120">
        <v>2501337</v>
      </c>
      <c r="F1120" t="s">
        <v>39</v>
      </c>
      <c r="G1120">
        <v>300</v>
      </c>
      <c r="H1120" t="str">
        <f>VLOOKUP(A1120,'SV Child INS Apr'!$A:$H,1,0)</f>
        <v>76209637</v>
      </c>
      <c r="L1120" t="e">
        <f>VLOOKUP(A1120,'TV Apr Prorated Billing Sites'!$A:$I,1,0)</f>
        <v>#N/A</v>
      </c>
    </row>
    <row r="1121" spans="1:13">
      <c r="A1121" t="str">
        <f t="shared" si="19"/>
        <v>76209638</v>
      </c>
      <c r="B1121" t="s">
        <v>3533</v>
      </c>
      <c r="C1121" t="s">
        <v>3534</v>
      </c>
      <c r="D1121">
        <v>76209638</v>
      </c>
      <c r="E1121">
        <v>2003080</v>
      </c>
      <c r="F1121" t="s">
        <v>39</v>
      </c>
      <c r="G1121">
        <v>300</v>
      </c>
      <c r="H1121" t="str">
        <f>VLOOKUP(A1121,'SV Child INS Apr'!$A:$H,1,0)</f>
        <v>76209638</v>
      </c>
      <c r="L1121" t="e">
        <f>VLOOKUP(A1121,'TV Apr Prorated Billing Sites'!$A:$I,1,0)</f>
        <v>#N/A</v>
      </c>
    </row>
    <row r="1122" spans="1:13">
      <c r="A1122" t="str">
        <f t="shared" si="19"/>
        <v>76209647</v>
      </c>
      <c r="B1122" t="s">
        <v>3535</v>
      </c>
      <c r="C1122" t="s">
        <v>3536</v>
      </c>
      <c r="D1122">
        <v>76209647</v>
      </c>
      <c r="E1122">
        <v>2500989</v>
      </c>
      <c r="F1122" t="s">
        <v>39</v>
      </c>
      <c r="G1122">
        <v>450</v>
      </c>
      <c r="H1122" t="str">
        <f>VLOOKUP(A1122,'SV Child INS Apr'!$A:$H,1,0)</f>
        <v>76209647</v>
      </c>
      <c r="L1122" t="e">
        <f>VLOOKUP(A1122,'TV Apr Prorated Billing Sites'!$A:$I,1,0)</f>
        <v>#N/A</v>
      </c>
    </row>
    <row r="1123" spans="1:13">
      <c r="A1123" t="str">
        <f t="shared" si="19"/>
        <v>76209648</v>
      </c>
      <c r="B1123" t="s">
        <v>3537</v>
      </c>
      <c r="C1123" t="s">
        <v>3538</v>
      </c>
      <c r="D1123">
        <v>76209648</v>
      </c>
      <c r="E1123">
        <v>2500990</v>
      </c>
      <c r="F1123" t="s">
        <v>39</v>
      </c>
      <c r="G1123">
        <v>450</v>
      </c>
      <c r="H1123" t="str">
        <f>VLOOKUP(A1123,'SV Child INS Apr'!$A:$H,1,0)</f>
        <v>76209648</v>
      </c>
      <c r="L1123" t="e">
        <f>VLOOKUP(A1123,'TV Apr Prorated Billing Sites'!$A:$I,1,0)</f>
        <v>#N/A</v>
      </c>
    </row>
    <row r="1124" spans="1:13">
      <c r="A1124" t="str">
        <f t="shared" si="19"/>
        <v>76209699</v>
      </c>
      <c r="B1124" t="s">
        <v>3539</v>
      </c>
      <c r="C1124" t="s">
        <v>3540</v>
      </c>
      <c r="D1124">
        <v>76209699</v>
      </c>
      <c r="E1124">
        <v>2002995</v>
      </c>
      <c r="F1124" t="s">
        <v>39</v>
      </c>
      <c r="G1124">
        <v>300</v>
      </c>
      <c r="H1124" t="str">
        <f>VLOOKUP(A1124,'SV Child INS Apr'!$A:$H,1,0)</f>
        <v>76209699</v>
      </c>
      <c r="L1124" t="e">
        <f>VLOOKUP(A1124,'TV Apr Prorated Billing Sites'!$A:$I,1,0)</f>
        <v>#N/A</v>
      </c>
    </row>
    <row r="1125" spans="1:13">
      <c r="A1125" t="str">
        <f t="shared" si="19"/>
        <v>76209705</v>
      </c>
      <c r="B1125" t="s">
        <v>3541</v>
      </c>
      <c r="C1125" t="s">
        <v>3542</v>
      </c>
      <c r="D1125">
        <v>76209705</v>
      </c>
      <c r="E1125">
        <v>2002984</v>
      </c>
      <c r="F1125" t="s">
        <v>39</v>
      </c>
      <c r="G1125">
        <v>300</v>
      </c>
      <c r="H1125" t="str">
        <f>VLOOKUP(A1125,'SV Child INS Apr'!$A:$H,1,0)</f>
        <v>76209705</v>
      </c>
      <c r="L1125" t="e">
        <f>VLOOKUP(A1125,'TV Apr Prorated Billing Sites'!$A:$I,1,0)</f>
        <v>#N/A</v>
      </c>
    </row>
    <row r="1126" spans="1:13">
      <c r="A1126" t="str">
        <f t="shared" si="19"/>
        <v>76209715</v>
      </c>
      <c r="B1126" t="s">
        <v>3543</v>
      </c>
      <c r="C1126" t="s">
        <v>3544</v>
      </c>
      <c r="D1126">
        <v>76209715</v>
      </c>
      <c r="E1126">
        <v>2502762</v>
      </c>
      <c r="F1126" t="s">
        <v>39</v>
      </c>
      <c r="G1126">
        <v>300</v>
      </c>
      <c r="H1126" t="str">
        <f>VLOOKUP(A1126,'SV Child INS Apr'!$A:$H,1,0)</f>
        <v>76209715</v>
      </c>
      <c r="L1126" t="e">
        <f>VLOOKUP(A1126,'TV Apr Prorated Billing Sites'!$A:$I,1,0)</f>
        <v>#N/A</v>
      </c>
    </row>
    <row r="1127" spans="1:13">
      <c r="A1127" t="str">
        <f t="shared" si="19"/>
        <v>76209725</v>
      </c>
      <c r="B1127" t="s">
        <v>587</v>
      </c>
      <c r="C1127" t="s">
        <v>588</v>
      </c>
      <c r="D1127">
        <v>76209725</v>
      </c>
      <c r="E1127">
        <v>2500905</v>
      </c>
      <c r="F1127" t="s">
        <v>39</v>
      </c>
      <c r="G1127">
        <v>300</v>
      </c>
      <c r="H1127" t="e">
        <f>VLOOKUP(A1127,'SV Child INS Apr'!$A:$H,1,0)</f>
        <v>#N/A</v>
      </c>
      <c r="I1127" t="e">
        <f>VLOOKUP(B1127,'SV Child INS Apr'!$D:$F,1,0)</f>
        <v>#N/A</v>
      </c>
      <c r="J1127" t="str">
        <f>VLOOKUP(A1127,'SV Child BLG Apr'!$A:$J,1,0)</f>
        <v>76209725</v>
      </c>
      <c r="L1127" t="e">
        <f>VLOOKUP(A1127,'TV Apr Prorated Billing Sites'!$A:$I,1,0)</f>
        <v>#N/A</v>
      </c>
      <c r="M1127" t="e">
        <f>VLOOKUP(A1127,'CDK asked to retain list'!$H$1:$J$24,1,0)</f>
        <v>#N/A</v>
      </c>
    </row>
    <row r="1128" spans="1:13">
      <c r="A1128" t="str">
        <f t="shared" si="19"/>
        <v>76209808</v>
      </c>
      <c r="B1128" t="s">
        <v>3545</v>
      </c>
      <c r="C1128" t="s">
        <v>3546</v>
      </c>
      <c r="D1128">
        <v>76209808</v>
      </c>
      <c r="E1128">
        <v>2503569</v>
      </c>
      <c r="F1128" t="s">
        <v>39</v>
      </c>
      <c r="G1128">
        <v>300</v>
      </c>
      <c r="H1128" t="str">
        <f>VLOOKUP(A1128,'SV Child INS Apr'!$A:$H,1,0)</f>
        <v>76209808</v>
      </c>
      <c r="L1128" t="str">
        <f>VLOOKUP(A1128,'TV Apr Prorated Billing Sites'!$A:$I,1,0)</f>
        <v>76209808</v>
      </c>
    </row>
    <row r="1129" spans="1:13">
      <c r="A1129" t="str">
        <f t="shared" ref="A1129:A1192" si="20">TRIM(D1129)</f>
        <v>76209873</v>
      </c>
      <c r="B1129" t="s">
        <v>3547</v>
      </c>
      <c r="C1129" t="s">
        <v>3548</v>
      </c>
      <c r="D1129">
        <v>76209873</v>
      </c>
      <c r="E1129">
        <v>2502979</v>
      </c>
      <c r="F1129" t="s">
        <v>39</v>
      </c>
      <c r="G1129">
        <v>450</v>
      </c>
      <c r="H1129" t="str">
        <f>VLOOKUP(A1129,'SV Child INS Apr'!$A:$H,1,0)</f>
        <v>76209873</v>
      </c>
      <c r="L1129" t="e">
        <f>VLOOKUP(A1129,'TV Apr Prorated Billing Sites'!$A:$I,1,0)</f>
        <v>#N/A</v>
      </c>
    </row>
    <row r="1130" spans="1:13">
      <c r="A1130" t="str">
        <f t="shared" si="20"/>
        <v>76209873</v>
      </c>
      <c r="B1130" t="s">
        <v>3549</v>
      </c>
      <c r="C1130" t="s">
        <v>3550</v>
      </c>
      <c r="D1130">
        <v>76209873</v>
      </c>
      <c r="E1130">
        <v>2501654</v>
      </c>
      <c r="F1130" t="s">
        <v>39</v>
      </c>
      <c r="G1130">
        <v>300</v>
      </c>
      <c r="H1130" t="str">
        <f>VLOOKUP(A1130,'SV Child INS Apr'!$A:$H,1,0)</f>
        <v>76209873</v>
      </c>
      <c r="L1130" t="e">
        <f>VLOOKUP(A1130,'TV Apr Prorated Billing Sites'!$A:$I,1,0)</f>
        <v>#N/A</v>
      </c>
    </row>
    <row r="1131" spans="1:13">
      <c r="A1131" t="str">
        <f t="shared" si="20"/>
        <v>76209988</v>
      </c>
      <c r="B1131" t="s">
        <v>3551</v>
      </c>
      <c r="C1131" t="s">
        <v>3552</v>
      </c>
      <c r="D1131">
        <v>76209988</v>
      </c>
      <c r="E1131">
        <v>2600016</v>
      </c>
      <c r="F1131" t="s">
        <v>39</v>
      </c>
      <c r="G1131">
        <v>300</v>
      </c>
      <c r="H1131" t="str">
        <f>VLOOKUP(A1131,'SV Child INS Apr'!$A:$H,1,0)</f>
        <v>76209988</v>
      </c>
      <c r="L1131" t="e">
        <f>VLOOKUP(A1131,'TV Apr Prorated Billing Sites'!$A:$I,1,0)</f>
        <v>#N/A</v>
      </c>
    </row>
    <row r="1132" spans="1:13">
      <c r="A1132" t="str">
        <f t="shared" si="20"/>
        <v>76209991</v>
      </c>
      <c r="B1132" t="s">
        <v>3553</v>
      </c>
      <c r="C1132" t="s">
        <v>3554</v>
      </c>
      <c r="D1132">
        <v>76209991</v>
      </c>
      <c r="E1132">
        <v>2600017</v>
      </c>
      <c r="F1132" t="s">
        <v>39</v>
      </c>
      <c r="G1132">
        <v>300</v>
      </c>
      <c r="H1132" t="str">
        <f>VLOOKUP(A1132,'SV Child INS Apr'!$A:$H,1,0)</f>
        <v>76209991</v>
      </c>
      <c r="L1132" t="e">
        <f>VLOOKUP(A1132,'TV Apr Prorated Billing Sites'!$A:$I,1,0)</f>
        <v>#N/A</v>
      </c>
    </row>
    <row r="1133" spans="1:13">
      <c r="A1133" t="str">
        <f t="shared" si="20"/>
        <v>76210184</v>
      </c>
      <c r="B1133" t="s">
        <v>3555</v>
      </c>
      <c r="C1133" t="s">
        <v>3556</v>
      </c>
      <c r="D1133">
        <v>76210184</v>
      </c>
      <c r="E1133">
        <v>10153</v>
      </c>
      <c r="F1133" t="s">
        <v>39</v>
      </c>
      <c r="G1133">
        <v>400</v>
      </c>
      <c r="H1133" t="str">
        <f>VLOOKUP(A1133,'SV Child INS Apr'!$A:$H,1,0)</f>
        <v>76210184</v>
      </c>
      <c r="L1133" t="e">
        <f>VLOOKUP(A1133,'TV Apr Prorated Billing Sites'!$A:$I,1,0)</f>
        <v>#N/A</v>
      </c>
    </row>
    <row r="1134" spans="1:13">
      <c r="A1134" t="str">
        <f t="shared" si="20"/>
        <v>76210257</v>
      </c>
      <c r="B1134" t="s">
        <v>3557</v>
      </c>
      <c r="C1134" t="s">
        <v>3558</v>
      </c>
      <c r="D1134">
        <v>76210257</v>
      </c>
      <c r="E1134">
        <v>2501524</v>
      </c>
      <c r="F1134" t="s">
        <v>39</v>
      </c>
      <c r="G1134">
        <v>300</v>
      </c>
      <c r="H1134" t="str">
        <f>VLOOKUP(A1134,'SV Child INS Apr'!$A:$H,1,0)</f>
        <v>76210257</v>
      </c>
      <c r="L1134" t="e">
        <f>VLOOKUP(A1134,'TV Apr Prorated Billing Sites'!$A:$I,1,0)</f>
        <v>#N/A</v>
      </c>
    </row>
    <row r="1135" spans="1:13">
      <c r="A1135" t="str">
        <f t="shared" si="20"/>
        <v>76210307</v>
      </c>
      <c r="B1135" t="s">
        <v>3559</v>
      </c>
      <c r="C1135" t="s">
        <v>3560</v>
      </c>
      <c r="D1135">
        <v>76210307</v>
      </c>
      <c r="E1135">
        <v>2501236</v>
      </c>
      <c r="F1135" t="s">
        <v>39</v>
      </c>
      <c r="G1135">
        <v>300</v>
      </c>
      <c r="H1135" t="str">
        <f>VLOOKUP(A1135,'SV Child INS Apr'!$A:$H,1,0)</f>
        <v>76210307</v>
      </c>
      <c r="L1135" t="e">
        <f>VLOOKUP(A1135,'TV Apr Prorated Billing Sites'!$A:$I,1,0)</f>
        <v>#N/A</v>
      </c>
    </row>
    <row r="1136" spans="1:13">
      <c r="A1136" t="str">
        <f t="shared" si="20"/>
        <v>76210315</v>
      </c>
      <c r="B1136" t="s">
        <v>3561</v>
      </c>
      <c r="C1136" t="s">
        <v>3562</v>
      </c>
      <c r="D1136">
        <v>76210315</v>
      </c>
      <c r="E1136">
        <v>2503239</v>
      </c>
      <c r="F1136" t="s">
        <v>39</v>
      </c>
      <c r="G1136">
        <v>300</v>
      </c>
      <c r="H1136" t="str">
        <f>VLOOKUP(A1136,'SV Child INS Apr'!$A:$H,1,0)</f>
        <v>76210315</v>
      </c>
      <c r="L1136" t="e">
        <f>VLOOKUP(A1136,'TV Apr Prorated Billing Sites'!$A:$I,1,0)</f>
        <v>#N/A</v>
      </c>
    </row>
    <row r="1137" spans="1:13">
      <c r="A1137" t="str">
        <f t="shared" si="20"/>
        <v>76210344</v>
      </c>
      <c r="B1137" t="s">
        <v>3563</v>
      </c>
      <c r="C1137" t="s">
        <v>3564</v>
      </c>
      <c r="D1137">
        <v>76210344</v>
      </c>
      <c r="E1137">
        <v>2001001</v>
      </c>
      <c r="F1137" t="s">
        <v>39</v>
      </c>
      <c r="G1137">
        <v>300</v>
      </c>
      <c r="H1137" t="str">
        <f>VLOOKUP(A1137,'SV Child INS Apr'!$A:$H,1,0)</f>
        <v>76210344</v>
      </c>
      <c r="L1137" t="e">
        <f>VLOOKUP(A1137,'TV Apr Prorated Billing Sites'!$A:$I,1,0)</f>
        <v>#N/A</v>
      </c>
    </row>
    <row r="1138" spans="1:13">
      <c r="A1138" t="str">
        <f t="shared" si="20"/>
        <v>76210348</v>
      </c>
      <c r="B1138" t="s">
        <v>3565</v>
      </c>
      <c r="C1138" t="s">
        <v>3566</v>
      </c>
      <c r="D1138">
        <v>76210348</v>
      </c>
      <c r="E1138">
        <v>2001540</v>
      </c>
      <c r="F1138" t="s">
        <v>39</v>
      </c>
      <c r="G1138">
        <v>400</v>
      </c>
      <c r="H1138" t="str">
        <f>VLOOKUP(A1138,'SV Child INS Apr'!$A:$H,1,0)</f>
        <v>76210348</v>
      </c>
      <c r="L1138" t="e">
        <f>VLOOKUP(A1138,'TV Apr Prorated Billing Sites'!$A:$I,1,0)</f>
        <v>#N/A</v>
      </c>
    </row>
    <row r="1139" spans="1:13">
      <c r="A1139" t="str">
        <f t="shared" si="20"/>
        <v>76210436</v>
      </c>
      <c r="B1139" t="s">
        <v>3567</v>
      </c>
      <c r="C1139" t="s">
        <v>3568</v>
      </c>
      <c r="D1139">
        <v>76210436</v>
      </c>
      <c r="E1139" t="s">
        <v>438</v>
      </c>
      <c r="F1139" t="s">
        <v>39</v>
      </c>
      <c r="G1139">
        <v>600</v>
      </c>
      <c r="H1139" t="str">
        <f>VLOOKUP(A1139,'SV Child INS Apr'!$A:$H,1,0)</f>
        <v>76210436</v>
      </c>
      <c r="L1139" t="e">
        <f>VLOOKUP(A1139,'TV Apr Prorated Billing Sites'!$A:$I,1,0)</f>
        <v>#N/A</v>
      </c>
    </row>
    <row r="1140" spans="1:13">
      <c r="A1140" t="str">
        <f t="shared" si="20"/>
        <v>76210624</v>
      </c>
      <c r="B1140" t="s">
        <v>3569</v>
      </c>
      <c r="C1140" t="s">
        <v>3570</v>
      </c>
      <c r="D1140">
        <v>76210624</v>
      </c>
      <c r="E1140">
        <v>0</v>
      </c>
      <c r="F1140" t="s">
        <v>39</v>
      </c>
      <c r="G1140">
        <v>400</v>
      </c>
      <c r="H1140" t="str">
        <f>VLOOKUP(A1140,'SV Child INS Apr'!$A:$H,1,0)</f>
        <v>76210624</v>
      </c>
      <c r="L1140" t="e">
        <f>VLOOKUP(A1140,'TV Apr Prorated Billing Sites'!$A:$I,1,0)</f>
        <v>#N/A</v>
      </c>
    </row>
    <row r="1141" spans="1:13">
      <c r="A1141" t="str">
        <f t="shared" si="20"/>
        <v>76210769</v>
      </c>
      <c r="B1141" t="s">
        <v>3571</v>
      </c>
      <c r="C1141" t="s">
        <v>3572</v>
      </c>
      <c r="D1141">
        <v>76210769</v>
      </c>
      <c r="E1141">
        <v>2501083</v>
      </c>
      <c r="F1141" t="s">
        <v>39</v>
      </c>
      <c r="G1141">
        <v>300</v>
      </c>
      <c r="H1141" t="str">
        <f>VLOOKUP(A1141,'SV Child INS Apr'!$A:$H,1,0)</f>
        <v>76210769</v>
      </c>
      <c r="L1141" t="e">
        <f>VLOOKUP(A1141,'TV Apr Prorated Billing Sites'!$A:$I,1,0)</f>
        <v>#N/A</v>
      </c>
    </row>
    <row r="1142" spans="1:13">
      <c r="A1142" t="str">
        <f t="shared" si="20"/>
        <v>76210799</v>
      </c>
      <c r="B1142" t="s">
        <v>3573</v>
      </c>
      <c r="C1142" t="s">
        <v>3574</v>
      </c>
      <c r="D1142">
        <v>76210799</v>
      </c>
      <c r="E1142">
        <v>2600018</v>
      </c>
      <c r="F1142" t="s">
        <v>39</v>
      </c>
      <c r="G1142">
        <v>300</v>
      </c>
      <c r="H1142" t="str">
        <f>VLOOKUP(A1142,'SV Child INS Apr'!$A:$H,1,0)</f>
        <v>76210799</v>
      </c>
      <c r="L1142" t="e">
        <f>VLOOKUP(A1142,'TV Apr Prorated Billing Sites'!$A:$I,1,0)</f>
        <v>#N/A</v>
      </c>
    </row>
    <row r="1143" spans="1:13">
      <c r="A1143" t="str">
        <f t="shared" si="20"/>
        <v>76210834</v>
      </c>
      <c r="B1143" t="s">
        <v>590</v>
      </c>
      <c r="C1143" t="s">
        <v>591</v>
      </c>
      <c r="D1143">
        <v>76210834</v>
      </c>
      <c r="E1143">
        <v>3002830</v>
      </c>
      <c r="F1143" t="s">
        <v>39</v>
      </c>
      <c r="G1143">
        <v>300</v>
      </c>
      <c r="H1143" t="e">
        <f>VLOOKUP(A1143,'SV Child INS Apr'!$A:$H,1,0)</f>
        <v>#N/A</v>
      </c>
      <c r="I1143" t="e">
        <f>VLOOKUP(B1143,'SV Child INS Apr'!$D:$F,1,0)</f>
        <v>#N/A</v>
      </c>
      <c r="J1143" t="str">
        <f>VLOOKUP(A1143,'SV Child BLG Apr'!$A:$J,1,0)</f>
        <v>76210834</v>
      </c>
      <c r="L1143" t="str">
        <f>VLOOKUP(A1143,'TV Apr Prorated Billing Sites'!$A:$I,1,0)</f>
        <v>76210834</v>
      </c>
      <c r="M1143" t="e">
        <f>VLOOKUP(A1143,'CDK asked to retain list'!$H$1:$J$24,1,0)</f>
        <v>#N/A</v>
      </c>
    </row>
    <row r="1144" spans="1:13">
      <c r="A1144" t="str">
        <f t="shared" si="20"/>
        <v>76211206</v>
      </c>
      <c r="B1144" t="s">
        <v>3575</v>
      </c>
      <c r="C1144" t="s">
        <v>3576</v>
      </c>
      <c r="D1144">
        <v>76211206</v>
      </c>
      <c r="E1144" t="s">
        <v>438</v>
      </c>
      <c r="F1144" t="s">
        <v>39</v>
      </c>
      <c r="G1144">
        <v>400</v>
      </c>
      <c r="H1144" t="str">
        <f>VLOOKUP(A1144,'SV Child INS Apr'!$A:$H,1,0)</f>
        <v>76211206</v>
      </c>
      <c r="L1144" t="e">
        <f>VLOOKUP(A1144,'TV Apr Prorated Billing Sites'!$A:$I,1,0)</f>
        <v>#N/A</v>
      </c>
    </row>
    <row r="1145" spans="1:13">
      <c r="A1145" t="str">
        <f t="shared" si="20"/>
        <v>76211393</v>
      </c>
      <c r="B1145" t="s">
        <v>3577</v>
      </c>
      <c r="C1145" t="s">
        <v>3578</v>
      </c>
      <c r="D1145">
        <v>76211393</v>
      </c>
      <c r="E1145">
        <v>2501116</v>
      </c>
      <c r="F1145" t="s">
        <v>39</v>
      </c>
      <c r="G1145">
        <v>300</v>
      </c>
      <c r="H1145" t="str">
        <f>VLOOKUP(A1145,'SV Child INS Apr'!$A:$H,1,0)</f>
        <v>76211393</v>
      </c>
      <c r="L1145" t="e">
        <f>VLOOKUP(A1145,'TV Apr Prorated Billing Sites'!$A:$I,1,0)</f>
        <v>#N/A</v>
      </c>
    </row>
    <row r="1146" spans="1:13">
      <c r="A1146" t="str">
        <f t="shared" si="20"/>
        <v>76211435</v>
      </c>
      <c r="B1146" t="s">
        <v>3579</v>
      </c>
      <c r="C1146" t="s">
        <v>3580</v>
      </c>
      <c r="D1146">
        <v>76211435</v>
      </c>
      <c r="E1146">
        <v>3000395</v>
      </c>
      <c r="F1146" t="s">
        <v>39</v>
      </c>
      <c r="G1146">
        <v>300</v>
      </c>
      <c r="H1146" t="str">
        <f>VLOOKUP(A1146,'SV Child INS Apr'!$A:$H,1,0)</f>
        <v>76211435</v>
      </c>
      <c r="L1146" t="e">
        <f>VLOOKUP(A1146,'TV Apr Prorated Billing Sites'!$A:$I,1,0)</f>
        <v>#N/A</v>
      </c>
    </row>
    <row r="1147" spans="1:13">
      <c r="A1147" t="str">
        <f t="shared" si="20"/>
        <v>76211772</v>
      </c>
      <c r="B1147" t="s">
        <v>593</v>
      </c>
      <c r="C1147" t="s">
        <v>594</v>
      </c>
      <c r="D1147">
        <v>76211772</v>
      </c>
      <c r="E1147">
        <v>3002899</v>
      </c>
      <c r="F1147" t="s">
        <v>39</v>
      </c>
      <c r="G1147">
        <v>300</v>
      </c>
      <c r="H1147" t="e">
        <f>VLOOKUP(A1147,'SV Child INS Apr'!$A:$H,1,0)</f>
        <v>#N/A</v>
      </c>
      <c r="I1147" t="e">
        <f>VLOOKUP(B1147,'SV Child INS Apr'!$D:$F,1,0)</f>
        <v>#N/A</v>
      </c>
      <c r="J1147" t="str">
        <f>VLOOKUP(A1147,'SV Child BLG Apr'!$A:$J,1,0)</f>
        <v>76211772</v>
      </c>
      <c r="L1147" t="str">
        <f>VLOOKUP(A1147,'TV Apr Prorated Billing Sites'!$A:$I,1,0)</f>
        <v>76211772</v>
      </c>
      <c r="M1147" t="e">
        <f>VLOOKUP(A1147,'CDK asked to retain list'!$H$1:$J$24,1,0)</f>
        <v>#N/A</v>
      </c>
    </row>
    <row r="1148" spans="1:13">
      <c r="A1148" t="str">
        <f t="shared" si="20"/>
        <v>76212103</v>
      </c>
      <c r="B1148" t="s">
        <v>3581</v>
      </c>
      <c r="C1148" t="s">
        <v>3582</v>
      </c>
      <c r="D1148">
        <v>76212103</v>
      </c>
      <c r="E1148">
        <v>2001430</v>
      </c>
      <c r="F1148" t="s">
        <v>39</v>
      </c>
      <c r="G1148">
        <v>300</v>
      </c>
      <c r="H1148" t="str">
        <f>VLOOKUP(A1148,'SV Child INS Apr'!$A:$H,1,0)</f>
        <v>76212103</v>
      </c>
      <c r="L1148" t="e">
        <f>VLOOKUP(A1148,'TV Apr Prorated Billing Sites'!$A:$I,1,0)</f>
        <v>#N/A</v>
      </c>
    </row>
    <row r="1149" spans="1:13">
      <c r="A1149" t="str">
        <f t="shared" si="20"/>
        <v>76212373</v>
      </c>
      <c r="B1149" t="s">
        <v>3583</v>
      </c>
      <c r="C1149" t="s">
        <v>3584</v>
      </c>
      <c r="D1149">
        <v>76212373</v>
      </c>
      <c r="E1149">
        <v>2502051</v>
      </c>
      <c r="F1149" t="s">
        <v>39</v>
      </c>
      <c r="G1149">
        <v>300</v>
      </c>
      <c r="H1149" t="str">
        <f>VLOOKUP(A1149,'SV Child INS Apr'!$A:$H,1,0)</f>
        <v>76212373</v>
      </c>
      <c r="L1149" t="e">
        <f>VLOOKUP(A1149,'TV Apr Prorated Billing Sites'!$A:$I,1,0)</f>
        <v>#N/A</v>
      </c>
    </row>
    <row r="1150" spans="1:13">
      <c r="A1150" t="str">
        <f t="shared" si="20"/>
        <v>76212605</v>
      </c>
      <c r="B1150" t="s">
        <v>3585</v>
      </c>
      <c r="C1150" t="s">
        <v>3586</v>
      </c>
      <c r="D1150">
        <v>76212605</v>
      </c>
      <c r="E1150">
        <v>2001314</v>
      </c>
      <c r="F1150" t="s">
        <v>39</v>
      </c>
      <c r="G1150">
        <v>300</v>
      </c>
      <c r="H1150" t="str">
        <f>VLOOKUP(A1150,'SV Child INS Apr'!$A:$H,1,0)</f>
        <v>76212605</v>
      </c>
      <c r="L1150" t="e">
        <f>VLOOKUP(A1150,'TV Apr Prorated Billing Sites'!$A:$I,1,0)</f>
        <v>#N/A</v>
      </c>
    </row>
    <row r="1151" spans="1:13">
      <c r="A1151" t="str">
        <f t="shared" si="20"/>
        <v>76212611</v>
      </c>
      <c r="B1151" t="s">
        <v>3587</v>
      </c>
      <c r="C1151" t="s">
        <v>3588</v>
      </c>
      <c r="D1151">
        <v>76212611</v>
      </c>
      <c r="E1151">
        <v>2002537</v>
      </c>
      <c r="F1151" t="s">
        <v>39</v>
      </c>
      <c r="G1151">
        <v>300</v>
      </c>
      <c r="H1151" t="str">
        <f>VLOOKUP(A1151,'SV Child INS Apr'!$A:$H,1,0)</f>
        <v>76212611</v>
      </c>
      <c r="L1151" t="e">
        <f>VLOOKUP(A1151,'TV Apr Prorated Billing Sites'!$A:$I,1,0)</f>
        <v>#N/A</v>
      </c>
    </row>
    <row r="1152" spans="1:13">
      <c r="A1152" t="str">
        <f t="shared" si="20"/>
        <v>76212775</v>
      </c>
      <c r="B1152" t="s">
        <v>3589</v>
      </c>
      <c r="C1152" t="s">
        <v>3590</v>
      </c>
      <c r="D1152">
        <v>76212775</v>
      </c>
      <c r="E1152">
        <v>8097</v>
      </c>
      <c r="F1152" t="s">
        <v>39</v>
      </c>
      <c r="G1152">
        <v>300</v>
      </c>
      <c r="H1152" t="str">
        <f>VLOOKUP(A1152,'SV Child INS Apr'!$A:$H,1,0)</f>
        <v>76212775</v>
      </c>
      <c r="L1152" t="e">
        <f>VLOOKUP(A1152,'TV Apr Prorated Billing Sites'!$A:$I,1,0)</f>
        <v>#N/A</v>
      </c>
    </row>
    <row r="1153" spans="1:13">
      <c r="A1153" t="str">
        <f t="shared" si="20"/>
        <v>76213077</v>
      </c>
      <c r="B1153" t="s">
        <v>596</v>
      </c>
      <c r="C1153" t="s">
        <v>597</v>
      </c>
      <c r="D1153">
        <v>76213077</v>
      </c>
      <c r="E1153">
        <v>2502928</v>
      </c>
      <c r="F1153" t="s">
        <v>39</v>
      </c>
      <c r="G1153">
        <v>300</v>
      </c>
      <c r="H1153" t="e">
        <f>VLOOKUP(A1153,'SV Child INS Apr'!$A:$H,1,0)</f>
        <v>#N/A</v>
      </c>
      <c r="I1153" t="e">
        <f>VLOOKUP(B1153,'SV Child INS Apr'!$D:$F,1,0)</f>
        <v>#N/A</v>
      </c>
      <c r="J1153" t="str">
        <f>VLOOKUP(A1153,'SV Child BLG Apr'!$A:$J,1,0)</f>
        <v>76213077</v>
      </c>
      <c r="L1153" t="e">
        <f>VLOOKUP(A1153,'TV Apr Prorated Billing Sites'!$A:$I,1,0)</f>
        <v>#N/A</v>
      </c>
      <c r="M1153" t="e">
        <f>VLOOKUP(A1153,'CDK asked to retain list'!$H$1:$J$24,1,0)</f>
        <v>#N/A</v>
      </c>
    </row>
    <row r="1154" spans="1:13">
      <c r="A1154" t="str">
        <f t="shared" si="20"/>
        <v>76213112</v>
      </c>
      <c r="B1154" t="s">
        <v>3591</v>
      </c>
      <c r="C1154" t="s">
        <v>3592</v>
      </c>
      <c r="D1154">
        <v>76213112</v>
      </c>
      <c r="E1154">
        <v>2501213</v>
      </c>
      <c r="F1154" t="s">
        <v>39</v>
      </c>
      <c r="G1154">
        <v>300</v>
      </c>
      <c r="H1154" t="str">
        <f>VLOOKUP(A1154,'SV Child INS Apr'!$A:$H,1,0)</f>
        <v>76213112</v>
      </c>
      <c r="L1154" t="e">
        <f>VLOOKUP(A1154,'TV Apr Prorated Billing Sites'!$A:$I,1,0)</f>
        <v>#N/A</v>
      </c>
    </row>
    <row r="1155" spans="1:13">
      <c r="A1155" t="str">
        <f t="shared" si="20"/>
        <v>76213117</v>
      </c>
      <c r="B1155" t="s">
        <v>3593</v>
      </c>
      <c r="C1155" t="s">
        <v>3594</v>
      </c>
      <c r="D1155">
        <v>76213117</v>
      </c>
      <c r="E1155">
        <v>2502608</v>
      </c>
      <c r="F1155" t="s">
        <v>39</v>
      </c>
      <c r="G1155">
        <v>300</v>
      </c>
      <c r="H1155" t="str">
        <f>VLOOKUP(A1155,'SV Child INS Apr'!$A:$H,1,0)</f>
        <v>76213117</v>
      </c>
      <c r="L1155" t="e">
        <f>VLOOKUP(A1155,'TV Apr Prorated Billing Sites'!$A:$I,1,0)</f>
        <v>#N/A</v>
      </c>
    </row>
    <row r="1156" spans="1:13">
      <c r="A1156" t="str">
        <f t="shared" si="20"/>
        <v>76213141</v>
      </c>
      <c r="B1156" t="s">
        <v>3595</v>
      </c>
      <c r="C1156" t="s">
        <v>3596</v>
      </c>
      <c r="D1156">
        <v>76213141</v>
      </c>
      <c r="E1156">
        <v>2001224</v>
      </c>
      <c r="F1156" t="s">
        <v>39</v>
      </c>
      <c r="G1156">
        <v>450</v>
      </c>
      <c r="H1156" t="str">
        <f>VLOOKUP(A1156,'SV Child INS Apr'!$A:$H,1,0)</f>
        <v>76213141</v>
      </c>
      <c r="L1156" t="e">
        <f>VLOOKUP(A1156,'TV Apr Prorated Billing Sites'!$A:$I,1,0)</f>
        <v>#N/A</v>
      </c>
    </row>
    <row r="1157" spans="1:13">
      <c r="A1157" t="str">
        <f t="shared" si="20"/>
        <v>76213159</v>
      </c>
      <c r="B1157" t="s">
        <v>3597</v>
      </c>
      <c r="C1157" t="s">
        <v>3598</v>
      </c>
      <c r="D1157">
        <v>76213159</v>
      </c>
      <c r="E1157">
        <v>2501310</v>
      </c>
      <c r="F1157" t="s">
        <v>39</v>
      </c>
      <c r="G1157">
        <v>450</v>
      </c>
      <c r="H1157" t="str">
        <f>VLOOKUP(A1157,'SV Child INS Apr'!$A:$H,1,0)</f>
        <v>76213159</v>
      </c>
      <c r="L1157" t="e">
        <f>VLOOKUP(A1157,'TV Apr Prorated Billing Sites'!$A:$I,1,0)</f>
        <v>#N/A</v>
      </c>
    </row>
    <row r="1158" spans="1:13">
      <c r="A1158" t="str">
        <f t="shared" si="20"/>
        <v>76213165</v>
      </c>
      <c r="B1158" t="s">
        <v>3599</v>
      </c>
      <c r="C1158" t="s">
        <v>3600</v>
      </c>
      <c r="D1158">
        <v>76213165</v>
      </c>
      <c r="E1158">
        <v>2501301</v>
      </c>
      <c r="F1158" t="s">
        <v>39</v>
      </c>
      <c r="G1158">
        <v>450</v>
      </c>
      <c r="H1158" t="str">
        <f>VLOOKUP(A1158,'SV Child INS Apr'!$A:$H,1,0)</f>
        <v>76213165</v>
      </c>
      <c r="L1158" t="e">
        <f>VLOOKUP(A1158,'TV Apr Prorated Billing Sites'!$A:$I,1,0)</f>
        <v>#N/A</v>
      </c>
    </row>
    <row r="1159" spans="1:13">
      <c r="A1159" t="str">
        <f t="shared" si="20"/>
        <v>76213169</v>
      </c>
      <c r="B1159" t="s">
        <v>3601</v>
      </c>
      <c r="C1159" t="s">
        <v>3602</v>
      </c>
      <c r="D1159">
        <v>76213169</v>
      </c>
      <c r="E1159">
        <v>2502255</v>
      </c>
      <c r="F1159" t="s">
        <v>39</v>
      </c>
      <c r="G1159">
        <v>450</v>
      </c>
      <c r="H1159" t="str">
        <f>VLOOKUP(A1159,'SV Child INS Apr'!$A:$H,1,0)</f>
        <v>76213169</v>
      </c>
      <c r="L1159" t="e">
        <f>VLOOKUP(A1159,'TV Apr Prorated Billing Sites'!$A:$I,1,0)</f>
        <v>#N/A</v>
      </c>
    </row>
    <row r="1160" spans="1:13">
      <c r="A1160" t="str">
        <f t="shared" si="20"/>
        <v>76213178</v>
      </c>
      <c r="B1160" t="s">
        <v>3603</v>
      </c>
      <c r="C1160" t="s">
        <v>3604</v>
      </c>
      <c r="D1160">
        <v>76213178</v>
      </c>
      <c r="E1160">
        <v>2501145</v>
      </c>
      <c r="F1160" t="s">
        <v>39</v>
      </c>
      <c r="G1160">
        <v>300</v>
      </c>
      <c r="H1160" t="str">
        <f>VLOOKUP(A1160,'SV Child INS Apr'!$A:$H,1,0)</f>
        <v>76213178</v>
      </c>
      <c r="L1160" t="e">
        <f>VLOOKUP(A1160,'TV Apr Prorated Billing Sites'!$A:$I,1,0)</f>
        <v>#N/A</v>
      </c>
    </row>
    <row r="1161" spans="1:13">
      <c r="A1161" t="str">
        <f t="shared" si="20"/>
        <v>76213296</v>
      </c>
      <c r="B1161" t="s">
        <v>3605</v>
      </c>
      <c r="C1161" t="s">
        <v>3606</v>
      </c>
      <c r="D1161">
        <v>76213296</v>
      </c>
      <c r="E1161">
        <v>2501716</v>
      </c>
      <c r="F1161" t="s">
        <v>39</v>
      </c>
      <c r="G1161">
        <v>300</v>
      </c>
      <c r="H1161" t="str">
        <f>VLOOKUP(A1161,'SV Child INS Apr'!$A:$H,1,0)</f>
        <v>76213296</v>
      </c>
      <c r="L1161" t="e">
        <f>VLOOKUP(A1161,'TV Apr Prorated Billing Sites'!$A:$I,1,0)</f>
        <v>#N/A</v>
      </c>
    </row>
    <row r="1162" spans="1:13">
      <c r="A1162" t="str">
        <f t="shared" si="20"/>
        <v>76213302</v>
      </c>
      <c r="B1162" t="s">
        <v>3607</v>
      </c>
      <c r="C1162" t="s">
        <v>3608</v>
      </c>
      <c r="D1162">
        <v>76213302</v>
      </c>
      <c r="E1162">
        <v>2003120</v>
      </c>
      <c r="F1162" t="s">
        <v>39</v>
      </c>
      <c r="G1162">
        <v>300</v>
      </c>
      <c r="H1162" t="str">
        <f>VLOOKUP(A1162,'SV Child INS Apr'!$A:$H,1,0)</f>
        <v>76213302</v>
      </c>
      <c r="L1162" t="e">
        <f>VLOOKUP(A1162,'TV Apr Prorated Billing Sites'!$A:$I,1,0)</f>
        <v>#N/A</v>
      </c>
    </row>
    <row r="1163" spans="1:13">
      <c r="A1163" t="str">
        <f t="shared" si="20"/>
        <v>76213491</v>
      </c>
      <c r="B1163" t="s">
        <v>3609</v>
      </c>
      <c r="C1163" t="s">
        <v>3610</v>
      </c>
      <c r="D1163">
        <v>76213491</v>
      </c>
      <c r="E1163">
        <v>0</v>
      </c>
      <c r="F1163" t="s">
        <v>39</v>
      </c>
      <c r="G1163">
        <v>450</v>
      </c>
      <c r="H1163" t="str">
        <f>VLOOKUP(A1163,'SV Child INS Apr'!$A:$H,1,0)</f>
        <v>76213491</v>
      </c>
      <c r="L1163" t="e">
        <f>VLOOKUP(A1163,'TV Apr Prorated Billing Sites'!$A:$I,1,0)</f>
        <v>#N/A</v>
      </c>
    </row>
    <row r="1164" spans="1:13">
      <c r="A1164" t="str">
        <f t="shared" si="20"/>
        <v>76213505</v>
      </c>
      <c r="B1164" t="s">
        <v>3611</v>
      </c>
      <c r="C1164" t="s">
        <v>3612</v>
      </c>
      <c r="D1164">
        <v>76213505</v>
      </c>
      <c r="E1164">
        <v>2501195</v>
      </c>
      <c r="F1164" t="s">
        <v>39</v>
      </c>
      <c r="G1164">
        <v>300</v>
      </c>
      <c r="H1164" t="str">
        <f>VLOOKUP(A1164,'SV Child INS Apr'!$A:$H,1,0)</f>
        <v>76213505</v>
      </c>
      <c r="L1164" t="e">
        <f>VLOOKUP(A1164,'TV Apr Prorated Billing Sites'!$A:$I,1,0)</f>
        <v>#N/A</v>
      </c>
    </row>
    <row r="1165" spans="1:13">
      <c r="A1165" t="str">
        <f t="shared" si="20"/>
        <v>76213515</v>
      </c>
      <c r="B1165" t="s">
        <v>3613</v>
      </c>
      <c r="C1165" t="s">
        <v>3614</v>
      </c>
      <c r="D1165">
        <v>76213515</v>
      </c>
      <c r="E1165">
        <v>2002065</v>
      </c>
      <c r="F1165" t="s">
        <v>39</v>
      </c>
      <c r="G1165">
        <v>450</v>
      </c>
      <c r="H1165" t="str">
        <f>VLOOKUP(A1165,'SV Child INS Apr'!$A:$H,1,0)</f>
        <v>76213515</v>
      </c>
      <c r="L1165" t="e">
        <f>VLOOKUP(A1165,'TV Apr Prorated Billing Sites'!$A:$I,1,0)</f>
        <v>#N/A</v>
      </c>
    </row>
    <row r="1166" spans="1:13">
      <c r="A1166" t="str">
        <f t="shared" si="20"/>
        <v>76213525</v>
      </c>
      <c r="B1166" t="s">
        <v>3615</v>
      </c>
      <c r="C1166" t="s">
        <v>3616</v>
      </c>
      <c r="D1166">
        <v>76213525</v>
      </c>
      <c r="E1166">
        <v>2001897</v>
      </c>
      <c r="F1166" t="s">
        <v>39</v>
      </c>
      <c r="G1166">
        <v>300</v>
      </c>
      <c r="H1166" t="str">
        <f>VLOOKUP(A1166,'SV Child INS Apr'!$A:$H,1,0)</f>
        <v>76213525</v>
      </c>
      <c r="L1166" t="e">
        <f>VLOOKUP(A1166,'TV Apr Prorated Billing Sites'!$A:$I,1,0)</f>
        <v>#N/A</v>
      </c>
    </row>
    <row r="1167" spans="1:13">
      <c r="A1167" t="str">
        <f t="shared" si="20"/>
        <v>76213570</v>
      </c>
      <c r="B1167" t="s">
        <v>3617</v>
      </c>
      <c r="C1167" t="s">
        <v>3618</v>
      </c>
      <c r="D1167">
        <v>76213570</v>
      </c>
      <c r="E1167">
        <v>2001109</v>
      </c>
      <c r="F1167" t="s">
        <v>39</v>
      </c>
      <c r="G1167">
        <v>300</v>
      </c>
      <c r="H1167" t="str">
        <f>VLOOKUP(A1167,'SV Child INS Apr'!$A:$H,1,0)</f>
        <v>76213570</v>
      </c>
      <c r="L1167" t="e">
        <f>VLOOKUP(A1167,'TV Apr Prorated Billing Sites'!$A:$I,1,0)</f>
        <v>#N/A</v>
      </c>
    </row>
    <row r="1168" spans="1:13">
      <c r="A1168" t="str">
        <f t="shared" si="20"/>
        <v>76213571</v>
      </c>
      <c r="B1168" t="s">
        <v>3619</v>
      </c>
      <c r="C1168" t="s">
        <v>3620</v>
      </c>
      <c r="D1168">
        <v>76213571</v>
      </c>
      <c r="E1168">
        <v>2001097</v>
      </c>
      <c r="F1168" t="s">
        <v>39</v>
      </c>
      <c r="G1168">
        <v>300</v>
      </c>
      <c r="H1168" t="str">
        <f>VLOOKUP(A1168,'SV Child INS Apr'!$A:$H,1,0)</f>
        <v>76213571</v>
      </c>
      <c r="L1168" t="e">
        <f>VLOOKUP(A1168,'TV Apr Prorated Billing Sites'!$A:$I,1,0)</f>
        <v>#N/A</v>
      </c>
    </row>
    <row r="1169" spans="1:13">
      <c r="A1169" t="str">
        <f t="shared" si="20"/>
        <v>76213582</v>
      </c>
      <c r="B1169" t="s">
        <v>3621</v>
      </c>
      <c r="C1169" t="s">
        <v>3622</v>
      </c>
      <c r="D1169">
        <v>76213582</v>
      </c>
      <c r="E1169">
        <v>2003045</v>
      </c>
      <c r="F1169" t="s">
        <v>39</v>
      </c>
      <c r="G1169">
        <v>300</v>
      </c>
      <c r="H1169" t="str">
        <f>VLOOKUP(A1169,'SV Child INS Apr'!$A:$H,1,0)</f>
        <v>76213582</v>
      </c>
      <c r="L1169" t="e">
        <f>VLOOKUP(A1169,'TV Apr Prorated Billing Sites'!$A:$I,1,0)</f>
        <v>#N/A</v>
      </c>
    </row>
    <row r="1170" spans="1:13">
      <c r="A1170" t="str">
        <f t="shared" si="20"/>
        <v>76213673</v>
      </c>
      <c r="B1170" t="s">
        <v>3623</v>
      </c>
      <c r="C1170" t="s">
        <v>3624</v>
      </c>
      <c r="D1170">
        <v>76213673</v>
      </c>
      <c r="E1170">
        <v>2501883</v>
      </c>
      <c r="F1170" t="s">
        <v>39</v>
      </c>
      <c r="G1170">
        <v>300</v>
      </c>
      <c r="H1170" t="str">
        <f>VLOOKUP(A1170,'SV Child INS Apr'!$A:$H,1,0)</f>
        <v>76213673</v>
      </c>
      <c r="L1170" t="e">
        <f>VLOOKUP(A1170,'TV Apr Prorated Billing Sites'!$A:$I,1,0)</f>
        <v>#N/A</v>
      </c>
    </row>
    <row r="1171" spans="1:13">
      <c r="A1171" t="str">
        <f t="shared" si="20"/>
        <v>76213848</v>
      </c>
      <c r="B1171" t="s">
        <v>3625</v>
      </c>
      <c r="C1171" t="s">
        <v>3626</v>
      </c>
      <c r="D1171">
        <v>76213848</v>
      </c>
      <c r="E1171">
        <v>2502056</v>
      </c>
      <c r="F1171" t="s">
        <v>39</v>
      </c>
      <c r="G1171">
        <v>300</v>
      </c>
      <c r="H1171" t="str">
        <f>VLOOKUP(A1171,'SV Child INS Apr'!$A:$H,1,0)</f>
        <v>76213848</v>
      </c>
      <c r="L1171" t="e">
        <f>VLOOKUP(A1171,'TV Apr Prorated Billing Sites'!$A:$I,1,0)</f>
        <v>#N/A</v>
      </c>
    </row>
    <row r="1172" spans="1:13">
      <c r="A1172" t="str">
        <f t="shared" si="20"/>
        <v>76213850</v>
      </c>
      <c r="B1172" t="s">
        <v>3627</v>
      </c>
      <c r="C1172" t="s">
        <v>3628</v>
      </c>
      <c r="D1172">
        <v>76213850</v>
      </c>
      <c r="E1172">
        <v>2502046</v>
      </c>
      <c r="F1172" t="s">
        <v>39</v>
      </c>
      <c r="G1172">
        <v>300</v>
      </c>
      <c r="H1172" t="str">
        <f>VLOOKUP(A1172,'SV Child INS Apr'!$A:$H,1,0)</f>
        <v>76213850</v>
      </c>
      <c r="L1172" t="e">
        <f>VLOOKUP(A1172,'TV Apr Prorated Billing Sites'!$A:$I,1,0)</f>
        <v>#N/A</v>
      </c>
    </row>
    <row r="1173" spans="1:13">
      <c r="A1173" t="str">
        <f t="shared" si="20"/>
        <v>76213867</v>
      </c>
      <c r="B1173" t="s">
        <v>3629</v>
      </c>
      <c r="C1173" t="s">
        <v>3630</v>
      </c>
      <c r="D1173">
        <v>76213867</v>
      </c>
      <c r="E1173">
        <v>2502041</v>
      </c>
      <c r="F1173" t="s">
        <v>39</v>
      </c>
      <c r="G1173">
        <v>300</v>
      </c>
      <c r="H1173" t="str">
        <f>VLOOKUP(A1173,'SV Child INS Apr'!$A:$H,1,0)</f>
        <v>76213867</v>
      </c>
      <c r="L1173" t="e">
        <f>VLOOKUP(A1173,'TV Apr Prorated Billing Sites'!$A:$I,1,0)</f>
        <v>#N/A</v>
      </c>
    </row>
    <row r="1174" spans="1:13">
      <c r="A1174" t="str">
        <f t="shared" si="20"/>
        <v>76213958</v>
      </c>
      <c r="B1174" t="s">
        <v>3631</v>
      </c>
      <c r="C1174" t="s">
        <v>3632</v>
      </c>
      <c r="D1174">
        <v>76213958</v>
      </c>
      <c r="E1174">
        <v>2001107</v>
      </c>
      <c r="F1174" t="s">
        <v>39</v>
      </c>
      <c r="G1174">
        <v>300</v>
      </c>
      <c r="H1174" t="str">
        <f>VLOOKUP(A1174,'SV Child INS Apr'!$A:$H,1,0)</f>
        <v>76213958</v>
      </c>
      <c r="L1174" t="e">
        <f>VLOOKUP(A1174,'TV Apr Prorated Billing Sites'!$A:$I,1,0)</f>
        <v>#N/A</v>
      </c>
    </row>
    <row r="1175" spans="1:13">
      <c r="A1175" t="str">
        <f t="shared" si="20"/>
        <v>76214235</v>
      </c>
      <c r="B1175" t="s">
        <v>3633</v>
      </c>
      <c r="C1175" t="s">
        <v>3634</v>
      </c>
      <c r="D1175">
        <v>76214235</v>
      </c>
      <c r="E1175">
        <v>2001781</v>
      </c>
      <c r="F1175" t="s">
        <v>39</v>
      </c>
      <c r="G1175">
        <v>300</v>
      </c>
      <c r="H1175" t="str">
        <f>VLOOKUP(A1175,'SV Child INS Apr'!$A:$H,1,0)</f>
        <v>76214235</v>
      </c>
      <c r="L1175" t="e">
        <f>VLOOKUP(A1175,'TV Apr Prorated Billing Sites'!$A:$I,1,0)</f>
        <v>#N/A</v>
      </c>
    </row>
    <row r="1176" spans="1:13">
      <c r="A1176" t="str">
        <f t="shared" si="20"/>
        <v>76214315</v>
      </c>
      <c r="B1176" t="s">
        <v>3635</v>
      </c>
      <c r="C1176" t="s">
        <v>3636</v>
      </c>
      <c r="D1176">
        <v>76214315</v>
      </c>
      <c r="E1176">
        <v>2500107</v>
      </c>
      <c r="F1176" t="s">
        <v>39</v>
      </c>
      <c r="G1176">
        <v>450</v>
      </c>
      <c r="H1176" t="str">
        <f>VLOOKUP(A1176,'SV Child INS Apr'!$A:$H,1,0)</f>
        <v>76214315</v>
      </c>
      <c r="L1176" t="e">
        <f>VLOOKUP(A1176,'TV Apr Prorated Billing Sites'!$A:$I,1,0)</f>
        <v>#N/A</v>
      </c>
    </row>
    <row r="1177" spans="1:13">
      <c r="A1177" t="str">
        <f t="shared" si="20"/>
        <v>76214412</v>
      </c>
      <c r="B1177" t="s">
        <v>3637</v>
      </c>
      <c r="C1177" t="s">
        <v>3638</v>
      </c>
      <c r="D1177">
        <v>76214412</v>
      </c>
      <c r="E1177">
        <v>3001809</v>
      </c>
      <c r="F1177" t="s">
        <v>39</v>
      </c>
      <c r="G1177">
        <v>300</v>
      </c>
      <c r="H1177" t="str">
        <f>VLOOKUP(A1177,'SV Child INS Apr'!$A:$H,1,0)</f>
        <v>76214412</v>
      </c>
      <c r="L1177" t="e">
        <f>VLOOKUP(A1177,'TV Apr Prorated Billing Sites'!$A:$I,1,0)</f>
        <v>#N/A</v>
      </c>
    </row>
    <row r="1178" spans="1:13">
      <c r="A1178" t="str">
        <f t="shared" si="20"/>
        <v>76214495</v>
      </c>
      <c r="B1178" t="s">
        <v>3639</v>
      </c>
      <c r="C1178" t="s">
        <v>3640</v>
      </c>
      <c r="D1178">
        <v>76214495</v>
      </c>
      <c r="E1178">
        <v>2002817</v>
      </c>
      <c r="F1178" t="s">
        <v>39</v>
      </c>
      <c r="G1178">
        <v>450</v>
      </c>
      <c r="H1178" t="str">
        <f>VLOOKUP(A1178,'SV Child INS Apr'!$A:$H,1,0)</f>
        <v>76214495</v>
      </c>
      <c r="L1178" t="e">
        <f>VLOOKUP(A1178,'TV Apr Prorated Billing Sites'!$A:$I,1,0)</f>
        <v>#N/A</v>
      </c>
    </row>
    <row r="1179" spans="1:13">
      <c r="A1179" t="str">
        <f t="shared" si="20"/>
        <v>76214560</v>
      </c>
      <c r="B1179" t="s">
        <v>3641</v>
      </c>
      <c r="C1179" t="s">
        <v>3642</v>
      </c>
      <c r="D1179">
        <v>76214560</v>
      </c>
      <c r="E1179">
        <v>2503608</v>
      </c>
      <c r="F1179" t="s">
        <v>39</v>
      </c>
      <c r="G1179">
        <v>300</v>
      </c>
      <c r="H1179" t="str">
        <f>VLOOKUP(A1179,'SV Child INS Apr'!$A:$H,1,0)</f>
        <v>76214560</v>
      </c>
      <c r="L1179" t="e">
        <f>VLOOKUP(A1179,'TV Apr Prorated Billing Sites'!$A:$I,1,0)</f>
        <v>#N/A</v>
      </c>
    </row>
    <row r="1180" spans="1:13">
      <c r="A1180" t="str">
        <f t="shared" si="20"/>
        <v>76214576</v>
      </c>
      <c r="B1180" t="s">
        <v>599</v>
      </c>
      <c r="C1180" t="s">
        <v>600</v>
      </c>
      <c r="D1180">
        <v>76214576</v>
      </c>
      <c r="E1180">
        <v>2500092</v>
      </c>
      <c r="F1180" t="s">
        <v>39</v>
      </c>
      <c r="G1180">
        <v>300</v>
      </c>
      <c r="H1180" t="e">
        <f>VLOOKUP(A1180,'SV Child INS Apr'!$A:$H,1,0)</f>
        <v>#N/A</v>
      </c>
      <c r="I1180" t="e">
        <f>VLOOKUP(B1180,'SV Child INS Apr'!$D:$F,1,0)</f>
        <v>#N/A</v>
      </c>
      <c r="J1180" t="str">
        <f>VLOOKUP(A1180,'SV Child BLG Apr'!$A:$J,1,0)</f>
        <v>76214576</v>
      </c>
      <c r="L1180" t="e">
        <f>VLOOKUP(A1180,'TV Apr Prorated Billing Sites'!$A:$I,1,0)</f>
        <v>#N/A</v>
      </c>
      <c r="M1180" t="e">
        <f>VLOOKUP(A1180,'CDK asked to retain list'!$H$1:$J$24,1,0)</f>
        <v>#N/A</v>
      </c>
    </row>
    <row r="1181" spans="1:13">
      <c r="A1181" t="str">
        <f t="shared" si="20"/>
        <v>76215157</v>
      </c>
      <c r="B1181" t="s">
        <v>3643</v>
      </c>
      <c r="C1181" t="s">
        <v>3644</v>
      </c>
      <c r="D1181">
        <v>76215157</v>
      </c>
      <c r="E1181">
        <v>2501429</v>
      </c>
      <c r="F1181" t="s">
        <v>39</v>
      </c>
      <c r="G1181">
        <v>300</v>
      </c>
      <c r="H1181" t="str">
        <f>VLOOKUP(A1181,'SV Child INS Apr'!$A:$H,1,0)</f>
        <v>76215157</v>
      </c>
      <c r="L1181" t="e">
        <f>VLOOKUP(A1181,'TV Apr Prorated Billing Sites'!$A:$I,1,0)</f>
        <v>#N/A</v>
      </c>
    </row>
    <row r="1182" spans="1:13">
      <c r="A1182" t="str">
        <f t="shared" si="20"/>
        <v>76215310</v>
      </c>
      <c r="B1182" t="s">
        <v>123</v>
      </c>
      <c r="C1182" t="s">
        <v>124</v>
      </c>
      <c r="D1182">
        <v>76215310</v>
      </c>
      <c r="E1182">
        <v>2700010</v>
      </c>
      <c r="F1182" t="s">
        <v>39</v>
      </c>
      <c r="G1182">
        <v>300</v>
      </c>
      <c r="H1182" t="e">
        <f>VLOOKUP(A1182,'SV Child INS Apr'!$A:$H,1,0)</f>
        <v>#N/A</v>
      </c>
      <c r="I1182" t="e">
        <f>VLOOKUP(B1182,'SV Child INS Apr'!$D:$F,1,0)</f>
        <v>#N/A</v>
      </c>
      <c r="J1182" t="e">
        <f>VLOOKUP(A1182,'SV Child BLG Apr'!$A:$J,1,0)</f>
        <v>#N/A</v>
      </c>
      <c r="K1182" t="e">
        <f>VLOOKUP(B1182,'SV Child BLG Apr'!$D:$I,1,0)</f>
        <v>#N/A</v>
      </c>
      <c r="L1182" t="e">
        <f>VLOOKUP(A1182,'TV Apr Prorated Billing Sites'!$A:$I,1,0)</f>
        <v>#N/A</v>
      </c>
    </row>
    <row r="1183" spans="1:13">
      <c r="A1183" t="str">
        <f t="shared" si="20"/>
        <v>76215341</v>
      </c>
      <c r="B1183" t="s">
        <v>3645</v>
      </c>
      <c r="C1183" t="s">
        <v>3646</v>
      </c>
      <c r="D1183">
        <v>76215341</v>
      </c>
      <c r="E1183" t="s">
        <v>438</v>
      </c>
      <c r="F1183" t="s">
        <v>39</v>
      </c>
      <c r="G1183">
        <v>300</v>
      </c>
      <c r="H1183" t="str">
        <f>VLOOKUP(A1183,'SV Child INS Apr'!$A:$H,1,0)</f>
        <v>76215341</v>
      </c>
      <c r="L1183" t="e">
        <f>VLOOKUP(A1183,'TV Apr Prorated Billing Sites'!$A:$I,1,0)</f>
        <v>#N/A</v>
      </c>
    </row>
    <row r="1184" spans="1:13">
      <c r="A1184" t="str">
        <f t="shared" si="20"/>
        <v>76215380</v>
      </c>
      <c r="B1184" t="s">
        <v>126</v>
      </c>
      <c r="C1184" t="s">
        <v>127</v>
      </c>
      <c r="D1184">
        <v>76215380</v>
      </c>
      <c r="E1184">
        <v>2000797</v>
      </c>
      <c r="F1184" t="s">
        <v>39</v>
      </c>
      <c r="G1184">
        <v>450</v>
      </c>
      <c r="H1184" t="e">
        <f>VLOOKUP(A1184,'SV Child INS Apr'!$A:$H,1,0)</f>
        <v>#N/A</v>
      </c>
      <c r="I1184" t="e">
        <f>VLOOKUP(B1184,'SV Child INS Apr'!$D:$F,1,0)</f>
        <v>#N/A</v>
      </c>
      <c r="J1184" t="e">
        <f>VLOOKUP(A1184,'SV Child BLG Apr'!$A:$J,1,0)</f>
        <v>#N/A</v>
      </c>
      <c r="K1184" t="e">
        <f>VLOOKUP(B1184,'SV Child BLG Apr'!$D:$I,1,0)</f>
        <v>#N/A</v>
      </c>
      <c r="L1184" t="e">
        <f>VLOOKUP(A1184,'TV Apr Prorated Billing Sites'!$A:$I,1,0)</f>
        <v>#N/A</v>
      </c>
    </row>
    <row r="1185" spans="1:13">
      <c r="A1185" t="str">
        <f t="shared" si="20"/>
        <v>76215463</v>
      </c>
      <c r="B1185" t="s">
        <v>3647</v>
      </c>
      <c r="C1185" t="s">
        <v>3648</v>
      </c>
      <c r="D1185">
        <v>76215463</v>
      </c>
      <c r="E1185">
        <v>2002135</v>
      </c>
      <c r="F1185" t="s">
        <v>39</v>
      </c>
      <c r="G1185">
        <v>300</v>
      </c>
      <c r="H1185" t="str">
        <f>VLOOKUP(A1185,'SV Child INS Apr'!$A:$H,1,0)</f>
        <v>76215463</v>
      </c>
      <c r="L1185" t="e">
        <f>VLOOKUP(A1185,'TV Apr Prorated Billing Sites'!$A:$I,1,0)</f>
        <v>#N/A</v>
      </c>
    </row>
    <row r="1186" spans="1:13">
      <c r="A1186" t="str">
        <f t="shared" si="20"/>
        <v>76215523</v>
      </c>
      <c r="B1186" t="s">
        <v>3649</v>
      </c>
      <c r="C1186" t="s">
        <v>3650</v>
      </c>
      <c r="D1186">
        <v>76215523</v>
      </c>
      <c r="E1186">
        <v>2501285</v>
      </c>
      <c r="F1186" t="s">
        <v>39</v>
      </c>
      <c r="G1186">
        <v>400</v>
      </c>
      <c r="H1186" t="str">
        <f>VLOOKUP(A1186,'SV Child INS Apr'!$A:$H,1,0)</f>
        <v>76215523</v>
      </c>
      <c r="L1186" t="e">
        <f>VLOOKUP(A1186,'TV Apr Prorated Billing Sites'!$A:$I,1,0)</f>
        <v>#N/A</v>
      </c>
    </row>
    <row r="1187" spans="1:13">
      <c r="A1187" t="str">
        <f t="shared" si="20"/>
        <v>76215741</v>
      </c>
      <c r="B1187" t="s">
        <v>3651</v>
      </c>
      <c r="C1187" t="s">
        <v>3652</v>
      </c>
      <c r="D1187">
        <v>76215741</v>
      </c>
      <c r="E1187">
        <v>2501330</v>
      </c>
      <c r="F1187" t="s">
        <v>39</v>
      </c>
      <c r="G1187">
        <v>300</v>
      </c>
      <c r="H1187" t="str">
        <f>VLOOKUP(A1187,'SV Child INS Apr'!$A:$H,1,0)</f>
        <v>76215741</v>
      </c>
      <c r="L1187" t="e">
        <f>VLOOKUP(A1187,'TV Apr Prorated Billing Sites'!$A:$I,1,0)</f>
        <v>#N/A</v>
      </c>
    </row>
    <row r="1188" spans="1:13">
      <c r="A1188" t="str">
        <f t="shared" si="20"/>
        <v>76215831</v>
      </c>
      <c r="B1188" t="s">
        <v>3653</v>
      </c>
      <c r="C1188" t="s">
        <v>3654</v>
      </c>
      <c r="D1188">
        <v>76215831</v>
      </c>
      <c r="E1188">
        <v>2002183</v>
      </c>
      <c r="F1188" t="s">
        <v>39</v>
      </c>
      <c r="G1188">
        <v>300</v>
      </c>
      <c r="H1188" t="str">
        <f>VLOOKUP(A1188,'SV Child INS Apr'!$A:$H,1,0)</f>
        <v>76215831</v>
      </c>
      <c r="L1188" t="e">
        <f>VLOOKUP(A1188,'TV Apr Prorated Billing Sites'!$A:$I,1,0)</f>
        <v>#N/A</v>
      </c>
    </row>
    <row r="1189" spans="1:13">
      <c r="A1189" t="str">
        <f t="shared" si="20"/>
        <v>76215835</v>
      </c>
      <c r="B1189" t="s">
        <v>3655</v>
      </c>
      <c r="C1189" t="s">
        <v>3656</v>
      </c>
      <c r="D1189">
        <v>76215835</v>
      </c>
      <c r="E1189">
        <v>2002656</v>
      </c>
      <c r="F1189" t="s">
        <v>39</v>
      </c>
      <c r="G1189">
        <v>300</v>
      </c>
      <c r="H1189" t="str">
        <f>VLOOKUP(A1189,'SV Child INS Apr'!$A:$H,1,0)</f>
        <v>76215835</v>
      </c>
      <c r="L1189" t="e">
        <f>VLOOKUP(A1189,'TV Apr Prorated Billing Sites'!$A:$I,1,0)</f>
        <v>#N/A</v>
      </c>
    </row>
    <row r="1190" spans="1:13">
      <c r="A1190" t="str">
        <f t="shared" si="20"/>
        <v>76215842</v>
      </c>
      <c r="B1190" t="s">
        <v>3657</v>
      </c>
      <c r="C1190" t="s">
        <v>3658</v>
      </c>
      <c r="D1190">
        <v>76215842</v>
      </c>
      <c r="E1190">
        <v>2001566</v>
      </c>
      <c r="F1190" t="s">
        <v>39</v>
      </c>
      <c r="G1190">
        <v>300</v>
      </c>
      <c r="H1190" t="str">
        <f>VLOOKUP(A1190,'SV Child INS Apr'!$A:$H,1,0)</f>
        <v>76215842</v>
      </c>
      <c r="L1190" t="e">
        <f>VLOOKUP(A1190,'TV Apr Prorated Billing Sites'!$A:$I,1,0)</f>
        <v>#N/A</v>
      </c>
    </row>
    <row r="1191" spans="1:13">
      <c r="A1191" t="str">
        <f t="shared" si="20"/>
        <v>76215989</v>
      </c>
      <c r="B1191" t="s">
        <v>3659</v>
      </c>
      <c r="C1191" t="s">
        <v>3660</v>
      </c>
      <c r="D1191">
        <v>76215989</v>
      </c>
      <c r="E1191">
        <v>2001811</v>
      </c>
      <c r="F1191" t="s">
        <v>39</v>
      </c>
      <c r="G1191">
        <v>400</v>
      </c>
      <c r="H1191" t="str">
        <f>VLOOKUP(A1191,'SV Child INS Apr'!$A:$H,1,0)</f>
        <v>76215989</v>
      </c>
      <c r="L1191" t="e">
        <f>VLOOKUP(A1191,'TV Apr Prorated Billing Sites'!$A:$I,1,0)</f>
        <v>#N/A</v>
      </c>
    </row>
    <row r="1192" spans="1:13">
      <c r="A1192" t="str">
        <f t="shared" si="20"/>
        <v>76216354</v>
      </c>
      <c r="B1192" t="s">
        <v>3661</v>
      </c>
      <c r="C1192" t="s">
        <v>3662</v>
      </c>
      <c r="D1192">
        <v>76216354</v>
      </c>
      <c r="E1192">
        <v>8058</v>
      </c>
      <c r="F1192" t="s">
        <v>39</v>
      </c>
      <c r="G1192">
        <v>300</v>
      </c>
      <c r="H1192" t="str">
        <f>VLOOKUP(A1192,'SV Child INS Apr'!$A:$H,1,0)</f>
        <v>76216354</v>
      </c>
      <c r="L1192" t="e">
        <f>VLOOKUP(A1192,'TV Apr Prorated Billing Sites'!$A:$I,1,0)</f>
        <v>#N/A</v>
      </c>
    </row>
    <row r="1193" spans="1:13">
      <c r="A1193" t="str">
        <f t="shared" ref="A1193:A1256" si="21">TRIM(D1193)</f>
        <v>76216401</v>
      </c>
      <c r="B1193" t="s">
        <v>3663</v>
      </c>
      <c r="C1193" t="s">
        <v>3664</v>
      </c>
      <c r="D1193">
        <v>76216401</v>
      </c>
      <c r="E1193">
        <v>8039</v>
      </c>
      <c r="F1193" t="s">
        <v>39</v>
      </c>
      <c r="G1193">
        <v>300</v>
      </c>
      <c r="H1193" t="str">
        <f>VLOOKUP(A1193,'SV Child INS Apr'!$A:$H,1,0)</f>
        <v>76216401</v>
      </c>
      <c r="L1193" t="e">
        <f>VLOOKUP(A1193,'TV Apr Prorated Billing Sites'!$A:$I,1,0)</f>
        <v>#N/A</v>
      </c>
    </row>
    <row r="1194" spans="1:13">
      <c r="A1194" t="str">
        <f t="shared" si="21"/>
        <v>76216626</v>
      </c>
      <c r="B1194" t="s">
        <v>3665</v>
      </c>
      <c r="C1194" t="s">
        <v>3666</v>
      </c>
      <c r="D1194">
        <v>76216626</v>
      </c>
      <c r="E1194">
        <v>2503102</v>
      </c>
      <c r="F1194" t="s">
        <v>39</v>
      </c>
      <c r="G1194">
        <v>400</v>
      </c>
      <c r="H1194" t="str">
        <f>VLOOKUP(A1194,'SV Child INS Apr'!$A:$H,1,0)</f>
        <v>76216626</v>
      </c>
      <c r="L1194" t="e">
        <f>VLOOKUP(A1194,'TV Apr Prorated Billing Sites'!$A:$I,1,0)</f>
        <v>#N/A</v>
      </c>
    </row>
    <row r="1195" spans="1:13">
      <c r="A1195" t="str">
        <f t="shared" si="21"/>
        <v>76216633</v>
      </c>
      <c r="B1195" t="s">
        <v>602</v>
      </c>
      <c r="C1195" t="s">
        <v>603</v>
      </c>
      <c r="D1195">
        <v>76216633</v>
      </c>
      <c r="E1195">
        <v>2503124</v>
      </c>
      <c r="F1195" t="s">
        <v>39</v>
      </c>
      <c r="G1195">
        <v>300</v>
      </c>
      <c r="H1195" t="e">
        <f>VLOOKUP(A1195,'SV Child INS Apr'!$A:$H,1,0)</f>
        <v>#N/A</v>
      </c>
      <c r="I1195" t="e">
        <f>VLOOKUP(B1195,'SV Child INS Apr'!$D:$F,1,0)</f>
        <v>#N/A</v>
      </c>
      <c r="J1195" t="str">
        <f>VLOOKUP(A1195,'SV Child BLG Apr'!$A:$J,1,0)</f>
        <v>76216633</v>
      </c>
      <c r="L1195" t="str">
        <f>VLOOKUP(A1195,'TV Apr Prorated Billing Sites'!$A:$I,1,0)</f>
        <v>76216633</v>
      </c>
      <c r="M1195" t="e">
        <f>VLOOKUP(A1195,'CDK asked to retain list'!$H$1:$J$24,1,0)</f>
        <v>#N/A</v>
      </c>
    </row>
    <row r="1196" spans="1:13">
      <c r="A1196" t="str">
        <f t="shared" si="21"/>
        <v>76216658</v>
      </c>
      <c r="B1196" t="s">
        <v>3667</v>
      </c>
      <c r="C1196" t="s">
        <v>3668</v>
      </c>
      <c r="D1196">
        <v>76216658</v>
      </c>
      <c r="E1196">
        <v>2001280</v>
      </c>
      <c r="F1196" t="s">
        <v>39</v>
      </c>
      <c r="G1196">
        <v>300</v>
      </c>
      <c r="H1196" t="str">
        <f>VLOOKUP(A1196,'SV Child INS Apr'!$A:$H,1,0)</f>
        <v>76216658</v>
      </c>
      <c r="L1196" t="e">
        <f>VLOOKUP(A1196,'TV Apr Prorated Billing Sites'!$A:$I,1,0)</f>
        <v>#N/A</v>
      </c>
    </row>
    <row r="1197" spans="1:13">
      <c r="A1197" t="str">
        <f t="shared" si="21"/>
        <v>76216903</v>
      </c>
      <c r="B1197" t="s">
        <v>3669</v>
      </c>
      <c r="C1197" t="s">
        <v>3670</v>
      </c>
      <c r="D1197">
        <v>76216903</v>
      </c>
      <c r="E1197">
        <v>2001465</v>
      </c>
      <c r="F1197" t="s">
        <v>39</v>
      </c>
      <c r="G1197">
        <v>300</v>
      </c>
      <c r="H1197" t="str">
        <f>VLOOKUP(A1197,'SV Child INS Apr'!$A:$H,1,0)</f>
        <v>76216903</v>
      </c>
      <c r="L1197" t="e">
        <f>VLOOKUP(A1197,'TV Apr Prorated Billing Sites'!$A:$I,1,0)</f>
        <v>#N/A</v>
      </c>
    </row>
    <row r="1198" spans="1:13">
      <c r="A1198" t="str">
        <f t="shared" si="21"/>
        <v>76216971</v>
      </c>
      <c r="B1198" t="s">
        <v>605</v>
      </c>
      <c r="C1198" t="s">
        <v>606</v>
      </c>
      <c r="D1198">
        <v>76216971</v>
      </c>
      <c r="E1198">
        <v>2501498</v>
      </c>
      <c r="F1198" t="s">
        <v>39</v>
      </c>
      <c r="G1198">
        <v>300</v>
      </c>
      <c r="H1198" t="e">
        <f>VLOOKUP(A1198,'SV Child INS Apr'!$A:$H,1,0)</f>
        <v>#N/A</v>
      </c>
      <c r="I1198" t="e">
        <f>VLOOKUP(B1198,'SV Child INS Apr'!$D:$F,1,0)</f>
        <v>#N/A</v>
      </c>
      <c r="J1198" t="str">
        <f>VLOOKUP(A1198,'SV Child BLG Apr'!$A:$J,1,0)</f>
        <v>76216971</v>
      </c>
      <c r="L1198" t="e">
        <f>VLOOKUP(A1198,'TV Apr Prorated Billing Sites'!$A:$I,1,0)</f>
        <v>#N/A</v>
      </c>
      <c r="M1198" t="e">
        <f>VLOOKUP(A1198,'CDK asked to retain list'!$H$1:$J$24,1,0)</f>
        <v>#N/A</v>
      </c>
    </row>
    <row r="1199" spans="1:13">
      <c r="A1199" t="str">
        <f t="shared" si="21"/>
        <v>76216978</v>
      </c>
      <c r="B1199" t="s">
        <v>608</v>
      </c>
      <c r="C1199" t="s">
        <v>609</v>
      </c>
      <c r="D1199">
        <v>76216978</v>
      </c>
      <c r="E1199">
        <v>2501512</v>
      </c>
      <c r="F1199" t="s">
        <v>39</v>
      </c>
      <c r="G1199">
        <v>300</v>
      </c>
      <c r="H1199" t="e">
        <f>VLOOKUP(A1199,'SV Child INS Apr'!$A:$H,1,0)</f>
        <v>#N/A</v>
      </c>
      <c r="I1199" t="e">
        <f>VLOOKUP(B1199,'SV Child INS Apr'!$D:$F,1,0)</f>
        <v>#N/A</v>
      </c>
      <c r="J1199" t="str">
        <f>VLOOKUP(A1199,'SV Child BLG Apr'!$A:$J,1,0)</f>
        <v>76216978</v>
      </c>
      <c r="L1199" t="e">
        <f>VLOOKUP(A1199,'TV Apr Prorated Billing Sites'!$A:$I,1,0)</f>
        <v>#N/A</v>
      </c>
      <c r="M1199" t="e">
        <f>VLOOKUP(A1199,'CDK asked to retain list'!$H$1:$J$24,1,0)</f>
        <v>#N/A</v>
      </c>
    </row>
    <row r="1200" spans="1:13">
      <c r="A1200" t="str">
        <f t="shared" si="21"/>
        <v>76217036</v>
      </c>
      <c r="B1200" t="s">
        <v>129</v>
      </c>
      <c r="C1200" t="s">
        <v>130</v>
      </c>
      <c r="D1200">
        <v>76217036</v>
      </c>
      <c r="E1200">
        <v>2501508</v>
      </c>
      <c r="F1200" t="s">
        <v>39</v>
      </c>
      <c r="G1200">
        <v>300</v>
      </c>
      <c r="H1200" t="e">
        <f>VLOOKUP(A1200,'SV Child INS Apr'!$A:$H,1,0)</f>
        <v>#N/A</v>
      </c>
      <c r="I1200" t="e">
        <f>VLOOKUP(B1200,'SV Child INS Apr'!$D:$F,1,0)</f>
        <v>#N/A</v>
      </c>
      <c r="J1200" t="e">
        <f>VLOOKUP(A1200,'SV Child BLG Apr'!$A:$J,1,0)</f>
        <v>#N/A</v>
      </c>
      <c r="K1200" t="e">
        <f>VLOOKUP(B1200,'SV Child BLG Apr'!$D:$I,1,0)</f>
        <v>#N/A</v>
      </c>
      <c r="L1200" t="e">
        <f>VLOOKUP(A1200,'TV Apr Prorated Billing Sites'!$A:$I,1,0)</f>
        <v>#N/A</v>
      </c>
    </row>
    <row r="1201" spans="1:13">
      <c r="A1201" t="str">
        <f t="shared" si="21"/>
        <v>76217037</v>
      </c>
      <c r="B1201" t="s">
        <v>3671</v>
      </c>
      <c r="C1201" t="s">
        <v>3672</v>
      </c>
      <c r="D1201">
        <v>76217037</v>
      </c>
      <c r="E1201">
        <v>2501507</v>
      </c>
      <c r="F1201" t="s">
        <v>39</v>
      </c>
      <c r="G1201">
        <v>300</v>
      </c>
      <c r="H1201" t="str">
        <f>VLOOKUP(A1201,'SV Child INS Apr'!$A:$H,1,0)</f>
        <v>76217037</v>
      </c>
      <c r="L1201" t="e">
        <f>VLOOKUP(A1201,'TV Apr Prorated Billing Sites'!$A:$I,1,0)</f>
        <v>#N/A</v>
      </c>
    </row>
    <row r="1202" spans="1:13">
      <c r="A1202" t="str">
        <f t="shared" si="21"/>
        <v>76217073</v>
      </c>
      <c r="B1202" t="s">
        <v>3673</v>
      </c>
      <c r="C1202" t="s">
        <v>3674</v>
      </c>
      <c r="D1202">
        <v>76217073</v>
      </c>
      <c r="E1202">
        <v>2002111</v>
      </c>
      <c r="F1202" t="s">
        <v>39</v>
      </c>
      <c r="G1202">
        <v>300</v>
      </c>
      <c r="H1202" t="str">
        <f>VLOOKUP(A1202,'SV Child INS Apr'!$A:$H,1,0)</f>
        <v>76217073</v>
      </c>
      <c r="L1202" t="e">
        <f>VLOOKUP(A1202,'TV Apr Prorated Billing Sites'!$A:$I,1,0)</f>
        <v>#N/A</v>
      </c>
    </row>
    <row r="1203" spans="1:13">
      <c r="A1203" t="str">
        <f t="shared" si="21"/>
        <v>76217105</v>
      </c>
      <c r="B1203" t="s">
        <v>3675</v>
      </c>
      <c r="C1203" t="s">
        <v>3676</v>
      </c>
      <c r="D1203">
        <v>76217105</v>
      </c>
      <c r="E1203">
        <v>2501506</v>
      </c>
      <c r="F1203" t="s">
        <v>39</v>
      </c>
      <c r="G1203">
        <v>400</v>
      </c>
      <c r="H1203" t="str">
        <f>VLOOKUP(A1203,'SV Child INS Apr'!$A:$H,1,0)</f>
        <v>76217105</v>
      </c>
      <c r="L1203" t="e">
        <f>VLOOKUP(A1203,'TV Apr Prorated Billing Sites'!$A:$I,1,0)</f>
        <v>#N/A</v>
      </c>
    </row>
    <row r="1204" spans="1:13">
      <c r="A1204" t="str">
        <f t="shared" si="21"/>
        <v>76217262</v>
      </c>
      <c r="B1204" t="s">
        <v>611</v>
      </c>
      <c r="C1204" t="s">
        <v>612</v>
      </c>
      <c r="D1204">
        <v>76217262</v>
      </c>
      <c r="E1204">
        <v>2501434</v>
      </c>
      <c r="F1204" t="s">
        <v>39</v>
      </c>
      <c r="G1204">
        <v>300</v>
      </c>
      <c r="H1204" t="e">
        <f>VLOOKUP(A1204,'SV Child INS Apr'!$A:$H,1,0)</f>
        <v>#N/A</v>
      </c>
      <c r="I1204" t="e">
        <f>VLOOKUP(B1204,'SV Child INS Apr'!$D:$F,1,0)</f>
        <v>#N/A</v>
      </c>
      <c r="J1204" t="str">
        <f>VLOOKUP(A1204,'SV Child BLG Apr'!$A:$J,1,0)</f>
        <v>76217262</v>
      </c>
      <c r="L1204" t="str">
        <f>VLOOKUP(A1204,'TV Apr Prorated Billing Sites'!$A:$I,1,0)</f>
        <v>76217262</v>
      </c>
      <c r="M1204" t="e">
        <f>VLOOKUP(A1204,'CDK asked to retain list'!$H$1:$J$24,1,0)</f>
        <v>#N/A</v>
      </c>
    </row>
    <row r="1205" spans="1:13">
      <c r="A1205" t="str">
        <f t="shared" si="21"/>
        <v>76217296</v>
      </c>
      <c r="B1205" t="s">
        <v>3677</v>
      </c>
      <c r="C1205" t="s">
        <v>3678</v>
      </c>
      <c r="D1205">
        <v>76217296</v>
      </c>
      <c r="E1205">
        <v>3262</v>
      </c>
      <c r="F1205" t="s">
        <v>39</v>
      </c>
      <c r="G1205">
        <v>400</v>
      </c>
      <c r="H1205" t="str">
        <f>VLOOKUP(A1205,'SV Child INS Apr'!$A:$H,1,0)</f>
        <v>76217296</v>
      </c>
      <c r="L1205" t="e">
        <f>VLOOKUP(A1205,'TV Apr Prorated Billing Sites'!$A:$I,1,0)</f>
        <v>#N/A</v>
      </c>
    </row>
    <row r="1206" spans="1:13">
      <c r="A1206" t="str">
        <f t="shared" si="21"/>
        <v>76217358</v>
      </c>
      <c r="B1206" t="s">
        <v>132</v>
      </c>
      <c r="C1206" t="s">
        <v>133</v>
      </c>
      <c r="D1206">
        <v>76217358</v>
      </c>
      <c r="E1206">
        <v>3000423</v>
      </c>
      <c r="F1206" t="s">
        <v>39</v>
      </c>
      <c r="G1206">
        <v>400</v>
      </c>
      <c r="H1206" t="e">
        <f>VLOOKUP(A1206,'SV Child INS Apr'!$A:$H,1,0)</f>
        <v>#N/A</v>
      </c>
      <c r="I1206" t="e">
        <f>VLOOKUP(B1206,'SV Child INS Apr'!$D:$F,1,0)</f>
        <v>#N/A</v>
      </c>
      <c r="J1206" t="e">
        <f>VLOOKUP(A1206,'SV Child BLG Apr'!$A:$J,1,0)</f>
        <v>#N/A</v>
      </c>
      <c r="K1206" t="e">
        <f>VLOOKUP(B1206,'SV Child BLG Apr'!$D:$I,1,0)</f>
        <v>#N/A</v>
      </c>
      <c r="L1206" t="e">
        <f>VLOOKUP(A1206,'TV Apr Prorated Billing Sites'!$A:$I,1,0)</f>
        <v>#N/A</v>
      </c>
    </row>
    <row r="1207" spans="1:13">
      <c r="A1207" t="str">
        <f t="shared" si="21"/>
        <v>76217515</v>
      </c>
      <c r="B1207" t="s">
        <v>3679</v>
      </c>
      <c r="C1207" t="s">
        <v>3680</v>
      </c>
      <c r="D1207">
        <v>76217515</v>
      </c>
      <c r="E1207">
        <v>2502096</v>
      </c>
      <c r="F1207" t="s">
        <v>39</v>
      </c>
      <c r="G1207">
        <v>300</v>
      </c>
      <c r="H1207" t="str">
        <f>VLOOKUP(A1207,'SV Child INS Apr'!$A:$H,1,0)</f>
        <v>76217515</v>
      </c>
      <c r="L1207" t="e">
        <f>VLOOKUP(A1207,'TV Apr Prorated Billing Sites'!$A:$I,1,0)</f>
        <v>#N/A</v>
      </c>
    </row>
    <row r="1208" spans="1:13">
      <c r="A1208" t="str">
        <f t="shared" si="21"/>
        <v>76217706</v>
      </c>
      <c r="B1208" t="s">
        <v>3681</v>
      </c>
      <c r="C1208" t="s">
        <v>3682</v>
      </c>
      <c r="D1208">
        <v>76217706</v>
      </c>
      <c r="E1208">
        <v>2501555</v>
      </c>
      <c r="F1208" t="s">
        <v>39</v>
      </c>
      <c r="G1208">
        <v>400</v>
      </c>
      <c r="H1208" t="str">
        <f>VLOOKUP(A1208,'SV Child INS Apr'!$A:$H,1,0)</f>
        <v>76217706</v>
      </c>
      <c r="L1208" t="e">
        <f>VLOOKUP(A1208,'TV Apr Prorated Billing Sites'!$A:$I,1,0)</f>
        <v>#N/A</v>
      </c>
    </row>
    <row r="1209" spans="1:13">
      <c r="A1209" t="str">
        <f t="shared" si="21"/>
        <v>76217708</v>
      </c>
      <c r="B1209" t="s">
        <v>3683</v>
      </c>
      <c r="C1209" t="s">
        <v>3684</v>
      </c>
      <c r="D1209">
        <v>76217708</v>
      </c>
      <c r="E1209">
        <v>2501556</v>
      </c>
      <c r="F1209" t="s">
        <v>39</v>
      </c>
      <c r="G1209">
        <v>400</v>
      </c>
      <c r="H1209" t="str">
        <f>VLOOKUP(A1209,'SV Child INS Apr'!$A:$H,1,0)</f>
        <v>76217708</v>
      </c>
      <c r="L1209" t="e">
        <f>VLOOKUP(A1209,'TV Apr Prorated Billing Sites'!$A:$I,1,0)</f>
        <v>#N/A</v>
      </c>
    </row>
    <row r="1210" spans="1:13">
      <c r="A1210" t="str">
        <f t="shared" si="21"/>
        <v>76217769</v>
      </c>
      <c r="B1210" t="s">
        <v>3685</v>
      </c>
      <c r="C1210" t="s">
        <v>3686</v>
      </c>
      <c r="D1210">
        <v>76217769</v>
      </c>
      <c r="E1210">
        <v>2003007</v>
      </c>
      <c r="F1210" t="s">
        <v>39</v>
      </c>
      <c r="G1210">
        <v>300</v>
      </c>
      <c r="H1210" t="str">
        <f>VLOOKUP(A1210,'SV Child INS Apr'!$A:$H,1,0)</f>
        <v>76217769</v>
      </c>
      <c r="L1210" t="e">
        <f>VLOOKUP(A1210,'TV Apr Prorated Billing Sites'!$A:$I,1,0)</f>
        <v>#N/A</v>
      </c>
    </row>
    <row r="1211" spans="1:13">
      <c r="A1211" t="str">
        <f t="shared" si="21"/>
        <v>76217796</v>
      </c>
      <c r="B1211" t="s">
        <v>3687</v>
      </c>
      <c r="C1211" t="s">
        <v>3688</v>
      </c>
      <c r="D1211">
        <v>76217796</v>
      </c>
      <c r="E1211">
        <v>3001683</v>
      </c>
      <c r="F1211" t="s">
        <v>39</v>
      </c>
      <c r="G1211">
        <v>300</v>
      </c>
      <c r="H1211" t="str">
        <f>VLOOKUP(A1211,'SV Child INS Apr'!$A:$H,1,0)</f>
        <v>76217796</v>
      </c>
      <c r="L1211" t="e">
        <f>VLOOKUP(A1211,'TV Apr Prorated Billing Sites'!$A:$I,1,0)</f>
        <v>#N/A</v>
      </c>
    </row>
    <row r="1212" spans="1:13">
      <c r="A1212" t="str">
        <f t="shared" si="21"/>
        <v>76217846</v>
      </c>
      <c r="B1212" t="s">
        <v>3689</v>
      </c>
      <c r="C1212" t="s">
        <v>3690</v>
      </c>
      <c r="D1212">
        <v>76217846</v>
      </c>
      <c r="E1212">
        <v>3002010</v>
      </c>
      <c r="F1212" t="s">
        <v>39</v>
      </c>
      <c r="G1212">
        <v>300</v>
      </c>
      <c r="H1212" t="str">
        <f>VLOOKUP(A1212,'SV Child INS Apr'!$A:$H,1,0)</f>
        <v>76217846</v>
      </c>
      <c r="L1212" t="e">
        <f>VLOOKUP(A1212,'TV Apr Prorated Billing Sites'!$A:$I,1,0)</f>
        <v>#N/A</v>
      </c>
    </row>
    <row r="1213" spans="1:13">
      <c r="A1213" t="str">
        <f t="shared" si="21"/>
        <v>76218340</v>
      </c>
      <c r="B1213" t="s">
        <v>3691</v>
      </c>
      <c r="C1213" t="s">
        <v>3692</v>
      </c>
      <c r="D1213">
        <v>76218340</v>
      </c>
      <c r="E1213">
        <v>2002785</v>
      </c>
      <c r="F1213" t="s">
        <v>39</v>
      </c>
      <c r="G1213">
        <v>300</v>
      </c>
      <c r="H1213" t="str">
        <f>VLOOKUP(A1213,'SV Child INS Apr'!$A:$H,1,0)</f>
        <v>76218340</v>
      </c>
      <c r="L1213" t="e">
        <f>VLOOKUP(A1213,'TV Apr Prorated Billing Sites'!$A:$I,1,0)</f>
        <v>#N/A</v>
      </c>
    </row>
    <row r="1214" spans="1:13">
      <c r="A1214" t="str">
        <f t="shared" si="21"/>
        <v>76218409</v>
      </c>
      <c r="B1214" t="s">
        <v>614</v>
      </c>
      <c r="C1214" t="s">
        <v>615</v>
      </c>
      <c r="D1214">
        <v>76218409</v>
      </c>
      <c r="E1214">
        <v>2501971</v>
      </c>
      <c r="F1214" t="s">
        <v>39</v>
      </c>
      <c r="G1214">
        <v>300</v>
      </c>
      <c r="H1214" t="e">
        <f>VLOOKUP(A1214,'SV Child INS Apr'!$A:$H,1,0)</f>
        <v>#N/A</v>
      </c>
      <c r="I1214" t="e">
        <f>VLOOKUP(B1214,'SV Child INS Apr'!$D:$F,1,0)</f>
        <v>#N/A</v>
      </c>
      <c r="J1214" t="str">
        <f>VLOOKUP(A1214,'SV Child BLG Apr'!$A:$J,1,0)</f>
        <v>76218409</v>
      </c>
      <c r="L1214" t="e">
        <f>VLOOKUP(A1214,'TV Apr Prorated Billing Sites'!$A:$I,1,0)</f>
        <v>#N/A</v>
      </c>
      <c r="M1214" t="e">
        <f>VLOOKUP(A1214,'CDK asked to retain list'!$H$1:$J$24,1,0)</f>
        <v>#N/A</v>
      </c>
    </row>
    <row r="1215" spans="1:13">
      <c r="A1215" t="str">
        <f t="shared" si="21"/>
        <v>76218663</v>
      </c>
      <c r="B1215" t="s">
        <v>3693</v>
      </c>
      <c r="C1215" t="s">
        <v>3694</v>
      </c>
      <c r="D1215">
        <v>76218663</v>
      </c>
      <c r="E1215">
        <v>2001803</v>
      </c>
      <c r="F1215" t="s">
        <v>39</v>
      </c>
      <c r="G1215">
        <v>300</v>
      </c>
      <c r="H1215" t="str">
        <f>VLOOKUP(A1215,'SV Child INS Apr'!$A:$H,1,0)</f>
        <v>76218663</v>
      </c>
      <c r="L1215" t="e">
        <f>VLOOKUP(A1215,'TV Apr Prorated Billing Sites'!$A:$I,1,0)</f>
        <v>#N/A</v>
      </c>
    </row>
    <row r="1216" spans="1:13">
      <c r="A1216" t="str">
        <f t="shared" si="21"/>
        <v>76218750</v>
      </c>
      <c r="B1216" t="s">
        <v>3695</v>
      </c>
      <c r="C1216" t="s">
        <v>3696</v>
      </c>
      <c r="D1216">
        <v>76218750</v>
      </c>
      <c r="E1216">
        <v>2501691</v>
      </c>
      <c r="F1216" t="s">
        <v>39</v>
      </c>
      <c r="G1216">
        <v>300</v>
      </c>
      <c r="H1216" t="str">
        <f>VLOOKUP(A1216,'SV Child INS Apr'!$A:$H,1,0)</f>
        <v>76218750</v>
      </c>
      <c r="L1216" t="e">
        <f>VLOOKUP(A1216,'TV Apr Prorated Billing Sites'!$A:$I,1,0)</f>
        <v>#N/A</v>
      </c>
    </row>
    <row r="1217" spans="1:12">
      <c r="A1217" t="str">
        <f t="shared" si="21"/>
        <v>76218753</v>
      </c>
      <c r="B1217" t="s">
        <v>3697</v>
      </c>
      <c r="C1217" t="s">
        <v>3698</v>
      </c>
      <c r="D1217">
        <v>76218753</v>
      </c>
      <c r="E1217">
        <v>2501677</v>
      </c>
      <c r="F1217" t="s">
        <v>39</v>
      </c>
      <c r="G1217">
        <v>300</v>
      </c>
      <c r="H1217" t="str">
        <f>VLOOKUP(A1217,'SV Child INS Apr'!$A:$H,1,0)</f>
        <v>76218753</v>
      </c>
      <c r="L1217" t="e">
        <f>VLOOKUP(A1217,'TV Apr Prorated Billing Sites'!$A:$I,1,0)</f>
        <v>#N/A</v>
      </c>
    </row>
    <row r="1218" spans="1:12">
      <c r="A1218" t="str">
        <f t="shared" si="21"/>
        <v>76218754</v>
      </c>
      <c r="B1218" t="s">
        <v>3699</v>
      </c>
      <c r="C1218" t="s">
        <v>3700</v>
      </c>
      <c r="D1218">
        <v>76218754</v>
      </c>
      <c r="E1218">
        <v>2501693</v>
      </c>
      <c r="F1218" t="s">
        <v>39</v>
      </c>
      <c r="G1218">
        <v>300</v>
      </c>
      <c r="H1218" t="str">
        <f>VLOOKUP(A1218,'SV Child INS Apr'!$A:$H,1,0)</f>
        <v>76218754</v>
      </c>
      <c r="L1218" t="e">
        <f>VLOOKUP(A1218,'TV Apr Prorated Billing Sites'!$A:$I,1,0)</f>
        <v>#N/A</v>
      </c>
    </row>
    <row r="1219" spans="1:12">
      <c r="A1219" t="str">
        <f t="shared" si="21"/>
        <v>76218817</v>
      </c>
      <c r="B1219" t="s">
        <v>3701</v>
      </c>
      <c r="C1219" t="s">
        <v>3702</v>
      </c>
      <c r="D1219">
        <v>76218817</v>
      </c>
      <c r="E1219">
        <v>2502732</v>
      </c>
      <c r="F1219" t="s">
        <v>39</v>
      </c>
      <c r="G1219">
        <v>300</v>
      </c>
      <c r="H1219" t="str">
        <f>VLOOKUP(A1219,'SV Child INS Apr'!$A:$H,1,0)</f>
        <v>76218817</v>
      </c>
      <c r="L1219" t="e">
        <f>VLOOKUP(A1219,'TV Apr Prorated Billing Sites'!$A:$I,1,0)</f>
        <v>#N/A</v>
      </c>
    </row>
    <row r="1220" spans="1:12">
      <c r="A1220" t="str">
        <f t="shared" si="21"/>
        <v>76218881</v>
      </c>
      <c r="B1220" t="s">
        <v>3703</v>
      </c>
      <c r="C1220" t="s">
        <v>3704</v>
      </c>
      <c r="D1220">
        <v>76218881</v>
      </c>
      <c r="E1220">
        <v>2001522</v>
      </c>
      <c r="F1220" t="s">
        <v>39</v>
      </c>
      <c r="G1220">
        <v>300</v>
      </c>
      <c r="H1220" t="str">
        <f>VLOOKUP(A1220,'SV Child INS Apr'!$A:$H,1,0)</f>
        <v>76218881</v>
      </c>
      <c r="L1220" t="e">
        <f>VLOOKUP(A1220,'TV Apr Prorated Billing Sites'!$A:$I,1,0)</f>
        <v>#N/A</v>
      </c>
    </row>
    <row r="1221" spans="1:12">
      <c r="A1221" t="str">
        <f t="shared" si="21"/>
        <v>76218986</v>
      </c>
      <c r="B1221" t="s">
        <v>3705</v>
      </c>
      <c r="C1221" t="s">
        <v>3706</v>
      </c>
      <c r="D1221">
        <v>76218986</v>
      </c>
      <c r="E1221">
        <v>2501685</v>
      </c>
      <c r="F1221" t="s">
        <v>39</v>
      </c>
      <c r="G1221">
        <v>300</v>
      </c>
      <c r="H1221" t="str">
        <f>VLOOKUP(A1221,'SV Child INS Apr'!$A:$H,1,0)</f>
        <v>76218986</v>
      </c>
      <c r="L1221" t="e">
        <f>VLOOKUP(A1221,'TV Apr Prorated Billing Sites'!$A:$I,1,0)</f>
        <v>#N/A</v>
      </c>
    </row>
    <row r="1222" spans="1:12">
      <c r="A1222" t="str">
        <f t="shared" si="21"/>
        <v>76218993</v>
      </c>
      <c r="B1222" t="s">
        <v>3707</v>
      </c>
      <c r="C1222" t="s">
        <v>3708</v>
      </c>
      <c r="D1222">
        <v>76218993</v>
      </c>
      <c r="E1222">
        <v>2001816</v>
      </c>
      <c r="F1222" t="s">
        <v>39</v>
      </c>
      <c r="G1222">
        <v>300</v>
      </c>
      <c r="H1222" t="str">
        <f>VLOOKUP(A1222,'SV Child INS Apr'!$A:$H,1,0)</f>
        <v>76218993</v>
      </c>
      <c r="L1222" t="e">
        <f>VLOOKUP(A1222,'TV Apr Prorated Billing Sites'!$A:$I,1,0)</f>
        <v>#N/A</v>
      </c>
    </row>
    <row r="1223" spans="1:12">
      <c r="A1223" t="str">
        <f t="shared" si="21"/>
        <v>76219134</v>
      </c>
      <c r="B1223" t="s">
        <v>3709</v>
      </c>
      <c r="C1223" t="s">
        <v>3710</v>
      </c>
      <c r="D1223">
        <v>76219134</v>
      </c>
      <c r="E1223">
        <v>2500883</v>
      </c>
      <c r="F1223" t="s">
        <v>39</v>
      </c>
      <c r="G1223">
        <v>300</v>
      </c>
      <c r="H1223" t="str">
        <f>VLOOKUP(A1223,'SV Child INS Apr'!$A:$H,1,0)</f>
        <v>76219134</v>
      </c>
      <c r="L1223" t="e">
        <f>VLOOKUP(A1223,'TV Apr Prorated Billing Sites'!$A:$I,1,0)</f>
        <v>#N/A</v>
      </c>
    </row>
    <row r="1224" spans="1:12">
      <c r="A1224" t="str">
        <f t="shared" si="21"/>
        <v>76219190</v>
      </c>
      <c r="B1224" t="s">
        <v>3711</v>
      </c>
      <c r="C1224" t="s">
        <v>3712</v>
      </c>
      <c r="D1224">
        <v>76219190</v>
      </c>
      <c r="E1224">
        <v>2000498</v>
      </c>
      <c r="F1224" t="s">
        <v>39</v>
      </c>
      <c r="G1224">
        <v>300</v>
      </c>
      <c r="H1224" t="str">
        <f>VLOOKUP(A1224,'SV Child INS Apr'!$A:$H,1,0)</f>
        <v>76219190</v>
      </c>
      <c r="L1224" t="e">
        <f>VLOOKUP(A1224,'TV Apr Prorated Billing Sites'!$A:$I,1,0)</f>
        <v>#N/A</v>
      </c>
    </row>
    <row r="1225" spans="1:12">
      <c r="A1225" t="str">
        <f t="shared" si="21"/>
        <v>76219198</v>
      </c>
      <c r="B1225" t="s">
        <v>3713</v>
      </c>
      <c r="C1225" t="s">
        <v>3714</v>
      </c>
      <c r="D1225">
        <v>76219198</v>
      </c>
      <c r="E1225">
        <v>2000464</v>
      </c>
      <c r="F1225" t="s">
        <v>39</v>
      </c>
      <c r="G1225">
        <v>300</v>
      </c>
      <c r="H1225" t="str">
        <f>VLOOKUP(A1225,'SV Child INS Apr'!$A:$H,1,0)</f>
        <v>76219198</v>
      </c>
      <c r="L1225" t="e">
        <f>VLOOKUP(A1225,'TV Apr Prorated Billing Sites'!$A:$I,1,0)</f>
        <v>#N/A</v>
      </c>
    </row>
    <row r="1226" spans="1:12">
      <c r="A1226" t="str">
        <f t="shared" si="21"/>
        <v>76219210</v>
      </c>
      <c r="B1226" t="s">
        <v>3715</v>
      </c>
      <c r="C1226" t="s">
        <v>3716</v>
      </c>
      <c r="D1226">
        <v>76219210</v>
      </c>
      <c r="E1226">
        <v>2503348</v>
      </c>
      <c r="F1226" t="s">
        <v>39</v>
      </c>
      <c r="G1226">
        <v>300</v>
      </c>
      <c r="H1226" t="str">
        <f>VLOOKUP(A1226,'SV Child INS Apr'!$A:$H,1,0)</f>
        <v>76219210</v>
      </c>
      <c r="L1226" t="e">
        <f>VLOOKUP(A1226,'TV Apr Prorated Billing Sites'!$A:$I,1,0)</f>
        <v>#N/A</v>
      </c>
    </row>
    <row r="1227" spans="1:12">
      <c r="A1227" t="str">
        <f t="shared" si="21"/>
        <v>76219273</v>
      </c>
      <c r="B1227" t="s">
        <v>3717</v>
      </c>
      <c r="C1227" t="s">
        <v>3718</v>
      </c>
      <c r="D1227">
        <v>76219273</v>
      </c>
      <c r="E1227">
        <v>3001817</v>
      </c>
      <c r="F1227" t="s">
        <v>39</v>
      </c>
      <c r="G1227">
        <v>300</v>
      </c>
      <c r="H1227" t="str">
        <f>VLOOKUP(A1227,'SV Child INS Apr'!$A:$H,1,0)</f>
        <v>76219273</v>
      </c>
      <c r="L1227" t="e">
        <f>VLOOKUP(A1227,'TV Apr Prorated Billing Sites'!$A:$I,1,0)</f>
        <v>#N/A</v>
      </c>
    </row>
    <row r="1228" spans="1:12">
      <c r="A1228" t="str">
        <f t="shared" si="21"/>
        <v>76219274</v>
      </c>
      <c r="B1228" t="s">
        <v>3719</v>
      </c>
      <c r="C1228" t="s">
        <v>3720</v>
      </c>
      <c r="D1228">
        <v>76219274</v>
      </c>
      <c r="E1228">
        <v>3001706</v>
      </c>
      <c r="F1228" t="s">
        <v>39</v>
      </c>
      <c r="G1228">
        <v>300</v>
      </c>
      <c r="H1228" t="str">
        <f>VLOOKUP(A1228,'SV Child INS Apr'!$A:$H,1,0)</f>
        <v>76219274</v>
      </c>
      <c r="L1228" t="e">
        <f>VLOOKUP(A1228,'TV Apr Prorated Billing Sites'!$A:$I,1,0)</f>
        <v>#N/A</v>
      </c>
    </row>
    <row r="1229" spans="1:12">
      <c r="A1229" t="str">
        <f t="shared" si="21"/>
        <v>76219294</v>
      </c>
      <c r="B1229" t="s">
        <v>3721</v>
      </c>
      <c r="C1229" t="s">
        <v>3722</v>
      </c>
      <c r="D1229">
        <v>76219294</v>
      </c>
      <c r="E1229">
        <v>2002063</v>
      </c>
      <c r="F1229" t="s">
        <v>39</v>
      </c>
      <c r="G1229">
        <v>450</v>
      </c>
      <c r="H1229" t="str">
        <f>VLOOKUP(A1229,'SV Child INS Apr'!$A:$H,1,0)</f>
        <v>76219294</v>
      </c>
      <c r="L1229" t="e">
        <f>VLOOKUP(A1229,'TV Apr Prorated Billing Sites'!$A:$I,1,0)</f>
        <v>#N/A</v>
      </c>
    </row>
    <row r="1230" spans="1:12">
      <c r="A1230" t="str">
        <f t="shared" si="21"/>
        <v>76219295</v>
      </c>
      <c r="B1230" t="s">
        <v>3723</v>
      </c>
      <c r="C1230" t="s">
        <v>3724</v>
      </c>
      <c r="D1230">
        <v>76219295</v>
      </c>
      <c r="E1230">
        <v>2002064</v>
      </c>
      <c r="F1230" t="s">
        <v>39</v>
      </c>
      <c r="G1230">
        <v>450</v>
      </c>
      <c r="H1230" t="str">
        <f>VLOOKUP(A1230,'SV Child INS Apr'!$A:$H,1,0)</f>
        <v>76219295</v>
      </c>
      <c r="L1230" t="e">
        <f>VLOOKUP(A1230,'TV Apr Prorated Billing Sites'!$A:$I,1,0)</f>
        <v>#N/A</v>
      </c>
    </row>
    <row r="1231" spans="1:12">
      <c r="A1231" t="str">
        <f t="shared" si="21"/>
        <v>76219391</v>
      </c>
      <c r="B1231" t="s">
        <v>3725</v>
      </c>
      <c r="C1231" t="s">
        <v>3726</v>
      </c>
      <c r="D1231">
        <v>76219391</v>
      </c>
      <c r="E1231">
        <v>2502089</v>
      </c>
      <c r="F1231" t="s">
        <v>39</v>
      </c>
      <c r="G1231">
        <v>450</v>
      </c>
      <c r="H1231" t="str">
        <f>VLOOKUP(A1231,'SV Child INS Apr'!$A:$H,1,0)</f>
        <v>76219391</v>
      </c>
      <c r="L1231" t="e">
        <f>VLOOKUP(A1231,'TV Apr Prorated Billing Sites'!$A:$I,1,0)</f>
        <v>#N/A</v>
      </c>
    </row>
    <row r="1232" spans="1:12">
      <c r="A1232" t="str">
        <f t="shared" si="21"/>
        <v>76219392</v>
      </c>
      <c r="B1232" t="s">
        <v>3727</v>
      </c>
      <c r="C1232" t="s">
        <v>3728</v>
      </c>
      <c r="D1232">
        <v>76219392</v>
      </c>
      <c r="E1232">
        <v>2502095</v>
      </c>
      <c r="F1232" t="s">
        <v>39</v>
      </c>
      <c r="G1232">
        <v>450</v>
      </c>
      <c r="H1232" t="str">
        <f>VLOOKUP(A1232,'SV Child INS Apr'!$A:$H,1,0)</f>
        <v>76219392</v>
      </c>
      <c r="L1232" t="e">
        <f>VLOOKUP(A1232,'TV Apr Prorated Billing Sites'!$A:$I,1,0)</f>
        <v>#N/A</v>
      </c>
    </row>
    <row r="1233" spans="1:13">
      <c r="A1233" t="str">
        <f t="shared" si="21"/>
        <v>76219393</v>
      </c>
      <c r="B1233" t="s">
        <v>3729</v>
      </c>
      <c r="C1233" t="s">
        <v>3730</v>
      </c>
      <c r="D1233">
        <v>76219393</v>
      </c>
      <c r="E1233">
        <v>2502023</v>
      </c>
      <c r="F1233" t="s">
        <v>39</v>
      </c>
      <c r="G1233">
        <v>450</v>
      </c>
      <c r="H1233" t="str">
        <f>VLOOKUP(A1233,'SV Child INS Apr'!$A:$H,1,0)</f>
        <v>76219393</v>
      </c>
      <c r="L1233" t="e">
        <f>VLOOKUP(A1233,'TV Apr Prorated Billing Sites'!$A:$I,1,0)</f>
        <v>#N/A</v>
      </c>
    </row>
    <row r="1234" spans="1:13">
      <c r="A1234" t="str">
        <f t="shared" si="21"/>
        <v>76219394</v>
      </c>
      <c r="B1234" t="s">
        <v>3731</v>
      </c>
      <c r="C1234" t="s">
        <v>3732</v>
      </c>
      <c r="D1234">
        <v>76219394</v>
      </c>
      <c r="E1234">
        <v>2502210</v>
      </c>
      <c r="F1234" t="s">
        <v>39</v>
      </c>
      <c r="G1234">
        <v>450</v>
      </c>
      <c r="H1234" t="str">
        <f>VLOOKUP(A1234,'SV Child INS Apr'!$A:$H,1,0)</f>
        <v>76219394</v>
      </c>
      <c r="L1234" t="e">
        <f>VLOOKUP(A1234,'TV Apr Prorated Billing Sites'!$A:$I,1,0)</f>
        <v>#N/A</v>
      </c>
    </row>
    <row r="1235" spans="1:13">
      <c r="A1235" t="str">
        <f t="shared" si="21"/>
        <v>76219395</v>
      </c>
      <c r="B1235" t="s">
        <v>3733</v>
      </c>
      <c r="C1235" t="s">
        <v>3734</v>
      </c>
      <c r="D1235">
        <v>76219395</v>
      </c>
      <c r="E1235">
        <v>2502024</v>
      </c>
      <c r="F1235" t="s">
        <v>39</v>
      </c>
      <c r="G1235">
        <v>450</v>
      </c>
      <c r="H1235" t="str">
        <f>VLOOKUP(A1235,'SV Child INS Apr'!$A:$H,1,0)</f>
        <v>76219395</v>
      </c>
      <c r="L1235" t="e">
        <f>VLOOKUP(A1235,'TV Apr Prorated Billing Sites'!$A:$I,1,0)</f>
        <v>#N/A</v>
      </c>
    </row>
    <row r="1236" spans="1:13">
      <c r="A1236" t="str">
        <f t="shared" si="21"/>
        <v>76219462</v>
      </c>
      <c r="B1236" t="s">
        <v>3735</v>
      </c>
      <c r="C1236" t="s">
        <v>3736</v>
      </c>
      <c r="D1236">
        <v>76219462</v>
      </c>
      <c r="E1236">
        <v>2503521</v>
      </c>
      <c r="F1236" t="s">
        <v>39</v>
      </c>
      <c r="G1236">
        <v>300</v>
      </c>
      <c r="H1236" t="str">
        <f>VLOOKUP(A1236,'SV Child INS Apr'!$A:$H,1,0)</f>
        <v>76219462</v>
      </c>
      <c r="L1236" t="e">
        <f>VLOOKUP(A1236,'TV Apr Prorated Billing Sites'!$A:$I,1,0)</f>
        <v>#N/A</v>
      </c>
    </row>
    <row r="1237" spans="1:13">
      <c r="A1237" t="str">
        <f t="shared" si="21"/>
        <v>76219475</v>
      </c>
      <c r="B1237" t="s">
        <v>3737</v>
      </c>
      <c r="C1237" t="s">
        <v>3738</v>
      </c>
      <c r="D1237">
        <v>76219475</v>
      </c>
      <c r="E1237">
        <v>2501785</v>
      </c>
      <c r="F1237" t="s">
        <v>39</v>
      </c>
      <c r="G1237">
        <v>300</v>
      </c>
      <c r="H1237" t="str">
        <f>VLOOKUP(A1237,'SV Child INS Apr'!$A:$H,1,0)</f>
        <v>76219475</v>
      </c>
      <c r="L1237" t="e">
        <f>VLOOKUP(A1237,'TV Apr Prorated Billing Sites'!$A:$I,1,0)</f>
        <v>#N/A</v>
      </c>
    </row>
    <row r="1238" spans="1:13">
      <c r="A1238" t="str">
        <f t="shared" si="21"/>
        <v>76219548</v>
      </c>
      <c r="B1238" t="s">
        <v>3739</v>
      </c>
      <c r="C1238" t="s">
        <v>3740</v>
      </c>
      <c r="D1238">
        <v>76219548</v>
      </c>
      <c r="E1238">
        <v>2502019</v>
      </c>
      <c r="F1238" t="s">
        <v>39</v>
      </c>
      <c r="G1238">
        <v>300</v>
      </c>
      <c r="H1238" t="str">
        <f>VLOOKUP(A1238,'SV Child INS Apr'!$A:$H,1,0)</f>
        <v>76219548</v>
      </c>
      <c r="L1238" t="e">
        <f>VLOOKUP(A1238,'TV Apr Prorated Billing Sites'!$A:$I,1,0)</f>
        <v>#N/A</v>
      </c>
    </row>
    <row r="1239" spans="1:13">
      <c r="A1239" t="str">
        <f t="shared" si="21"/>
        <v>76219550</v>
      </c>
      <c r="B1239" t="s">
        <v>3741</v>
      </c>
      <c r="C1239" t="s">
        <v>3742</v>
      </c>
      <c r="D1239">
        <v>76219550</v>
      </c>
      <c r="E1239">
        <v>2502288</v>
      </c>
      <c r="F1239" t="s">
        <v>39</v>
      </c>
      <c r="G1239">
        <v>300</v>
      </c>
      <c r="H1239" t="str">
        <f>VLOOKUP(A1239,'SV Child INS Apr'!$A:$H,1,0)</f>
        <v>76219550</v>
      </c>
      <c r="L1239" t="e">
        <f>VLOOKUP(A1239,'TV Apr Prorated Billing Sites'!$A:$I,1,0)</f>
        <v>#N/A</v>
      </c>
    </row>
    <row r="1240" spans="1:13">
      <c r="A1240" t="str">
        <f t="shared" si="21"/>
        <v>76219578</v>
      </c>
      <c r="B1240" t="s">
        <v>3743</v>
      </c>
      <c r="C1240" t="s">
        <v>3744</v>
      </c>
      <c r="D1240">
        <v>76219578</v>
      </c>
      <c r="E1240">
        <v>2503251</v>
      </c>
      <c r="F1240" t="s">
        <v>39</v>
      </c>
      <c r="G1240">
        <v>300</v>
      </c>
      <c r="H1240" t="str">
        <f>VLOOKUP(A1240,'SV Child INS Apr'!$A:$H,1,0)</f>
        <v>76219578</v>
      </c>
      <c r="L1240" t="e">
        <f>VLOOKUP(A1240,'TV Apr Prorated Billing Sites'!$A:$I,1,0)</f>
        <v>#N/A</v>
      </c>
    </row>
    <row r="1241" spans="1:13">
      <c r="A1241" t="str">
        <f t="shared" si="21"/>
        <v>76219579</v>
      </c>
      <c r="B1241" t="s">
        <v>3745</v>
      </c>
      <c r="C1241" t="s">
        <v>3746</v>
      </c>
      <c r="D1241">
        <v>76219579</v>
      </c>
      <c r="E1241">
        <v>2503289</v>
      </c>
      <c r="F1241" t="s">
        <v>39</v>
      </c>
      <c r="G1241">
        <v>300</v>
      </c>
      <c r="H1241" t="str">
        <f>VLOOKUP(A1241,'SV Child INS Apr'!$A:$H,1,0)</f>
        <v>76219579</v>
      </c>
      <c r="L1241" t="e">
        <f>VLOOKUP(A1241,'TV Apr Prorated Billing Sites'!$A:$I,1,0)</f>
        <v>#N/A</v>
      </c>
    </row>
    <row r="1242" spans="1:13">
      <c r="A1242" t="str">
        <f t="shared" si="21"/>
        <v>76219626</v>
      </c>
      <c r="B1242" t="s">
        <v>3747</v>
      </c>
      <c r="C1242" t="s">
        <v>3748</v>
      </c>
      <c r="D1242">
        <v>76219626</v>
      </c>
      <c r="E1242">
        <v>2003019</v>
      </c>
      <c r="F1242" t="s">
        <v>39</v>
      </c>
      <c r="G1242">
        <v>300</v>
      </c>
      <c r="H1242" t="str">
        <f>VLOOKUP(A1242,'SV Child INS Apr'!$A:$H,1,0)</f>
        <v>76219626</v>
      </c>
      <c r="L1242" t="e">
        <f>VLOOKUP(A1242,'TV Apr Prorated Billing Sites'!$A:$I,1,0)</f>
        <v>#N/A</v>
      </c>
    </row>
    <row r="1243" spans="1:13">
      <c r="A1243" t="str">
        <f t="shared" si="21"/>
        <v>76219675</v>
      </c>
      <c r="B1243" t="s">
        <v>617</v>
      </c>
      <c r="C1243" t="s">
        <v>618</v>
      </c>
      <c r="D1243">
        <v>76219675</v>
      </c>
      <c r="E1243">
        <v>210272</v>
      </c>
      <c r="F1243" t="s">
        <v>39</v>
      </c>
      <c r="G1243">
        <v>400</v>
      </c>
      <c r="H1243" t="e">
        <f>VLOOKUP(A1243,'SV Child INS Apr'!$A:$H,1,0)</f>
        <v>#N/A</v>
      </c>
      <c r="I1243" t="e">
        <f>VLOOKUP(B1243,'SV Child INS Apr'!$D:$F,1,0)</f>
        <v>#N/A</v>
      </c>
      <c r="J1243" t="str">
        <f>VLOOKUP(A1243,'SV Child BLG Apr'!$A:$J,1,0)</f>
        <v>76219675</v>
      </c>
      <c r="L1243" t="e">
        <f>VLOOKUP(A1243,'TV Apr Prorated Billing Sites'!$A:$I,1,0)</f>
        <v>#N/A</v>
      </c>
      <c r="M1243" t="e">
        <f>VLOOKUP(A1243,'CDK asked to retain list'!$H$1:$J$24,1,0)</f>
        <v>#N/A</v>
      </c>
    </row>
    <row r="1244" spans="1:13">
      <c r="A1244" t="str">
        <f t="shared" si="21"/>
        <v>76219761</v>
      </c>
      <c r="B1244" t="s">
        <v>3749</v>
      </c>
      <c r="C1244" t="s">
        <v>3750</v>
      </c>
      <c r="D1244">
        <v>76219761</v>
      </c>
      <c r="E1244">
        <v>2500816</v>
      </c>
      <c r="F1244" t="s">
        <v>39</v>
      </c>
      <c r="G1244">
        <v>300</v>
      </c>
      <c r="H1244" t="str">
        <f>VLOOKUP(A1244,'SV Child INS Apr'!$A:$H,1,0)</f>
        <v>76219761</v>
      </c>
      <c r="L1244" t="e">
        <f>VLOOKUP(A1244,'TV Apr Prorated Billing Sites'!$A:$I,1,0)</f>
        <v>#N/A</v>
      </c>
    </row>
    <row r="1245" spans="1:13">
      <c r="A1245" t="str">
        <f t="shared" si="21"/>
        <v>76219798</v>
      </c>
      <c r="B1245" t="s">
        <v>3751</v>
      </c>
      <c r="C1245" t="s">
        <v>3752</v>
      </c>
      <c r="D1245">
        <v>76219798</v>
      </c>
      <c r="E1245">
        <v>2001409</v>
      </c>
      <c r="F1245" t="s">
        <v>39</v>
      </c>
      <c r="G1245">
        <v>450</v>
      </c>
      <c r="H1245" t="str">
        <f>VLOOKUP(A1245,'SV Child INS Apr'!$A:$H,1,0)</f>
        <v>76219798</v>
      </c>
      <c r="L1245" t="e">
        <f>VLOOKUP(A1245,'TV Apr Prorated Billing Sites'!$A:$I,1,0)</f>
        <v>#N/A</v>
      </c>
    </row>
    <row r="1246" spans="1:13">
      <c r="A1246" t="str">
        <f t="shared" si="21"/>
        <v>76220197</v>
      </c>
      <c r="B1246" t="s">
        <v>3753</v>
      </c>
      <c r="C1246" t="s">
        <v>3754</v>
      </c>
      <c r="D1246">
        <v>76220197</v>
      </c>
      <c r="E1246">
        <v>2001858</v>
      </c>
      <c r="F1246" t="s">
        <v>39</v>
      </c>
      <c r="G1246">
        <v>300</v>
      </c>
      <c r="H1246" t="str">
        <f>VLOOKUP(A1246,'SV Child INS Apr'!$A:$H,1,0)</f>
        <v>76220197</v>
      </c>
      <c r="L1246" t="e">
        <f>VLOOKUP(A1246,'TV Apr Prorated Billing Sites'!$A:$I,1,0)</f>
        <v>#N/A</v>
      </c>
    </row>
    <row r="1247" spans="1:13">
      <c r="A1247" t="str">
        <f t="shared" si="21"/>
        <v>76220263</v>
      </c>
      <c r="B1247" t="s">
        <v>3755</v>
      </c>
      <c r="C1247" t="s">
        <v>3756</v>
      </c>
      <c r="D1247">
        <v>76220263</v>
      </c>
      <c r="E1247">
        <v>2001543</v>
      </c>
      <c r="F1247" t="s">
        <v>39</v>
      </c>
      <c r="G1247">
        <v>300</v>
      </c>
      <c r="H1247" t="str">
        <f>VLOOKUP(A1247,'SV Child INS Apr'!$A:$H,1,0)</f>
        <v>76220263</v>
      </c>
      <c r="L1247" t="e">
        <f>VLOOKUP(A1247,'TV Apr Prorated Billing Sites'!$A:$I,1,0)</f>
        <v>#N/A</v>
      </c>
    </row>
    <row r="1248" spans="1:13">
      <c r="A1248" t="str">
        <f t="shared" si="21"/>
        <v>76220316</v>
      </c>
      <c r="B1248" t="s">
        <v>3757</v>
      </c>
      <c r="C1248" t="s">
        <v>3758</v>
      </c>
      <c r="D1248">
        <v>76220316</v>
      </c>
      <c r="E1248">
        <v>2502461</v>
      </c>
      <c r="F1248" t="s">
        <v>39</v>
      </c>
      <c r="G1248">
        <v>450</v>
      </c>
      <c r="H1248" t="str">
        <f>VLOOKUP(A1248,'SV Child INS Apr'!$A:$H,1,0)</f>
        <v>76220316</v>
      </c>
      <c r="L1248" t="e">
        <f>VLOOKUP(A1248,'TV Apr Prorated Billing Sites'!$A:$I,1,0)</f>
        <v>#N/A</v>
      </c>
    </row>
    <row r="1249" spans="1:13">
      <c r="A1249" t="str">
        <f t="shared" si="21"/>
        <v>76220331</v>
      </c>
      <c r="B1249" t="s">
        <v>135</v>
      </c>
      <c r="C1249" t="s">
        <v>136</v>
      </c>
      <c r="D1249">
        <v>76220331</v>
      </c>
      <c r="E1249">
        <v>2501681</v>
      </c>
      <c r="F1249" t="s">
        <v>39</v>
      </c>
      <c r="G1249">
        <v>300</v>
      </c>
      <c r="H1249" t="e">
        <f>VLOOKUP(A1249,'SV Child INS Apr'!$A:$H,1,0)</f>
        <v>#N/A</v>
      </c>
      <c r="I1249" t="e">
        <f>VLOOKUP(B1249,'SV Child INS Apr'!$D:$F,1,0)</f>
        <v>#N/A</v>
      </c>
      <c r="J1249" t="e">
        <f>VLOOKUP(A1249,'SV Child BLG Apr'!$A:$J,1,0)</f>
        <v>#N/A</v>
      </c>
      <c r="K1249" t="e">
        <f>VLOOKUP(B1249,'SV Child BLG Apr'!$D:$I,1,0)</f>
        <v>#N/A</v>
      </c>
      <c r="L1249" t="e">
        <f>VLOOKUP(A1249,'TV Apr Prorated Billing Sites'!$A:$I,1,0)</f>
        <v>#N/A</v>
      </c>
    </row>
    <row r="1250" spans="1:13">
      <c r="A1250" t="str">
        <f t="shared" si="21"/>
        <v>76220332</v>
      </c>
      <c r="B1250" t="s">
        <v>138</v>
      </c>
      <c r="C1250" t="s">
        <v>139</v>
      </c>
      <c r="D1250">
        <v>76220332</v>
      </c>
      <c r="E1250">
        <v>2501684</v>
      </c>
      <c r="F1250" t="s">
        <v>39</v>
      </c>
      <c r="G1250">
        <v>300</v>
      </c>
      <c r="H1250" t="e">
        <f>VLOOKUP(A1250,'SV Child INS Apr'!$A:$H,1,0)</f>
        <v>#N/A</v>
      </c>
      <c r="I1250" t="e">
        <f>VLOOKUP(B1250,'SV Child INS Apr'!$D:$F,1,0)</f>
        <v>#N/A</v>
      </c>
      <c r="J1250" t="e">
        <f>VLOOKUP(A1250,'SV Child BLG Apr'!$A:$J,1,0)</f>
        <v>#N/A</v>
      </c>
      <c r="K1250" t="e">
        <f>VLOOKUP(B1250,'SV Child BLG Apr'!$D:$I,1,0)</f>
        <v>#N/A</v>
      </c>
      <c r="L1250" t="e">
        <f>VLOOKUP(A1250,'TV Apr Prorated Billing Sites'!$A:$I,1,0)</f>
        <v>#N/A</v>
      </c>
    </row>
    <row r="1251" spans="1:13">
      <c r="A1251" t="str">
        <f t="shared" si="21"/>
        <v>76220334</v>
      </c>
      <c r="B1251" t="s">
        <v>3759</v>
      </c>
      <c r="C1251" t="s">
        <v>3760</v>
      </c>
      <c r="D1251">
        <v>76220334</v>
      </c>
      <c r="E1251">
        <v>0</v>
      </c>
      <c r="F1251" t="s">
        <v>39</v>
      </c>
      <c r="G1251">
        <v>400</v>
      </c>
      <c r="H1251" t="str">
        <f>VLOOKUP(A1251,'SV Child INS Apr'!$A:$H,1,0)</f>
        <v>76220334</v>
      </c>
      <c r="L1251" t="e">
        <f>VLOOKUP(A1251,'TV Apr Prorated Billing Sites'!$A:$I,1,0)</f>
        <v>#N/A</v>
      </c>
    </row>
    <row r="1252" spans="1:13">
      <c r="A1252" t="str">
        <f t="shared" si="21"/>
        <v>76220359</v>
      </c>
      <c r="B1252" t="s">
        <v>3761</v>
      </c>
      <c r="C1252" t="s">
        <v>3762</v>
      </c>
      <c r="D1252">
        <v>76220359</v>
      </c>
      <c r="E1252">
        <v>2502013</v>
      </c>
      <c r="F1252" t="s">
        <v>39</v>
      </c>
      <c r="G1252">
        <v>300</v>
      </c>
      <c r="H1252" t="str">
        <f>VLOOKUP(A1252,'SV Child INS Apr'!$A:$H,1,0)</f>
        <v>76220359</v>
      </c>
      <c r="L1252" t="e">
        <f>VLOOKUP(A1252,'TV Apr Prorated Billing Sites'!$A:$I,1,0)</f>
        <v>#N/A</v>
      </c>
    </row>
    <row r="1253" spans="1:13">
      <c r="A1253" t="str">
        <f t="shared" si="21"/>
        <v>76220388</v>
      </c>
      <c r="B1253" t="s">
        <v>3763</v>
      </c>
      <c r="C1253" t="s">
        <v>3764</v>
      </c>
      <c r="D1253">
        <v>76220388</v>
      </c>
      <c r="E1253">
        <v>2502409</v>
      </c>
      <c r="F1253" t="s">
        <v>39</v>
      </c>
      <c r="G1253">
        <v>450</v>
      </c>
      <c r="H1253" t="str">
        <f>VLOOKUP(A1253,'SV Child INS Apr'!$A:$H,1,0)</f>
        <v>76220388</v>
      </c>
      <c r="L1253" t="e">
        <f>VLOOKUP(A1253,'TV Apr Prorated Billing Sites'!$A:$I,1,0)</f>
        <v>#N/A</v>
      </c>
    </row>
    <row r="1254" spans="1:13">
      <c r="A1254" t="str">
        <f t="shared" si="21"/>
        <v>76220389</v>
      </c>
      <c r="B1254" t="s">
        <v>3765</v>
      </c>
      <c r="C1254" t="s">
        <v>3766</v>
      </c>
      <c r="D1254">
        <v>76220389</v>
      </c>
      <c r="E1254">
        <v>2502981</v>
      </c>
      <c r="F1254" t="s">
        <v>39</v>
      </c>
      <c r="G1254">
        <v>450</v>
      </c>
      <c r="H1254" t="str">
        <f>VLOOKUP(A1254,'SV Child INS Apr'!$A:$H,1,0)</f>
        <v>76220389</v>
      </c>
      <c r="L1254" t="e">
        <f>VLOOKUP(A1254,'TV Apr Prorated Billing Sites'!$A:$I,1,0)</f>
        <v>#N/A</v>
      </c>
    </row>
    <row r="1255" spans="1:13">
      <c r="A1255" t="str">
        <f t="shared" si="21"/>
        <v>76220390</v>
      </c>
      <c r="B1255" t="s">
        <v>3767</v>
      </c>
      <c r="C1255" t="s">
        <v>3768</v>
      </c>
      <c r="D1255">
        <v>76220390</v>
      </c>
      <c r="E1255">
        <v>2502128</v>
      </c>
      <c r="F1255" t="s">
        <v>39</v>
      </c>
      <c r="G1255">
        <v>300</v>
      </c>
      <c r="H1255" t="str">
        <f>VLOOKUP(A1255,'SV Child INS Apr'!$A:$H,1,0)</f>
        <v>76220390</v>
      </c>
      <c r="L1255" t="e">
        <f>VLOOKUP(A1255,'TV Apr Prorated Billing Sites'!$A:$I,1,0)</f>
        <v>#N/A</v>
      </c>
    </row>
    <row r="1256" spans="1:13">
      <c r="A1256" t="str">
        <f t="shared" si="21"/>
        <v>76220391</v>
      </c>
      <c r="B1256" t="s">
        <v>3769</v>
      </c>
      <c r="C1256" t="s">
        <v>3770</v>
      </c>
      <c r="D1256">
        <v>76220391</v>
      </c>
      <c r="E1256">
        <v>2502376</v>
      </c>
      <c r="F1256" t="s">
        <v>39</v>
      </c>
      <c r="G1256">
        <v>450</v>
      </c>
      <c r="H1256" t="str">
        <f>VLOOKUP(A1256,'SV Child INS Apr'!$A:$H,1,0)</f>
        <v>76220391</v>
      </c>
      <c r="L1256" t="e">
        <f>VLOOKUP(A1256,'TV Apr Prorated Billing Sites'!$A:$I,1,0)</f>
        <v>#N/A</v>
      </c>
    </row>
    <row r="1257" spans="1:13">
      <c r="A1257" t="str">
        <f t="shared" ref="A1257:A1320" si="22">TRIM(D1257)</f>
        <v>76220394</v>
      </c>
      <c r="B1257" t="s">
        <v>3771</v>
      </c>
      <c r="C1257" t="s">
        <v>3772</v>
      </c>
      <c r="D1257">
        <v>76220394</v>
      </c>
      <c r="E1257">
        <v>2502748</v>
      </c>
      <c r="F1257" t="s">
        <v>39</v>
      </c>
      <c r="G1257">
        <v>300</v>
      </c>
      <c r="H1257" t="str">
        <f>VLOOKUP(A1257,'SV Child INS Apr'!$A:$H,1,0)</f>
        <v>76220394</v>
      </c>
      <c r="L1257" t="e">
        <f>VLOOKUP(A1257,'TV Apr Prorated Billing Sites'!$A:$I,1,0)</f>
        <v>#N/A</v>
      </c>
    </row>
    <row r="1258" spans="1:13">
      <c r="A1258" t="str">
        <f t="shared" si="22"/>
        <v>76220396</v>
      </c>
      <c r="B1258" t="s">
        <v>3773</v>
      </c>
      <c r="C1258" t="s">
        <v>3774</v>
      </c>
      <c r="D1258">
        <v>76220396</v>
      </c>
      <c r="E1258">
        <v>2502404</v>
      </c>
      <c r="F1258" t="s">
        <v>39</v>
      </c>
      <c r="G1258">
        <v>450</v>
      </c>
      <c r="H1258" t="str">
        <f>VLOOKUP(A1258,'SV Child INS Apr'!$A:$H,1,0)</f>
        <v>76220396</v>
      </c>
      <c r="L1258" t="e">
        <f>VLOOKUP(A1258,'TV Apr Prorated Billing Sites'!$A:$I,1,0)</f>
        <v>#N/A</v>
      </c>
    </row>
    <row r="1259" spans="1:13">
      <c r="A1259" t="str">
        <f t="shared" si="22"/>
        <v>76220436</v>
      </c>
      <c r="B1259" t="s">
        <v>3775</v>
      </c>
      <c r="C1259" t="s">
        <v>3776</v>
      </c>
      <c r="D1259">
        <v>76220436</v>
      </c>
      <c r="E1259">
        <v>3001971</v>
      </c>
      <c r="F1259" t="s">
        <v>39</v>
      </c>
      <c r="G1259">
        <v>300</v>
      </c>
      <c r="H1259" t="str">
        <f>VLOOKUP(A1259,'SV Child INS Apr'!$A:$H,1,0)</f>
        <v>76220436</v>
      </c>
      <c r="L1259" t="e">
        <f>VLOOKUP(A1259,'TV Apr Prorated Billing Sites'!$A:$I,1,0)</f>
        <v>#N/A</v>
      </c>
    </row>
    <row r="1260" spans="1:13">
      <c r="A1260" t="str">
        <f t="shared" si="22"/>
        <v>76220492</v>
      </c>
      <c r="B1260" t="s">
        <v>3777</v>
      </c>
      <c r="C1260" t="s">
        <v>3778</v>
      </c>
      <c r="D1260">
        <v>76220492</v>
      </c>
      <c r="E1260">
        <v>3001973</v>
      </c>
      <c r="F1260" t="s">
        <v>39</v>
      </c>
      <c r="G1260">
        <v>300</v>
      </c>
      <c r="H1260" t="str">
        <f>VLOOKUP(A1260,'SV Child INS Apr'!$A:$H,1,0)</f>
        <v>76220492</v>
      </c>
      <c r="L1260" t="e">
        <f>VLOOKUP(A1260,'TV Apr Prorated Billing Sites'!$A:$I,1,0)</f>
        <v>#N/A</v>
      </c>
    </row>
    <row r="1261" spans="1:13">
      <c r="A1261" t="str">
        <f t="shared" si="22"/>
        <v>76220780</v>
      </c>
      <c r="B1261" t="s">
        <v>3779</v>
      </c>
      <c r="C1261" t="s">
        <v>3780</v>
      </c>
      <c r="D1261">
        <v>76220780</v>
      </c>
      <c r="E1261">
        <v>2501639</v>
      </c>
      <c r="F1261" t="s">
        <v>39</v>
      </c>
      <c r="G1261">
        <v>300</v>
      </c>
      <c r="H1261" t="str">
        <f>VLOOKUP(A1261,'SV Child INS Apr'!$A:$H,1,0)</f>
        <v>76220780</v>
      </c>
      <c r="L1261" t="e">
        <f>VLOOKUP(A1261,'TV Apr Prorated Billing Sites'!$A:$I,1,0)</f>
        <v>#N/A</v>
      </c>
    </row>
    <row r="1262" spans="1:13">
      <c r="A1262" t="str">
        <f t="shared" si="22"/>
        <v>76220871</v>
      </c>
      <c r="B1262" t="s">
        <v>620</v>
      </c>
      <c r="C1262" t="s">
        <v>621</v>
      </c>
      <c r="D1262">
        <v>76220871</v>
      </c>
      <c r="E1262" t="s">
        <v>438</v>
      </c>
      <c r="F1262" t="s">
        <v>39</v>
      </c>
      <c r="G1262">
        <v>300</v>
      </c>
      <c r="H1262" t="e">
        <f>VLOOKUP(A1262,'SV Child INS Apr'!$A:$H,1,0)</f>
        <v>#N/A</v>
      </c>
      <c r="I1262" t="e">
        <f>VLOOKUP(B1262,'SV Child INS Apr'!$D:$F,1,0)</f>
        <v>#N/A</v>
      </c>
      <c r="J1262" t="str">
        <f>VLOOKUP(A1262,'SV Child BLG Apr'!$A:$J,1,0)</f>
        <v>76220871</v>
      </c>
      <c r="L1262" t="e">
        <f>VLOOKUP(A1262,'TV Apr Prorated Billing Sites'!$A:$I,1,0)</f>
        <v>#N/A</v>
      </c>
      <c r="M1262" t="e">
        <f>VLOOKUP(A1262,'CDK asked to retain list'!$H$1:$J$24,1,0)</f>
        <v>#N/A</v>
      </c>
    </row>
    <row r="1263" spans="1:13">
      <c r="A1263" t="str">
        <f t="shared" si="22"/>
        <v>76220871</v>
      </c>
      <c r="B1263" t="s">
        <v>622</v>
      </c>
      <c r="C1263" t="s">
        <v>623</v>
      </c>
      <c r="D1263">
        <v>76220871</v>
      </c>
      <c r="E1263" t="s">
        <v>438</v>
      </c>
      <c r="F1263" t="s">
        <v>39</v>
      </c>
      <c r="G1263">
        <v>300</v>
      </c>
      <c r="H1263" t="e">
        <f>VLOOKUP(A1263,'SV Child INS Apr'!$A:$H,1,0)</f>
        <v>#N/A</v>
      </c>
      <c r="I1263" t="e">
        <f>VLOOKUP(B1263,'SV Child INS Apr'!$D:$F,1,0)</f>
        <v>#N/A</v>
      </c>
      <c r="J1263" t="str">
        <f>VLOOKUP(A1263,'SV Child BLG Apr'!$A:$J,1,0)</f>
        <v>76220871</v>
      </c>
      <c r="L1263" t="e">
        <f>VLOOKUP(A1263,'TV Apr Prorated Billing Sites'!$A:$I,1,0)</f>
        <v>#N/A</v>
      </c>
      <c r="M1263" t="e">
        <f>VLOOKUP(A1263,'CDK asked to retain list'!$H$1:$J$24,1,0)</f>
        <v>#N/A</v>
      </c>
    </row>
    <row r="1264" spans="1:13">
      <c r="A1264" t="str">
        <f t="shared" si="22"/>
        <v>76220873</v>
      </c>
      <c r="B1264" t="s">
        <v>625</v>
      </c>
      <c r="C1264" t="s">
        <v>626</v>
      </c>
      <c r="D1264">
        <v>76220873</v>
      </c>
      <c r="E1264" t="s">
        <v>438</v>
      </c>
      <c r="F1264" t="s">
        <v>39</v>
      </c>
      <c r="G1264">
        <v>300</v>
      </c>
      <c r="H1264" t="e">
        <f>VLOOKUP(A1264,'SV Child INS Apr'!$A:$H,1,0)</f>
        <v>#N/A</v>
      </c>
      <c r="I1264" t="e">
        <f>VLOOKUP(B1264,'SV Child INS Apr'!$D:$F,1,0)</f>
        <v>#N/A</v>
      </c>
      <c r="J1264" t="str">
        <f>VLOOKUP(A1264,'SV Child BLG Apr'!$A:$J,1,0)</f>
        <v>76220873</v>
      </c>
      <c r="L1264" t="e">
        <f>VLOOKUP(A1264,'TV Apr Prorated Billing Sites'!$A:$I,1,0)</f>
        <v>#N/A</v>
      </c>
      <c r="M1264" t="e">
        <f>VLOOKUP(A1264,'CDK asked to retain list'!$H$1:$J$24,1,0)</f>
        <v>#N/A</v>
      </c>
    </row>
    <row r="1265" spans="1:13">
      <c r="A1265" t="str">
        <f t="shared" si="22"/>
        <v>76220894</v>
      </c>
      <c r="B1265" t="s">
        <v>3781</v>
      </c>
      <c r="C1265" t="s">
        <v>3782</v>
      </c>
      <c r="D1265">
        <v>76220894</v>
      </c>
      <c r="E1265">
        <v>2503559</v>
      </c>
      <c r="F1265" t="s">
        <v>39</v>
      </c>
      <c r="G1265">
        <v>300</v>
      </c>
      <c r="H1265" t="str">
        <f>VLOOKUP(A1265,'SV Child INS Apr'!$A:$H,1,0)</f>
        <v>76220894</v>
      </c>
      <c r="L1265" t="e">
        <f>VLOOKUP(A1265,'TV Apr Prorated Billing Sites'!$A:$I,1,0)</f>
        <v>#N/A</v>
      </c>
    </row>
    <row r="1266" spans="1:13">
      <c r="A1266" t="str">
        <f t="shared" si="22"/>
        <v>76220921</v>
      </c>
      <c r="B1266" t="s">
        <v>3783</v>
      </c>
      <c r="C1266" t="s">
        <v>3784</v>
      </c>
      <c r="D1266">
        <v>76220921</v>
      </c>
      <c r="E1266">
        <v>2001631</v>
      </c>
      <c r="F1266" t="s">
        <v>39</v>
      </c>
      <c r="G1266">
        <v>300</v>
      </c>
      <c r="H1266" t="str">
        <f>VLOOKUP(A1266,'SV Child INS Apr'!$A:$H,1,0)</f>
        <v>76220921</v>
      </c>
      <c r="L1266" t="e">
        <f>VLOOKUP(A1266,'TV Apr Prorated Billing Sites'!$A:$I,1,0)</f>
        <v>#N/A</v>
      </c>
    </row>
    <row r="1267" spans="1:13">
      <c r="A1267" t="str">
        <f t="shared" si="22"/>
        <v>76221156</v>
      </c>
      <c r="B1267" t="s">
        <v>628</v>
      </c>
      <c r="C1267" t="s">
        <v>629</v>
      </c>
      <c r="D1267">
        <v>76221156</v>
      </c>
      <c r="E1267">
        <v>2001555</v>
      </c>
      <c r="F1267" t="s">
        <v>39</v>
      </c>
      <c r="G1267">
        <v>300</v>
      </c>
      <c r="H1267" t="e">
        <f>VLOOKUP(A1267,'SV Child INS Apr'!$A:$H,1,0)</f>
        <v>#N/A</v>
      </c>
      <c r="I1267" t="e">
        <f>VLOOKUP(B1267,'SV Child INS Apr'!$D:$F,1,0)</f>
        <v>#N/A</v>
      </c>
      <c r="J1267" t="str">
        <f>VLOOKUP(A1267,'SV Child BLG Apr'!$A:$J,1,0)</f>
        <v>76221156</v>
      </c>
      <c r="L1267" t="e">
        <f>VLOOKUP(A1267,'TV Apr Prorated Billing Sites'!$A:$I,1,0)</f>
        <v>#N/A</v>
      </c>
      <c r="M1267" t="e">
        <f>VLOOKUP(A1267,'CDK asked to retain list'!$H$1:$J$24,1,0)</f>
        <v>#N/A</v>
      </c>
    </row>
    <row r="1268" spans="1:13">
      <c r="A1268" t="str">
        <f t="shared" si="22"/>
        <v>76221166</v>
      </c>
      <c r="B1268" t="s">
        <v>3785</v>
      </c>
      <c r="C1268" t="s">
        <v>3786</v>
      </c>
      <c r="D1268">
        <v>76221166</v>
      </c>
      <c r="E1268">
        <v>2002176</v>
      </c>
      <c r="F1268" t="s">
        <v>39</v>
      </c>
      <c r="G1268">
        <v>300</v>
      </c>
      <c r="H1268" t="str">
        <f>VLOOKUP(A1268,'SV Child INS Apr'!$A:$H,1,0)</f>
        <v>76221166</v>
      </c>
      <c r="L1268" t="str">
        <f>VLOOKUP(A1268,'TV Apr Prorated Billing Sites'!$A:$I,1,0)</f>
        <v>76221166</v>
      </c>
    </row>
    <row r="1269" spans="1:13">
      <c r="A1269" t="str">
        <f t="shared" si="22"/>
        <v>76221170</v>
      </c>
      <c r="B1269" t="s">
        <v>3787</v>
      </c>
      <c r="C1269" t="s">
        <v>3788</v>
      </c>
      <c r="D1269">
        <v>76221170</v>
      </c>
      <c r="E1269">
        <v>2002100</v>
      </c>
      <c r="F1269" t="s">
        <v>39</v>
      </c>
      <c r="G1269">
        <v>450</v>
      </c>
      <c r="H1269" t="str">
        <f>VLOOKUP(A1269,'SV Child INS Apr'!$A:$H,1,0)</f>
        <v>76221170</v>
      </c>
      <c r="L1269" t="e">
        <f>VLOOKUP(A1269,'TV Apr Prorated Billing Sites'!$A:$I,1,0)</f>
        <v>#N/A</v>
      </c>
    </row>
    <row r="1270" spans="1:13">
      <c r="A1270" t="str">
        <f t="shared" si="22"/>
        <v>76221172</v>
      </c>
      <c r="B1270" t="s">
        <v>3789</v>
      </c>
      <c r="C1270" t="s">
        <v>3790</v>
      </c>
      <c r="D1270">
        <v>76221172</v>
      </c>
      <c r="E1270">
        <v>2002525</v>
      </c>
      <c r="F1270" t="s">
        <v>39</v>
      </c>
      <c r="G1270">
        <v>300</v>
      </c>
      <c r="H1270" t="str">
        <f>VLOOKUP(A1270,'SV Child INS Apr'!$A:$H,1,0)</f>
        <v>76221172</v>
      </c>
      <c r="L1270" t="e">
        <f>VLOOKUP(A1270,'TV Apr Prorated Billing Sites'!$A:$I,1,0)</f>
        <v>#N/A</v>
      </c>
    </row>
    <row r="1271" spans="1:13">
      <c r="A1271" t="str">
        <f t="shared" si="22"/>
        <v>76221173</v>
      </c>
      <c r="B1271" t="s">
        <v>3791</v>
      </c>
      <c r="C1271" t="s">
        <v>3792</v>
      </c>
      <c r="D1271">
        <v>76221173</v>
      </c>
      <c r="E1271">
        <v>2002022</v>
      </c>
      <c r="F1271" t="s">
        <v>39</v>
      </c>
      <c r="G1271">
        <v>450</v>
      </c>
      <c r="H1271" t="str">
        <f>VLOOKUP(A1271,'SV Child INS Apr'!$A:$H,1,0)</f>
        <v>76221173</v>
      </c>
      <c r="L1271" t="e">
        <f>VLOOKUP(A1271,'TV Apr Prorated Billing Sites'!$A:$I,1,0)</f>
        <v>#N/A</v>
      </c>
    </row>
    <row r="1272" spans="1:13">
      <c r="A1272" t="str">
        <f t="shared" si="22"/>
        <v>76221221</v>
      </c>
      <c r="B1272" t="s">
        <v>3793</v>
      </c>
      <c r="C1272" t="s">
        <v>3794</v>
      </c>
      <c r="D1272">
        <v>76221221</v>
      </c>
      <c r="E1272">
        <v>2002060</v>
      </c>
      <c r="F1272" t="s">
        <v>39</v>
      </c>
      <c r="G1272">
        <v>300</v>
      </c>
      <c r="H1272" t="str">
        <f>VLOOKUP(A1272,'SV Child INS Apr'!$A:$H,1,0)</f>
        <v>76221221</v>
      </c>
      <c r="L1272" t="e">
        <f>VLOOKUP(A1272,'TV Apr Prorated Billing Sites'!$A:$I,1,0)</f>
        <v>#N/A</v>
      </c>
    </row>
    <row r="1273" spans="1:13">
      <c r="A1273" t="str">
        <f t="shared" si="22"/>
        <v>76221235</v>
      </c>
      <c r="B1273" t="s">
        <v>3795</v>
      </c>
      <c r="C1273" t="s">
        <v>3796</v>
      </c>
      <c r="D1273">
        <v>76221235</v>
      </c>
      <c r="E1273">
        <v>2002973</v>
      </c>
      <c r="F1273" t="s">
        <v>39</v>
      </c>
      <c r="G1273">
        <v>300</v>
      </c>
      <c r="H1273" t="str">
        <f>VLOOKUP(A1273,'SV Child INS Apr'!$A:$H,1,0)</f>
        <v>76221235</v>
      </c>
      <c r="L1273" t="e">
        <f>VLOOKUP(A1273,'TV Apr Prorated Billing Sites'!$A:$I,1,0)</f>
        <v>#N/A</v>
      </c>
    </row>
    <row r="1274" spans="1:13">
      <c r="A1274" t="str">
        <f t="shared" si="22"/>
        <v>76221255</v>
      </c>
      <c r="B1274" t="s">
        <v>3797</v>
      </c>
      <c r="C1274" t="s">
        <v>3798</v>
      </c>
      <c r="D1274">
        <v>76221255</v>
      </c>
      <c r="E1274" t="s">
        <v>438</v>
      </c>
      <c r="F1274" t="s">
        <v>39</v>
      </c>
      <c r="G1274">
        <v>300</v>
      </c>
      <c r="H1274" t="str">
        <f>VLOOKUP(A1274,'SV Child INS Apr'!$A:$H,1,0)</f>
        <v>76221255</v>
      </c>
      <c r="L1274" t="e">
        <f>VLOOKUP(A1274,'TV Apr Prorated Billing Sites'!$A:$I,1,0)</f>
        <v>#N/A</v>
      </c>
    </row>
    <row r="1275" spans="1:13">
      <c r="A1275" t="str">
        <f t="shared" si="22"/>
        <v>76221409</v>
      </c>
      <c r="B1275" t="s">
        <v>3799</v>
      </c>
      <c r="C1275" t="s">
        <v>3800</v>
      </c>
      <c r="D1275">
        <v>76221409</v>
      </c>
      <c r="E1275">
        <v>3000408</v>
      </c>
      <c r="F1275" t="s">
        <v>39</v>
      </c>
      <c r="G1275">
        <v>300</v>
      </c>
      <c r="H1275" t="str">
        <f>VLOOKUP(A1275,'SV Child INS Apr'!$A:$H,1,0)</f>
        <v>76221409</v>
      </c>
      <c r="L1275" t="e">
        <f>VLOOKUP(A1275,'TV Apr Prorated Billing Sites'!$A:$I,1,0)</f>
        <v>#N/A</v>
      </c>
    </row>
    <row r="1276" spans="1:13">
      <c r="A1276" t="str">
        <f t="shared" si="22"/>
        <v>76221438</v>
      </c>
      <c r="B1276" t="s">
        <v>3801</v>
      </c>
      <c r="C1276" t="s">
        <v>3802</v>
      </c>
      <c r="D1276">
        <v>76221438</v>
      </c>
      <c r="E1276">
        <v>2503424</v>
      </c>
      <c r="F1276" t="s">
        <v>39</v>
      </c>
      <c r="G1276">
        <v>300</v>
      </c>
      <c r="H1276" t="str">
        <f>VLOOKUP(A1276,'SV Child INS Apr'!$A:$H,1,0)</f>
        <v>76221438</v>
      </c>
      <c r="L1276" t="e">
        <f>VLOOKUP(A1276,'TV Apr Prorated Billing Sites'!$A:$I,1,0)</f>
        <v>#N/A</v>
      </c>
    </row>
    <row r="1277" spans="1:13">
      <c r="A1277" t="str">
        <f t="shared" si="22"/>
        <v>76221445</v>
      </c>
      <c r="B1277" t="s">
        <v>3803</v>
      </c>
      <c r="C1277" t="s">
        <v>3804</v>
      </c>
      <c r="D1277">
        <v>76221445</v>
      </c>
      <c r="E1277">
        <v>2502349</v>
      </c>
      <c r="F1277" t="s">
        <v>39</v>
      </c>
      <c r="G1277">
        <v>300</v>
      </c>
      <c r="H1277" t="str">
        <f>VLOOKUP(A1277,'SV Child INS Apr'!$A:$H,1,0)</f>
        <v>76221445</v>
      </c>
      <c r="L1277" t="e">
        <f>VLOOKUP(A1277,'TV Apr Prorated Billing Sites'!$A:$I,1,0)</f>
        <v>#N/A</v>
      </c>
    </row>
    <row r="1278" spans="1:13">
      <c r="A1278" t="str">
        <f t="shared" si="22"/>
        <v>76221582</v>
      </c>
      <c r="B1278" t="s">
        <v>3805</v>
      </c>
      <c r="C1278" t="s">
        <v>3806</v>
      </c>
      <c r="D1278">
        <v>76221582</v>
      </c>
      <c r="E1278">
        <v>2502594</v>
      </c>
      <c r="F1278" t="s">
        <v>39</v>
      </c>
      <c r="G1278">
        <v>300</v>
      </c>
      <c r="H1278" t="str">
        <f>VLOOKUP(A1278,'SV Child INS Apr'!$A:$H,1,0)</f>
        <v>76221582</v>
      </c>
      <c r="L1278" t="e">
        <f>VLOOKUP(A1278,'TV Apr Prorated Billing Sites'!$A:$I,1,0)</f>
        <v>#N/A</v>
      </c>
    </row>
    <row r="1279" spans="1:13">
      <c r="A1279" t="str">
        <f t="shared" si="22"/>
        <v>76221694</v>
      </c>
      <c r="B1279" t="s">
        <v>3807</v>
      </c>
      <c r="C1279" t="s">
        <v>3808</v>
      </c>
      <c r="D1279">
        <v>76221694</v>
      </c>
      <c r="E1279">
        <v>2001581</v>
      </c>
      <c r="F1279" t="s">
        <v>39</v>
      </c>
      <c r="G1279">
        <v>400</v>
      </c>
      <c r="H1279" t="str">
        <f>VLOOKUP(A1279,'SV Child INS Apr'!$A:$H,1,0)</f>
        <v>76221694</v>
      </c>
      <c r="L1279" t="e">
        <f>VLOOKUP(A1279,'TV Apr Prorated Billing Sites'!$A:$I,1,0)</f>
        <v>#N/A</v>
      </c>
    </row>
    <row r="1280" spans="1:13">
      <c r="A1280" t="str">
        <f t="shared" si="22"/>
        <v>76221956</v>
      </c>
      <c r="B1280" t="s">
        <v>3809</v>
      </c>
      <c r="C1280" t="s">
        <v>3810</v>
      </c>
      <c r="D1280">
        <v>76221956</v>
      </c>
      <c r="E1280">
        <v>2001614</v>
      </c>
      <c r="F1280" t="s">
        <v>39</v>
      </c>
      <c r="G1280">
        <v>400</v>
      </c>
      <c r="H1280" t="str">
        <f>VLOOKUP(A1280,'SV Child INS Apr'!$A:$H,1,0)</f>
        <v>76221956</v>
      </c>
      <c r="L1280" t="e">
        <f>VLOOKUP(A1280,'TV Apr Prorated Billing Sites'!$A:$I,1,0)</f>
        <v>#N/A</v>
      </c>
    </row>
    <row r="1281" spans="1:13">
      <c r="A1281" t="str">
        <f t="shared" si="22"/>
        <v>76222007</v>
      </c>
      <c r="B1281" t="s">
        <v>3811</v>
      </c>
      <c r="C1281" t="s">
        <v>3812</v>
      </c>
      <c r="D1281">
        <v>76222007</v>
      </c>
      <c r="E1281">
        <v>2501726</v>
      </c>
      <c r="F1281" t="s">
        <v>39</v>
      </c>
      <c r="G1281">
        <v>400</v>
      </c>
      <c r="H1281" t="str">
        <f>VLOOKUP(A1281,'SV Child INS Apr'!$A:$H,1,0)</f>
        <v>76222007</v>
      </c>
      <c r="L1281" t="e">
        <f>VLOOKUP(A1281,'TV Apr Prorated Billing Sites'!$A:$I,1,0)</f>
        <v>#N/A</v>
      </c>
    </row>
    <row r="1282" spans="1:13">
      <c r="A1282" t="str">
        <f t="shared" si="22"/>
        <v>76222013</v>
      </c>
      <c r="B1282" t="s">
        <v>3813</v>
      </c>
      <c r="C1282" t="s">
        <v>3814</v>
      </c>
      <c r="D1282">
        <v>76222013</v>
      </c>
      <c r="E1282">
        <v>2501733</v>
      </c>
      <c r="F1282" t="s">
        <v>39</v>
      </c>
      <c r="G1282">
        <v>400</v>
      </c>
      <c r="H1282" t="str">
        <f>VLOOKUP(A1282,'SV Child INS Apr'!$A:$H,1,0)</f>
        <v>76222013</v>
      </c>
      <c r="L1282" t="e">
        <f>VLOOKUP(A1282,'TV Apr Prorated Billing Sites'!$A:$I,1,0)</f>
        <v>#N/A</v>
      </c>
    </row>
    <row r="1283" spans="1:13">
      <c r="A1283" t="str">
        <f t="shared" si="22"/>
        <v>76222052</v>
      </c>
      <c r="B1283" t="s">
        <v>3815</v>
      </c>
      <c r="C1283" t="s">
        <v>3816</v>
      </c>
      <c r="D1283">
        <v>76222052</v>
      </c>
      <c r="E1283">
        <v>2001830</v>
      </c>
      <c r="F1283" t="s">
        <v>39</v>
      </c>
      <c r="G1283">
        <v>400</v>
      </c>
      <c r="H1283" t="str">
        <f>VLOOKUP(A1283,'SV Child INS Apr'!$A:$H,1,0)</f>
        <v>76222052</v>
      </c>
      <c r="L1283" t="e">
        <f>VLOOKUP(A1283,'TV Apr Prorated Billing Sites'!$A:$I,1,0)</f>
        <v>#N/A</v>
      </c>
    </row>
    <row r="1284" spans="1:13">
      <c r="A1284" t="str">
        <f t="shared" si="22"/>
        <v>76222063</v>
      </c>
      <c r="B1284" t="s">
        <v>631</v>
      </c>
      <c r="C1284" t="s">
        <v>632</v>
      </c>
      <c r="D1284">
        <v>76222063</v>
      </c>
      <c r="E1284">
        <v>2501755</v>
      </c>
      <c r="F1284" t="s">
        <v>39</v>
      </c>
      <c r="G1284">
        <v>300</v>
      </c>
      <c r="H1284" t="e">
        <f>VLOOKUP(A1284,'SV Child INS Apr'!$A:$H,1,0)</f>
        <v>#N/A</v>
      </c>
      <c r="I1284" t="e">
        <f>VLOOKUP(B1284,'SV Child INS Apr'!$D:$F,1,0)</f>
        <v>#N/A</v>
      </c>
      <c r="J1284" t="str">
        <f>VLOOKUP(A1284,'SV Child BLG Apr'!$A:$J,1,0)</f>
        <v>76222063</v>
      </c>
      <c r="L1284" t="e">
        <f>VLOOKUP(A1284,'TV Apr Prorated Billing Sites'!$A:$I,1,0)</f>
        <v>#N/A</v>
      </c>
      <c r="M1284" t="e">
        <f>VLOOKUP(A1284,'CDK asked to retain list'!$H$1:$J$24,1,0)</f>
        <v>#N/A</v>
      </c>
    </row>
    <row r="1285" spans="1:13">
      <c r="A1285" t="str">
        <f t="shared" si="22"/>
        <v>76222163</v>
      </c>
      <c r="B1285" t="s">
        <v>3817</v>
      </c>
      <c r="C1285" t="s">
        <v>3818</v>
      </c>
      <c r="D1285">
        <v>76222163</v>
      </c>
      <c r="E1285">
        <v>3002130</v>
      </c>
      <c r="F1285" t="s">
        <v>39</v>
      </c>
      <c r="G1285">
        <v>300</v>
      </c>
      <c r="H1285" t="str">
        <f>VLOOKUP(A1285,'SV Child INS Apr'!$A:$H,1,0)</f>
        <v>76222163</v>
      </c>
      <c r="L1285" t="e">
        <f>VLOOKUP(A1285,'TV Apr Prorated Billing Sites'!$A:$I,1,0)</f>
        <v>#N/A</v>
      </c>
    </row>
    <row r="1286" spans="1:13">
      <c r="A1286" t="str">
        <f t="shared" si="22"/>
        <v>76222169</v>
      </c>
      <c r="B1286" t="s">
        <v>3819</v>
      </c>
      <c r="C1286" t="s">
        <v>3820</v>
      </c>
      <c r="D1286">
        <v>76222169</v>
      </c>
      <c r="E1286">
        <v>1500131</v>
      </c>
      <c r="F1286" t="s">
        <v>39</v>
      </c>
      <c r="G1286">
        <v>300</v>
      </c>
      <c r="H1286" t="str">
        <f>VLOOKUP(A1286,'SV Child INS Apr'!$A:$H,1,0)</f>
        <v>76222169</v>
      </c>
      <c r="L1286" t="e">
        <f>VLOOKUP(A1286,'TV Apr Prorated Billing Sites'!$A:$I,1,0)</f>
        <v>#N/A</v>
      </c>
    </row>
    <row r="1287" spans="1:13">
      <c r="A1287" t="str">
        <f t="shared" si="22"/>
        <v>76222174</v>
      </c>
      <c r="B1287" t="s">
        <v>3821</v>
      </c>
      <c r="C1287" t="s">
        <v>3822</v>
      </c>
      <c r="D1287">
        <v>76222174</v>
      </c>
      <c r="E1287">
        <v>1500130</v>
      </c>
      <c r="F1287" t="s">
        <v>39</v>
      </c>
      <c r="G1287">
        <v>300</v>
      </c>
      <c r="H1287" t="str">
        <f>VLOOKUP(A1287,'SV Child INS Apr'!$A:$H,1,0)</f>
        <v>76222174</v>
      </c>
      <c r="L1287" t="e">
        <f>VLOOKUP(A1287,'TV Apr Prorated Billing Sites'!$A:$I,1,0)</f>
        <v>#N/A</v>
      </c>
    </row>
    <row r="1288" spans="1:13">
      <c r="A1288" t="str">
        <f t="shared" si="22"/>
        <v>76222286</v>
      </c>
      <c r="B1288" t="s">
        <v>3823</v>
      </c>
      <c r="C1288" t="s">
        <v>3824</v>
      </c>
      <c r="D1288">
        <v>76222286</v>
      </c>
      <c r="E1288">
        <v>2501902</v>
      </c>
      <c r="F1288" t="s">
        <v>39</v>
      </c>
      <c r="G1288">
        <v>400</v>
      </c>
      <c r="H1288" t="str">
        <f>VLOOKUP(A1288,'SV Child INS Apr'!$A:$H,1,0)</f>
        <v>76222286</v>
      </c>
      <c r="L1288" t="e">
        <f>VLOOKUP(A1288,'TV Apr Prorated Billing Sites'!$A:$I,1,0)</f>
        <v>#N/A</v>
      </c>
    </row>
    <row r="1289" spans="1:13">
      <c r="A1289" t="str">
        <f t="shared" si="22"/>
        <v>76222437</v>
      </c>
      <c r="B1289" t="s">
        <v>3825</v>
      </c>
      <c r="C1289" t="s">
        <v>3826</v>
      </c>
      <c r="D1289">
        <v>76222437</v>
      </c>
      <c r="E1289">
        <v>2001759</v>
      </c>
      <c r="F1289" t="s">
        <v>39</v>
      </c>
      <c r="G1289">
        <v>300</v>
      </c>
      <c r="H1289" t="str">
        <f>VLOOKUP(A1289,'SV Child INS Apr'!$A:$H,1,0)</f>
        <v>76222437</v>
      </c>
      <c r="L1289" t="e">
        <f>VLOOKUP(A1289,'TV Apr Prorated Billing Sites'!$A:$I,1,0)</f>
        <v>#N/A</v>
      </c>
    </row>
    <row r="1290" spans="1:13">
      <c r="A1290" t="str">
        <f t="shared" si="22"/>
        <v>76222458</v>
      </c>
      <c r="B1290" t="s">
        <v>3827</v>
      </c>
      <c r="C1290" t="s">
        <v>3828</v>
      </c>
      <c r="D1290">
        <v>76222458</v>
      </c>
      <c r="E1290">
        <v>0</v>
      </c>
      <c r="F1290" t="s">
        <v>39</v>
      </c>
      <c r="G1290">
        <v>400</v>
      </c>
      <c r="H1290" t="str">
        <f>VLOOKUP(A1290,'SV Child INS Apr'!$A:$H,1,0)</f>
        <v>76222458</v>
      </c>
      <c r="L1290" t="e">
        <f>VLOOKUP(A1290,'TV Apr Prorated Billing Sites'!$A:$I,1,0)</f>
        <v>#N/A</v>
      </c>
    </row>
    <row r="1291" spans="1:13">
      <c r="A1291" t="str">
        <f t="shared" si="22"/>
        <v>76222545</v>
      </c>
      <c r="B1291" t="s">
        <v>634</v>
      </c>
      <c r="C1291" t="s">
        <v>635</v>
      </c>
      <c r="D1291">
        <v>76222545</v>
      </c>
      <c r="E1291">
        <v>0</v>
      </c>
      <c r="F1291" t="s">
        <v>39</v>
      </c>
      <c r="G1291">
        <v>300</v>
      </c>
      <c r="H1291" t="e">
        <f>VLOOKUP(A1291,'SV Child INS Apr'!$A:$H,1,0)</f>
        <v>#N/A</v>
      </c>
      <c r="I1291" t="e">
        <f>VLOOKUP(B1291,'SV Child INS Apr'!$D:$F,1,0)</f>
        <v>#N/A</v>
      </c>
      <c r="J1291" t="str">
        <f>VLOOKUP(A1291,'SV Child BLG Apr'!$A:$J,1,0)</f>
        <v>76222545</v>
      </c>
      <c r="L1291" t="e">
        <f>VLOOKUP(A1291,'TV Apr Prorated Billing Sites'!$A:$I,1,0)</f>
        <v>#N/A</v>
      </c>
      <c r="M1291" t="e">
        <f>VLOOKUP(A1291,'CDK asked to retain list'!$H$1:$J$24,1,0)</f>
        <v>#N/A</v>
      </c>
    </row>
    <row r="1292" spans="1:13">
      <c r="A1292" t="str">
        <f t="shared" si="22"/>
        <v>76222741</v>
      </c>
      <c r="B1292" t="s">
        <v>3829</v>
      </c>
      <c r="C1292" t="s">
        <v>3830</v>
      </c>
      <c r="D1292">
        <v>76222741</v>
      </c>
      <c r="E1292">
        <v>8056</v>
      </c>
      <c r="F1292" t="s">
        <v>39</v>
      </c>
      <c r="G1292">
        <v>300</v>
      </c>
      <c r="H1292" t="str">
        <f>VLOOKUP(A1292,'SV Child INS Apr'!$A:$H,1,0)</f>
        <v>76222741</v>
      </c>
      <c r="L1292" t="e">
        <f>VLOOKUP(A1292,'TV Apr Prorated Billing Sites'!$A:$I,1,0)</f>
        <v>#N/A</v>
      </c>
    </row>
    <row r="1293" spans="1:13">
      <c r="A1293" t="str">
        <f t="shared" si="22"/>
        <v>76222940</v>
      </c>
      <c r="B1293" t="s">
        <v>3831</v>
      </c>
      <c r="C1293" t="s">
        <v>3832</v>
      </c>
      <c r="D1293">
        <v>76222940</v>
      </c>
      <c r="E1293">
        <v>8040</v>
      </c>
      <c r="F1293" t="s">
        <v>39</v>
      </c>
      <c r="G1293">
        <v>300</v>
      </c>
      <c r="H1293" t="str">
        <f>VLOOKUP(A1293,'SV Child INS Apr'!$A:$H,1,0)</f>
        <v>76222940</v>
      </c>
      <c r="L1293" t="e">
        <f>VLOOKUP(A1293,'TV Apr Prorated Billing Sites'!$A:$I,1,0)</f>
        <v>#N/A</v>
      </c>
    </row>
    <row r="1294" spans="1:13">
      <c r="A1294" t="str">
        <f t="shared" si="22"/>
        <v>76222986</v>
      </c>
      <c r="B1294" t="s">
        <v>3833</v>
      </c>
      <c r="C1294" t="s">
        <v>3834</v>
      </c>
      <c r="D1294">
        <v>76222986</v>
      </c>
      <c r="E1294">
        <v>2503556</v>
      </c>
      <c r="F1294" t="s">
        <v>39</v>
      </c>
      <c r="G1294">
        <v>300</v>
      </c>
      <c r="H1294" t="str">
        <f>VLOOKUP(A1294,'SV Child INS Apr'!$A:$H,1,0)</f>
        <v>76222986</v>
      </c>
      <c r="L1294" t="e">
        <f>VLOOKUP(A1294,'TV Apr Prorated Billing Sites'!$A:$I,1,0)</f>
        <v>#N/A</v>
      </c>
    </row>
    <row r="1295" spans="1:13">
      <c r="A1295" t="str">
        <f t="shared" si="22"/>
        <v>76223196</v>
      </c>
      <c r="B1295" t="s">
        <v>3835</v>
      </c>
      <c r="C1295" t="s">
        <v>3836</v>
      </c>
      <c r="D1295">
        <v>76223196</v>
      </c>
      <c r="E1295">
        <v>2003004</v>
      </c>
      <c r="F1295" t="s">
        <v>39</v>
      </c>
      <c r="G1295">
        <v>300</v>
      </c>
      <c r="H1295" t="str">
        <f>VLOOKUP(A1295,'SV Child INS Apr'!$A:$H,1,0)</f>
        <v>76223196</v>
      </c>
      <c r="L1295" t="e">
        <f>VLOOKUP(A1295,'TV Apr Prorated Billing Sites'!$A:$I,1,0)</f>
        <v>#N/A</v>
      </c>
    </row>
    <row r="1296" spans="1:13">
      <c r="A1296" t="str">
        <f t="shared" si="22"/>
        <v>76223373</v>
      </c>
      <c r="B1296" t="s">
        <v>3837</v>
      </c>
      <c r="C1296" t="s">
        <v>3838</v>
      </c>
      <c r="D1296">
        <v>76223373</v>
      </c>
      <c r="E1296">
        <v>2002254</v>
      </c>
      <c r="F1296" t="s">
        <v>39</v>
      </c>
      <c r="G1296">
        <v>300</v>
      </c>
      <c r="H1296" t="str">
        <f>VLOOKUP(A1296,'SV Child INS Apr'!$A:$H,1,0)</f>
        <v>76223373</v>
      </c>
      <c r="L1296" t="e">
        <f>VLOOKUP(A1296,'TV Apr Prorated Billing Sites'!$A:$I,1,0)</f>
        <v>#N/A</v>
      </c>
    </row>
    <row r="1297" spans="1:13">
      <c r="A1297" t="str">
        <f t="shared" si="22"/>
        <v>76223425</v>
      </c>
      <c r="B1297" t="s">
        <v>637</v>
      </c>
      <c r="C1297" t="s">
        <v>638</v>
      </c>
      <c r="D1297">
        <v>76223425</v>
      </c>
      <c r="E1297" t="s">
        <v>438</v>
      </c>
      <c r="F1297" t="s">
        <v>39</v>
      </c>
      <c r="G1297">
        <v>300</v>
      </c>
      <c r="H1297" t="e">
        <f>VLOOKUP(A1297,'SV Child INS Apr'!$A:$H,1,0)</f>
        <v>#N/A</v>
      </c>
      <c r="I1297" t="e">
        <f>VLOOKUP(B1297,'SV Child INS Apr'!$D:$F,1,0)</f>
        <v>#N/A</v>
      </c>
      <c r="J1297" t="str">
        <f>VLOOKUP(A1297,'SV Child BLG Apr'!$A:$J,1,0)</f>
        <v>76223425</v>
      </c>
      <c r="L1297" t="e">
        <f>VLOOKUP(A1297,'TV Apr Prorated Billing Sites'!$A:$I,1,0)</f>
        <v>#N/A</v>
      </c>
      <c r="M1297" t="e">
        <f>VLOOKUP(A1297,'CDK asked to retain list'!$H$1:$J$24,1,0)</f>
        <v>#N/A</v>
      </c>
    </row>
    <row r="1298" spans="1:13">
      <c r="A1298" t="str">
        <f t="shared" si="22"/>
        <v>76223518</v>
      </c>
      <c r="B1298" t="s">
        <v>3839</v>
      </c>
      <c r="C1298" t="s">
        <v>3840</v>
      </c>
      <c r="D1298">
        <v>76223518</v>
      </c>
      <c r="E1298">
        <v>3001803</v>
      </c>
      <c r="F1298" t="s">
        <v>39</v>
      </c>
      <c r="G1298">
        <v>300</v>
      </c>
      <c r="H1298" t="str">
        <f>VLOOKUP(A1298,'SV Child INS Apr'!$A:$H,1,0)</f>
        <v>76223518</v>
      </c>
      <c r="L1298" t="e">
        <f>VLOOKUP(A1298,'TV Apr Prorated Billing Sites'!$A:$I,1,0)</f>
        <v>#N/A</v>
      </c>
    </row>
    <row r="1299" spans="1:13">
      <c r="A1299" t="str">
        <f t="shared" si="22"/>
        <v>76223536</v>
      </c>
      <c r="B1299" t="s">
        <v>3841</v>
      </c>
      <c r="C1299" t="s">
        <v>3842</v>
      </c>
      <c r="D1299">
        <v>76223536</v>
      </c>
      <c r="E1299">
        <v>2000235</v>
      </c>
      <c r="F1299" t="s">
        <v>39</v>
      </c>
      <c r="G1299">
        <v>300</v>
      </c>
      <c r="H1299" t="str">
        <f>VLOOKUP(A1299,'SV Child INS Apr'!$A:$H,1,0)</f>
        <v>76223536</v>
      </c>
      <c r="L1299" t="e">
        <f>VLOOKUP(A1299,'TV Apr Prorated Billing Sites'!$A:$I,1,0)</f>
        <v>#N/A</v>
      </c>
    </row>
    <row r="1300" spans="1:13">
      <c r="A1300" t="str">
        <f t="shared" si="22"/>
        <v>76223538</v>
      </c>
      <c r="B1300" t="s">
        <v>3843</v>
      </c>
      <c r="C1300" t="s">
        <v>3844</v>
      </c>
      <c r="D1300">
        <v>76223538</v>
      </c>
      <c r="E1300">
        <v>2000236</v>
      </c>
      <c r="F1300" t="s">
        <v>39</v>
      </c>
      <c r="G1300">
        <v>300</v>
      </c>
      <c r="H1300" t="str">
        <f>VLOOKUP(A1300,'SV Child INS Apr'!$A:$H,1,0)</f>
        <v>76223538</v>
      </c>
      <c r="L1300" t="e">
        <f>VLOOKUP(A1300,'TV Apr Prorated Billing Sites'!$A:$I,1,0)</f>
        <v>#N/A</v>
      </c>
    </row>
    <row r="1301" spans="1:13">
      <c r="A1301" t="str">
        <f t="shared" si="22"/>
        <v>76223590</v>
      </c>
      <c r="B1301" t="s">
        <v>3845</v>
      </c>
      <c r="C1301" t="s">
        <v>3846</v>
      </c>
      <c r="D1301">
        <v>76223590</v>
      </c>
      <c r="E1301">
        <v>2001903</v>
      </c>
      <c r="F1301" t="s">
        <v>39</v>
      </c>
      <c r="G1301">
        <v>300</v>
      </c>
      <c r="H1301" t="str">
        <f>VLOOKUP(A1301,'SV Child INS Apr'!$A:$H,1,0)</f>
        <v>76223590</v>
      </c>
      <c r="L1301" t="e">
        <f>VLOOKUP(A1301,'TV Apr Prorated Billing Sites'!$A:$I,1,0)</f>
        <v>#N/A</v>
      </c>
    </row>
    <row r="1302" spans="1:13">
      <c r="A1302" t="str">
        <f t="shared" si="22"/>
        <v>76223611</v>
      </c>
      <c r="B1302" t="s">
        <v>3847</v>
      </c>
      <c r="C1302" t="s">
        <v>3848</v>
      </c>
      <c r="D1302">
        <v>76223611</v>
      </c>
      <c r="E1302">
        <v>2001174</v>
      </c>
      <c r="F1302" t="s">
        <v>39</v>
      </c>
      <c r="G1302">
        <v>450</v>
      </c>
      <c r="H1302" t="str">
        <f>VLOOKUP(A1302,'SV Child INS Apr'!$A:$H,1,0)</f>
        <v>76223611</v>
      </c>
      <c r="L1302" t="e">
        <f>VLOOKUP(A1302,'TV Apr Prorated Billing Sites'!$A:$I,1,0)</f>
        <v>#N/A</v>
      </c>
    </row>
    <row r="1303" spans="1:13">
      <c r="A1303" t="str">
        <f t="shared" si="22"/>
        <v>76223632</v>
      </c>
      <c r="B1303" t="s">
        <v>3849</v>
      </c>
      <c r="C1303" t="s">
        <v>3850</v>
      </c>
      <c r="D1303">
        <v>76223632</v>
      </c>
      <c r="E1303">
        <v>2002874</v>
      </c>
      <c r="F1303" t="s">
        <v>39</v>
      </c>
      <c r="G1303">
        <v>300</v>
      </c>
      <c r="H1303" t="str">
        <f>VLOOKUP(A1303,'SV Child INS Apr'!$A:$H,1,0)</f>
        <v>76223632</v>
      </c>
      <c r="L1303" t="e">
        <f>VLOOKUP(A1303,'TV Apr Prorated Billing Sites'!$A:$I,1,0)</f>
        <v>#N/A</v>
      </c>
    </row>
    <row r="1304" spans="1:13">
      <c r="A1304" t="str">
        <f t="shared" si="22"/>
        <v>76223775</v>
      </c>
      <c r="B1304" t="s">
        <v>3851</v>
      </c>
      <c r="C1304" t="s">
        <v>3852</v>
      </c>
      <c r="D1304">
        <v>76223775</v>
      </c>
      <c r="E1304">
        <v>2502316</v>
      </c>
      <c r="F1304" t="s">
        <v>39</v>
      </c>
      <c r="G1304">
        <v>300</v>
      </c>
      <c r="H1304" t="str">
        <f>VLOOKUP(A1304,'SV Child INS Apr'!$A:$H,1,0)</f>
        <v>76223775</v>
      </c>
      <c r="L1304" t="e">
        <f>VLOOKUP(A1304,'TV Apr Prorated Billing Sites'!$A:$I,1,0)</f>
        <v>#N/A</v>
      </c>
    </row>
    <row r="1305" spans="1:13">
      <c r="A1305" t="str">
        <f t="shared" si="22"/>
        <v>76223828</v>
      </c>
      <c r="B1305" t="s">
        <v>3853</v>
      </c>
      <c r="C1305" t="s">
        <v>3854</v>
      </c>
      <c r="D1305">
        <v>76223828</v>
      </c>
      <c r="E1305">
        <v>2502264</v>
      </c>
      <c r="F1305" t="s">
        <v>39</v>
      </c>
      <c r="G1305">
        <v>300</v>
      </c>
      <c r="H1305" t="str">
        <f>VLOOKUP(A1305,'SV Child INS Apr'!$A:$H,1,0)</f>
        <v>76223828</v>
      </c>
      <c r="L1305" t="e">
        <f>VLOOKUP(A1305,'TV Apr Prorated Billing Sites'!$A:$I,1,0)</f>
        <v>#N/A</v>
      </c>
    </row>
    <row r="1306" spans="1:13">
      <c r="A1306" t="str">
        <f t="shared" si="22"/>
        <v>76224009</v>
      </c>
      <c r="B1306" t="s">
        <v>3855</v>
      </c>
      <c r="C1306" t="s">
        <v>3856</v>
      </c>
      <c r="D1306">
        <v>76224009</v>
      </c>
      <c r="E1306">
        <v>2502179</v>
      </c>
      <c r="F1306" t="s">
        <v>39</v>
      </c>
      <c r="G1306">
        <v>300</v>
      </c>
      <c r="H1306" t="str">
        <f>VLOOKUP(A1306,'SV Child INS Apr'!$A:$H,1,0)</f>
        <v>76224009</v>
      </c>
      <c r="L1306" t="e">
        <f>VLOOKUP(A1306,'TV Apr Prorated Billing Sites'!$A:$I,1,0)</f>
        <v>#N/A</v>
      </c>
    </row>
    <row r="1307" spans="1:13">
      <c r="A1307" t="str">
        <f t="shared" si="22"/>
        <v>76224141</v>
      </c>
      <c r="B1307" t="s">
        <v>3857</v>
      </c>
      <c r="C1307" t="s">
        <v>3858</v>
      </c>
      <c r="D1307">
        <v>76224141</v>
      </c>
      <c r="E1307">
        <v>2502385</v>
      </c>
      <c r="F1307" t="s">
        <v>39</v>
      </c>
      <c r="G1307">
        <v>300</v>
      </c>
      <c r="H1307" t="str">
        <f>VLOOKUP(A1307,'SV Child INS Apr'!$A:$H,1,0)</f>
        <v>76224141</v>
      </c>
      <c r="L1307" t="e">
        <f>VLOOKUP(A1307,'TV Apr Prorated Billing Sites'!$A:$I,1,0)</f>
        <v>#N/A</v>
      </c>
    </row>
    <row r="1308" spans="1:13">
      <c r="A1308" t="str">
        <f t="shared" si="22"/>
        <v>76224533</v>
      </c>
      <c r="B1308" t="s">
        <v>3859</v>
      </c>
      <c r="C1308" t="s">
        <v>3860</v>
      </c>
      <c r="D1308">
        <v>76224533</v>
      </c>
      <c r="E1308">
        <v>2501485</v>
      </c>
      <c r="F1308" t="s">
        <v>39</v>
      </c>
      <c r="G1308">
        <v>300</v>
      </c>
      <c r="H1308" t="str">
        <f>VLOOKUP(A1308,'SV Child INS Apr'!$A:$H,1,0)</f>
        <v>76224533</v>
      </c>
      <c r="L1308" t="e">
        <f>VLOOKUP(A1308,'TV Apr Prorated Billing Sites'!$A:$I,1,0)</f>
        <v>#N/A</v>
      </c>
    </row>
    <row r="1309" spans="1:13">
      <c r="A1309" t="str">
        <f t="shared" si="22"/>
        <v>76224736</v>
      </c>
      <c r="B1309" t="s">
        <v>3861</v>
      </c>
      <c r="C1309" t="s">
        <v>3862</v>
      </c>
      <c r="D1309">
        <v>76224736</v>
      </c>
      <c r="E1309">
        <v>2503514</v>
      </c>
      <c r="F1309" t="s">
        <v>39</v>
      </c>
      <c r="G1309">
        <v>300</v>
      </c>
      <c r="H1309" t="str">
        <f>VLOOKUP(A1309,'SV Child INS Apr'!$A:$H,1,0)</f>
        <v>76224736</v>
      </c>
      <c r="L1309" t="e">
        <f>VLOOKUP(A1309,'TV Apr Prorated Billing Sites'!$A:$I,1,0)</f>
        <v>#N/A</v>
      </c>
    </row>
    <row r="1310" spans="1:13">
      <c r="A1310" t="str">
        <f t="shared" si="22"/>
        <v>76224746</v>
      </c>
      <c r="B1310" t="s">
        <v>3863</v>
      </c>
      <c r="C1310" t="s">
        <v>3864</v>
      </c>
      <c r="D1310">
        <v>76224746</v>
      </c>
      <c r="E1310">
        <v>2503544</v>
      </c>
      <c r="F1310" t="s">
        <v>39</v>
      </c>
      <c r="G1310">
        <v>300</v>
      </c>
      <c r="H1310" t="e">
        <f>VLOOKUP(A1310,'SV Child INS Apr'!$A:$H,1,0)</f>
        <v>#N/A</v>
      </c>
      <c r="I1310" t="str">
        <f>VLOOKUP(B1310,'SV Child INS Apr'!$D:$F,1,0)</f>
        <v>PREMIER FORD OF LAMESA</v>
      </c>
      <c r="L1310" t="e">
        <f>VLOOKUP(A1310,'TV Apr Prorated Billing Sites'!$A:$I,1,0)</f>
        <v>#N/A</v>
      </c>
    </row>
    <row r="1311" spans="1:13">
      <c r="A1311" t="str">
        <f t="shared" si="22"/>
        <v>76224858</v>
      </c>
      <c r="B1311" t="s">
        <v>3865</v>
      </c>
      <c r="C1311" t="s">
        <v>3866</v>
      </c>
      <c r="D1311">
        <v>76224858</v>
      </c>
      <c r="E1311">
        <v>2002625</v>
      </c>
      <c r="F1311" t="s">
        <v>39</v>
      </c>
      <c r="G1311">
        <v>300</v>
      </c>
      <c r="H1311" t="str">
        <f>VLOOKUP(A1311,'SV Child INS Apr'!$A:$H,1,0)</f>
        <v>76224858</v>
      </c>
      <c r="L1311" t="e">
        <f>VLOOKUP(A1311,'TV Apr Prorated Billing Sites'!$A:$I,1,0)</f>
        <v>#N/A</v>
      </c>
    </row>
    <row r="1312" spans="1:13">
      <c r="A1312" t="str">
        <f t="shared" si="22"/>
        <v>76224860</v>
      </c>
      <c r="B1312" t="s">
        <v>3867</v>
      </c>
      <c r="C1312" t="s">
        <v>3868</v>
      </c>
      <c r="D1312">
        <v>76224860</v>
      </c>
      <c r="E1312">
        <v>2001947</v>
      </c>
      <c r="F1312" t="s">
        <v>39</v>
      </c>
      <c r="G1312">
        <v>300</v>
      </c>
      <c r="H1312" t="str">
        <f>VLOOKUP(A1312,'SV Child INS Apr'!$A:$H,1,0)</f>
        <v>76224860</v>
      </c>
      <c r="L1312" t="e">
        <f>VLOOKUP(A1312,'TV Apr Prorated Billing Sites'!$A:$I,1,0)</f>
        <v>#N/A</v>
      </c>
    </row>
    <row r="1313" spans="1:13">
      <c r="A1313" t="str">
        <f t="shared" si="22"/>
        <v>76224862</v>
      </c>
      <c r="B1313" t="s">
        <v>3869</v>
      </c>
      <c r="C1313" t="s">
        <v>3870</v>
      </c>
      <c r="D1313">
        <v>76224862</v>
      </c>
      <c r="E1313">
        <v>2001958</v>
      </c>
      <c r="F1313" t="s">
        <v>39</v>
      </c>
      <c r="G1313">
        <v>300</v>
      </c>
      <c r="H1313" t="str">
        <f>VLOOKUP(A1313,'SV Child INS Apr'!$A:$H,1,0)</f>
        <v>76224862</v>
      </c>
      <c r="L1313" t="e">
        <f>VLOOKUP(A1313,'TV Apr Prorated Billing Sites'!$A:$I,1,0)</f>
        <v>#N/A</v>
      </c>
    </row>
    <row r="1314" spans="1:13">
      <c r="A1314" t="str">
        <f t="shared" si="22"/>
        <v>76224886</v>
      </c>
      <c r="B1314" t="s">
        <v>3871</v>
      </c>
      <c r="C1314" t="s">
        <v>3872</v>
      </c>
      <c r="D1314">
        <v>76224886</v>
      </c>
      <c r="E1314">
        <v>2001946</v>
      </c>
      <c r="F1314" t="s">
        <v>39</v>
      </c>
      <c r="G1314">
        <v>300</v>
      </c>
      <c r="H1314" t="str">
        <f>VLOOKUP(A1314,'SV Child INS Apr'!$A:$H,1,0)</f>
        <v>76224886</v>
      </c>
      <c r="L1314" t="e">
        <f>VLOOKUP(A1314,'TV Apr Prorated Billing Sites'!$A:$I,1,0)</f>
        <v>#N/A</v>
      </c>
    </row>
    <row r="1315" spans="1:13">
      <c r="A1315" t="str">
        <f t="shared" si="22"/>
        <v>76224904</v>
      </c>
      <c r="B1315" t="s">
        <v>3873</v>
      </c>
      <c r="C1315" t="s">
        <v>3874</v>
      </c>
      <c r="D1315">
        <v>76224904</v>
      </c>
      <c r="E1315">
        <v>2001885</v>
      </c>
      <c r="F1315" t="s">
        <v>39</v>
      </c>
      <c r="G1315">
        <v>300</v>
      </c>
      <c r="H1315" t="str">
        <f>VLOOKUP(A1315,'SV Child INS Apr'!$A:$H,1,0)</f>
        <v>76224904</v>
      </c>
      <c r="L1315" t="e">
        <f>VLOOKUP(A1315,'TV Apr Prorated Billing Sites'!$A:$I,1,0)</f>
        <v>#N/A</v>
      </c>
    </row>
    <row r="1316" spans="1:13">
      <c r="A1316" t="str">
        <f t="shared" si="22"/>
        <v>76225349</v>
      </c>
      <c r="B1316" t="s">
        <v>3875</v>
      </c>
      <c r="C1316" t="s">
        <v>3876</v>
      </c>
      <c r="D1316">
        <v>76225349</v>
      </c>
      <c r="E1316">
        <v>2001942</v>
      </c>
      <c r="F1316" t="s">
        <v>39</v>
      </c>
      <c r="G1316">
        <v>300</v>
      </c>
      <c r="H1316" t="str">
        <f>VLOOKUP(A1316,'SV Child INS Apr'!$A:$H,1,0)</f>
        <v>76225349</v>
      </c>
      <c r="L1316" t="e">
        <f>VLOOKUP(A1316,'TV Apr Prorated Billing Sites'!$A:$I,1,0)</f>
        <v>#N/A</v>
      </c>
    </row>
    <row r="1317" spans="1:13">
      <c r="A1317" t="str">
        <f t="shared" si="22"/>
        <v>76225413</v>
      </c>
      <c r="B1317" t="s">
        <v>3877</v>
      </c>
      <c r="C1317" t="s">
        <v>3878</v>
      </c>
      <c r="D1317">
        <v>76225413</v>
      </c>
      <c r="E1317">
        <v>2002113</v>
      </c>
      <c r="F1317" t="s">
        <v>39</v>
      </c>
      <c r="G1317">
        <v>450</v>
      </c>
      <c r="H1317" t="str">
        <f>VLOOKUP(A1317,'SV Child INS Apr'!$A:$H,1,0)</f>
        <v>76225413</v>
      </c>
      <c r="L1317" t="e">
        <f>VLOOKUP(A1317,'TV Apr Prorated Billing Sites'!$A:$I,1,0)</f>
        <v>#N/A</v>
      </c>
    </row>
    <row r="1318" spans="1:13">
      <c r="A1318" t="str">
        <f t="shared" si="22"/>
        <v>76225542</v>
      </c>
      <c r="B1318" t="s">
        <v>3879</v>
      </c>
      <c r="C1318" t="s">
        <v>3880</v>
      </c>
      <c r="D1318">
        <v>76225542</v>
      </c>
      <c r="E1318">
        <v>2503589</v>
      </c>
      <c r="F1318" t="s">
        <v>39</v>
      </c>
      <c r="G1318">
        <v>300</v>
      </c>
      <c r="H1318" t="str">
        <f>VLOOKUP(A1318,'SV Child INS Apr'!$A:$H,1,0)</f>
        <v>76225542</v>
      </c>
      <c r="L1318" t="e">
        <f>VLOOKUP(A1318,'TV Apr Prorated Billing Sites'!$A:$I,1,0)</f>
        <v>#N/A</v>
      </c>
    </row>
    <row r="1319" spans="1:13">
      <c r="A1319" t="str">
        <f t="shared" si="22"/>
        <v>76225609</v>
      </c>
      <c r="B1319" t="s">
        <v>3881</v>
      </c>
      <c r="C1319" t="s">
        <v>3882</v>
      </c>
      <c r="D1319">
        <v>76225609</v>
      </c>
      <c r="E1319">
        <v>2503416</v>
      </c>
      <c r="F1319" t="s">
        <v>39</v>
      </c>
      <c r="G1319">
        <v>300</v>
      </c>
      <c r="H1319" t="str">
        <f>VLOOKUP(A1319,'SV Child INS Apr'!$A:$H,1,0)</f>
        <v>76225609</v>
      </c>
      <c r="L1319" t="e">
        <f>VLOOKUP(A1319,'TV Apr Prorated Billing Sites'!$A:$I,1,0)</f>
        <v>#N/A</v>
      </c>
    </row>
    <row r="1320" spans="1:13">
      <c r="A1320" t="str">
        <f t="shared" si="22"/>
        <v>76225624</v>
      </c>
      <c r="B1320" t="s">
        <v>3883</v>
      </c>
      <c r="C1320" t="s">
        <v>3884</v>
      </c>
      <c r="D1320">
        <v>76225624</v>
      </c>
      <c r="E1320">
        <v>2002116</v>
      </c>
      <c r="F1320" t="s">
        <v>39</v>
      </c>
      <c r="G1320">
        <v>450</v>
      </c>
      <c r="H1320" t="str">
        <f>VLOOKUP(A1320,'SV Child INS Apr'!$A:$H,1,0)</f>
        <v>76225624</v>
      </c>
      <c r="L1320" t="e">
        <f>VLOOKUP(A1320,'TV Apr Prorated Billing Sites'!$A:$I,1,0)</f>
        <v>#N/A</v>
      </c>
    </row>
    <row r="1321" spans="1:13">
      <c r="A1321" t="str">
        <f t="shared" ref="A1321:A1384" si="23">TRIM(D1321)</f>
        <v>76225712</v>
      </c>
      <c r="B1321" t="s">
        <v>141</v>
      </c>
      <c r="C1321" t="s">
        <v>142</v>
      </c>
      <c r="D1321">
        <v>76225712</v>
      </c>
      <c r="E1321">
        <v>2502268</v>
      </c>
      <c r="F1321" t="s">
        <v>39</v>
      </c>
      <c r="G1321">
        <v>450</v>
      </c>
      <c r="H1321" t="e">
        <f>VLOOKUP(A1321,'SV Child INS Apr'!$A:$H,1,0)</f>
        <v>#N/A</v>
      </c>
      <c r="I1321" t="e">
        <f>VLOOKUP(B1321,'SV Child INS Apr'!$D:$F,1,0)</f>
        <v>#N/A</v>
      </c>
      <c r="J1321" t="e">
        <f>VLOOKUP(A1321,'SV Child BLG Apr'!$A:$J,1,0)</f>
        <v>#N/A</v>
      </c>
      <c r="K1321" t="e">
        <f>VLOOKUP(B1321,'SV Child BLG Apr'!$D:$I,1,0)</f>
        <v>#N/A</v>
      </c>
      <c r="L1321" t="e">
        <f>VLOOKUP(A1321,'TV Apr Prorated Billing Sites'!$A:$I,1,0)</f>
        <v>#N/A</v>
      </c>
    </row>
    <row r="1322" spans="1:13">
      <c r="A1322" t="str">
        <f t="shared" si="23"/>
        <v>76225720</v>
      </c>
      <c r="B1322" t="s">
        <v>640</v>
      </c>
      <c r="C1322" t="s">
        <v>641</v>
      </c>
      <c r="D1322">
        <v>76225720</v>
      </c>
      <c r="E1322">
        <v>2502191</v>
      </c>
      <c r="F1322" t="s">
        <v>39</v>
      </c>
      <c r="G1322">
        <v>300</v>
      </c>
      <c r="H1322" t="e">
        <f>VLOOKUP(A1322,'SV Child INS Apr'!$A:$H,1,0)</f>
        <v>#N/A</v>
      </c>
      <c r="I1322" t="e">
        <f>VLOOKUP(B1322,'SV Child INS Apr'!$D:$F,1,0)</f>
        <v>#N/A</v>
      </c>
      <c r="J1322" t="str">
        <f>VLOOKUP(A1322,'SV Child BLG Apr'!$A:$J,1,0)</f>
        <v>76225720</v>
      </c>
      <c r="L1322" t="e">
        <f>VLOOKUP(A1322,'TV Apr Prorated Billing Sites'!$A:$I,1,0)</f>
        <v>#N/A</v>
      </c>
      <c r="M1322" t="e">
        <f>VLOOKUP(A1322,'CDK asked to retain list'!$H$1:$J$24,1,0)</f>
        <v>#N/A</v>
      </c>
    </row>
    <row r="1323" spans="1:13">
      <c r="A1323" t="str">
        <f t="shared" si="23"/>
        <v>76225750</v>
      </c>
      <c r="B1323" t="s">
        <v>3885</v>
      </c>
      <c r="C1323" t="s">
        <v>3886</v>
      </c>
      <c r="D1323">
        <v>76225750</v>
      </c>
      <c r="E1323">
        <v>2000282</v>
      </c>
      <c r="F1323" t="s">
        <v>39</v>
      </c>
      <c r="G1323">
        <v>300</v>
      </c>
      <c r="H1323" t="str">
        <f>VLOOKUP(A1323,'SV Child INS Apr'!$A:$H,1,0)</f>
        <v>76225750</v>
      </c>
      <c r="L1323" t="e">
        <f>VLOOKUP(A1323,'TV Apr Prorated Billing Sites'!$A:$I,1,0)</f>
        <v>#N/A</v>
      </c>
    </row>
    <row r="1324" spans="1:13">
      <c r="A1324" t="str">
        <f t="shared" si="23"/>
        <v>76225750</v>
      </c>
      <c r="B1324" t="s">
        <v>3887</v>
      </c>
      <c r="C1324" t="s">
        <v>3888</v>
      </c>
      <c r="D1324">
        <v>76225750</v>
      </c>
      <c r="E1324">
        <v>2000282</v>
      </c>
      <c r="F1324" t="s">
        <v>39</v>
      </c>
      <c r="G1324">
        <v>300</v>
      </c>
      <c r="H1324" t="str">
        <f>VLOOKUP(A1324,'SV Child INS Apr'!$A:$H,1,0)</f>
        <v>76225750</v>
      </c>
      <c r="L1324" t="e">
        <f>VLOOKUP(A1324,'TV Apr Prorated Billing Sites'!$A:$I,1,0)</f>
        <v>#N/A</v>
      </c>
    </row>
    <row r="1325" spans="1:13">
      <c r="A1325" t="str">
        <f t="shared" si="23"/>
        <v>76225783</v>
      </c>
      <c r="B1325" t="s">
        <v>3889</v>
      </c>
      <c r="C1325" t="s">
        <v>3890</v>
      </c>
      <c r="D1325">
        <v>76225783</v>
      </c>
      <c r="E1325">
        <v>2503566</v>
      </c>
      <c r="F1325" t="s">
        <v>39</v>
      </c>
      <c r="G1325">
        <v>300</v>
      </c>
      <c r="H1325" t="str">
        <f>VLOOKUP(A1325,'SV Child INS Apr'!$A:$H,1,0)</f>
        <v>76225783</v>
      </c>
      <c r="L1325" t="e">
        <f>VLOOKUP(A1325,'TV Apr Prorated Billing Sites'!$A:$I,1,0)</f>
        <v>#N/A</v>
      </c>
    </row>
    <row r="1326" spans="1:13">
      <c r="A1326" t="str">
        <f t="shared" si="23"/>
        <v>76225789</v>
      </c>
      <c r="B1326" t="s">
        <v>3891</v>
      </c>
      <c r="C1326" t="s">
        <v>3892</v>
      </c>
      <c r="D1326">
        <v>76225789</v>
      </c>
      <c r="E1326">
        <v>2001843</v>
      </c>
      <c r="F1326" t="s">
        <v>39</v>
      </c>
      <c r="G1326">
        <v>400</v>
      </c>
      <c r="H1326" t="str">
        <f>VLOOKUP(A1326,'SV Child INS Apr'!$A:$H,1,0)</f>
        <v>76225789</v>
      </c>
      <c r="L1326" t="e">
        <f>VLOOKUP(A1326,'TV Apr Prorated Billing Sites'!$A:$I,1,0)</f>
        <v>#N/A</v>
      </c>
    </row>
    <row r="1327" spans="1:13">
      <c r="A1327" t="str">
        <f t="shared" si="23"/>
        <v>76225799</v>
      </c>
      <c r="B1327" t="s">
        <v>3893</v>
      </c>
      <c r="C1327" t="s">
        <v>3894</v>
      </c>
      <c r="D1327">
        <v>76225799</v>
      </c>
      <c r="E1327">
        <v>2001925</v>
      </c>
      <c r="F1327" t="s">
        <v>39</v>
      </c>
      <c r="G1327">
        <v>300</v>
      </c>
      <c r="H1327" t="str">
        <f>VLOOKUP(A1327,'SV Child INS Apr'!$A:$H,1,0)</f>
        <v>76225799</v>
      </c>
      <c r="L1327" t="e">
        <f>VLOOKUP(A1327,'TV Apr Prorated Billing Sites'!$A:$I,1,0)</f>
        <v>#N/A</v>
      </c>
    </row>
    <row r="1328" spans="1:13">
      <c r="A1328" t="str">
        <f t="shared" si="23"/>
        <v>76225833</v>
      </c>
      <c r="B1328" t="s">
        <v>3895</v>
      </c>
      <c r="C1328" t="s">
        <v>3896</v>
      </c>
      <c r="D1328">
        <v>76225833</v>
      </c>
      <c r="E1328">
        <v>2002998</v>
      </c>
      <c r="F1328" t="s">
        <v>39</v>
      </c>
      <c r="G1328">
        <v>300</v>
      </c>
      <c r="H1328" t="str">
        <f>VLOOKUP(A1328,'SV Child INS Apr'!$A:$H,1,0)</f>
        <v>76225833</v>
      </c>
      <c r="L1328" t="e">
        <f>VLOOKUP(A1328,'TV Apr Prorated Billing Sites'!$A:$I,1,0)</f>
        <v>#N/A</v>
      </c>
    </row>
    <row r="1329" spans="1:13">
      <c r="A1329" t="str">
        <f t="shared" si="23"/>
        <v>76225923</v>
      </c>
      <c r="B1329" t="s">
        <v>3897</v>
      </c>
      <c r="C1329" t="s">
        <v>3898</v>
      </c>
      <c r="D1329">
        <v>76225923</v>
      </c>
      <c r="E1329">
        <v>2002908</v>
      </c>
      <c r="F1329" t="s">
        <v>39</v>
      </c>
      <c r="G1329">
        <v>400</v>
      </c>
      <c r="H1329" t="str">
        <f>VLOOKUP(A1329,'SV Child INS Apr'!$A:$H,1,0)</f>
        <v>76225923</v>
      </c>
      <c r="L1329" t="e">
        <f>VLOOKUP(A1329,'TV Apr Prorated Billing Sites'!$A:$I,1,0)</f>
        <v>#N/A</v>
      </c>
    </row>
    <row r="1330" spans="1:13">
      <c r="A1330" t="str">
        <f t="shared" si="23"/>
        <v>76225948</v>
      </c>
      <c r="B1330" t="s">
        <v>3899</v>
      </c>
      <c r="C1330" t="s">
        <v>3900</v>
      </c>
      <c r="D1330">
        <v>76225948</v>
      </c>
      <c r="E1330">
        <v>2001977</v>
      </c>
      <c r="F1330" t="s">
        <v>39</v>
      </c>
      <c r="G1330">
        <v>300</v>
      </c>
      <c r="H1330" t="str">
        <f>VLOOKUP(A1330,'SV Child INS Apr'!$A:$H,1,0)</f>
        <v>76225948</v>
      </c>
      <c r="L1330" t="e">
        <f>VLOOKUP(A1330,'TV Apr Prorated Billing Sites'!$A:$I,1,0)</f>
        <v>#N/A</v>
      </c>
    </row>
    <row r="1331" spans="1:13">
      <c r="A1331" t="str">
        <f t="shared" si="23"/>
        <v>76225949</v>
      </c>
      <c r="B1331" t="s">
        <v>643</v>
      </c>
      <c r="C1331" t="s">
        <v>644</v>
      </c>
      <c r="D1331">
        <v>76225949</v>
      </c>
      <c r="E1331">
        <v>2502146</v>
      </c>
      <c r="F1331" t="s">
        <v>39</v>
      </c>
      <c r="G1331">
        <v>300</v>
      </c>
      <c r="H1331" t="e">
        <f>VLOOKUP(A1331,'SV Child INS Apr'!$A:$H,1,0)</f>
        <v>#N/A</v>
      </c>
      <c r="I1331" t="e">
        <f>VLOOKUP(B1331,'SV Child INS Apr'!$D:$F,1,0)</f>
        <v>#N/A</v>
      </c>
      <c r="J1331" t="str">
        <f>VLOOKUP(A1331,'SV Child BLG Apr'!$A:$J,1,0)</f>
        <v>76225949</v>
      </c>
      <c r="L1331" t="e">
        <f>VLOOKUP(A1331,'TV Apr Prorated Billing Sites'!$A:$I,1,0)</f>
        <v>#N/A</v>
      </c>
      <c r="M1331" t="e">
        <f>VLOOKUP(A1331,'CDK asked to retain list'!$H$1:$J$24,1,0)</f>
        <v>#N/A</v>
      </c>
    </row>
    <row r="1332" spans="1:13">
      <c r="A1332" t="str">
        <f t="shared" si="23"/>
        <v>76226063</v>
      </c>
      <c r="B1332" t="s">
        <v>3901</v>
      </c>
      <c r="C1332" t="s">
        <v>3902</v>
      </c>
      <c r="D1332">
        <v>76226063</v>
      </c>
      <c r="E1332">
        <v>2000813</v>
      </c>
      <c r="F1332" t="s">
        <v>39</v>
      </c>
      <c r="G1332">
        <v>300</v>
      </c>
      <c r="H1332" t="str">
        <f>VLOOKUP(A1332,'SV Child INS Apr'!$A:$H,1,0)</f>
        <v>76226063</v>
      </c>
      <c r="L1332" t="e">
        <f>VLOOKUP(A1332,'TV Apr Prorated Billing Sites'!$A:$I,1,0)</f>
        <v>#N/A</v>
      </c>
    </row>
    <row r="1333" spans="1:13">
      <c r="A1333" t="str">
        <f t="shared" si="23"/>
        <v>76226068</v>
      </c>
      <c r="B1333" t="s">
        <v>3903</v>
      </c>
      <c r="C1333" t="s">
        <v>3904</v>
      </c>
      <c r="D1333">
        <v>76226068</v>
      </c>
      <c r="E1333">
        <v>2002629</v>
      </c>
      <c r="F1333" t="s">
        <v>39</v>
      </c>
      <c r="G1333">
        <v>300</v>
      </c>
      <c r="H1333" t="str">
        <f>VLOOKUP(A1333,'SV Child INS Apr'!$A:$H,1,0)</f>
        <v>76226068</v>
      </c>
      <c r="L1333" t="e">
        <f>VLOOKUP(A1333,'TV Apr Prorated Billing Sites'!$A:$I,1,0)</f>
        <v>#N/A</v>
      </c>
    </row>
    <row r="1334" spans="1:13">
      <c r="A1334" t="str">
        <f t="shared" si="23"/>
        <v>76226228</v>
      </c>
      <c r="B1334" t="s">
        <v>3905</v>
      </c>
      <c r="C1334" t="s">
        <v>3906</v>
      </c>
      <c r="D1334">
        <v>76226228</v>
      </c>
      <c r="E1334">
        <v>2001934</v>
      </c>
      <c r="F1334" t="s">
        <v>39</v>
      </c>
      <c r="G1334">
        <v>300</v>
      </c>
      <c r="H1334" t="str">
        <f>VLOOKUP(A1334,'SV Child INS Apr'!$A:$H,1,0)</f>
        <v>76226228</v>
      </c>
      <c r="L1334" t="str">
        <f>VLOOKUP(A1334,'TV Apr Prorated Billing Sites'!$A:$I,1,0)</f>
        <v>76226228</v>
      </c>
    </row>
    <row r="1335" spans="1:13">
      <c r="A1335" t="str">
        <f t="shared" si="23"/>
        <v>76226237</v>
      </c>
      <c r="B1335" t="s">
        <v>3907</v>
      </c>
      <c r="C1335" t="s">
        <v>3908</v>
      </c>
      <c r="D1335">
        <v>76226237</v>
      </c>
      <c r="E1335">
        <v>2001794</v>
      </c>
      <c r="F1335" t="s">
        <v>39</v>
      </c>
      <c r="G1335">
        <v>300</v>
      </c>
      <c r="H1335" t="str">
        <f>VLOOKUP(A1335,'SV Child INS Apr'!$A:$H,1,0)</f>
        <v>76226237</v>
      </c>
      <c r="L1335" t="e">
        <f>VLOOKUP(A1335,'TV Apr Prorated Billing Sites'!$A:$I,1,0)</f>
        <v>#N/A</v>
      </c>
    </row>
    <row r="1336" spans="1:13">
      <c r="A1336" t="str">
        <f t="shared" si="23"/>
        <v>76226252</v>
      </c>
      <c r="B1336" t="s">
        <v>3909</v>
      </c>
      <c r="C1336" t="s">
        <v>3910</v>
      </c>
      <c r="D1336">
        <v>76226252</v>
      </c>
      <c r="E1336">
        <v>2002244</v>
      </c>
      <c r="F1336" t="s">
        <v>39</v>
      </c>
      <c r="G1336">
        <v>300</v>
      </c>
      <c r="H1336" t="str">
        <f>VLOOKUP(A1336,'SV Child INS Apr'!$A:$H,1,0)</f>
        <v>76226252</v>
      </c>
      <c r="L1336" t="e">
        <f>VLOOKUP(A1336,'TV Apr Prorated Billing Sites'!$A:$I,1,0)</f>
        <v>#N/A</v>
      </c>
    </row>
    <row r="1337" spans="1:13">
      <c r="A1337" t="str">
        <f t="shared" si="23"/>
        <v>76226286</v>
      </c>
      <c r="B1337" t="s">
        <v>3911</v>
      </c>
      <c r="C1337" t="s">
        <v>3912</v>
      </c>
      <c r="D1337">
        <v>76226286</v>
      </c>
      <c r="E1337">
        <v>2502459</v>
      </c>
      <c r="F1337" t="s">
        <v>39</v>
      </c>
      <c r="G1337">
        <v>300</v>
      </c>
      <c r="H1337" t="str">
        <f>VLOOKUP(A1337,'SV Child INS Apr'!$A:$H,1,0)</f>
        <v>76226286</v>
      </c>
      <c r="L1337" t="e">
        <f>VLOOKUP(A1337,'TV Apr Prorated Billing Sites'!$A:$I,1,0)</f>
        <v>#N/A</v>
      </c>
    </row>
    <row r="1338" spans="1:13">
      <c r="A1338" t="str">
        <f t="shared" si="23"/>
        <v>76226319</v>
      </c>
      <c r="B1338" t="s">
        <v>3913</v>
      </c>
      <c r="C1338" t="s">
        <v>3914</v>
      </c>
      <c r="D1338">
        <v>76226319</v>
      </c>
      <c r="E1338">
        <v>2003058</v>
      </c>
      <c r="F1338" t="s">
        <v>39</v>
      </c>
      <c r="G1338">
        <v>300</v>
      </c>
      <c r="H1338" t="str">
        <f>VLOOKUP(A1338,'SV Child INS Apr'!$A:$H,1,0)</f>
        <v>76226319</v>
      </c>
      <c r="L1338" t="e">
        <f>VLOOKUP(A1338,'TV Apr Prorated Billing Sites'!$A:$I,1,0)</f>
        <v>#N/A</v>
      </c>
    </row>
    <row r="1339" spans="1:13">
      <c r="A1339" t="str">
        <f t="shared" si="23"/>
        <v>76226578</v>
      </c>
      <c r="B1339" t="s">
        <v>3915</v>
      </c>
      <c r="C1339" t="s">
        <v>3916</v>
      </c>
      <c r="D1339">
        <v>76226578</v>
      </c>
      <c r="E1339">
        <v>2502291</v>
      </c>
      <c r="F1339" t="s">
        <v>39</v>
      </c>
      <c r="G1339">
        <v>450</v>
      </c>
      <c r="H1339" t="str">
        <f>VLOOKUP(A1339,'SV Child INS Apr'!$A:$H,1,0)</f>
        <v>76226578</v>
      </c>
      <c r="L1339" t="e">
        <f>VLOOKUP(A1339,'TV Apr Prorated Billing Sites'!$A:$I,1,0)</f>
        <v>#N/A</v>
      </c>
    </row>
    <row r="1340" spans="1:13">
      <c r="A1340" t="str">
        <f t="shared" si="23"/>
        <v>76226579</v>
      </c>
      <c r="B1340" t="s">
        <v>3917</v>
      </c>
      <c r="C1340" t="s">
        <v>3918</v>
      </c>
      <c r="D1340">
        <v>76226579</v>
      </c>
      <c r="E1340">
        <v>2502319</v>
      </c>
      <c r="F1340" t="s">
        <v>39</v>
      </c>
      <c r="G1340">
        <v>450</v>
      </c>
      <c r="H1340" t="str">
        <f>VLOOKUP(A1340,'SV Child INS Apr'!$A:$H,1,0)</f>
        <v>76226579</v>
      </c>
      <c r="L1340" t="e">
        <f>VLOOKUP(A1340,'TV Apr Prorated Billing Sites'!$A:$I,1,0)</f>
        <v>#N/A</v>
      </c>
    </row>
    <row r="1341" spans="1:13">
      <c r="A1341" t="str">
        <f t="shared" si="23"/>
        <v>76226580</v>
      </c>
      <c r="B1341" t="s">
        <v>3919</v>
      </c>
      <c r="C1341" t="s">
        <v>3920</v>
      </c>
      <c r="D1341">
        <v>76226580</v>
      </c>
      <c r="E1341">
        <v>2502311</v>
      </c>
      <c r="F1341" t="s">
        <v>39</v>
      </c>
      <c r="G1341">
        <v>450</v>
      </c>
      <c r="H1341" t="str">
        <f>VLOOKUP(A1341,'SV Child INS Apr'!$A:$H,1,0)</f>
        <v>76226580</v>
      </c>
      <c r="L1341" t="e">
        <f>VLOOKUP(A1341,'TV Apr Prorated Billing Sites'!$A:$I,1,0)</f>
        <v>#N/A</v>
      </c>
    </row>
    <row r="1342" spans="1:13">
      <c r="A1342" t="str">
        <f t="shared" si="23"/>
        <v>76226581</v>
      </c>
      <c r="B1342" t="s">
        <v>3921</v>
      </c>
      <c r="C1342" t="s">
        <v>3922</v>
      </c>
      <c r="D1342">
        <v>76226581</v>
      </c>
      <c r="E1342">
        <v>2502285</v>
      </c>
      <c r="F1342" t="s">
        <v>39</v>
      </c>
      <c r="G1342">
        <v>450</v>
      </c>
      <c r="H1342" t="str">
        <f>VLOOKUP(A1342,'SV Child INS Apr'!$A:$H,1,0)</f>
        <v>76226581</v>
      </c>
      <c r="L1342" t="e">
        <f>VLOOKUP(A1342,'TV Apr Prorated Billing Sites'!$A:$I,1,0)</f>
        <v>#N/A</v>
      </c>
    </row>
    <row r="1343" spans="1:13">
      <c r="A1343" t="str">
        <f t="shared" si="23"/>
        <v>76226646</v>
      </c>
      <c r="B1343" t="s">
        <v>3923</v>
      </c>
      <c r="C1343" t="s">
        <v>3924</v>
      </c>
      <c r="D1343">
        <v>76226646</v>
      </c>
      <c r="E1343">
        <v>3001378</v>
      </c>
      <c r="F1343" t="s">
        <v>39</v>
      </c>
      <c r="G1343">
        <v>300</v>
      </c>
      <c r="H1343" t="str">
        <f>VLOOKUP(A1343,'SV Child INS Apr'!$A:$H,1,0)</f>
        <v>76226646</v>
      </c>
      <c r="L1343" t="e">
        <f>VLOOKUP(A1343,'TV Apr Prorated Billing Sites'!$A:$I,1,0)</f>
        <v>#N/A</v>
      </c>
    </row>
    <row r="1344" spans="1:13">
      <c r="A1344" t="str">
        <f t="shared" si="23"/>
        <v>76226661</v>
      </c>
      <c r="B1344" t="s">
        <v>3925</v>
      </c>
      <c r="C1344" t="s">
        <v>3926</v>
      </c>
      <c r="D1344">
        <v>76226661</v>
      </c>
      <c r="E1344">
        <v>2502533</v>
      </c>
      <c r="F1344" t="s">
        <v>39</v>
      </c>
      <c r="G1344">
        <v>400</v>
      </c>
      <c r="H1344" t="str">
        <f>VLOOKUP(A1344,'SV Child INS Apr'!$A:$H,1,0)</f>
        <v>76226661</v>
      </c>
      <c r="L1344" t="e">
        <f>VLOOKUP(A1344,'TV Apr Prorated Billing Sites'!$A:$I,1,0)</f>
        <v>#N/A</v>
      </c>
    </row>
    <row r="1345" spans="1:13">
      <c r="A1345" t="str">
        <f t="shared" si="23"/>
        <v>76226764</v>
      </c>
      <c r="B1345" t="s">
        <v>3927</v>
      </c>
      <c r="C1345" t="s">
        <v>3928</v>
      </c>
      <c r="D1345">
        <v>76226764</v>
      </c>
      <c r="E1345">
        <v>2002023</v>
      </c>
      <c r="F1345" t="s">
        <v>39</v>
      </c>
      <c r="G1345">
        <v>450</v>
      </c>
      <c r="H1345" t="str">
        <f>VLOOKUP(A1345,'SV Child INS Apr'!$A:$H,1,0)</f>
        <v>76226764</v>
      </c>
      <c r="L1345" t="e">
        <f>VLOOKUP(A1345,'TV Apr Prorated Billing Sites'!$A:$I,1,0)</f>
        <v>#N/A</v>
      </c>
    </row>
    <row r="1346" spans="1:13">
      <c r="A1346" t="str">
        <f t="shared" si="23"/>
        <v>76226765</v>
      </c>
      <c r="B1346" t="s">
        <v>3929</v>
      </c>
      <c r="C1346" t="s">
        <v>3930</v>
      </c>
      <c r="D1346">
        <v>76226765</v>
      </c>
      <c r="E1346">
        <v>2001955</v>
      </c>
      <c r="F1346" t="s">
        <v>39</v>
      </c>
      <c r="G1346">
        <v>450</v>
      </c>
      <c r="H1346" t="str">
        <f>VLOOKUP(A1346,'SV Child INS Apr'!$A:$H,1,0)</f>
        <v>76226765</v>
      </c>
      <c r="L1346" t="e">
        <f>VLOOKUP(A1346,'TV Apr Prorated Billing Sites'!$A:$I,1,0)</f>
        <v>#N/A</v>
      </c>
    </row>
    <row r="1347" spans="1:13">
      <c r="A1347" t="str">
        <f t="shared" si="23"/>
        <v>76226767</v>
      </c>
      <c r="B1347" t="s">
        <v>3931</v>
      </c>
      <c r="C1347" t="s">
        <v>3932</v>
      </c>
      <c r="D1347">
        <v>76226767</v>
      </c>
      <c r="E1347">
        <v>2001954</v>
      </c>
      <c r="F1347" t="s">
        <v>39</v>
      </c>
      <c r="G1347">
        <v>450</v>
      </c>
      <c r="H1347" t="str">
        <f>VLOOKUP(A1347,'SV Child INS Apr'!$A:$H,1,0)</f>
        <v>76226767</v>
      </c>
      <c r="L1347" t="e">
        <f>VLOOKUP(A1347,'TV Apr Prorated Billing Sites'!$A:$I,1,0)</f>
        <v>#N/A</v>
      </c>
    </row>
    <row r="1348" spans="1:13">
      <c r="A1348" t="str">
        <f t="shared" si="23"/>
        <v>76226785</v>
      </c>
      <c r="B1348" t="s">
        <v>3933</v>
      </c>
      <c r="C1348" t="s">
        <v>3934</v>
      </c>
      <c r="D1348">
        <v>76226785</v>
      </c>
      <c r="E1348">
        <v>2503411</v>
      </c>
      <c r="F1348" t="s">
        <v>39</v>
      </c>
      <c r="G1348">
        <v>300</v>
      </c>
      <c r="H1348" t="str">
        <f>VLOOKUP(A1348,'SV Child INS Apr'!$A:$H,1,0)</f>
        <v>76226785</v>
      </c>
      <c r="L1348" t="e">
        <f>VLOOKUP(A1348,'TV Apr Prorated Billing Sites'!$A:$I,1,0)</f>
        <v>#N/A</v>
      </c>
    </row>
    <row r="1349" spans="1:13">
      <c r="A1349" t="str">
        <f t="shared" si="23"/>
        <v>76226911</v>
      </c>
      <c r="B1349" t="s">
        <v>3935</v>
      </c>
      <c r="C1349" t="s">
        <v>3936</v>
      </c>
      <c r="D1349">
        <v>76226911</v>
      </c>
      <c r="E1349">
        <v>2002181</v>
      </c>
      <c r="F1349" t="s">
        <v>39</v>
      </c>
      <c r="G1349">
        <v>450</v>
      </c>
      <c r="H1349" t="str">
        <f>VLOOKUP(A1349,'SV Child INS Apr'!$A:$H,1,0)</f>
        <v>76226911</v>
      </c>
      <c r="L1349" t="e">
        <f>VLOOKUP(A1349,'TV Apr Prorated Billing Sites'!$A:$I,1,0)</f>
        <v>#N/A</v>
      </c>
    </row>
    <row r="1350" spans="1:13">
      <c r="A1350" t="str">
        <f t="shared" si="23"/>
        <v>76227046</v>
      </c>
      <c r="B1350" t="s">
        <v>3937</v>
      </c>
      <c r="C1350" t="s">
        <v>3938</v>
      </c>
      <c r="D1350">
        <v>76227046</v>
      </c>
      <c r="E1350">
        <v>2002091</v>
      </c>
      <c r="F1350" t="s">
        <v>39</v>
      </c>
      <c r="G1350">
        <v>300</v>
      </c>
      <c r="H1350" t="str">
        <f>VLOOKUP(A1350,'SV Child INS Apr'!$A:$H,1,0)</f>
        <v>76227046</v>
      </c>
      <c r="L1350" t="e">
        <f>VLOOKUP(A1350,'TV Apr Prorated Billing Sites'!$A:$I,1,0)</f>
        <v>#N/A</v>
      </c>
    </row>
    <row r="1351" spans="1:13">
      <c r="A1351" t="str">
        <f t="shared" si="23"/>
        <v>76227056</v>
      </c>
      <c r="B1351" t="s">
        <v>3939</v>
      </c>
      <c r="C1351" t="s">
        <v>3940</v>
      </c>
      <c r="D1351">
        <v>76227056</v>
      </c>
      <c r="E1351">
        <v>2001892</v>
      </c>
      <c r="F1351" t="s">
        <v>39</v>
      </c>
      <c r="G1351">
        <v>400</v>
      </c>
      <c r="H1351" t="e">
        <f>VLOOKUP(A1351,'SV Child INS Apr'!$A:$H,1,0)</f>
        <v>#N/A</v>
      </c>
      <c r="I1351" t="str">
        <f>VLOOKUP(B1351,'SV Child INS Apr'!$D:$F,1,0)</f>
        <v>FULLERTON FORD</v>
      </c>
      <c r="L1351" t="e">
        <f>VLOOKUP(A1351,'TV Apr Prorated Billing Sites'!$A:$I,1,0)</f>
        <v>#N/A</v>
      </c>
    </row>
    <row r="1352" spans="1:13">
      <c r="A1352" t="str">
        <f t="shared" si="23"/>
        <v>76227121</v>
      </c>
      <c r="B1352" t="s">
        <v>144</v>
      </c>
      <c r="C1352" t="s">
        <v>145</v>
      </c>
      <c r="D1352">
        <v>76227121</v>
      </c>
      <c r="E1352">
        <v>2502262</v>
      </c>
      <c r="F1352" t="s">
        <v>39</v>
      </c>
      <c r="G1352">
        <v>450</v>
      </c>
      <c r="H1352" t="e">
        <f>VLOOKUP(A1352,'SV Child INS Apr'!$A:$H,1,0)</f>
        <v>#N/A</v>
      </c>
      <c r="I1352" t="e">
        <f>VLOOKUP(B1352,'SV Child INS Apr'!$D:$F,1,0)</f>
        <v>#N/A</v>
      </c>
      <c r="J1352" t="e">
        <f>VLOOKUP(A1352,'SV Child BLG Apr'!$A:$J,1,0)</f>
        <v>#N/A</v>
      </c>
      <c r="K1352" t="e">
        <f>VLOOKUP(B1352,'SV Child BLG Apr'!$D:$I,1,0)</f>
        <v>#N/A</v>
      </c>
      <c r="L1352" t="e">
        <f>VLOOKUP(A1352,'TV Apr Prorated Billing Sites'!$A:$I,1,0)</f>
        <v>#N/A</v>
      </c>
    </row>
    <row r="1353" spans="1:13">
      <c r="A1353" t="str">
        <f t="shared" si="23"/>
        <v>76227130</v>
      </c>
      <c r="B1353" t="s">
        <v>3941</v>
      </c>
      <c r="C1353" t="s">
        <v>3942</v>
      </c>
      <c r="D1353">
        <v>76227130</v>
      </c>
      <c r="E1353">
        <v>3001006</v>
      </c>
      <c r="F1353" t="s">
        <v>39</v>
      </c>
      <c r="G1353">
        <v>300</v>
      </c>
      <c r="H1353" t="str">
        <f>VLOOKUP(A1353,'SV Child INS Apr'!$A:$H,1,0)</f>
        <v>76227130</v>
      </c>
      <c r="L1353" t="e">
        <f>VLOOKUP(A1353,'TV Apr Prorated Billing Sites'!$A:$I,1,0)</f>
        <v>#N/A</v>
      </c>
    </row>
    <row r="1354" spans="1:13">
      <c r="A1354" t="str">
        <f t="shared" si="23"/>
        <v>76227134</v>
      </c>
      <c r="B1354" t="s">
        <v>147</v>
      </c>
      <c r="C1354" t="s">
        <v>148</v>
      </c>
      <c r="D1354">
        <v>76227134</v>
      </c>
      <c r="E1354">
        <v>2503481</v>
      </c>
      <c r="F1354" t="s">
        <v>39</v>
      </c>
      <c r="G1354">
        <v>300</v>
      </c>
      <c r="H1354" t="e">
        <f>VLOOKUP(A1354,'SV Child INS Apr'!$A:$H,1,0)</f>
        <v>#N/A</v>
      </c>
      <c r="I1354" t="e">
        <f>VLOOKUP(B1354,'SV Child INS Apr'!$D:$F,1,0)</f>
        <v>#N/A</v>
      </c>
      <c r="J1354" t="e">
        <f>VLOOKUP(A1354,'SV Child BLG Apr'!$A:$J,1,0)</f>
        <v>#N/A</v>
      </c>
      <c r="K1354" t="e">
        <f>VLOOKUP(B1354,'SV Child BLG Apr'!$D:$I,1,0)</f>
        <v>#N/A</v>
      </c>
      <c r="L1354" t="e">
        <f>VLOOKUP(A1354,'TV Apr Prorated Billing Sites'!$A:$I,1,0)</f>
        <v>#N/A</v>
      </c>
    </row>
    <row r="1355" spans="1:13">
      <c r="A1355" t="str">
        <f t="shared" si="23"/>
        <v>76227234</v>
      </c>
      <c r="B1355" t="s">
        <v>3943</v>
      </c>
      <c r="C1355" t="s">
        <v>3944</v>
      </c>
      <c r="D1355">
        <v>76227234</v>
      </c>
      <c r="E1355">
        <v>2003081</v>
      </c>
      <c r="F1355" t="s">
        <v>39</v>
      </c>
      <c r="G1355">
        <v>300</v>
      </c>
      <c r="H1355" t="str">
        <f>VLOOKUP(A1355,'SV Child INS Apr'!$A:$H,1,0)</f>
        <v>76227234</v>
      </c>
      <c r="L1355" t="e">
        <f>VLOOKUP(A1355,'TV Apr Prorated Billing Sites'!$A:$I,1,0)</f>
        <v>#N/A</v>
      </c>
    </row>
    <row r="1356" spans="1:13">
      <c r="A1356" t="str">
        <f t="shared" si="23"/>
        <v>76227241</v>
      </c>
      <c r="B1356" t="s">
        <v>3945</v>
      </c>
      <c r="C1356" t="s">
        <v>3946</v>
      </c>
      <c r="D1356">
        <v>76227241</v>
      </c>
      <c r="E1356">
        <v>2502150</v>
      </c>
      <c r="F1356" t="s">
        <v>39</v>
      </c>
      <c r="G1356">
        <v>450</v>
      </c>
      <c r="H1356" t="str">
        <f>VLOOKUP(A1356,'SV Child INS Apr'!$A:$H,1,0)</f>
        <v>76227241</v>
      </c>
      <c r="L1356" t="e">
        <f>VLOOKUP(A1356,'TV Apr Prorated Billing Sites'!$A:$I,1,0)</f>
        <v>#N/A</v>
      </c>
    </row>
    <row r="1357" spans="1:13">
      <c r="A1357" t="str">
        <f t="shared" si="23"/>
        <v>76227673</v>
      </c>
      <c r="B1357" t="s">
        <v>3947</v>
      </c>
      <c r="C1357" t="s">
        <v>3948</v>
      </c>
      <c r="D1357">
        <v>76227673</v>
      </c>
      <c r="E1357" t="s">
        <v>438</v>
      </c>
      <c r="F1357" t="s">
        <v>39</v>
      </c>
      <c r="G1357">
        <v>300</v>
      </c>
      <c r="H1357" t="str">
        <f>VLOOKUP(A1357,'SV Child INS Apr'!$A:$H,1,0)</f>
        <v>76227673</v>
      </c>
      <c r="L1357" t="e">
        <f>VLOOKUP(A1357,'TV Apr Prorated Billing Sites'!$A:$I,1,0)</f>
        <v>#N/A</v>
      </c>
    </row>
    <row r="1358" spans="1:13">
      <c r="A1358" t="str">
        <f t="shared" si="23"/>
        <v>76227679</v>
      </c>
      <c r="B1358" t="s">
        <v>150</v>
      </c>
      <c r="C1358" t="s">
        <v>151</v>
      </c>
      <c r="D1358">
        <v>76227679</v>
      </c>
      <c r="E1358">
        <v>2001988</v>
      </c>
      <c r="F1358" t="s">
        <v>39</v>
      </c>
      <c r="G1358">
        <v>300</v>
      </c>
      <c r="H1358" t="e">
        <f>VLOOKUP(A1358,'SV Child INS Apr'!$A:$H,1,0)</f>
        <v>#N/A</v>
      </c>
      <c r="I1358" t="e">
        <f>VLOOKUP(B1358,'SV Child INS Apr'!$D:$F,1,0)</f>
        <v>#N/A</v>
      </c>
      <c r="J1358" t="e">
        <f>VLOOKUP(A1358,'SV Child BLG Apr'!$A:$J,1,0)</f>
        <v>#N/A</v>
      </c>
      <c r="K1358" t="e">
        <f>VLOOKUP(B1358,'SV Child BLG Apr'!$D:$I,1,0)</f>
        <v>#N/A</v>
      </c>
      <c r="L1358" t="e">
        <f>VLOOKUP(A1358,'TV Apr Prorated Billing Sites'!$A:$I,1,0)</f>
        <v>#N/A</v>
      </c>
    </row>
    <row r="1359" spans="1:13">
      <c r="A1359" t="str">
        <f t="shared" si="23"/>
        <v>76227697</v>
      </c>
      <c r="B1359" t="s">
        <v>646</v>
      </c>
      <c r="C1359" t="s">
        <v>647</v>
      </c>
      <c r="D1359">
        <v>76227697</v>
      </c>
      <c r="E1359" t="s">
        <v>438</v>
      </c>
      <c r="F1359" t="s">
        <v>39</v>
      </c>
      <c r="G1359">
        <v>300</v>
      </c>
      <c r="H1359" t="e">
        <f>VLOOKUP(A1359,'SV Child INS Apr'!$A:$H,1,0)</f>
        <v>#N/A</v>
      </c>
      <c r="I1359" t="e">
        <f>VLOOKUP(B1359,'SV Child INS Apr'!$D:$F,1,0)</f>
        <v>#N/A</v>
      </c>
      <c r="J1359" t="str">
        <f>VLOOKUP(A1359,'SV Child BLG Apr'!$A:$J,1,0)</f>
        <v>76227697</v>
      </c>
      <c r="L1359" t="e">
        <f>VLOOKUP(A1359,'TV Apr Prorated Billing Sites'!$A:$I,1,0)</f>
        <v>#N/A</v>
      </c>
      <c r="M1359" t="e">
        <f>VLOOKUP(A1359,'CDK asked to retain list'!$H$1:$J$24,1,0)</f>
        <v>#N/A</v>
      </c>
    </row>
    <row r="1360" spans="1:13">
      <c r="A1360" t="str">
        <f t="shared" si="23"/>
        <v>76227707</v>
      </c>
      <c r="B1360" t="s">
        <v>3949</v>
      </c>
      <c r="C1360" t="s">
        <v>3950</v>
      </c>
      <c r="D1360">
        <v>76227707</v>
      </c>
      <c r="E1360">
        <v>2502167</v>
      </c>
      <c r="F1360" t="s">
        <v>39</v>
      </c>
      <c r="G1360">
        <v>300</v>
      </c>
      <c r="H1360" t="str">
        <f>VLOOKUP(A1360,'SV Child INS Apr'!$A:$H,1,0)</f>
        <v>76227707</v>
      </c>
      <c r="L1360" t="e">
        <f>VLOOKUP(A1360,'TV Apr Prorated Billing Sites'!$A:$I,1,0)</f>
        <v>#N/A</v>
      </c>
    </row>
    <row r="1361" spans="1:12">
      <c r="A1361" t="str">
        <f t="shared" si="23"/>
        <v>76227757</v>
      </c>
      <c r="B1361" t="s">
        <v>153</v>
      </c>
      <c r="C1361" t="s">
        <v>154</v>
      </c>
      <c r="D1361">
        <v>76227757</v>
      </c>
      <c r="E1361">
        <v>2502508</v>
      </c>
      <c r="F1361" t="s">
        <v>39</v>
      </c>
      <c r="G1361">
        <v>400</v>
      </c>
      <c r="H1361" t="e">
        <f>VLOOKUP(A1361,'SV Child INS Apr'!$A:$H,1,0)</f>
        <v>#N/A</v>
      </c>
      <c r="I1361" t="e">
        <f>VLOOKUP(B1361,'SV Child INS Apr'!$D:$F,1,0)</f>
        <v>#N/A</v>
      </c>
      <c r="J1361" t="e">
        <f>VLOOKUP(A1361,'SV Child BLG Apr'!$A:$J,1,0)</f>
        <v>#N/A</v>
      </c>
      <c r="K1361" t="e">
        <f>VLOOKUP(B1361,'SV Child BLG Apr'!$D:$I,1,0)</f>
        <v>#N/A</v>
      </c>
      <c r="L1361" t="e">
        <f>VLOOKUP(A1361,'TV Apr Prorated Billing Sites'!$A:$I,1,0)</f>
        <v>#N/A</v>
      </c>
    </row>
    <row r="1362" spans="1:12">
      <c r="A1362" t="str">
        <f t="shared" si="23"/>
        <v>76227758</v>
      </c>
      <c r="B1362" t="s">
        <v>3951</v>
      </c>
      <c r="C1362" t="s">
        <v>3952</v>
      </c>
      <c r="D1362">
        <v>76227758</v>
      </c>
      <c r="E1362">
        <v>2502516</v>
      </c>
      <c r="F1362" t="s">
        <v>39</v>
      </c>
      <c r="G1362">
        <v>400</v>
      </c>
      <c r="H1362" t="str">
        <f>VLOOKUP(A1362,'SV Child INS Apr'!$A:$H,1,0)</f>
        <v>76227758</v>
      </c>
      <c r="L1362" t="e">
        <f>VLOOKUP(A1362,'TV Apr Prorated Billing Sites'!$A:$I,1,0)</f>
        <v>#N/A</v>
      </c>
    </row>
    <row r="1363" spans="1:12">
      <c r="A1363" t="str">
        <f t="shared" si="23"/>
        <v>76227829</v>
      </c>
      <c r="B1363" t="s">
        <v>3953</v>
      </c>
      <c r="C1363" t="s">
        <v>3954</v>
      </c>
      <c r="D1363">
        <v>76227829</v>
      </c>
      <c r="E1363">
        <v>2502334</v>
      </c>
      <c r="F1363" t="s">
        <v>39</v>
      </c>
      <c r="G1363">
        <v>400</v>
      </c>
      <c r="H1363" t="str">
        <f>VLOOKUP(A1363,'SV Child INS Apr'!$A:$H,1,0)</f>
        <v>76227829</v>
      </c>
      <c r="L1363" t="e">
        <f>VLOOKUP(A1363,'TV Apr Prorated Billing Sites'!$A:$I,1,0)</f>
        <v>#N/A</v>
      </c>
    </row>
    <row r="1364" spans="1:12">
      <c r="A1364" t="str">
        <f t="shared" si="23"/>
        <v>76227882</v>
      </c>
      <c r="B1364" t="s">
        <v>3955</v>
      </c>
      <c r="C1364" t="s">
        <v>3956</v>
      </c>
      <c r="D1364">
        <v>76227882</v>
      </c>
      <c r="E1364">
        <v>3000330</v>
      </c>
      <c r="F1364" t="s">
        <v>39</v>
      </c>
      <c r="G1364">
        <v>300</v>
      </c>
      <c r="H1364" t="str">
        <f>VLOOKUP(A1364,'SV Child INS Apr'!$A:$H,1,0)</f>
        <v>76227882</v>
      </c>
      <c r="L1364" t="e">
        <f>VLOOKUP(A1364,'TV Apr Prorated Billing Sites'!$A:$I,1,0)</f>
        <v>#N/A</v>
      </c>
    </row>
    <row r="1365" spans="1:12">
      <c r="A1365" t="str">
        <f t="shared" si="23"/>
        <v>76228008</v>
      </c>
      <c r="B1365" t="s">
        <v>3957</v>
      </c>
      <c r="C1365" t="s">
        <v>3958</v>
      </c>
      <c r="D1365">
        <v>76228008</v>
      </c>
      <c r="E1365">
        <v>2502573</v>
      </c>
      <c r="F1365" t="s">
        <v>39</v>
      </c>
      <c r="G1365">
        <v>300</v>
      </c>
      <c r="H1365" t="str">
        <f>VLOOKUP(A1365,'SV Child INS Apr'!$A:$H,1,0)</f>
        <v>76228008</v>
      </c>
      <c r="L1365" t="e">
        <f>VLOOKUP(A1365,'TV Apr Prorated Billing Sites'!$A:$I,1,0)</f>
        <v>#N/A</v>
      </c>
    </row>
    <row r="1366" spans="1:12">
      <c r="A1366" t="str">
        <f t="shared" si="23"/>
        <v>76228101</v>
      </c>
      <c r="B1366" t="s">
        <v>3959</v>
      </c>
      <c r="C1366" t="s">
        <v>3960</v>
      </c>
      <c r="D1366">
        <v>76228101</v>
      </c>
      <c r="E1366">
        <v>2503383</v>
      </c>
      <c r="F1366" t="s">
        <v>39</v>
      </c>
      <c r="G1366">
        <v>300</v>
      </c>
      <c r="H1366" t="str">
        <f>VLOOKUP(A1366,'SV Child INS Apr'!$A:$H,1,0)</f>
        <v>76228101</v>
      </c>
      <c r="L1366" t="e">
        <f>VLOOKUP(A1366,'TV Apr Prorated Billing Sites'!$A:$I,1,0)</f>
        <v>#N/A</v>
      </c>
    </row>
    <row r="1367" spans="1:12">
      <c r="A1367" t="str">
        <f t="shared" si="23"/>
        <v>76228185</v>
      </c>
      <c r="B1367" t="s">
        <v>3961</v>
      </c>
      <c r="C1367" t="s">
        <v>3962</v>
      </c>
      <c r="D1367">
        <v>76228185</v>
      </c>
      <c r="E1367">
        <v>3015</v>
      </c>
      <c r="F1367" t="s">
        <v>39</v>
      </c>
      <c r="G1367">
        <v>300</v>
      </c>
      <c r="H1367" t="str">
        <f>VLOOKUP(A1367,'SV Child INS Apr'!$A:$H,1,0)</f>
        <v>76228185</v>
      </c>
      <c r="L1367" t="e">
        <f>VLOOKUP(A1367,'TV Apr Prorated Billing Sites'!$A:$I,1,0)</f>
        <v>#N/A</v>
      </c>
    </row>
    <row r="1368" spans="1:12">
      <c r="A1368" t="str">
        <f t="shared" si="23"/>
        <v>76228229</v>
      </c>
      <c r="B1368" t="s">
        <v>156</v>
      </c>
      <c r="C1368" t="s">
        <v>157</v>
      </c>
      <c r="D1368">
        <v>76228229</v>
      </c>
      <c r="E1368">
        <v>2502240</v>
      </c>
      <c r="F1368" t="s">
        <v>39</v>
      </c>
      <c r="G1368">
        <v>300</v>
      </c>
      <c r="H1368" t="e">
        <f>VLOOKUP(A1368,'SV Child INS Apr'!$A:$H,1,0)</f>
        <v>#N/A</v>
      </c>
      <c r="I1368" t="e">
        <f>VLOOKUP(B1368,'SV Child INS Apr'!$D:$F,1,0)</f>
        <v>#N/A</v>
      </c>
      <c r="J1368" t="e">
        <f>VLOOKUP(A1368,'SV Child BLG Apr'!$A:$J,1,0)</f>
        <v>#N/A</v>
      </c>
      <c r="K1368" t="e">
        <f>VLOOKUP(B1368,'SV Child BLG Apr'!$D:$I,1,0)</f>
        <v>#N/A</v>
      </c>
      <c r="L1368" t="e">
        <f>VLOOKUP(A1368,'TV Apr Prorated Billing Sites'!$A:$I,1,0)</f>
        <v>#N/A</v>
      </c>
    </row>
    <row r="1369" spans="1:12">
      <c r="A1369" t="str">
        <f t="shared" si="23"/>
        <v>76228237</v>
      </c>
      <c r="B1369" t="s">
        <v>159</v>
      </c>
      <c r="C1369" t="s">
        <v>160</v>
      </c>
      <c r="D1369">
        <v>76228237</v>
      </c>
      <c r="E1369">
        <v>2001918</v>
      </c>
      <c r="F1369" t="s">
        <v>39</v>
      </c>
      <c r="G1369">
        <v>450</v>
      </c>
      <c r="H1369" t="e">
        <f>VLOOKUP(A1369,'SV Child INS Apr'!$A:$H,1,0)</f>
        <v>#N/A</v>
      </c>
      <c r="I1369" t="e">
        <f>VLOOKUP(B1369,'SV Child INS Apr'!$D:$F,1,0)</f>
        <v>#N/A</v>
      </c>
      <c r="J1369" t="e">
        <f>VLOOKUP(A1369,'SV Child BLG Apr'!$A:$J,1,0)</f>
        <v>#N/A</v>
      </c>
      <c r="K1369" t="e">
        <f>VLOOKUP(B1369,'SV Child BLG Apr'!$D:$I,1,0)</f>
        <v>#N/A</v>
      </c>
      <c r="L1369" t="e">
        <f>VLOOKUP(A1369,'TV Apr Prorated Billing Sites'!$A:$I,1,0)</f>
        <v>#N/A</v>
      </c>
    </row>
    <row r="1370" spans="1:12">
      <c r="A1370" t="str">
        <f t="shared" si="23"/>
        <v>76228314</v>
      </c>
      <c r="B1370" t="s">
        <v>3963</v>
      </c>
      <c r="C1370" t="s">
        <v>3964</v>
      </c>
      <c r="D1370">
        <v>76228314</v>
      </c>
      <c r="E1370">
        <v>2001976</v>
      </c>
      <c r="F1370" t="s">
        <v>39</v>
      </c>
      <c r="G1370">
        <v>300</v>
      </c>
      <c r="H1370" t="e">
        <f>VLOOKUP(A1370,'SV Child INS Apr'!$A:$H,1,0)</f>
        <v>#N/A</v>
      </c>
      <c r="I1370" t="str">
        <f>VLOOKUP(B1370,'SV Child INS Apr'!$D:$F,1,0)</f>
        <v>WEST HOUSTON HYUNDAI</v>
      </c>
      <c r="L1370" t="e">
        <f>VLOOKUP(A1370,'TV Apr Prorated Billing Sites'!$A:$I,1,0)</f>
        <v>#N/A</v>
      </c>
    </row>
    <row r="1371" spans="1:12">
      <c r="A1371" t="str">
        <f t="shared" si="23"/>
        <v>76228316</v>
      </c>
      <c r="B1371" t="s">
        <v>162</v>
      </c>
      <c r="C1371" t="s">
        <v>163</v>
      </c>
      <c r="D1371">
        <v>76228316</v>
      </c>
      <c r="E1371">
        <v>2001986</v>
      </c>
      <c r="F1371" t="s">
        <v>39</v>
      </c>
      <c r="G1371">
        <v>300</v>
      </c>
      <c r="H1371" t="e">
        <f>VLOOKUP(A1371,'SV Child INS Apr'!$A:$H,1,0)</f>
        <v>#N/A</v>
      </c>
      <c r="I1371" t="e">
        <f>VLOOKUP(B1371,'SV Child INS Apr'!$D:$F,1,0)</f>
        <v>#N/A</v>
      </c>
      <c r="J1371" t="e">
        <f>VLOOKUP(A1371,'SV Child BLG Apr'!$A:$J,1,0)</f>
        <v>#N/A</v>
      </c>
      <c r="K1371" t="e">
        <f>VLOOKUP(B1371,'SV Child BLG Apr'!$D:$I,1,0)</f>
        <v>#N/A</v>
      </c>
      <c r="L1371" t="e">
        <f>VLOOKUP(A1371,'TV Apr Prorated Billing Sites'!$A:$I,1,0)</f>
        <v>#N/A</v>
      </c>
    </row>
    <row r="1372" spans="1:12">
      <c r="A1372" t="str">
        <f t="shared" si="23"/>
        <v>76228317</v>
      </c>
      <c r="B1372" t="s">
        <v>3965</v>
      </c>
      <c r="C1372" t="s">
        <v>3966</v>
      </c>
      <c r="D1372">
        <v>76228317</v>
      </c>
      <c r="E1372">
        <v>2001987</v>
      </c>
      <c r="F1372" t="s">
        <v>39</v>
      </c>
      <c r="G1372">
        <v>450</v>
      </c>
      <c r="H1372" t="e">
        <f>VLOOKUP(A1372,'SV Child INS Apr'!$A:$H,1,0)</f>
        <v>#N/A</v>
      </c>
      <c r="I1372" t="str">
        <f>VLOOKUP(B1372,'SV Child INS Apr'!$D:$F,1,0)</f>
        <v>NORTHWEST HYUNDAI</v>
      </c>
      <c r="L1372" t="e">
        <f>VLOOKUP(A1372,'TV Apr Prorated Billing Sites'!$A:$I,1,0)</f>
        <v>#N/A</v>
      </c>
    </row>
    <row r="1373" spans="1:12">
      <c r="A1373" t="str">
        <f t="shared" si="23"/>
        <v>76228335</v>
      </c>
      <c r="B1373" t="s">
        <v>3967</v>
      </c>
      <c r="C1373" t="s">
        <v>3968</v>
      </c>
      <c r="D1373">
        <v>76228335</v>
      </c>
      <c r="E1373">
        <v>2002054</v>
      </c>
      <c r="F1373" t="s">
        <v>39</v>
      </c>
      <c r="G1373">
        <v>300</v>
      </c>
      <c r="H1373" t="str">
        <f>VLOOKUP(A1373,'SV Child INS Apr'!$A:$H,1,0)</f>
        <v>76228335</v>
      </c>
      <c r="L1373" t="e">
        <f>VLOOKUP(A1373,'TV Apr Prorated Billing Sites'!$A:$I,1,0)</f>
        <v>#N/A</v>
      </c>
    </row>
    <row r="1374" spans="1:12">
      <c r="A1374" t="str">
        <f t="shared" si="23"/>
        <v>76228339</v>
      </c>
      <c r="B1374" t="s">
        <v>3969</v>
      </c>
      <c r="C1374" t="s">
        <v>3970</v>
      </c>
      <c r="D1374">
        <v>76228339</v>
      </c>
      <c r="E1374">
        <v>2502574</v>
      </c>
      <c r="F1374" t="s">
        <v>39</v>
      </c>
      <c r="G1374">
        <v>300</v>
      </c>
      <c r="H1374" t="str">
        <f>VLOOKUP(A1374,'SV Child INS Apr'!$A:$H,1,0)</f>
        <v>76228339</v>
      </c>
      <c r="L1374" t="e">
        <f>VLOOKUP(A1374,'TV Apr Prorated Billing Sites'!$A:$I,1,0)</f>
        <v>#N/A</v>
      </c>
    </row>
    <row r="1375" spans="1:12">
      <c r="A1375" t="str">
        <f t="shared" si="23"/>
        <v>76228362</v>
      </c>
      <c r="B1375" t="s">
        <v>3971</v>
      </c>
      <c r="C1375" t="s">
        <v>3972</v>
      </c>
      <c r="D1375">
        <v>76228362</v>
      </c>
      <c r="E1375">
        <v>3002130</v>
      </c>
      <c r="F1375" t="s">
        <v>39</v>
      </c>
      <c r="G1375">
        <v>300</v>
      </c>
      <c r="H1375" t="str">
        <f>VLOOKUP(A1375,'SV Child INS Apr'!$A:$H,1,0)</f>
        <v>76228362</v>
      </c>
      <c r="L1375" t="e">
        <f>VLOOKUP(A1375,'TV Apr Prorated Billing Sites'!$A:$I,1,0)</f>
        <v>#N/A</v>
      </c>
    </row>
    <row r="1376" spans="1:12">
      <c r="A1376" t="str">
        <f t="shared" si="23"/>
        <v>76228449</v>
      </c>
      <c r="B1376" t="s">
        <v>3973</v>
      </c>
      <c r="C1376" t="s">
        <v>3974</v>
      </c>
      <c r="D1376">
        <v>76228449</v>
      </c>
      <c r="E1376">
        <v>2502663</v>
      </c>
      <c r="F1376" t="s">
        <v>39</v>
      </c>
      <c r="G1376">
        <v>300</v>
      </c>
      <c r="H1376" t="str">
        <f>VLOOKUP(A1376,'SV Child INS Apr'!$A:$H,1,0)</f>
        <v>76228449</v>
      </c>
      <c r="L1376" t="e">
        <f>VLOOKUP(A1376,'TV Apr Prorated Billing Sites'!$A:$I,1,0)</f>
        <v>#N/A</v>
      </c>
    </row>
    <row r="1377" spans="1:12">
      <c r="A1377" t="str">
        <f t="shared" si="23"/>
        <v>76228473</v>
      </c>
      <c r="B1377" t="s">
        <v>3975</v>
      </c>
      <c r="C1377" t="s">
        <v>3976</v>
      </c>
      <c r="D1377">
        <v>76228473</v>
      </c>
      <c r="E1377">
        <v>3001181</v>
      </c>
      <c r="F1377" t="s">
        <v>39</v>
      </c>
      <c r="G1377">
        <v>300</v>
      </c>
      <c r="H1377" t="str">
        <f>VLOOKUP(A1377,'SV Child INS Apr'!$A:$H,1,0)</f>
        <v>76228473</v>
      </c>
      <c r="L1377" t="e">
        <f>VLOOKUP(A1377,'TV Apr Prorated Billing Sites'!$A:$I,1,0)</f>
        <v>#N/A</v>
      </c>
    </row>
    <row r="1378" spans="1:12">
      <c r="A1378" t="str">
        <f t="shared" si="23"/>
        <v>76228474</v>
      </c>
      <c r="B1378" t="s">
        <v>3977</v>
      </c>
      <c r="C1378" t="s">
        <v>3978</v>
      </c>
      <c r="D1378">
        <v>76228474</v>
      </c>
      <c r="E1378">
        <v>2500309</v>
      </c>
      <c r="F1378" t="s">
        <v>39</v>
      </c>
      <c r="G1378">
        <v>300</v>
      </c>
      <c r="H1378" t="str">
        <f>VLOOKUP(A1378,'SV Child INS Apr'!$A:$H,1,0)</f>
        <v>76228474</v>
      </c>
      <c r="L1378" t="e">
        <f>VLOOKUP(A1378,'TV Apr Prorated Billing Sites'!$A:$I,1,0)</f>
        <v>#N/A</v>
      </c>
    </row>
    <row r="1379" spans="1:12">
      <c r="A1379" t="str">
        <f t="shared" si="23"/>
        <v>76228576</v>
      </c>
      <c r="B1379" t="s">
        <v>3979</v>
      </c>
      <c r="C1379" t="s">
        <v>3980</v>
      </c>
      <c r="D1379">
        <v>76228576</v>
      </c>
      <c r="E1379">
        <v>2502924</v>
      </c>
      <c r="F1379" t="s">
        <v>39</v>
      </c>
      <c r="G1379">
        <v>300</v>
      </c>
      <c r="H1379" t="str">
        <f>VLOOKUP(A1379,'SV Child INS Apr'!$A:$H,1,0)</f>
        <v>76228576</v>
      </c>
      <c r="L1379" t="e">
        <f>VLOOKUP(A1379,'TV Apr Prorated Billing Sites'!$A:$I,1,0)</f>
        <v>#N/A</v>
      </c>
    </row>
    <row r="1380" spans="1:12">
      <c r="A1380" t="str">
        <f t="shared" si="23"/>
        <v>76228578</v>
      </c>
      <c r="B1380" t="s">
        <v>3981</v>
      </c>
      <c r="C1380" t="s">
        <v>3982</v>
      </c>
      <c r="D1380">
        <v>76228578</v>
      </c>
      <c r="E1380">
        <v>2503179</v>
      </c>
      <c r="F1380" t="s">
        <v>39</v>
      </c>
      <c r="G1380">
        <v>300</v>
      </c>
      <c r="H1380" t="str">
        <f>VLOOKUP(A1380,'SV Child INS Apr'!$A:$H,1,0)</f>
        <v>76228578</v>
      </c>
      <c r="L1380" t="e">
        <f>VLOOKUP(A1380,'TV Apr Prorated Billing Sites'!$A:$I,1,0)</f>
        <v>#N/A</v>
      </c>
    </row>
    <row r="1381" spans="1:12">
      <c r="A1381" t="str">
        <f t="shared" si="23"/>
        <v>76228626</v>
      </c>
      <c r="B1381" t="s">
        <v>3983</v>
      </c>
      <c r="C1381" t="s">
        <v>3984</v>
      </c>
      <c r="D1381">
        <v>76228626</v>
      </c>
      <c r="E1381">
        <v>2001984</v>
      </c>
      <c r="F1381" t="s">
        <v>39</v>
      </c>
      <c r="G1381">
        <v>400</v>
      </c>
      <c r="H1381" t="str">
        <f>VLOOKUP(A1381,'SV Child INS Apr'!$A:$H,1,0)</f>
        <v>76228626</v>
      </c>
      <c r="L1381" t="e">
        <f>VLOOKUP(A1381,'TV Apr Prorated Billing Sites'!$A:$I,1,0)</f>
        <v>#N/A</v>
      </c>
    </row>
    <row r="1382" spans="1:12">
      <c r="A1382" t="str">
        <f t="shared" si="23"/>
        <v>76228629</v>
      </c>
      <c r="B1382" t="s">
        <v>165</v>
      </c>
      <c r="C1382" t="s">
        <v>166</v>
      </c>
      <c r="D1382">
        <v>76228629</v>
      </c>
      <c r="E1382">
        <v>2001956</v>
      </c>
      <c r="F1382" t="s">
        <v>39</v>
      </c>
      <c r="G1382">
        <v>450</v>
      </c>
      <c r="H1382" t="e">
        <f>VLOOKUP(A1382,'SV Child INS Apr'!$A:$H,1,0)</f>
        <v>#N/A</v>
      </c>
      <c r="I1382" t="e">
        <f>VLOOKUP(B1382,'SV Child INS Apr'!$D:$F,1,0)</f>
        <v>#N/A</v>
      </c>
      <c r="J1382" t="e">
        <f>VLOOKUP(A1382,'SV Child BLG Apr'!$A:$J,1,0)</f>
        <v>#N/A</v>
      </c>
      <c r="K1382" t="e">
        <f>VLOOKUP(B1382,'SV Child BLG Apr'!$D:$I,1,0)</f>
        <v>#N/A</v>
      </c>
      <c r="L1382" t="e">
        <f>VLOOKUP(A1382,'TV Apr Prorated Billing Sites'!$A:$I,1,0)</f>
        <v>#N/A</v>
      </c>
    </row>
    <row r="1383" spans="1:12">
      <c r="A1383" t="str">
        <f t="shared" si="23"/>
        <v>76228685</v>
      </c>
      <c r="B1383" t="s">
        <v>3985</v>
      </c>
      <c r="C1383" t="s">
        <v>3986</v>
      </c>
      <c r="D1383">
        <v>76228685</v>
      </c>
      <c r="E1383">
        <v>2001951</v>
      </c>
      <c r="F1383" t="s">
        <v>39</v>
      </c>
      <c r="G1383">
        <v>300</v>
      </c>
      <c r="H1383" t="e">
        <f>VLOOKUP(A1383,'SV Child INS Apr'!$A:$H,1,0)</f>
        <v>#N/A</v>
      </c>
      <c r="I1383" t="str">
        <f>VLOOKUP(B1383,'SV Child INS Apr'!$D:$F,1,0)</f>
        <v>HONDA OF HOLLYWOOD</v>
      </c>
      <c r="L1383" t="e">
        <f>VLOOKUP(A1383,'TV Apr Prorated Billing Sites'!$A:$I,1,0)</f>
        <v>#N/A</v>
      </c>
    </row>
    <row r="1384" spans="1:12">
      <c r="A1384" t="str">
        <f t="shared" si="23"/>
        <v>76228690</v>
      </c>
      <c r="B1384" t="s">
        <v>3987</v>
      </c>
      <c r="C1384" t="s">
        <v>3988</v>
      </c>
      <c r="D1384">
        <v>76228690</v>
      </c>
      <c r="E1384">
        <v>2600004</v>
      </c>
      <c r="F1384" t="s">
        <v>39</v>
      </c>
      <c r="G1384">
        <v>300</v>
      </c>
      <c r="H1384" t="str">
        <f>VLOOKUP(A1384,'SV Child INS Apr'!$A:$H,1,0)</f>
        <v>76228690</v>
      </c>
      <c r="L1384" t="e">
        <f>VLOOKUP(A1384,'TV Apr Prorated Billing Sites'!$A:$I,1,0)</f>
        <v>#N/A</v>
      </c>
    </row>
    <row r="1385" spans="1:12">
      <c r="A1385" t="str">
        <f t="shared" ref="A1385:A1448" si="24">TRIM(D1385)</f>
        <v>76228693</v>
      </c>
      <c r="B1385" t="s">
        <v>3989</v>
      </c>
      <c r="C1385" t="s">
        <v>3990</v>
      </c>
      <c r="D1385">
        <v>76228693</v>
      </c>
      <c r="E1385">
        <v>2600015</v>
      </c>
      <c r="F1385" t="s">
        <v>39</v>
      </c>
      <c r="G1385">
        <v>300</v>
      </c>
      <c r="H1385" t="str">
        <f>VLOOKUP(A1385,'SV Child INS Apr'!$A:$H,1,0)</f>
        <v>76228693</v>
      </c>
      <c r="L1385" t="e">
        <f>VLOOKUP(A1385,'TV Apr Prorated Billing Sites'!$A:$I,1,0)</f>
        <v>#N/A</v>
      </c>
    </row>
    <row r="1386" spans="1:12">
      <c r="A1386" t="str">
        <f t="shared" si="24"/>
        <v>76228727</v>
      </c>
      <c r="B1386" t="s">
        <v>168</v>
      </c>
      <c r="C1386" t="s">
        <v>169</v>
      </c>
      <c r="D1386">
        <v>76228727</v>
      </c>
      <c r="E1386">
        <v>8054</v>
      </c>
      <c r="F1386" t="s">
        <v>39</v>
      </c>
      <c r="G1386">
        <v>300</v>
      </c>
      <c r="H1386" t="e">
        <f>VLOOKUP(A1386,'SV Child INS Apr'!$A:$H,1,0)</f>
        <v>#N/A</v>
      </c>
      <c r="I1386" t="e">
        <f>VLOOKUP(B1386,'SV Child INS Apr'!$D:$F,1,0)</f>
        <v>#N/A</v>
      </c>
      <c r="J1386" t="e">
        <f>VLOOKUP(A1386,'SV Child BLG Apr'!$A:$J,1,0)</f>
        <v>#N/A</v>
      </c>
      <c r="K1386" t="e">
        <f>VLOOKUP(B1386,'SV Child BLG Apr'!$D:$I,1,0)</f>
        <v>#N/A</v>
      </c>
      <c r="L1386" t="e">
        <f>VLOOKUP(A1386,'TV Apr Prorated Billing Sites'!$A:$I,1,0)</f>
        <v>#N/A</v>
      </c>
    </row>
    <row r="1387" spans="1:12">
      <c r="A1387" t="str">
        <f t="shared" si="24"/>
        <v>76228794</v>
      </c>
      <c r="B1387" t="s">
        <v>3991</v>
      </c>
      <c r="C1387" t="s">
        <v>3992</v>
      </c>
      <c r="D1387">
        <v>76228794</v>
      </c>
      <c r="E1387">
        <v>3000749</v>
      </c>
      <c r="F1387" t="s">
        <v>39</v>
      </c>
      <c r="G1387">
        <v>300</v>
      </c>
      <c r="H1387" t="str">
        <f>VLOOKUP(A1387,'SV Child INS Apr'!$A:$H,1,0)</f>
        <v>76228794</v>
      </c>
      <c r="L1387" t="e">
        <f>VLOOKUP(A1387,'TV Apr Prorated Billing Sites'!$A:$I,1,0)</f>
        <v>#N/A</v>
      </c>
    </row>
    <row r="1388" spans="1:12">
      <c r="A1388" t="str">
        <f t="shared" si="24"/>
        <v>76228842</v>
      </c>
      <c r="B1388" t="s">
        <v>3993</v>
      </c>
      <c r="C1388" t="s">
        <v>3994</v>
      </c>
      <c r="D1388">
        <v>76228842</v>
      </c>
      <c r="E1388">
        <v>2502338</v>
      </c>
      <c r="F1388" t="s">
        <v>39</v>
      </c>
      <c r="G1388">
        <v>300</v>
      </c>
      <c r="H1388" t="str">
        <f>VLOOKUP(A1388,'SV Child INS Apr'!$A:$H,1,0)</f>
        <v>76228842</v>
      </c>
      <c r="L1388" t="e">
        <f>VLOOKUP(A1388,'TV Apr Prorated Billing Sites'!$A:$I,1,0)</f>
        <v>#N/A</v>
      </c>
    </row>
    <row r="1389" spans="1:12">
      <c r="A1389" t="str">
        <f t="shared" si="24"/>
        <v>76228843</v>
      </c>
      <c r="B1389" t="s">
        <v>3995</v>
      </c>
      <c r="C1389" t="s">
        <v>3996</v>
      </c>
      <c r="D1389">
        <v>76228843</v>
      </c>
      <c r="E1389">
        <v>2502343</v>
      </c>
      <c r="F1389" t="s">
        <v>39</v>
      </c>
      <c r="G1389">
        <v>300</v>
      </c>
      <c r="H1389" t="str">
        <f>VLOOKUP(A1389,'SV Child INS Apr'!$A:$H,1,0)</f>
        <v>76228843</v>
      </c>
      <c r="L1389" t="e">
        <f>VLOOKUP(A1389,'TV Apr Prorated Billing Sites'!$A:$I,1,0)</f>
        <v>#N/A</v>
      </c>
    </row>
    <row r="1390" spans="1:12">
      <c r="A1390" t="str">
        <f t="shared" si="24"/>
        <v>76228891</v>
      </c>
      <c r="B1390" t="s">
        <v>3997</v>
      </c>
      <c r="C1390" t="s">
        <v>3998</v>
      </c>
      <c r="D1390">
        <v>76228891</v>
      </c>
      <c r="E1390">
        <v>2002037</v>
      </c>
      <c r="F1390" t="s">
        <v>39</v>
      </c>
      <c r="G1390">
        <v>300</v>
      </c>
      <c r="H1390" t="str">
        <f>VLOOKUP(A1390,'SV Child INS Apr'!$A:$H,1,0)</f>
        <v>76228891</v>
      </c>
      <c r="L1390" t="e">
        <f>VLOOKUP(A1390,'TV Apr Prorated Billing Sites'!$A:$I,1,0)</f>
        <v>#N/A</v>
      </c>
    </row>
    <row r="1391" spans="1:12">
      <c r="A1391" t="str">
        <f t="shared" si="24"/>
        <v>76228901</v>
      </c>
      <c r="B1391" t="s">
        <v>3999</v>
      </c>
      <c r="C1391" t="s">
        <v>4000</v>
      </c>
      <c r="D1391">
        <v>76228901</v>
      </c>
      <c r="E1391">
        <v>2001993</v>
      </c>
      <c r="F1391" t="s">
        <v>39</v>
      </c>
      <c r="G1391">
        <v>450</v>
      </c>
      <c r="H1391" t="str">
        <f>VLOOKUP(A1391,'SV Child INS Apr'!$A:$H,1,0)</f>
        <v>76228901</v>
      </c>
      <c r="L1391" t="e">
        <f>VLOOKUP(A1391,'TV Apr Prorated Billing Sites'!$A:$I,1,0)</f>
        <v>#N/A</v>
      </c>
    </row>
    <row r="1392" spans="1:12">
      <c r="A1392" t="str">
        <f t="shared" si="24"/>
        <v>76228906</v>
      </c>
      <c r="B1392" t="s">
        <v>4001</v>
      </c>
      <c r="C1392" t="s">
        <v>4002</v>
      </c>
      <c r="D1392">
        <v>76228906</v>
      </c>
      <c r="E1392">
        <v>2002005</v>
      </c>
      <c r="F1392" t="s">
        <v>39</v>
      </c>
      <c r="G1392">
        <v>450</v>
      </c>
      <c r="H1392" t="str">
        <f>VLOOKUP(A1392,'SV Child INS Apr'!$A:$H,1,0)</f>
        <v>76228906</v>
      </c>
      <c r="L1392" t="e">
        <f>VLOOKUP(A1392,'TV Apr Prorated Billing Sites'!$A:$I,1,0)</f>
        <v>#N/A</v>
      </c>
    </row>
    <row r="1393" spans="1:13">
      <c r="A1393" t="str">
        <f t="shared" si="24"/>
        <v>76228906</v>
      </c>
      <c r="B1393" t="s">
        <v>4003</v>
      </c>
      <c r="C1393" t="s">
        <v>4004</v>
      </c>
      <c r="D1393">
        <v>76228906</v>
      </c>
      <c r="E1393">
        <v>2002005</v>
      </c>
      <c r="F1393" t="s">
        <v>39</v>
      </c>
      <c r="G1393">
        <v>450</v>
      </c>
      <c r="H1393" t="str">
        <f>VLOOKUP(A1393,'SV Child INS Apr'!$A:$H,1,0)</f>
        <v>76228906</v>
      </c>
      <c r="L1393" t="e">
        <f>VLOOKUP(A1393,'TV Apr Prorated Billing Sites'!$A:$I,1,0)</f>
        <v>#N/A</v>
      </c>
    </row>
    <row r="1394" spans="1:13">
      <c r="A1394" t="str">
        <f t="shared" si="24"/>
        <v>76228921</v>
      </c>
      <c r="B1394" t="s">
        <v>4005</v>
      </c>
      <c r="C1394" t="s">
        <v>4006</v>
      </c>
      <c r="D1394">
        <v>76228921</v>
      </c>
      <c r="E1394">
        <v>2002028</v>
      </c>
      <c r="F1394" t="s">
        <v>39</v>
      </c>
      <c r="G1394">
        <v>450</v>
      </c>
      <c r="H1394" t="str">
        <f>VLOOKUP(A1394,'SV Child INS Apr'!$A:$H,1,0)</f>
        <v>76228921</v>
      </c>
      <c r="L1394" t="e">
        <f>VLOOKUP(A1394,'TV Apr Prorated Billing Sites'!$A:$I,1,0)</f>
        <v>#N/A</v>
      </c>
    </row>
    <row r="1395" spans="1:13">
      <c r="A1395" t="str">
        <f t="shared" si="24"/>
        <v>76229011</v>
      </c>
      <c r="B1395" t="s">
        <v>649</v>
      </c>
      <c r="C1395" t="s">
        <v>650</v>
      </c>
      <c r="D1395">
        <v>76229011</v>
      </c>
      <c r="E1395">
        <v>0</v>
      </c>
      <c r="F1395" t="s">
        <v>39</v>
      </c>
      <c r="G1395">
        <v>450</v>
      </c>
      <c r="H1395" t="e">
        <f>VLOOKUP(A1395,'SV Child INS Apr'!$A:$H,1,0)</f>
        <v>#N/A</v>
      </c>
      <c r="I1395" t="e">
        <f>VLOOKUP(B1395,'SV Child INS Apr'!$D:$F,1,0)</f>
        <v>#N/A</v>
      </c>
      <c r="J1395" t="str">
        <f>VLOOKUP(A1395,'SV Child BLG Apr'!$A:$J,1,0)</f>
        <v>76229011</v>
      </c>
      <c r="L1395" t="e">
        <f>VLOOKUP(A1395,'TV Apr Prorated Billing Sites'!$A:$I,1,0)</f>
        <v>#N/A</v>
      </c>
      <c r="M1395" t="e">
        <f>VLOOKUP(A1395,'CDK asked to retain list'!$H$1:$J$24,1,0)</f>
        <v>#N/A</v>
      </c>
    </row>
    <row r="1396" spans="1:13">
      <c r="A1396" t="str">
        <f t="shared" si="24"/>
        <v>76229191</v>
      </c>
      <c r="B1396" t="s">
        <v>4007</v>
      </c>
      <c r="C1396" t="s">
        <v>4008</v>
      </c>
      <c r="D1396">
        <v>76229191</v>
      </c>
      <c r="E1396">
        <v>2502916</v>
      </c>
      <c r="F1396" t="s">
        <v>39</v>
      </c>
      <c r="G1396">
        <v>300</v>
      </c>
      <c r="H1396" t="str">
        <f>VLOOKUP(A1396,'SV Child INS Apr'!$A:$H,1,0)</f>
        <v>76229191</v>
      </c>
      <c r="L1396" t="e">
        <f>VLOOKUP(A1396,'TV Apr Prorated Billing Sites'!$A:$I,1,0)</f>
        <v>#N/A</v>
      </c>
    </row>
    <row r="1397" spans="1:13">
      <c r="A1397" t="str">
        <f t="shared" si="24"/>
        <v>76229253</v>
      </c>
      <c r="B1397" t="s">
        <v>171</v>
      </c>
      <c r="C1397" t="s">
        <v>172</v>
      </c>
      <c r="D1397">
        <v>76229253</v>
      </c>
      <c r="E1397">
        <v>2002721</v>
      </c>
      <c r="F1397" t="s">
        <v>39</v>
      </c>
      <c r="G1397">
        <v>300</v>
      </c>
      <c r="H1397" t="e">
        <f>VLOOKUP(A1397,'SV Child INS Apr'!$A:$H,1,0)</f>
        <v>#N/A</v>
      </c>
      <c r="I1397" t="e">
        <f>VLOOKUP(B1397,'SV Child INS Apr'!$D:$F,1,0)</f>
        <v>#N/A</v>
      </c>
      <c r="J1397" t="e">
        <f>VLOOKUP(A1397,'SV Child BLG Apr'!$A:$J,1,0)</f>
        <v>#N/A</v>
      </c>
      <c r="K1397" t="e">
        <f>VLOOKUP(B1397,'SV Child BLG Apr'!$D:$I,1,0)</f>
        <v>#N/A</v>
      </c>
      <c r="L1397" t="e">
        <f>VLOOKUP(A1397,'TV Apr Prorated Billing Sites'!$A:$I,1,0)</f>
        <v>#N/A</v>
      </c>
    </row>
    <row r="1398" spans="1:13">
      <c r="A1398" t="str">
        <f t="shared" si="24"/>
        <v>76229254</v>
      </c>
      <c r="B1398" t="s">
        <v>4009</v>
      </c>
      <c r="C1398" t="s">
        <v>4010</v>
      </c>
      <c r="D1398">
        <v>76229254</v>
      </c>
      <c r="E1398">
        <v>2002747</v>
      </c>
      <c r="F1398" t="s">
        <v>39</v>
      </c>
      <c r="G1398">
        <v>300</v>
      </c>
      <c r="H1398" t="str">
        <f>VLOOKUP(A1398,'SV Child INS Apr'!$A:$H,1,0)</f>
        <v>76229254</v>
      </c>
      <c r="L1398" t="e">
        <f>VLOOKUP(A1398,'TV Apr Prorated Billing Sites'!$A:$I,1,0)</f>
        <v>#N/A</v>
      </c>
    </row>
    <row r="1399" spans="1:13">
      <c r="A1399" t="str">
        <f t="shared" si="24"/>
        <v>76229318</v>
      </c>
      <c r="B1399" t="s">
        <v>652</v>
      </c>
      <c r="C1399" t="s">
        <v>653</v>
      </c>
      <c r="D1399">
        <v>76229318</v>
      </c>
      <c r="E1399">
        <v>2502328</v>
      </c>
      <c r="F1399" t="s">
        <v>39</v>
      </c>
      <c r="G1399">
        <v>300</v>
      </c>
      <c r="H1399" t="e">
        <f>VLOOKUP(A1399,'SV Child INS Apr'!$A:$H,1,0)</f>
        <v>#N/A</v>
      </c>
      <c r="I1399" t="e">
        <f>VLOOKUP(B1399,'SV Child INS Apr'!$D:$F,1,0)</f>
        <v>#N/A</v>
      </c>
      <c r="J1399" t="str">
        <f>VLOOKUP(A1399,'SV Child BLG Apr'!$A:$J,1,0)</f>
        <v>76229318</v>
      </c>
      <c r="L1399" t="e">
        <f>VLOOKUP(A1399,'TV Apr Prorated Billing Sites'!$A:$I,1,0)</f>
        <v>#N/A</v>
      </c>
      <c r="M1399" t="e">
        <f>VLOOKUP(A1399,'CDK asked to retain list'!$H$1:$J$24,1,0)</f>
        <v>#N/A</v>
      </c>
    </row>
    <row r="1400" spans="1:13">
      <c r="A1400" t="str">
        <f t="shared" si="24"/>
        <v>76229387</v>
      </c>
      <c r="B1400" t="s">
        <v>4011</v>
      </c>
      <c r="C1400" t="s">
        <v>4012</v>
      </c>
      <c r="D1400">
        <v>76229387</v>
      </c>
      <c r="E1400">
        <v>2502460</v>
      </c>
      <c r="F1400" t="s">
        <v>39</v>
      </c>
      <c r="G1400">
        <v>450</v>
      </c>
      <c r="H1400" t="str">
        <f>VLOOKUP(A1400,'SV Child INS Apr'!$A:$H,1,0)</f>
        <v>76229387</v>
      </c>
      <c r="L1400" t="e">
        <f>VLOOKUP(A1400,'TV Apr Prorated Billing Sites'!$A:$I,1,0)</f>
        <v>#N/A</v>
      </c>
    </row>
    <row r="1401" spans="1:13">
      <c r="A1401" t="str">
        <f t="shared" si="24"/>
        <v>76229397</v>
      </c>
      <c r="B1401" t="s">
        <v>4013</v>
      </c>
      <c r="C1401" t="s">
        <v>4014</v>
      </c>
      <c r="D1401">
        <v>76229397</v>
      </c>
      <c r="E1401">
        <v>2002245</v>
      </c>
      <c r="F1401" t="s">
        <v>39</v>
      </c>
      <c r="G1401">
        <v>300</v>
      </c>
      <c r="H1401" t="str">
        <f>VLOOKUP(A1401,'SV Child INS Apr'!$A:$H,1,0)</f>
        <v>76229397</v>
      </c>
      <c r="L1401" t="e">
        <f>VLOOKUP(A1401,'TV Apr Prorated Billing Sites'!$A:$I,1,0)</f>
        <v>#N/A</v>
      </c>
    </row>
    <row r="1402" spans="1:13">
      <c r="A1402" t="str">
        <f t="shared" si="24"/>
        <v>76229397</v>
      </c>
      <c r="B1402" t="s">
        <v>4013</v>
      </c>
      <c r="C1402" t="s">
        <v>4015</v>
      </c>
      <c r="D1402">
        <v>76229397</v>
      </c>
      <c r="E1402">
        <v>2002245</v>
      </c>
      <c r="F1402" t="s">
        <v>39</v>
      </c>
      <c r="G1402">
        <v>300</v>
      </c>
      <c r="H1402" t="str">
        <f>VLOOKUP(A1402,'SV Child INS Apr'!$A:$H,1,0)</f>
        <v>76229397</v>
      </c>
      <c r="L1402" t="e">
        <f>VLOOKUP(A1402,'TV Apr Prorated Billing Sites'!$A:$I,1,0)</f>
        <v>#N/A</v>
      </c>
    </row>
    <row r="1403" spans="1:13">
      <c r="A1403" t="str">
        <f t="shared" si="24"/>
        <v>76229450</v>
      </c>
      <c r="B1403" t="s">
        <v>4016</v>
      </c>
      <c r="C1403" t="s">
        <v>4017</v>
      </c>
      <c r="D1403">
        <v>76229450</v>
      </c>
      <c r="E1403">
        <v>9023</v>
      </c>
      <c r="F1403" t="s">
        <v>39</v>
      </c>
      <c r="G1403">
        <v>300</v>
      </c>
      <c r="H1403" t="str">
        <f>VLOOKUP(A1403,'SV Child INS Apr'!$A:$H,1,0)</f>
        <v>76229450</v>
      </c>
      <c r="L1403" t="e">
        <f>VLOOKUP(A1403,'TV Apr Prorated Billing Sites'!$A:$I,1,0)</f>
        <v>#N/A</v>
      </c>
    </row>
    <row r="1404" spans="1:13">
      <c r="A1404" t="str">
        <f t="shared" si="24"/>
        <v>76229451</v>
      </c>
      <c r="B1404" t="s">
        <v>4018</v>
      </c>
      <c r="C1404" t="s">
        <v>4019</v>
      </c>
      <c r="D1404">
        <v>76229451</v>
      </c>
      <c r="E1404">
        <v>2502476</v>
      </c>
      <c r="F1404" t="s">
        <v>39</v>
      </c>
      <c r="G1404">
        <v>450</v>
      </c>
      <c r="H1404" t="str">
        <f>VLOOKUP(A1404,'SV Child INS Apr'!$A:$H,1,0)</f>
        <v>76229451</v>
      </c>
      <c r="L1404" t="e">
        <f>VLOOKUP(A1404,'TV Apr Prorated Billing Sites'!$A:$I,1,0)</f>
        <v>#N/A</v>
      </c>
    </row>
    <row r="1405" spans="1:13">
      <c r="A1405" t="str">
        <f t="shared" si="24"/>
        <v>76229460</v>
      </c>
      <c r="B1405" t="s">
        <v>4020</v>
      </c>
      <c r="C1405" t="s">
        <v>4021</v>
      </c>
      <c r="D1405">
        <v>76229460</v>
      </c>
      <c r="E1405">
        <v>2001002</v>
      </c>
      <c r="F1405" t="s">
        <v>39</v>
      </c>
      <c r="G1405">
        <v>300</v>
      </c>
      <c r="H1405" t="str">
        <f>VLOOKUP(A1405,'SV Child INS Apr'!$A:$H,1,0)</f>
        <v>76229460</v>
      </c>
      <c r="L1405" t="e">
        <f>VLOOKUP(A1405,'TV Apr Prorated Billing Sites'!$A:$I,1,0)</f>
        <v>#N/A</v>
      </c>
    </row>
    <row r="1406" spans="1:13">
      <c r="A1406" t="str">
        <f t="shared" si="24"/>
        <v>76229466</v>
      </c>
      <c r="B1406" t="s">
        <v>4022</v>
      </c>
      <c r="C1406" t="s">
        <v>4023</v>
      </c>
      <c r="D1406">
        <v>76229466</v>
      </c>
      <c r="E1406">
        <v>2001011</v>
      </c>
      <c r="F1406" t="s">
        <v>39</v>
      </c>
      <c r="G1406">
        <v>300</v>
      </c>
      <c r="H1406" t="str">
        <f>VLOOKUP(A1406,'SV Child INS Apr'!$A:$H,1,0)</f>
        <v>76229466</v>
      </c>
      <c r="L1406" t="e">
        <f>VLOOKUP(A1406,'TV Apr Prorated Billing Sites'!$A:$I,1,0)</f>
        <v>#N/A</v>
      </c>
    </row>
    <row r="1407" spans="1:13">
      <c r="A1407" t="str">
        <f t="shared" si="24"/>
        <v>76229491</v>
      </c>
      <c r="B1407" t="s">
        <v>4024</v>
      </c>
      <c r="C1407" t="s">
        <v>4025</v>
      </c>
      <c r="D1407">
        <v>76229491</v>
      </c>
      <c r="E1407">
        <v>2502453</v>
      </c>
      <c r="F1407" t="s">
        <v>39</v>
      </c>
      <c r="G1407">
        <v>450</v>
      </c>
      <c r="H1407" t="str">
        <f>VLOOKUP(A1407,'SV Child INS Apr'!$A:$H,1,0)</f>
        <v>76229491</v>
      </c>
      <c r="L1407" t="e">
        <f>VLOOKUP(A1407,'TV Apr Prorated Billing Sites'!$A:$I,1,0)</f>
        <v>#N/A</v>
      </c>
    </row>
    <row r="1408" spans="1:13">
      <c r="A1408" t="str">
        <f t="shared" si="24"/>
        <v>76229492</v>
      </c>
      <c r="B1408" t="s">
        <v>4026</v>
      </c>
      <c r="C1408" t="s">
        <v>4027</v>
      </c>
      <c r="D1408">
        <v>76229492</v>
      </c>
      <c r="E1408">
        <v>2500501</v>
      </c>
      <c r="F1408" t="s">
        <v>39</v>
      </c>
      <c r="G1408">
        <v>300</v>
      </c>
      <c r="H1408" t="str">
        <f>VLOOKUP(A1408,'SV Child INS Apr'!$A:$H,1,0)</f>
        <v>76229492</v>
      </c>
      <c r="L1408" t="e">
        <f>VLOOKUP(A1408,'TV Apr Prorated Billing Sites'!$A:$I,1,0)</f>
        <v>#N/A</v>
      </c>
    </row>
    <row r="1409" spans="1:12">
      <c r="A1409" t="str">
        <f t="shared" si="24"/>
        <v>76229543</v>
      </c>
      <c r="B1409" t="s">
        <v>4028</v>
      </c>
      <c r="C1409" t="s">
        <v>4029</v>
      </c>
      <c r="D1409">
        <v>76229543</v>
      </c>
      <c r="E1409">
        <v>2002050</v>
      </c>
      <c r="F1409" t="s">
        <v>39</v>
      </c>
      <c r="G1409">
        <v>450</v>
      </c>
      <c r="H1409" t="str">
        <f>VLOOKUP(A1409,'SV Child INS Apr'!$A:$H,1,0)</f>
        <v>76229543</v>
      </c>
      <c r="L1409" t="e">
        <f>VLOOKUP(A1409,'TV Apr Prorated Billing Sites'!$A:$I,1,0)</f>
        <v>#N/A</v>
      </c>
    </row>
    <row r="1410" spans="1:12">
      <c r="A1410" t="str">
        <f t="shared" si="24"/>
        <v>76229569</v>
      </c>
      <c r="B1410" t="s">
        <v>4030</v>
      </c>
      <c r="C1410" t="s">
        <v>4031</v>
      </c>
      <c r="D1410">
        <v>76229569</v>
      </c>
      <c r="E1410">
        <v>0</v>
      </c>
      <c r="F1410" t="s">
        <v>39</v>
      </c>
      <c r="G1410">
        <v>400</v>
      </c>
      <c r="H1410" t="str">
        <f>VLOOKUP(A1410,'SV Child INS Apr'!$A:$H,1,0)</f>
        <v>76229569</v>
      </c>
      <c r="L1410" t="e">
        <f>VLOOKUP(A1410,'TV Apr Prorated Billing Sites'!$A:$I,1,0)</f>
        <v>#N/A</v>
      </c>
    </row>
    <row r="1411" spans="1:12">
      <c r="A1411" t="str">
        <f t="shared" si="24"/>
        <v>76229603</v>
      </c>
      <c r="B1411" t="s">
        <v>4032</v>
      </c>
      <c r="C1411" t="s">
        <v>4033</v>
      </c>
      <c r="D1411">
        <v>76229603</v>
      </c>
      <c r="E1411">
        <v>2002073</v>
      </c>
      <c r="F1411" t="s">
        <v>39</v>
      </c>
      <c r="G1411">
        <v>450</v>
      </c>
      <c r="H1411" t="str">
        <f>VLOOKUP(A1411,'SV Child INS Apr'!$A:$H,1,0)</f>
        <v>76229603</v>
      </c>
      <c r="L1411" t="e">
        <f>VLOOKUP(A1411,'TV Apr Prorated Billing Sites'!$A:$I,1,0)</f>
        <v>#N/A</v>
      </c>
    </row>
    <row r="1412" spans="1:12">
      <c r="A1412" t="str">
        <f t="shared" si="24"/>
        <v>76229663</v>
      </c>
      <c r="B1412" t="s">
        <v>4034</v>
      </c>
      <c r="C1412" t="s">
        <v>4035</v>
      </c>
      <c r="D1412">
        <v>76229663</v>
      </c>
      <c r="E1412">
        <v>2502777</v>
      </c>
      <c r="F1412" t="s">
        <v>39</v>
      </c>
      <c r="G1412">
        <v>300</v>
      </c>
      <c r="H1412" t="str">
        <f>VLOOKUP(A1412,'SV Child INS Apr'!$A:$H,1,0)</f>
        <v>76229663</v>
      </c>
      <c r="L1412" t="e">
        <f>VLOOKUP(A1412,'TV Apr Prorated Billing Sites'!$A:$I,1,0)</f>
        <v>#N/A</v>
      </c>
    </row>
    <row r="1413" spans="1:12">
      <c r="A1413" t="str">
        <f t="shared" si="24"/>
        <v>76229664</v>
      </c>
      <c r="B1413" t="s">
        <v>4036</v>
      </c>
      <c r="C1413" t="s">
        <v>4037</v>
      </c>
      <c r="D1413">
        <v>76229664</v>
      </c>
      <c r="E1413">
        <v>2502778</v>
      </c>
      <c r="F1413" t="s">
        <v>39</v>
      </c>
      <c r="G1413">
        <v>300</v>
      </c>
      <c r="H1413" t="str">
        <f>VLOOKUP(A1413,'SV Child INS Apr'!$A:$H,1,0)</f>
        <v>76229664</v>
      </c>
      <c r="L1413" t="e">
        <f>VLOOKUP(A1413,'TV Apr Prorated Billing Sites'!$A:$I,1,0)</f>
        <v>#N/A</v>
      </c>
    </row>
    <row r="1414" spans="1:12">
      <c r="A1414" t="str">
        <f t="shared" si="24"/>
        <v>76229670</v>
      </c>
      <c r="B1414" t="s">
        <v>4038</v>
      </c>
      <c r="C1414" t="s">
        <v>4039</v>
      </c>
      <c r="D1414">
        <v>76229670</v>
      </c>
      <c r="E1414">
        <v>3000645</v>
      </c>
      <c r="F1414" t="s">
        <v>39</v>
      </c>
      <c r="G1414">
        <v>300</v>
      </c>
      <c r="H1414" t="str">
        <f>VLOOKUP(A1414,'SV Child INS Apr'!$A:$H,1,0)</f>
        <v>76229670</v>
      </c>
      <c r="L1414" t="e">
        <f>VLOOKUP(A1414,'TV Apr Prorated Billing Sites'!$A:$I,1,0)</f>
        <v>#N/A</v>
      </c>
    </row>
    <row r="1415" spans="1:12">
      <c r="A1415" t="str">
        <f t="shared" si="24"/>
        <v>76229684</v>
      </c>
      <c r="B1415" t="s">
        <v>174</v>
      </c>
      <c r="C1415" t="s">
        <v>175</v>
      </c>
      <c r="D1415">
        <v>76229684</v>
      </c>
      <c r="E1415">
        <v>2002036</v>
      </c>
      <c r="F1415" t="s">
        <v>39</v>
      </c>
      <c r="G1415">
        <v>400</v>
      </c>
      <c r="H1415" t="e">
        <f>VLOOKUP(A1415,'SV Child INS Apr'!$A:$H,1,0)</f>
        <v>#N/A</v>
      </c>
      <c r="I1415" t="e">
        <f>VLOOKUP(B1415,'SV Child INS Apr'!$D:$F,1,0)</f>
        <v>#N/A</v>
      </c>
      <c r="J1415" t="e">
        <f>VLOOKUP(A1415,'SV Child BLG Apr'!$A:$J,1,0)</f>
        <v>#N/A</v>
      </c>
      <c r="K1415" t="e">
        <f>VLOOKUP(B1415,'SV Child BLG Apr'!$D:$I,1,0)</f>
        <v>#N/A</v>
      </c>
      <c r="L1415" t="e">
        <f>VLOOKUP(A1415,'TV Apr Prorated Billing Sites'!$A:$I,1,0)</f>
        <v>#N/A</v>
      </c>
    </row>
    <row r="1416" spans="1:12">
      <c r="A1416" t="str">
        <f t="shared" si="24"/>
        <v>76229722</v>
      </c>
      <c r="B1416" t="s">
        <v>4040</v>
      </c>
      <c r="C1416" t="s">
        <v>4041</v>
      </c>
      <c r="D1416">
        <v>76229722</v>
      </c>
      <c r="E1416">
        <v>2502858</v>
      </c>
      <c r="F1416" t="s">
        <v>39</v>
      </c>
      <c r="G1416">
        <v>300</v>
      </c>
      <c r="H1416" t="str">
        <f>VLOOKUP(A1416,'SV Child INS Apr'!$A:$H,1,0)</f>
        <v>76229722</v>
      </c>
      <c r="L1416" t="e">
        <f>VLOOKUP(A1416,'TV Apr Prorated Billing Sites'!$A:$I,1,0)</f>
        <v>#N/A</v>
      </c>
    </row>
    <row r="1417" spans="1:12">
      <c r="A1417" t="str">
        <f t="shared" si="24"/>
        <v>76229725</v>
      </c>
      <c r="B1417" t="s">
        <v>4042</v>
      </c>
      <c r="C1417" t="s">
        <v>4043</v>
      </c>
      <c r="D1417">
        <v>76229725</v>
      </c>
      <c r="E1417">
        <v>2502878</v>
      </c>
      <c r="F1417" t="s">
        <v>39</v>
      </c>
      <c r="G1417">
        <v>300</v>
      </c>
      <c r="H1417" t="str">
        <f>VLOOKUP(A1417,'SV Child INS Apr'!$A:$H,1,0)</f>
        <v>76229725</v>
      </c>
      <c r="L1417" t="e">
        <f>VLOOKUP(A1417,'TV Apr Prorated Billing Sites'!$A:$I,1,0)</f>
        <v>#N/A</v>
      </c>
    </row>
    <row r="1418" spans="1:12">
      <c r="A1418" t="str">
        <f t="shared" si="24"/>
        <v>76229726</v>
      </c>
      <c r="B1418" t="s">
        <v>4044</v>
      </c>
      <c r="C1418" t="s">
        <v>4045</v>
      </c>
      <c r="D1418">
        <v>76229726</v>
      </c>
      <c r="E1418">
        <v>2502876</v>
      </c>
      <c r="F1418" t="s">
        <v>39</v>
      </c>
      <c r="G1418">
        <v>300</v>
      </c>
      <c r="H1418" t="str">
        <f>VLOOKUP(A1418,'SV Child INS Apr'!$A:$H,1,0)</f>
        <v>76229726</v>
      </c>
      <c r="L1418" t="e">
        <f>VLOOKUP(A1418,'TV Apr Prorated Billing Sites'!$A:$I,1,0)</f>
        <v>#N/A</v>
      </c>
    </row>
    <row r="1419" spans="1:12">
      <c r="A1419" t="str">
        <f t="shared" si="24"/>
        <v>76229727</v>
      </c>
      <c r="B1419" t="s">
        <v>4046</v>
      </c>
      <c r="C1419" t="s">
        <v>4047</v>
      </c>
      <c r="D1419">
        <v>76229727</v>
      </c>
      <c r="E1419">
        <v>2502861</v>
      </c>
      <c r="F1419" t="s">
        <v>39</v>
      </c>
      <c r="G1419">
        <v>300</v>
      </c>
      <c r="H1419" t="str">
        <f>VLOOKUP(A1419,'SV Child INS Apr'!$A:$H,1,0)</f>
        <v>76229727</v>
      </c>
      <c r="L1419" t="e">
        <f>VLOOKUP(A1419,'TV Apr Prorated Billing Sites'!$A:$I,1,0)</f>
        <v>#N/A</v>
      </c>
    </row>
    <row r="1420" spans="1:12">
      <c r="A1420" t="str">
        <f t="shared" si="24"/>
        <v>76229750</v>
      </c>
      <c r="B1420" t="s">
        <v>4048</v>
      </c>
      <c r="C1420" t="s">
        <v>4049</v>
      </c>
      <c r="D1420">
        <v>76229750</v>
      </c>
      <c r="E1420">
        <v>2502394</v>
      </c>
      <c r="F1420" t="s">
        <v>39</v>
      </c>
      <c r="G1420">
        <v>300</v>
      </c>
      <c r="H1420" t="str">
        <f>VLOOKUP(A1420,'SV Child INS Apr'!$A:$H,1,0)</f>
        <v>76229750</v>
      </c>
      <c r="L1420" t="e">
        <f>VLOOKUP(A1420,'TV Apr Prorated Billing Sites'!$A:$I,1,0)</f>
        <v>#N/A</v>
      </c>
    </row>
    <row r="1421" spans="1:12">
      <c r="A1421" t="str">
        <f t="shared" si="24"/>
        <v>76229774</v>
      </c>
      <c r="B1421" t="s">
        <v>4050</v>
      </c>
      <c r="C1421" t="s">
        <v>4051</v>
      </c>
      <c r="D1421">
        <v>76229774</v>
      </c>
      <c r="E1421">
        <v>2500345</v>
      </c>
      <c r="F1421" t="s">
        <v>39</v>
      </c>
      <c r="G1421">
        <v>300</v>
      </c>
      <c r="H1421" t="str">
        <f>VLOOKUP(A1421,'SV Child INS Apr'!$A:$H,1,0)</f>
        <v>76229774</v>
      </c>
      <c r="L1421" t="e">
        <f>VLOOKUP(A1421,'TV Apr Prorated Billing Sites'!$A:$I,1,0)</f>
        <v>#N/A</v>
      </c>
    </row>
    <row r="1422" spans="1:12">
      <c r="A1422" t="str">
        <f t="shared" si="24"/>
        <v>76229810</v>
      </c>
      <c r="B1422" t="s">
        <v>4052</v>
      </c>
      <c r="C1422" t="s">
        <v>4053</v>
      </c>
      <c r="D1422">
        <v>76229810</v>
      </c>
      <c r="E1422">
        <v>13084</v>
      </c>
      <c r="F1422" t="s">
        <v>39</v>
      </c>
      <c r="G1422">
        <v>450</v>
      </c>
      <c r="H1422" t="str">
        <f>VLOOKUP(A1422,'SV Child INS Apr'!$A:$H,1,0)</f>
        <v>76229810</v>
      </c>
      <c r="L1422" t="e">
        <f>VLOOKUP(A1422,'TV Apr Prorated Billing Sites'!$A:$I,1,0)</f>
        <v>#N/A</v>
      </c>
    </row>
    <row r="1423" spans="1:12">
      <c r="A1423" t="str">
        <f t="shared" si="24"/>
        <v>76229942</v>
      </c>
      <c r="B1423" t="s">
        <v>177</v>
      </c>
      <c r="C1423" t="s">
        <v>178</v>
      </c>
      <c r="D1423">
        <v>76229942</v>
      </c>
      <c r="E1423">
        <v>2502402</v>
      </c>
      <c r="F1423" t="s">
        <v>39</v>
      </c>
      <c r="G1423">
        <v>450</v>
      </c>
      <c r="H1423" t="e">
        <f>VLOOKUP(A1423,'SV Child INS Apr'!$A:$H,1,0)</f>
        <v>#N/A</v>
      </c>
      <c r="I1423" t="e">
        <f>VLOOKUP(B1423,'SV Child INS Apr'!$D:$F,1,0)</f>
        <v>#N/A</v>
      </c>
      <c r="J1423" t="e">
        <f>VLOOKUP(A1423,'SV Child BLG Apr'!$A:$J,1,0)</f>
        <v>#N/A</v>
      </c>
      <c r="K1423" t="e">
        <f>VLOOKUP(B1423,'SV Child BLG Apr'!$D:$I,1,0)</f>
        <v>#N/A</v>
      </c>
      <c r="L1423" t="e">
        <f>VLOOKUP(A1423,'TV Apr Prorated Billing Sites'!$A:$I,1,0)</f>
        <v>#N/A</v>
      </c>
    </row>
    <row r="1424" spans="1:12">
      <c r="A1424" t="str">
        <f t="shared" si="24"/>
        <v>76230012</v>
      </c>
      <c r="B1424" t="s">
        <v>4054</v>
      </c>
      <c r="C1424" t="s">
        <v>4055</v>
      </c>
      <c r="D1424">
        <v>76230012</v>
      </c>
      <c r="E1424">
        <v>2502487</v>
      </c>
      <c r="F1424" t="s">
        <v>39</v>
      </c>
      <c r="G1424">
        <v>300</v>
      </c>
      <c r="H1424" t="str">
        <f>VLOOKUP(A1424,'SV Child INS Apr'!$A:$H,1,0)</f>
        <v>76230012</v>
      </c>
      <c r="L1424" t="e">
        <f>VLOOKUP(A1424,'TV Apr Prorated Billing Sites'!$A:$I,1,0)</f>
        <v>#N/A</v>
      </c>
    </row>
    <row r="1425" spans="1:12">
      <c r="A1425" t="str">
        <f t="shared" si="24"/>
        <v>76230022</v>
      </c>
      <c r="B1425" t="s">
        <v>4056</v>
      </c>
      <c r="C1425" t="s">
        <v>4057</v>
      </c>
      <c r="D1425">
        <v>76230022</v>
      </c>
      <c r="E1425">
        <v>2502917</v>
      </c>
      <c r="F1425" t="s">
        <v>39</v>
      </c>
      <c r="G1425">
        <v>300</v>
      </c>
      <c r="H1425" t="str">
        <f>VLOOKUP(A1425,'SV Child INS Apr'!$A:$H,1,0)</f>
        <v>76230022</v>
      </c>
      <c r="L1425" t="e">
        <f>VLOOKUP(A1425,'TV Apr Prorated Billing Sites'!$A:$I,1,0)</f>
        <v>#N/A</v>
      </c>
    </row>
    <row r="1426" spans="1:12">
      <c r="A1426" t="str">
        <f t="shared" si="24"/>
        <v>76230023</v>
      </c>
      <c r="B1426" t="s">
        <v>4058</v>
      </c>
      <c r="C1426" t="s">
        <v>4059</v>
      </c>
      <c r="D1426">
        <v>76230023</v>
      </c>
      <c r="E1426">
        <v>2502546</v>
      </c>
      <c r="F1426" t="s">
        <v>39</v>
      </c>
      <c r="G1426">
        <v>400</v>
      </c>
      <c r="H1426" t="str">
        <f>VLOOKUP(A1426,'SV Child INS Apr'!$A:$H,1,0)</f>
        <v>76230023</v>
      </c>
      <c r="L1426" t="e">
        <f>VLOOKUP(A1426,'TV Apr Prorated Billing Sites'!$A:$I,1,0)</f>
        <v>#N/A</v>
      </c>
    </row>
    <row r="1427" spans="1:12">
      <c r="A1427" t="str">
        <f t="shared" si="24"/>
        <v>76230026</v>
      </c>
      <c r="B1427" t="s">
        <v>4060</v>
      </c>
      <c r="C1427" t="s">
        <v>4061</v>
      </c>
      <c r="D1427">
        <v>76230026</v>
      </c>
      <c r="E1427">
        <v>2502489</v>
      </c>
      <c r="F1427" t="s">
        <v>39</v>
      </c>
      <c r="G1427">
        <v>300</v>
      </c>
      <c r="H1427" t="str">
        <f>VLOOKUP(A1427,'SV Child INS Apr'!$A:$H,1,0)</f>
        <v>76230026</v>
      </c>
      <c r="L1427" t="e">
        <f>VLOOKUP(A1427,'TV Apr Prorated Billing Sites'!$A:$I,1,0)</f>
        <v>#N/A</v>
      </c>
    </row>
    <row r="1428" spans="1:12">
      <c r="A1428" t="str">
        <f t="shared" si="24"/>
        <v>76230049</v>
      </c>
      <c r="B1428" t="s">
        <v>4062</v>
      </c>
      <c r="C1428" t="s">
        <v>4063</v>
      </c>
      <c r="D1428">
        <v>76230049</v>
      </c>
      <c r="E1428">
        <v>2502660</v>
      </c>
      <c r="F1428" t="s">
        <v>39</v>
      </c>
      <c r="G1428">
        <v>300</v>
      </c>
      <c r="H1428" t="str">
        <f>VLOOKUP(A1428,'SV Child INS Apr'!$A:$H,1,0)</f>
        <v>76230049</v>
      </c>
      <c r="L1428" t="e">
        <f>VLOOKUP(A1428,'TV Apr Prorated Billing Sites'!$A:$I,1,0)</f>
        <v>#N/A</v>
      </c>
    </row>
    <row r="1429" spans="1:12">
      <c r="A1429" t="str">
        <f t="shared" si="24"/>
        <v>76230100</v>
      </c>
      <c r="B1429" t="s">
        <v>4064</v>
      </c>
      <c r="C1429" t="s">
        <v>4065</v>
      </c>
      <c r="D1429">
        <v>76230100</v>
      </c>
      <c r="E1429">
        <v>2503497</v>
      </c>
      <c r="F1429" t="s">
        <v>39</v>
      </c>
      <c r="G1429">
        <v>400</v>
      </c>
      <c r="H1429" t="str">
        <f>VLOOKUP(A1429,'SV Child INS Apr'!$A:$H,1,0)</f>
        <v>76230100</v>
      </c>
      <c r="L1429" t="e">
        <f>VLOOKUP(A1429,'TV Apr Prorated Billing Sites'!$A:$I,1,0)</f>
        <v>#N/A</v>
      </c>
    </row>
    <row r="1430" spans="1:12">
      <c r="A1430" t="str">
        <f t="shared" si="24"/>
        <v>76230102</v>
      </c>
      <c r="B1430" t="s">
        <v>4066</v>
      </c>
      <c r="C1430" t="s">
        <v>4067</v>
      </c>
      <c r="D1430">
        <v>76230102</v>
      </c>
      <c r="E1430">
        <v>2503511</v>
      </c>
      <c r="F1430" t="s">
        <v>39</v>
      </c>
      <c r="G1430">
        <v>400</v>
      </c>
      <c r="H1430" t="str">
        <f>VLOOKUP(A1430,'SV Child INS Apr'!$A:$H,1,0)</f>
        <v>76230102</v>
      </c>
      <c r="L1430" t="e">
        <f>VLOOKUP(A1430,'TV Apr Prorated Billing Sites'!$A:$I,1,0)</f>
        <v>#N/A</v>
      </c>
    </row>
    <row r="1431" spans="1:12">
      <c r="A1431" t="str">
        <f t="shared" si="24"/>
        <v>76230145</v>
      </c>
      <c r="B1431" t="s">
        <v>4068</v>
      </c>
      <c r="C1431" t="s">
        <v>4069</v>
      </c>
      <c r="D1431">
        <v>76230145</v>
      </c>
      <c r="E1431">
        <v>2003001</v>
      </c>
      <c r="F1431" t="s">
        <v>39</v>
      </c>
      <c r="G1431">
        <v>300</v>
      </c>
      <c r="H1431" t="str">
        <f>VLOOKUP(A1431,'SV Child INS Apr'!$A:$H,1,0)</f>
        <v>76230145</v>
      </c>
      <c r="L1431" t="e">
        <f>VLOOKUP(A1431,'TV Apr Prorated Billing Sites'!$A:$I,1,0)</f>
        <v>#N/A</v>
      </c>
    </row>
    <row r="1432" spans="1:12">
      <c r="A1432" t="str">
        <f t="shared" si="24"/>
        <v>76230146</v>
      </c>
      <c r="B1432" t="s">
        <v>4070</v>
      </c>
      <c r="C1432" t="s">
        <v>4071</v>
      </c>
      <c r="D1432">
        <v>76230146</v>
      </c>
      <c r="E1432">
        <v>2002986</v>
      </c>
      <c r="F1432" t="s">
        <v>39</v>
      </c>
      <c r="G1432">
        <v>300</v>
      </c>
      <c r="H1432" t="str">
        <f>VLOOKUP(A1432,'SV Child INS Apr'!$A:$H,1,0)</f>
        <v>76230146</v>
      </c>
      <c r="L1432" t="e">
        <f>VLOOKUP(A1432,'TV Apr Prorated Billing Sites'!$A:$I,1,0)</f>
        <v>#N/A</v>
      </c>
    </row>
    <row r="1433" spans="1:12">
      <c r="A1433" t="str">
        <f t="shared" si="24"/>
        <v>76230156</v>
      </c>
      <c r="B1433" t="s">
        <v>180</v>
      </c>
      <c r="C1433" t="s">
        <v>181</v>
      </c>
      <c r="D1433">
        <v>76230156</v>
      </c>
      <c r="E1433">
        <v>2002068</v>
      </c>
      <c r="F1433" t="s">
        <v>39</v>
      </c>
      <c r="G1433">
        <v>450</v>
      </c>
      <c r="H1433" t="e">
        <f>VLOOKUP(A1433,'SV Child INS Apr'!$A:$H,1,0)</f>
        <v>#N/A</v>
      </c>
      <c r="I1433" t="e">
        <f>VLOOKUP(B1433,'SV Child INS Apr'!$D:$F,1,0)</f>
        <v>#N/A</v>
      </c>
      <c r="J1433" t="e">
        <f>VLOOKUP(A1433,'SV Child BLG Apr'!$A:$J,1,0)</f>
        <v>#N/A</v>
      </c>
      <c r="K1433" t="e">
        <f>VLOOKUP(B1433,'SV Child BLG Apr'!$D:$I,1,0)</f>
        <v>#N/A</v>
      </c>
      <c r="L1433" t="e">
        <f>VLOOKUP(A1433,'TV Apr Prorated Billing Sites'!$A:$I,1,0)</f>
        <v>#N/A</v>
      </c>
    </row>
    <row r="1434" spans="1:12">
      <c r="A1434" t="str">
        <f t="shared" si="24"/>
        <v>76230196</v>
      </c>
      <c r="B1434" t="s">
        <v>4072</v>
      </c>
      <c r="C1434" t="s">
        <v>4073</v>
      </c>
      <c r="D1434">
        <v>76230196</v>
      </c>
      <c r="E1434">
        <v>903037</v>
      </c>
      <c r="F1434" t="s">
        <v>39</v>
      </c>
      <c r="G1434">
        <v>300</v>
      </c>
      <c r="H1434" t="str">
        <f>VLOOKUP(A1434,'SV Child INS Apr'!$A:$H,1,0)</f>
        <v>76230196</v>
      </c>
      <c r="L1434" t="e">
        <f>VLOOKUP(A1434,'TV Apr Prorated Billing Sites'!$A:$I,1,0)</f>
        <v>#N/A</v>
      </c>
    </row>
    <row r="1435" spans="1:12">
      <c r="A1435" t="str">
        <f t="shared" si="24"/>
        <v>76230205</v>
      </c>
      <c r="B1435" t="s">
        <v>4074</v>
      </c>
      <c r="C1435" t="s">
        <v>4075</v>
      </c>
      <c r="D1435">
        <v>76230205</v>
      </c>
      <c r="E1435">
        <v>2002032</v>
      </c>
      <c r="F1435" t="s">
        <v>39</v>
      </c>
      <c r="G1435">
        <v>300</v>
      </c>
      <c r="H1435" t="str">
        <f>VLOOKUP(A1435,'SV Child INS Apr'!$A:$H,1,0)</f>
        <v>76230205</v>
      </c>
      <c r="L1435" t="e">
        <f>VLOOKUP(A1435,'TV Apr Prorated Billing Sites'!$A:$I,1,0)</f>
        <v>#N/A</v>
      </c>
    </row>
    <row r="1436" spans="1:12">
      <c r="A1436" t="str">
        <f t="shared" si="24"/>
        <v>76230300</v>
      </c>
      <c r="B1436" t="s">
        <v>4076</v>
      </c>
      <c r="C1436" t="s">
        <v>4077</v>
      </c>
      <c r="D1436">
        <v>76230300</v>
      </c>
      <c r="E1436">
        <v>2002860</v>
      </c>
      <c r="F1436" t="s">
        <v>39</v>
      </c>
      <c r="G1436">
        <v>300</v>
      </c>
      <c r="H1436" t="str">
        <f>VLOOKUP(A1436,'SV Child INS Apr'!$A:$H,1,0)</f>
        <v>76230300</v>
      </c>
      <c r="L1436" t="e">
        <f>VLOOKUP(A1436,'TV Apr Prorated Billing Sites'!$A:$I,1,0)</f>
        <v>#N/A</v>
      </c>
    </row>
    <row r="1437" spans="1:12">
      <c r="A1437" t="str">
        <f t="shared" si="24"/>
        <v>76230333</v>
      </c>
      <c r="B1437" t="s">
        <v>4078</v>
      </c>
      <c r="C1437" t="s">
        <v>4079</v>
      </c>
      <c r="D1437">
        <v>76230333</v>
      </c>
      <c r="E1437">
        <v>3169</v>
      </c>
      <c r="F1437" t="s">
        <v>39</v>
      </c>
      <c r="G1437">
        <v>300</v>
      </c>
      <c r="H1437" t="str">
        <f>VLOOKUP(A1437,'SV Child INS Apr'!$A:$H,1,0)</f>
        <v>76230333</v>
      </c>
      <c r="L1437" t="e">
        <f>VLOOKUP(A1437,'TV Apr Prorated Billing Sites'!$A:$I,1,0)</f>
        <v>#N/A</v>
      </c>
    </row>
    <row r="1438" spans="1:12">
      <c r="A1438" t="str">
        <f t="shared" si="24"/>
        <v>76230335</v>
      </c>
      <c r="B1438" t="s">
        <v>4080</v>
      </c>
      <c r="C1438" t="s">
        <v>4081</v>
      </c>
      <c r="D1438">
        <v>76230335</v>
      </c>
      <c r="E1438">
        <v>9081</v>
      </c>
      <c r="F1438" t="s">
        <v>39</v>
      </c>
      <c r="G1438">
        <v>300</v>
      </c>
      <c r="H1438" t="str">
        <f>VLOOKUP(A1438,'SV Child INS Apr'!$A:$H,1,0)</f>
        <v>76230335</v>
      </c>
      <c r="L1438" t="e">
        <f>VLOOKUP(A1438,'TV Apr Prorated Billing Sites'!$A:$I,1,0)</f>
        <v>#N/A</v>
      </c>
    </row>
    <row r="1439" spans="1:12">
      <c r="A1439" t="str">
        <f t="shared" si="24"/>
        <v>76230427</v>
      </c>
      <c r="B1439" t="s">
        <v>183</v>
      </c>
      <c r="C1439" t="s">
        <v>184</v>
      </c>
      <c r="D1439">
        <v>76230427</v>
      </c>
      <c r="E1439">
        <v>9005</v>
      </c>
      <c r="F1439" t="s">
        <v>39</v>
      </c>
      <c r="G1439">
        <v>300</v>
      </c>
      <c r="H1439" t="e">
        <f>VLOOKUP(A1439,'SV Child INS Apr'!$A:$H,1,0)</f>
        <v>#N/A</v>
      </c>
      <c r="I1439" t="e">
        <f>VLOOKUP(B1439,'SV Child INS Apr'!$D:$F,1,0)</f>
        <v>#N/A</v>
      </c>
      <c r="J1439" t="e">
        <f>VLOOKUP(A1439,'SV Child BLG Apr'!$A:$J,1,0)</f>
        <v>#N/A</v>
      </c>
      <c r="K1439" t="e">
        <f>VLOOKUP(B1439,'SV Child BLG Apr'!$D:$I,1,0)</f>
        <v>#N/A</v>
      </c>
      <c r="L1439" t="e">
        <f>VLOOKUP(A1439,'TV Apr Prorated Billing Sites'!$A:$I,1,0)</f>
        <v>#N/A</v>
      </c>
    </row>
    <row r="1440" spans="1:12">
      <c r="A1440" t="str">
        <f t="shared" si="24"/>
        <v>76230454</v>
      </c>
      <c r="B1440" t="s">
        <v>4082</v>
      </c>
      <c r="C1440" t="s">
        <v>4083</v>
      </c>
      <c r="D1440">
        <v>76230454</v>
      </c>
      <c r="E1440">
        <v>2502886</v>
      </c>
      <c r="F1440" t="s">
        <v>39</v>
      </c>
      <c r="G1440">
        <v>300</v>
      </c>
      <c r="H1440" t="str">
        <f>VLOOKUP(A1440,'SV Child INS Apr'!$A:$H,1,0)</f>
        <v>76230454</v>
      </c>
      <c r="L1440" t="e">
        <f>VLOOKUP(A1440,'TV Apr Prorated Billing Sites'!$A:$I,1,0)</f>
        <v>#N/A</v>
      </c>
    </row>
    <row r="1441" spans="1:13">
      <c r="A1441" t="str">
        <f t="shared" si="24"/>
        <v>76230520</v>
      </c>
      <c r="B1441" t="s">
        <v>655</v>
      </c>
      <c r="C1441" t="s">
        <v>656</v>
      </c>
      <c r="D1441">
        <v>76230520</v>
      </c>
      <c r="E1441">
        <v>2503257</v>
      </c>
      <c r="F1441" t="s">
        <v>39</v>
      </c>
      <c r="G1441">
        <v>300</v>
      </c>
      <c r="H1441" t="e">
        <f>VLOOKUP(A1441,'SV Child INS Apr'!$A:$H,1,0)</f>
        <v>#N/A</v>
      </c>
      <c r="I1441" t="e">
        <f>VLOOKUP(B1441,'SV Child INS Apr'!$D:$F,1,0)</f>
        <v>#N/A</v>
      </c>
      <c r="J1441" t="str">
        <f>VLOOKUP(A1441,'SV Child BLG Apr'!$A:$J,1,0)</f>
        <v>76230520</v>
      </c>
      <c r="L1441" t="e">
        <f>VLOOKUP(A1441,'TV Apr Prorated Billing Sites'!$A:$I,1,0)</f>
        <v>#N/A</v>
      </c>
      <c r="M1441" t="e">
        <f>VLOOKUP(A1441,'CDK asked to retain list'!$H$1:$J$24,1,0)</f>
        <v>#N/A</v>
      </c>
    </row>
    <row r="1442" spans="1:13">
      <c r="A1442" t="str">
        <f t="shared" si="24"/>
        <v>76230543</v>
      </c>
      <c r="B1442" t="s">
        <v>4084</v>
      </c>
      <c r="C1442" t="s">
        <v>4085</v>
      </c>
      <c r="D1442">
        <v>76230543</v>
      </c>
      <c r="E1442">
        <v>2503506</v>
      </c>
      <c r="F1442" t="s">
        <v>39</v>
      </c>
      <c r="G1442">
        <v>300</v>
      </c>
      <c r="H1442" t="str">
        <f>VLOOKUP(A1442,'SV Child INS Apr'!$A:$H,1,0)</f>
        <v>76230543</v>
      </c>
      <c r="L1442" t="e">
        <f>VLOOKUP(A1442,'TV Apr Prorated Billing Sites'!$A:$I,1,0)</f>
        <v>#N/A</v>
      </c>
    </row>
    <row r="1443" spans="1:13">
      <c r="A1443" t="str">
        <f t="shared" si="24"/>
        <v>76230643</v>
      </c>
      <c r="B1443" t="s">
        <v>4086</v>
      </c>
      <c r="C1443" t="s">
        <v>4087</v>
      </c>
      <c r="D1443">
        <v>76230643</v>
      </c>
      <c r="E1443">
        <v>3000081</v>
      </c>
      <c r="F1443" t="s">
        <v>39</v>
      </c>
      <c r="G1443">
        <v>400</v>
      </c>
      <c r="H1443" t="str">
        <f>VLOOKUP(A1443,'SV Child INS Apr'!$A:$H,1,0)</f>
        <v>76230643</v>
      </c>
      <c r="L1443" t="e">
        <f>VLOOKUP(A1443,'TV Apr Prorated Billing Sites'!$A:$I,1,0)</f>
        <v>#N/A</v>
      </c>
    </row>
    <row r="1444" spans="1:13">
      <c r="A1444" t="str">
        <f t="shared" si="24"/>
        <v>76230814</v>
      </c>
      <c r="B1444" t="s">
        <v>4088</v>
      </c>
      <c r="C1444" t="s">
        <v>4089</v>
      </c>
      <c r="D1444">
        <v>76230814</v>
      </c>
      <c r="E1444">
        <v>2502690</v>
      </c>
      <c r="F1444" t="s">
        <v>39</v>
      </c>
      <c r="G1444">
        <v>400</v>
      </c>
      <c r="H1444" t="str">
        <f>VLOOKUP(A1444,'SV Child INS Apr'!$A:$H,1,0)</f>
        <v>76230814</v>
      </c>
      <c r="L1444" t="e">
        <f>VLOOKUP(A1444,'TV Apr Prorated Billing Sites'!$A:$I,1,0)</f>
        <v>#N/A</v>
      </c>
    </row>
    <row r="1445" spans="1:13">
      <c r="A1445" t="str">
        <f t="shared" si="24"/>
        <v>76231037</v>
      </c>
      <c r="B1445" t="s">
        <v>4090</v>
      </c>
      <c r="C1445" t="s">
        <v>4091</v>
      </c>
      <c r="D1445">
        <v>76231037</v>
      </c>
      <c r="E1445">
        <v>2001055</v>
      </c>
      <c r="F1445" t="s">
        <v>39</v>
      </c>
      <c r="G1445">
        <v>300</v>
      </c>
      <c r="H1445" t="str">
        <f>VLOOKUP(A1445,'SV Child INS Apr'!$A:$H,1,0)</f>
        <v>76231037</v>
      </c>
      <c r="L1445" t="e">
        <f>VLOOKUP(A1445,'TV Apr Prorated Billing Sites'!$A:$I,1,0)</f>
        <v>#N/A</v>
      </c>
    </row>
    <row r="1446" spans="1:13">
      <c r="A1446" t="str">
        <f t="shared" si="24"/>
        <v>76231038</v>
      </c>
      <c r="B1446" t="s">
        <v>4092</v>
      </c>
      <c r="C1446" t="s">
        <v>4093</v>
      </c>
      <c r="D1446">
        <v>76231038</v>
      </c>
      <c r="E1446">
        <v>2002092</v>
      </c>
      <c r="F1446" t="s">
        <v>39</v>
      </c>
      <c r="G1446">
        <v>300</v>
      </c>
      <c r="H1446" t="str">
        <f>VLOOKUP(A1446,'SV Child INS Apr'!$A:$H,1,0)</f>
        <v>76231038</v>
      </c>
      <c r="L1446" t="e">
        <f>VLOOKUP(A1446,'TV Apr Prorated Billing Sites'!$A:$I,1,0)</f>
        <v>#N/A</v>
      </c>
    </row>
    <row r="1447" spans="1:13">
      <c r="A1447" t="str">
        <f t="shared" si="24"/>
        <v>76231060</v>
      </c>
      <c r="B1447" t="s">
        <v>4094</v>
      </c>
      <c r="C1447" t="s">
        <v>4095</v>
      </c>
      <c r="D1447">
        <v>76231060</v>
      </c>
      <c r="E1447">
        <v>2003141</v>
      </c>
      <c r="F1447" t="s">
        <v>39</v>
      </c>
      <c r="G1447">
        <v>300</v>
      </c>
      <c r="H1447" t="str">
        <f>VLOOKUP(A1447,'SV Child INS Apr'!$A:$H,1,0)</f>
        <v>76231060</v>
      </c>
      <c r="L1447" t="e">
        <f>VLOOKUP(A1447,'TV Apr Prorated Billing Sites'!$A:$I,1,0)</f>
        <v>#N/A</v>
      </c>
    </row>
    <row r="1448" spans="1:13">
      <c r="A1448" t="str">
        <f t="shared" si="24"/>
        <v>76231116</v>
      </c>
      <c r="B1448" t="s">
        <v>4096</v>
      </c>
      <c r="C1448" t="s">
        <v>4097</v>
      </c>
      <c r="D1448">
        <v>76231116</v>
      </c>
      <c r="E1448">
        <v>2003026</v>
      </c>
      <c r="F1448" t="s">
        <v>39</v>
      </c>
      <c r="G1448">
        <v>300</v>
      </c>
      <c r="H1448" t="str">
        <f>VLOOKUP(A1448,'SV Child INS Apr'!$A:$H,1,0)</f>
        <v>76231116</v>
      </c>
      <c r="L1448" t="e">
        <f>VLOOKUP(A1448,'TV Apr Prorated Billing Sites'!$A:$I,1,0)</f>
        <v>#N/A</v>
      </c>
    </row>
    <row r="1449" spans="1:13">
      <c r="A1449" t="str">
        <f t="shared" ref="A1449:A1512" si="25">TRIM(D1449)</f>
        <v>76231141</v>
      </c>
      <c r="B1449" t="s">
        <v>4098</v>
      </c>
      <c r="C1449" t="s">
        <v>4099</v>
      </c>
      <c r="D1449">
        <v>76231141</v>
      </c>
      <c r="E1449">
        <v>2002057</v>
      </c>
      <c r="F1449" t="s">
        <v>39</v>
      </c>
      <c r="G1449">
        <v>450</v>
      </c>
      <c r="H1449" t="str">
        <f>VLOOKUP(A1449,'SV Child INS Apr'!$A:$H,1,0)</f>
        <v>76231141</v>
      </c>
      <c r="L1449" t="e">
        <f>VLOOKUP(A1449,'TV Apr Prorated Billing Sites'!$A:$I,1,0)</f>
        <v>#N/A</v>
      </c>
    </row>
    <row r="1450" spans="1:13">
      <c r="A1450" t="str">
        <f t="shared" si="25"/>
        <v>76231265</v>
      </c>
      <c r="B1450" t="s">
        <v>4100</v>
      </c>
      <c r="C1450" t="s">
        <v>4101</v>
      </c>
      <c r="D1450">
        <v>76231265</v>
      </c>
      <c r="E1450">
        <v>2003137</v>
      </c>
      <c r="F1450" t="s">
        <v>39</v>
      </c>
      <c r="G1450">
        <v>300</v>
      </c>
      <c r="H1450" t="str">
        <f>VLOOKUP(A1450,'SV Child INS Apr'!$A:$H,1,0)</f>
        <v>76231265</v>
      </c>
      <c r="L1450" t="e">
        <f>VLOOKUP(A1450,'TV Apr Prorated Billing Sites'!$A:$I,1,0)</f>
        <v>#N/A</v>
      </c>
    </row>
    <row r="1451" spans="1:13">
      <c r="A1451" t="str">
        <f t="shared" si="25"/>
        <v>76231277</v>
      </c>
      <c r="B1451" t="s">
        <v>658</v>
      </c>
      <c r="C1451" t="s">
        <v>659</v>
      </c>
      <c r="D1451">
        <v>76231277</v>
      </c>
      <c r="E1451">
        <v>2502635</v>
      </c>
      <c r="F1451" t="s">
        <v>39</v>
      </c>
      <c r="G1451">
        <v>300</v>
      </c>
      <c r="H1451" t="e">
        <f>VLOOKUP(A1451,'SV Child INS Apr'!$A:$H,1,0)</f>
        <v>#N/A</v>
      </c>
      <c r="I1451" t="e">
        <f>VLOOKUP(B1451,'SV Child INS Apr'!$D:$F,1,0)</f>
        <v>#N/A</v>
      </c>
      <c r="J1451" t="str">
        <f>VLOOKUP(A1451,'SV Child BLG Apr'!$A:$J,1,0)</f>
        <v>76231277</v>
      </c>
      <c r="L1451" t="e">
        <f>VLOOKUP(A1451,'TV Apr Prorated Billing Sites'!$A:$I,1,0)</f>
        <v>#N/A</v>
      </c>
      <c r="M1451" t="e">
        <f>VLOOKUP(A1451,'CDK asked to retain list'!$H$1:$J$24,1,0)</f>
        <v>#N/A</v>
      </c>
    </row>
    <row r="1452" spans="1:13">
      <c r="A1452" t="str">
        <f t="shared" si="25"/>
        <v>76231336</v>
      </c>
      <c r="B1452" t="s">
        <v>4102</v>
      </c>
      <c r="C1452" t="s">
        <v>4103</v>
      </c>
      <c r="D1452">
        <v>76231336</v>
      </c>
      <c r="E1452">
        <v>2502751</v>
      </c>
      <c r="F1452" t="s">
        <v>39</v>
      </c>
      <c r="G1452">
        <v>300</v>
      </c>
      <c r="H1452" t="str">
        <f>VLOOKUP(A1452,'SV Child INS Apr'!$A:$H,1,0)</f>
        <v>76231336</v>
      </c>
      <c r="L1452" t="e">
        <f>VLOOKUP(A1452,'TV Apr Prorated Billing Sites'!$A:$I,1,0)</f>
        <v>#N/A</v>
      </c>
    </row>
    <row r="1453" spans="1:13">
      <c r="A1453" t="str">
        <f t="shared" si="25"/>
        <v>76231347</v>
      </c>
      <c r="B1453" t="s">
        <v>4104</v>
      </c>
      <c r="C1453" t="s">
        <v>4105</v>
      </c>
      <c r="D1453">
        <v>76231347</v>
      </c>
      <c r="E1453">
        <v>2502824</v>
      </c>
      <c r="F1453" t="s">
        <v>39</v>
      </c>
      <c r="G1453">
        <v>300</v>
      </c>
      <c r="H1453" t="str">
        <f>VLOOKUP(A1453,'SV Child INS Apr'!$A:$H,1,0)</f>
        <v>76231347</v>
      </c>
      <c r="L1453" t="e">
        <f>VLOOKUP(A1453,'TV Apr Prorated Billing Sites'!$A:$I,1,0)</f>
        <v>#N/A</v>
      </c>
    </row>
    <row r="1454" spans="1:13">
      <c r="A1454" t="str">
        <f t="shared" si="25"/>
        <v>76231357</v>
      </c>
      <c r="B1454" t="s">
        <v>4106</v>
      </c>
      <c r="C1454" t="s">
        <v>4107</v>
      </c>
      <c r="D1454">
        <v>76231357</v>
      </c>
      <c r="E1454">
        <v>2002122</v>
      </c>
      <c r="F1454" t="s">
        <v>39</v>
      </c>
      <c r="G1454">
        <v>300</v>
      </c>
      <c r="H1454" t="str">
        <f>VLOOKUP(A1454,'SV Child INS Apr'!$A:$H,1,0)</f>
        <v>76231357</v>
      </c>
      <c r="L1454" t="e">
        <f>VLOOKUP(A1454,'TV Apr Prorated Billing Sites'!$A:$I,1,0)</f>
        <v>#N/A</v>
      </c>
    </row>
    <row r="1455" spans="1:13">
      <c r="A1455" t="str">
        <f t="shared" si="25"/>
        <v>76231389</v>
      </c>
      <c r="B1455" t="s">
        <v>4108</v>
      </c>
      <c r="C1455" t="s">
        <v>4109</v>
      </c>
      <c r="D1455">
        <v>76231389</v>
      </c>
      <c r="E1455">
        <v>2502555</v>
      </c>
      <c r="F1455" t="s">
        <v>39</v>
      </c>
      <c r="G1455">
        <v>400</v>
      </c>
      <c r="H1455" t="str">
        <f>VLOOKUP(A1455,'SV Child INS Apr'!$A:$H,1,0)</f>
        <v>76231389</v>
      </c>
      <c r="L1455" t="e">
        <f>VLOOKUP(A1455,'TV Apr Prorated Billing Sites'!$A:$I,1,0)</f>
        <v>#N/A</v>
      </c>
    </row>
    <row r="1456" spans="1:13">
      <c r="A1456" t="str">
        <f t="shared" si="25"/>
        <v>76231391</v>
      </c>
      <c r="B1456" t="s">
        <v>4110</v>
      </c>
      <c r="C1456" t="s">
        <v>4111</v>
      </c>
      <c r="D1456">
        <v>76231391</v>
      </c>
      <c r="E1456">
        <v>2502556</v>
      </c>
      <c r="F1456" t="s">
        <v>39</v>
      </c>
      <c r="G1456">
        <v>400</v>
      </c>
      <c r="H1456" t="str">
        <f>VLOOKUP(A1456,'SV Child INS Apr'!$A:$H,1,0)</f>
        <v>76231391</v>
      </c>
      <c r="L1456" t="e">
        <f>VLOOKUP(A1456,'TV Apr Prorated Billing Sites'!$A:$I,1,0)</f>
        <v>#N/A</v>
      </c>
    </row>
    <row r="1457" spans="1:13">
      <c r="A1457" t="str">
        <f t="shared" si="25"/>
        <v>76231508</v>
      </c>
      <c r="B1457" t="s">
        <v>4112</v>
      </c>
      <c r="C1457" t="s">
        <v>4113</v>
      </c>
      <c r="D1457">
        <v>76231508</v>
      </c>
      <c r="E1457">
        <v>2502626</v>
      </c>
      <c r="F1457" t="s">
        <v>39</v>
      </c>
      <c r="G1457">
        <v>450</v>
      </c>
      <c r="H1457" t="str">
        <f>VLOOKUP(A1457,'SV Child INS Apr'!$A:$H,1,0)</f>
        <v>76231508</v>
      </c>
      <c r="L1457" t="e">
        <f>VLOOKUP(A1457,'TV Apr Prorated Billing Sites'!$A:$I,1,0)</f>
        <v>#N/A</v>
      </c>
    </row>
    <row r="1458" spans="1:13">
      <c r="A1458" t="str">
        <f t="shared" si="25"/>
        <v>76231546</v>
      </c>
      <c r="B1458" t="s">
        <v>661</v>
      </c>
      <c r="C1458" t="s">
        <v>662</v>
      </c>
      <c r="D1458">
        <v>76231546</v>
      </c>
      <c r="E1458">
        <v>2002201</v>
      </c>
      <c r="F1458" t="s">
        <v>39</v>
      </c>
      <c r="G1458">
        <v>300</v>
      </c>
      <c r="H1458" t="e">
        <f>VLOOKUP(A1458,'SV Child INS Apr'!$A:$H,1,0)</f>
        <v>#N/A</v>
      </c>
      <c r="I1458" t="e">
        <f>VLOOKUP(B1458,'SV Child INS Apr'!$D:$F,1,0)</f>
        <v>#N/A</v>
      </c>
      <c r="J1458" t="str">
        <f>VLOOKUP(A1458,'SV Child BLG Apr'!$A:$J,1,0)</f>
        <v>76231546</v>
      </c>
      <c r="L1458" t="e">
        <f>VLOOKUP(A1458,'TV Apr Prorated Billing Sites'!$A:$I,1,0)</f>
        <v>#N/A</v>
      </c>
      <c r="M1458" t="e">
        <f>VLOOKUP(A1458,'CDK asked to retain list'!$H$1:$J$24,1,0)</f>
        <v>#N/A</v>
      </c>
    </row>
    <row r="1459" spans="1:13">
      <c r="A1459" t="str">
        <f t="shared" si="25"/>
        <v>76231549</v>
      </c>
      <c r="B1459" t="s">
        <v>4114</v>
      </c>
      <c r="C1459" t="s">
        <v>4115</v>
      </c>
      <c r="D1459">
        <v>76231549</v>
      </c>
      <c r="E1459">
        <v>2503071</v>
      </c>
      <c r="F1459" t="s">
        <v>39</v>
      </c>
      <c r="G1459">
        <v>300</v>
      </c>
      <c r="H1459" t="str">
        <f>VLOOKUP(A1459,'SV Child INS Apr'!$A:$H,1,0)</f>
        <v>76231549</v>
      </c>
      <c r="L1459" t="e">
        <f>VLOOKUP(A1459,'TV Apr Prorated Billing Sites'!$A:$I,1,0)</f>
        <v>#N/A</v>
      </c>
    </row>
    <row r="1460" spans="1:13">
      <c r="A1460" t="str">
        <f t="shared" si="25"/>
        <v>76231554</v>
      </c>
      <c r="B1460" t="s">
        <v>4116</v>
      </c>
      <c r="C1460" t="s">
        <v>4117</v>
      </c>
      <c r="D1460">
        <v>76231554</v>
      </c>
      <c r="E1460">
        <v>2503070</v>
      </c>
      <c r="F1460" t="s">
        <v>39</v>
      </c>
      <c r="G1460">
        <v>300</v>
      </c>
      <c r="H1460" t="str">
        <f>VLOOKUP(A1460,'SV Child INS Apr'!$A:$H,1,0)</f>
        <v>76231554</v>
      </c>
      <c r="L1460" t="e">
        <f>VLOOKUP(A1460,'TV Apr Prorated Billing Sites'!$A:$I,1,0)</f>
        <v>#N/A</v>
      </c>
    </row>
    <row r="1461" spans="1:13">
      <c r="A1461" t="str">
        <f t="shared" si="25"/>
        <v>76231689</v>
      </c>
      <c r="B1461" t="s">
        <v>186</v>
      </c>
      <c r="C1461" t="s">
        <v>187</v>
      </c>
      <c r="D1461">
        <v>76231689</v>
      </c>
      <c r="E1461">
        <v>2700004</v>
      </c>
      <c r="F1461" t="s">
        <v>39</v>
      </c>
      <c r="G1461">
        <v>300</v>
      </c>
      <c r="H1461" t="e">
        <f>VLOOKUP(A1461,'SV Child INS Apr'!$A:$H,1,0)</f>
        <v>#N/A</v>
      </c>
      <c r="I1461" t="e">
        <f>VLOOKUP(B1461,'SV Child INS Apr'!$D:$F,1,0)</f>
        <v>#N/A</v>
      </c>
      <c r="J1461" t="e">
        <f>VLOOKUP(A1461,'SV Child BLG Apr'!$A:$J,1,0)</f>
        <v>#N/A</v>
      </c>
      <c r="K1461" t="e">
        <f>VLOOKUP(B1461,'SV Child BLG Apr'!$D:$I,1,0)</f>
        <v>#N/A</v>
      </c>
      <c r="L1461" t="e">
        <f>VLOOKUP(A1461,'TV Apr Prorated Billing Sites'!$A:$I,1,0)</f>
        <v>#N/A</v>
      </c>
    </row>
    <row r="1462" spans="1:13">
      <c r="A1462" t="str">
        <f t="shared" si="25"/>
        <v>76231767</v>
      </c>
      <c r="B1462" t="s">
        <v>4118</v>
      </c>
      <c r="C1462" t="s">
        <v>4119</v>
      </c>
      <c r="D1462">
        <v>76231767</v>
      </c>
      <c r="E1462">
        <v>2002260</v>
      </c>
      <c r="F1462" t="s">
        <v>39</v>
      </c>
      <c r="G1462">
        <v>300</v>
      </c>
      <c r="H1462" t="str">
        <f>VLOOKUP(A1462,'SV Child INS Apr'!$A:$H,1,0)</f>
        <v>76231767</v>
      </c>
      <c r="L1462" t="e">
        <f>VLOOKUP(A1462,'TV Apr Prorated Billing Sites'!$A:$I,1,0)</f>
        <v>#N/A</v>
      </c>
    </row>
    <row r="1463" spans="1:13">
      <c r="A1463" t="str">
        <f t="shared" si="25"/>
        <v>76231800</v>
      </c>
      <c r="B1463" t="s">
        <v>4120</v>
      </c>
      <c r="C1463" t="s">
        <v>4121</v>
      </c>
      <c r="D1463">
        <v>76231800</v>
      </c>
      <c r="E1463">
        <v>2500979</v>
      </c>
      <c r="F1463" t="s">
        <v>39</v>
      </c>
      <c r="G1463">
        <v>300</v>
      </c>
      <c r="H1463" t="str">
        <f>VLOOKUP(A1463,'SV Child INS Apr'!$A:$H,1,0)</f>
        <v>76231800</v>
      </c>
      <c r="L1463" t="e">
        <f>VLOOKUP(A1463,'TV Apr Prorated Billing Sites'!$A:$I,1,0)</f>
        <v>#N/A</v>
      </c>
    </row>
    <row r="1464" spans="1:13">
      <c r="A1464" t="str">
        <f t="shared" si="25"/>
        <v>76231802</v>
      </c>
      <c r="B1464" t="s">
        <v>4122</v>
      </c>
      <c r="C1464" t="s">
        <v>4123</v>
      </c>
      <c r="D1464">
        <v>76231802</v>
      </c>
      <c r="E1464">
        <v>2503448</v>
      </c>
      <c r="F1464" t="s">
        <v>39</v>
      </c>
      <c r="G1464">
        <v>300</v>
      </c>
      <c r="H1464" t="str">
        <f>VLOOKUP(A1464,'SV Child INS Apr'!$A:$H,1,0)</f>
        <v>76231802</v>
      </c>
      <c r="L1464" t="e">
        <f>VLOOKUP(A1464,'TV Apr Prorated Billing Sites'!$A:$I,1,0)</f>
        <v>#N/A</v>
      </c>
    </row>
    <row r="1465" spans="1:13">
      <c r="A1465" t="str">
        <f t="shared" si="25"/>
        <v>76231803</v>
      </c>
      <c r="B1465" t="s">
        <v>4124</v>
      </c>
      <c r="C1465" t="s">
        <v>4125</v>
      </c>
      <c r="D1465">
        <v>76231803</v>
      </c>
      <c r="E1465">
        <v>2501001</v>
      </c>
      <c r="F1465" t="s">
        <v>39</v>
      </c>
      <c r="G1465">
        <v>300</v>
      </c>
      <c r="H1465" t="str">
        <f>VLOOKUP(A1465,'SV Child INS Apr'!$A:$H,1,0)</f>
        <v>76231803</v>
      </c>
      <c r="L1465" t="e">
        <f>VLOOKUP(A1465,'TV Apr Prorated Billing Sites'!$A:$I,1,0)</f>
        <v>#N/A</v>
      </c>
    </row>
    <row r="1466" spans="1:13">
      <c r="A1466" t="str">
        <f t="shared" si="25"/>
        <v>76231805</v>
      </c>
      <c r="B1466" t="s">
        <v>4126</v>
      </c>
      <c r="C1466" t="s">
        <v>4127</v>
      </c>
      <c r="D1466">
        <v>76231805</v>
      </c>
      <c r="E1466">
        <v>2501006</v>
      </c>
      <c r="F1466" t="s">
        <v>39</v>
      </c>
      <c r="G1466">
        <v>300</v>
      </c>
      <c r="H1466" t="str">
        <f>VLOOKUP(A1466,'SV Child INS Apr'!$A:$H,1,0)</f>
        <v>76231805</v>
      </c>
      <c r="L1466" t="e">
        <f>VLOOKUP(A1466,'TV Apr Prorated Billing Sites'!$A:$I,1,0)</f>
        <v>#N/A</v>
      </c>
    </row>
    <row r="1467" spans="1:13">
      <c r="A1467" t="str">
        <f t="shared" si="25"/>
        <v>76231923</v>
      </c>
      <c r="B1467" t="s">
        <v>4128</v>
      </c>
      <c r="C1467" t="s">
        <v>4129</v>
      </c>
      <c r="D1467">
        <v>76231923</v>
      </c>
      <c r="E1467">
        <v>2502566</v>
      </c>
      <c r="F1467" t="s">
        <v>39</v>
      </c>
      <c r="G1467">
        <v>400</v>
      </c>
      <c r="H1467" t="str">
        <f>VLOOKUP(A1467,'SV Child INS Apr'!$A:$H,1,0)</f>
        <v>76231923</v>
      </c>
      <c r="L1467" t="e">
        <f>VLOOKUP(A1467,'TV Apr Prorated Billing Sites'!$A:$I,1,0)</f>
        <v>#N/A</v>
      </c>
    </row>
    <row r="1468" spans="1:13">
      <c r="A1468" t="str">
        <f t="shared" si="25"/>
        <v>76231925</v>
      </c>
      <c r="B1468" t="s">
        <v>4130</v>
      </c>
      <c r="C1468" t="s">
        <v>4131</v>
      </c>
      <c r="D1468">
        <v>76231925</v>
      </c>
      <c r="E1468">
        <v>2503121</v>
      </c>
      <c r="F1468" t="s">
        <v>39</v>
      </c>
      <c r="G1468">
        <v>400</v>
      </c>
      <c r="H1468" t="str">
        <f>VLOOKUP(A1468,'SV Child INS Apr'!$A:$H,1,0)</f>
        <v>76231925</v>
      </c>
      <c r="L1468" t="e">
        <f>VLOOKUP(A1468,'TV Apr Prorated Billing Sites'!$A:$I,1,0)</f>
        <v>#N/A</v>
      </c>
    </row>
    <row r="1469" spans="1:13">
      <c r="A1469" t="str">
        <f t="shared" si="25"/>
        <v>76231928</v>
      </c>
      <c r="B1469" t="s">
        <v>189</v>
      </c>
      <c r="C1469" t="s">
        <v>190</v>
      </c>
      <c r="D1469">
        <v>76231928</v>
      </c>
      <c r="E1469">
        <v>2502571</v>
      </c>
      <c r="F1469" t="s">
        <v>39</v>
      </c>
      <c r="G1469">
        <v>400</v>
      </c>
      <c r="H1469" t="e">
        <f>VLOOKUP(A1469,'SV Child INS Apr'!$A:$H,1,0)</f>
        <v>#N/A</v>
      </c>
      <c r="I1469" t="e">
        <f>VLOOKUP(B1469,'SV Child INS Apr'!$D:$F,1,0)</f>
        <v>#N/A</v>
      </c>
      <c r="J1469" t="e">
        <f>VLOOKUP(A1469,'SV Child BLG Apr'!$A:$J,1,0)</f>
        <v>#N/A</v>
      </c>
      <c r="K1469" t="e">
        <f>VLOOKUP(B1469,'SV Child BLG Apr'!$D:$I,1,0)</f>
        <v>#N/A</v>
      </c>
      <c r="L1469" t="e">
        <f>VLOOKUP(A1469,'TV Apr Prorated Billing Sites'!$A:$I,1,0)</f>
        <v>#N/A</v>
      </c>
    </row>
    <row r="1470" spans="1:13">
      <c r="A1470" t="str">
        <f t="shared" si="25"/>
        <v>76231949</v>
      </c>
      <c r="B1470" t="s">
        <v>4132</v>
      </c>
      <c r="C1470" t="s">
        <v>4133</v>
      </c>
      <c r="D1470">
        <v>76231949</v>
      </c>
      <c r="E1470">
        <v>2700011</v>
      </c>
      <c r="F1470" t="s">
        <v>39</v>
      </c>
      <c r="G1470">
        <v>300</v>
      </c>
      <c r="H1470" t="str">
        <f>VLOOKUP(A1470,'SV Child INS Apr'!$A:$H,1,0)</f>
        <v>76231949</v>
      </c>
      <c r="L1470" t="e">
        <f>VLOOKUP(A1470,'TV Apr Prorated Billing Sites'!$A:$I,1,0)</f>
        <v>#N/A</v>
      </c>
    </row>
    <row r="1471" spans="1:13">
      <c r="A1471" t="str">
        <f t="shared" si="25"/>
        <v>76231971</v>
      </c>
      <c r="B1471" t="s">
        <v>4134</v>
      </c>
      <c r="C1471" t="s">
        <v>4135</v>
      </c>
      <c r="D1471">
        <v>76231971</v>
      </c>
      <c r="E1471">
        <v>2002124</v>
      </c>
      <c r="F1471" t="s">
        <v>39</v>
      </c>
      <c r="G1471">
        <v>300</v>
      </c>
      <c r="H1471" t="str">
        <f>VLOOKUP(A1471,'SV Child INS Apr'!$A:$H,1,0)</f>
        <v>76231971</v>
      </c>
      <c r="L1471" t="e">
        <f>VLOOKUP(A1471,'TV Apr Prorated Billing Sites'!$A:$I,1,0)</f>
        <v>#N/A</v>
      </c>
    </row>
    <row r="1472" spans="1:13">
      <c r="A1472" t="str">
        <f t="shared" si="25"/>
        <v>76231972</v>
      </c>
      <c r="B1472" t="s">
        <v>4136</v>
      </c>
      <c r="C1472" t="s">
        <v>4137</v>
      </c>
      <c r="D1472">
        <v>76231972</v>
      </c>
      <c r="E1472">
        <v>2002130</v>
      </c>
      <c r="F1472" t="s">
        <v>39</v>
      </c>
      <c r="G1472">
        <v>300</v>
      </c>
      <c r="H1472" t="str">
        <f>VLOOKUP(A1472,'SV Child INS Apr'!$A:$H,1,0)</f>
        <v>76231972</v>
      </c>
      <c r="L1472" t="e">
        <f>VLOOKUP(A1472,'TV Apr Prorated Billing Sites'!$A:$I,1,0)</f>
        <v>#N/A</v>
      </c>
    </row>
    <row r="1473" spans="1:13">
      <c r="A1473" t="str">
        <f t="shared" si="25"/>
        <v>76231978</v>
      </c>
      <c r="B1473" t="s">
        <v>4138</v>
      </c>
      <c r="C1473" t="s">
        <v>4139</v>
      </c>
      <c r="D1473">
        <v>76231978</v>
      </c>
      <c r="E1473">
        <v>2002121</v>
      </c>
      <c r="F1473" t="s">
        <v>39</v>
      </c>
      <c r="G1473">
        <v>300</v>
      </c>
      <c r="H1473" t="str">
        <f>VLOOKUP(A1473,'SV Child INS Apr'!$A:$H,1,0)</f>
        <v>76231978</v>
      </c>
      <c r="L1473" t="e">
        <f>VLOOKUP(A1473,'TV Apr Prorated Billing Sites'!$A:$I,1,0)</f>
        <v>#N/A</v>
      </c>
    </row>
    <row r="1474" spans="1:13">
      <c r="A1474" t="str">
        <f t="shared" si="25"/>
        <v>76232056</v>
      </c>
      <c r="B1474" t="s">
        <v>4140</v>
      </c>
      <c r="C1474" t="s">
        <v>4141</v>
      </c>
      <c r="D1474">
        <v>76232056</v>
      </c>
      <c r="E1474">
        <v>2502589</v>
      </c>
      <c r="F1474" t="s">
        <v>39</v>
      </c>
      <c r="G1474">
        <v>300</v>
      </c>
      <c r="H1474" t="str">
        <f>VLOOKUP(A1474,'SV Child INS Apr'!$A:$H,1,0)</f>
        <v>76232056</v>
      </c>
      <c r="L1474" t="str">
        <f>VLOOKUP(A1474,'TV Apr Prorated Billing Sites'!$A:$I,1,0)</f>
        <v>76232056</v>
      </c>
    </row>
    <row r="1475" spans="1:13">
      <c r="A1475" t="str">
        <f t="shared" si="25"/>
        <v>76232064</v>
      </c>
      <c r="B1475" t="s">
        <v>192</v>
      </c>
      <c r="C1475" t="s">
        <v>193</v>
      </c>
      <c r="D1475">
        <v>76232064</v>
      </c>
      <c r="E1475">
        <v>2502968</v>
      </c>
      <c r="F1475" t="s">
        <v>39</v>
      </c>
      <c r="G1475">
        <v>300</v>
      </c>
      <c r="H1475" t="e">
        <f>VLOOKUP(A1475,'SV Child INS Apr'!$A:$H,1,0)</f>
        <v>#N/A</v>
      </c>
      <c r="I1475" t="e">
        <f>VLOOKUP(B1475,'SV Child INS Apr'!$D:$F,1,0)</f>
        <v>#N/A</v>
      </c>
      <c r="J1475" t="e">
        <f>VLOOKUP(A1475,'SV Child BLG Apr'!$A:$J,1,0)</f>
        <v>#N/A</v>
      </c>
      <c r="K1475" t="e">
        <f>VLOOKUP(B1475,'SV Child BLG Apr'!$D:$I,1,0)</f>
        <v>#N/A</v>
      </c>
      <c r="L1475" t="e">
        <f>VLOOKUP(A1475,'TV Apr Prorated Billing Sites'!$A:$I,1,0)</f>
        <v>#N/A</v>
      </c>
    </row>
    <row r="1476" spans="1:13">
      <c r="A1476" t="str">
        <f t="shared" si="25"/>
        <v>76232066</v>
      </c>
      <c r="B1476" t="s">
        <v>4142</v>
      </c>
      <c r="C1476" t="s">
        <v>4143</v>
      </c>
      <c r="D1476">
        <v>76232066</v>
      </c>
      <c r="E1476">
        <v>2503325</v>
      </c>
      <c r="F1476" t="s">
        <v>39</v>
      </c>
      <c r="G1476">
        <v>300</v>
      </c>
      <c r="H1476" t="str">
        <f>VLOOKUP(A1476,'SV Child INS Apr'!$A:$H,1,0)</f>
        <v>76232066</v>
      </c>
      <c r="L1476" t="e">
        <f>VLOOKUP(A1476,'TV Apr Prorated Billing Sites'!$A:$I,1,0)</f>
        <v>#N/A</v>
      </c>
    </row>
    <row r="1477" spans="1:13">
      <c r="A1477" t="str">
        <f t="shared" si="25"/>
        <v>76232074</v>
      </c>
      <c r="B1477" t="s">
        <v>664</v>
      </c>
      <c r="C1477" t="s">
        <v>665</v>
      </c>
      <c r="D1477">
        <v>76232074</v>
      </c>
      <c r="E1477">
        <v>2500696</v>
      </c>
      <c r="F1477" t="s">
        <v>39</v>
      </c>
      <c r="G1477">
        <v>300</v>
      </c>
      <c r="H1477" t="e">
        <f>VLOOKUP(A1477,'SV Child INS Apr'!$A:$H,1,0)</f>
        <v>#N/A</v>
      </c>
      <c r="I1477" t="e">
        <f>VLOOKUP(B1477,'SV Child INS Apr'!$D:$F,1,0)</f>
        <v>#N/A</v>
      </c>
      <c r="J1477" t="str">
        <f>VLOOKUP(A1477,'SV Child BLG Apr'!$A:$J,1,0)</f>
        <v>76232074</v>
      </c>
      <c r="L1477" t="e">
        <f>VLOOKUP(A1477,'TV Apr Prorated Billing Sites'!$A:$I,1,0)</f>
        <v>#N/A</v>
      </c>
      <c r="M1477" t="e">
        <f>VLOOKUP(A1477,'CDK asked to retain list'!$H$1:$J$24,1,0)</f>
        <v>#N/A</v>
      </c>
    </row>
    <row r="1478" spans="1:13">
      <c r="A1478" t="str">
        <f t="shared" si="25"/>
        <v>76232553</v>
      </c>
      <c r="B1478" t="s">
        <v>195</v>
      </c>
      <c r="C1478" t="s">
        <v>196</v>
      </c>
      <c r="D1478">
        <v>76232553</v>
      </c>
      <c r="E1478">
        <v>2502656</v>
      </c>
      <c r="F1478" t="s">
        <v>39</v>
      </c>
      <c r="G1478">
        <v>300</v>
      </c>
      <c r="H1478" t="e">
        <f>VLOOKUP(A1478,'SV Child INS Apr'!$A:$H,1,0)</f>
        <v>#N/A</v>
      </c>
      <c r="I1478" t="e">
        <f>VLOOKUP(B1478,'SV Child INS Apr'!$D:$F,1,0)</f>
        <v>#N/A</v>
      </c>
      <c r="J1478" t="e">
        <f>VLOOKUP(A1478,'SV Child BLG Apr'!$A:$J,1,0)</f>
        <v>#N/A</v>
      </c>
      <c r="K1478" t="e">
        <f>VLOOKUP(B1478,'SV Child BLG Apr'!$D:$I,1,0)</f>
        <v>#N/A</v>
      </c>
      <c r="L1478" t="e">
        <f>VLOOKUP(A1478,'TV Apr Prorated Billing Sites'!$A:$I,1,0)</f>
        <v>#N/A</v>
      </c>
    </row>
    <row r="1479" spans="1:13">
      <c r="A1479" t="str">
        <f t="shared" si="25"/>
        <v>76232569</v>
      </c>
      <c r="B1479" t="s">
        <v>4144</v>
      </c>
      <c r="C1479" t="s">
        <v>4145</v>
      </c>
      <c r="D1479">
        <v>76232569</v>
      </c>
      <c r="E1479">
        <v>2002206</v>
      </c>
      <c r="F1479" t="s">
        <v>39</v>
      </c>
      <c r="G1479">
        <v>400</v>
      </c>
      <c r="H1479" t="str">
        <f>VLOOKUP(A1479,'SV Child INS Apr'!$A:$H,1,0)</f>
        <v>76232569</v>
      </c>
      <c r="L1479" t="e">
        <f>VLOOKUP(A1479,'TV Apr Prorated Billing Sites'!$A:$I,1,0)</f>
        <v>#N/A</v>
      </c>
    </row>
    <row r="1480" spans="1:13">
      <c r="A1480" t="str">
        <f t="shared" si="25"/>
        <v>76232596</v>
      </c>
      <c r="B1480" t="s">
        <v>198</v>
      </c>
      <c r="C1480" t="s">
        <v>199</v>
      </c>
      <c r="D1480">
        <v>76232596</v>
      </c>
      <c r="E1480">
        <v>2500144</v>
      </c>
      <c r="F1480" t="s">
        <v>39</v>
      </c>
      <c r="G1480">
        <v>450</v>
      </c>
      <c r="H1480" t="e">
        <f>VLOOKUP(A1480,'SV Child INS Apr'!$A:$H,1,0)</f>
        <v>#N/A</v>
      </c>
      <c r="I1480" t="e">
        <f>VLOOKUP(B1480,'SV Child INS Apr'!$D:$F,1,0)</f>
        <v>#N/A</v>
      </c>
      <c r="J1480" t="e">
        <f>VLOOKUP(A1480,'SV Child BLG Apr'!$A:$J,1,0)</f>
        <v>#N/A</v>
      </c>
      <c r="K1480" t="e">
        <f>VLOOKUP(B1480,'SV Child BLG Apr'!$D:$I,1,0)</f>
        <v>#N/A</v>
      </c>
      <c r="L1480" t="e">
        <f>VLOOKUP(A1480,'TV Apr Prorated Billing Sites'!$A:$I,1,0)</f>
        <v>#N/A</v>
      </c>
    </row>
    <row r="1481" spans="1:13">
      <c r="A1481" t="str">
        <f t="shared" si="25"/>
        <v>76232628</v>
      </c>
      <c r="B1481" t="s">
        <v>4146</v>
      </c>
      <c r="C1481" t="s">
        <v>4147</v>
      </c>
      <c r="D1481">
        <v>76232628</v>
      </c>
      <c r="E1481">
        <v>2502893</v>
      </c>
      <c r="F1481" t="s">
        <v>39</v>
      </c>
      <c r="G1481">
        <v>300</v>
      </c>
      <c r="H1481" t="str">
        <f>VLOOKUP(A1481,'SV Child INS Apr'!$A:$H,1,0)</f>
        <v>76232628</v>
      </c>
      <c r="L1481" t="e">
        <f>VLOOKUP(A1481,'TV Apr Prorated Billing Sites'!$A:$I,1,0)</f>
        <v>#N/A</v>
      </c>
    </row>
    <row r="1482" spans="1:13">
      <c r="A1482" t="str">
        <f t="shared" si="25"/>
        <v>76232632</v>
      </c>
      <c r="B1482" t="s">
        <v>4148</v>
      </c>
      <c r="C1482" t="s">
        <v>4149</v>
      </c>
      <c r="D1482">
        <v>76232632</v>
      </c>
      <c r="E1482">
        <v>3001981</v>
      </c>
      <c r="F1482" t="s">
        <v>39</v>
      </c>
      <c r="G1482">
        <v>300</v>
      </c>
      <c r="H1482" t="str">
        <f>VLOOKUP(A1482,'SV Child INS Apr'!$A:$H,1,0)</f>
        <v>76232632</v>
      </c>
      <c r="L1482" t="e">
        <f>VLOOKUP(A1482,'TV Apr Prorated Billing Sites'!$A:$I,1,0)</f>
        <v>#N/A</v>
      </c>
    </row>
    <row r="1483" spans="1:13">
      <c r="A1483" t="str">
        <f t="shared" si="25"/>
        <v>76232815</v>
      </c>
      <c r="B1483" t="s">
        <v>201</v>
      </c>
      <c r="C1483" t="s">
        <v>202</v>
      </c>
      <c r="D1483">
        <v>76232815</v>
      </c>
      <c r="E1483">
        <v>0</v>
      </c>
      <c r="F1483" t="s">
        <v>39</v>
      </c>
      <c r="G1483">
        <v>400</v>
      </c>
      <c r="H1483" t="e">
        <f>VLOOKUP(A1483,'SV Child INS Apr'!$A:$H,1,0)</f>
        <v>#N/A</v>
      </c>
      <c r="I1483" t="e">
        <f>VLOOKUP(B1483,'SV Child INS Apr'!$D:$F,1,0)</f>
        <v>#N/A</v>
      </c>
      <c r="J1483" t="e">
        <f>VLOOKUP(A1483,'SV Child BLG Apr'!$A:$J,1,0)</f>
        <v>#N/A</v>
      </c>
      <c r="K1483" t="e">
        <f>VLOOKUP(B1483,'SV Child BLG Apr'!$D:$I,1,0)</f>
        <v>#N/A</v>
      </c>
      <c r="L1483" t="e">
        <f>VLOOKUP(A1483,'TV Apr Prorated Billing Sites'!$A:$I,1,0)</f>
        <v>#N/A</v>
      </c>
    </row>
    <row r="1484" spans="1:13">
      <c r="A1484" t="str">
        <f t="shared" si="25"/>
        <v>76232864</v>
      </c>
      <c r="B1484" t="s">
        <v>4150</v>
      </c>
      <c r="C1484" t="s">
        <v>4151</v>
      </c>
      <c r="D1484">
        <v>76232864</v>
      </c>
      <c r="E1484">
        <v>8041</v>
      </c>
      <c r="F1484" t="s">
        <v>39</v>
      </c>
      <c r="G1484">
        <v>300</v>
      </c>
      <c r="H1484" t="str">
        <f>VLOOKUP(A1484,'SV Child INS Apr'!$A:$H,1,0)</f>
        <v>76232864</v>
      </c>
      <c r="L1484" t="e">
        <f>VLOOKUP(A1484,'TV Apr Prorated Billing Sites'!$A:$I,1,0)</f>
        <v>#N/A</v>
      </c>
    </row>
    <row r="1485" spans="1:13">
      <c r="A1485" t="str">
        <f t="shared" si="25"/>
        <v>76232989</v>
      </c>
      <c r="B1485" t="s">
        <v>4152</v>
      </c>
      <c r="C1485" t="s">
        <v>4153</v>
      </c>
      <c r="D1485">
        <v>76232989</v>
      </c>
      <c r="E1485">
        <v>2502719</v>
      </c>
      <c r="F1485" t="s">
        <v>39</v>
      </c>
      <c r="G1485">
        <v>300</v>
      </c>
      <c r="H1485" t="str">
        <f>VLOOKUP(A1485,'SV Child INS Apr'!$A:$H,1,0)</f>
        <v>76232989</v>
      </c>
      <c r="L1485" t="e">
        <f>VLOOKUP(A1485,'TV Apr Prorated Billing Sites'!$A:$I,1,0)</f>
        <v>#N/A</v>
      </c>
    </row>
    <row r="1486" spans="1:13">
      <c r="A1486" t="str">
        <f t="shared" si="25"/>
        <v>76232990</v>
      </c>
      <c r="B1486" t="s">
        <v>4154</v>
      </c>
      <c r="C1486" t="s">
        <v>4155</v>
      </c>
      <c r="D1486">
        <v>76232990</v>
      </c>
      <c r="E1486">
        <v>2502714</v>
      </c>
      <c r="F1486" t="s">
        <v>39</v>
      </c>
      <c r="G1486">
        <v>300</v>
      </c>
      <c r="H1486" t="str">
        <f>VLOOKUP(A1486,'SV Child INS Apr'!$A:$H,1,0)</f>
        <v>76232990</v>
      </c>
      <c r="L1486" t="e">
        <f>VLOOKUP(A1486,'TV Apr Prorated Billing Sites'!$A:$I,1,0)</f>
        <v>#N/A</v>
      </c>
    </row>
    <row r="1487" spans="1:13">
      <c r="A1487" t="str">
        <f t="shared" si="25"/>
        <v>76233044</v>
      </c>
      <c r="B1487" t="s">
        <v>4156</v>
      </c>
      <c r="C1487" t="s">
        <v>4157</v>
      </c>
      <c r="D1487">
        <v>76233044</v>
      </c>
      <c r="E1487">
        <v>2502072</v>
      </c>
      <c r="F1487" t="s">
        <v>39</v>
      </c>
      <c r="G1487">
        <v>300</v>
      </c>
      <c r="H1487" t="str">
        <f>VLOOKUP(A1487,'SV Child INS Apr'!$A:$H,1,0)</f>
        <v>76233044</v>
      </c>
      <c r="L1487" t="e">
        <f>VLOOKUP(A1487,'TV Apr Prorated Billing Sites'!$A:$I,1,0)</f>
        <v>#N/A</v>
      </c>
    </row>
    <row r="1488" spans="1:13">
      <c r="A1488" t="str">
        <f t="shared" si="25"/>
        <v>76233048</v>
      </c>
      <c r="B1488" t="s">
        <v>204</v>
      </c>
      <c r="C1488" t="s">
        <v>205</v>
      </c>
      <c r="D1488">
        <v>76233048</v>
      </c>
      <c r="E1488">
        <v>2002132</v>
      </c>
      <c r="F1488" t="s">
        <v>39</v>
      </c>
      <c r="G1488">
        <v>450</v>
      </c>
      <c r="H1488" t="e">
        <f>VLOOKUP(A1488,'SV Child INS Apr'!$A:$H,1,0)</f>
        <v>#N/A</v>
      </c>
      <c r="I1488" t="e">
        <f>VLOOKUP(B1488,'SV Child INS Apr'!$D:$F,1,0)</f>
        <v>#N/A</v>
      </c>
      <c r="J1488" t="e">
        <f>VLOOKUP(A1488,'SV Child BLG Apr'!$A:$J,1,0)</f>
        <v>#N/A</v>
      </c>
      <c r="K1488" t="e">
        <f>VLOOKUP(B1488,'SV Child BLG Apr'!$D:$I,1,0)</f>
        <v>#N/A</v>
      </c>
      <c r="L1488" t="e">
        <f>VLOOKUP(A1488,'TV Apr Prorated Billing Sites'!$A:$I,1,0)</f>
        <v>#N/A</v>
      </c>
    </row>
    <row r="1489" spans="1:13">
      <c r="A1489" t="str">
        <f t="shared" si="25"/>
        <v>76233198</v>
      </c>
      <c r="B1489" t="s">
        <v>667</v>
      </c>
      <c r="C1489" t="s">
        <v>668</v>
      </c>
      <c r="D1489">
        <v>76233198</v>
      </c>
      <c r="E1489">
        <v>3002958</v>
      </c>
      <c r="F1489" t="s">
        <v>39</v>
      </c>
      <c r="G1489">
        <v>300</v>
      </c>
      <c r="H1489" t="e">
        <f>VLOOKUP(A1489,'SV Child INS Apr'!$A:$H,1,0)</f>
        <v>#N/A</v>
      </c>
      <c r="I1489" t="e">
        <f>VLOOKUP(B1489,'SV Child INS Apr'!$D:$F,1,0)</f>
        <v>#N/A</v>
      </c>
      <c r="J1489" t="str">
        <f>VLOOKUP(A1489,'SV Child BLG Apr'!$A:$J,1,0)</f>
        <v>76233198</v>
      </c>
      <c r="L1489" t="str">
        <f>VLOOKUP(A1489,'TV Apr Prorated Billing Sites'!$A:$I,1,0)</f>
        <v>76233198</v>
      </c>
      <c r="M1489" t="e">
        <f>VLOOKUP(A1489,'CDK asked to retain list'!$H$1:$J$24,1,0)</f>
        <v>#N/A</v>
      </c>
    </row>
    <row r="1490" spans="1:13">
      <c r="A1490" t="str">
        <f t="shared" si="25"/>
        <v>76233199</v>
      </c>
      <c r="B1490" t="s">
        <v>4158</v>
      </c>
      <c r="C1490" t="s">
        <v>4159</v>
      </c>
      <c r="D1490">
        <v>76233199</v>
      </c>
      <c r="E1490">
        <v>3002934</v>
      </c>
      <c r="F1490" t="s">
        <v>39</v>
      </c>
      <c r="G1490">
        <v>300</v>
      </c>
      <c r="H1490" t="str">
        <f>VLOOKUP(A1490,'SV Child INS Apr'!$A:$H,1,0)</f>
        <v>76233199</v>
      </c>
      <c r="L1490" t="str">
        <f>VLOOKUP(A1490,'TV Apr Prorated Billing Sites'!$A:$I,1,0)</f>
        <v>76233199</v>
      </c>
    </row>
    <row r="1491" spans="1:13">
      <c r="A1491" t="str">
        <f t="shared" si="25"/>
        <v>76233204</v>
      </c>
      <c r="B1491" t="s">
        <v>4160</v>
      </c>
      <c r="C1491" t="s">
        <v>4161</v>
      </c>
      <c r="D1491">
        <v>76233204</v>
      </c>
      <c r="E1491">
        <v>2503308</v>
      </c>
      <c r="F1491" t="s">
        <v>39</v>
      </c>
      <c r="G1491">
        <v>300</v>
      </c>
      <c r="H1491" t="str">
        <f>VLOOKUP(A1491,'SV Child INS Apr'!$A:$H,1,0)</f>
        <v>76233204</v>
      </c>
      <c r="L1491" t="e">
        <f>VLOOKUP(A1491,'TV Apr Prorated Billing Sites'!$A:$I,1,0)</f>
        <v>#N/A</v>
      </c>
    </row>
    <row r="1492" spans="1:13">
      <c r="A1492" t="str">
        <f t="shared" si="25"/>
        <v>76233205</v>
      </c>
      <c r="B1492" t="s">
        <v>4162</v>
      </c>
      <c r="C1492" t="s">
        <v>4163</v>
      </c>
      <c r="D1492">
        <v>76233205</v>
      </c>
      <c r="E1492">
        <v>2503283</v>
      </c>
      <c r="F1492" t="s">
        <v>39</v>
      </c>
      <c r="G1492">
        <v>400</v>
      </c>
      <c r="H1492" t="str">
        <f>VLOOKUP(A1492,'SV Child INS Apr'!$A:$H,1,0)</f>
        <v>76233205</v>
      </c>
      <c r="L1492" t="e">
        <f>VLOOKUP(A1492,'TV Apr Prorated Billing Sites'!$A:$I,1,0)</f>
        <v>#N/A</v>
      </c>
    </row>
    <row r="1493" spans="1:13">
      <c r="A1493" t="str">
        <f t="shared" si="25"/>
        <v>76233242</v>
      </c>
      <c r="B1493" t="s">
        <v>207</v>
      </c>
      <c r="C1493" t="s">
        <v>208</v>
      </c>
      <c r="D1493">
        <v>76233242</v>
      </c>
      <c r="E1493">
        <v>0</v>
      </c>
      <c r="F1493" t="s">
        <v>39</v>
      </c>
      <c r="G1493">
        <v>400</v>
      </c>
      <c r="H1493" t="e">
        <f>VLOOKUP(A1493,'SV Child INS Apr'!$A:$H,1,0)</f>
        <v>#N/A</v>
      </c>
      <c r="I1493" t="e">
        <f>VLOOKUP(B1493,'SV Child INS Apr'!$D:$F,1,0)</f>
        <v>#N/A</v>
      </c>
      <c r="J1493" t="e">
        <f>VLOOKUP(A1493,'SV Child BLG Apr'!$A:$J,1,0)</f>
        <v>#N/A</v>
      </c>
      <c r="K1493" t="e">
        <f>VLOOKUP(B1493,'SV Child BLG Apr'!$D:$I,1,0)</f>
        <v>#N/A</v>
      </c>
      <c r="L1493" t="e">
        <f>VLOOKUP(A1493,'TV Apr Prorated Billing Sites'!$A:$I,1,0)</f>
        <v>#N/A</v>
      </c>
    </row>
    <row r="1494" spans="1:13">
      <c r="A1494" t="str">
        <f t="shared" si="25"/>
        <v>76233403</v>
      </c>
      <c r="B1494" t="s">
        <v>4164</v>
      </c>
      <c r="C1494" t="s">
        <v>4165</v>
      </c>
      <c r="D1494">
        <v>76233403</v>
      </c>
      <c r="E1494">
        <v>2002672</v>
      </c>
      <c r="F1494" t="s">
        <v>39</v>
      </c>
      <c r="G1494">
        <v>400</v>
      </c>
      <c r="H1494" t="str">
        <f>VLOOKUP(A1494,'SV Child INS Apr'!$A:$H,1,0)</f>
        <v>76233403</v>
      </c>
      <c r="L1494" t="e">
        <f>VLOOKUP(A1494,'TV Apr Prorated Billing Sites'!$A:$I,1,0)</f>
        <v>#N/A</v>
      </c>
    </row>
    <row r="1495" spans="1:13">
      <c r="A1495" t="str">
        <f t="shared" si="25"/>
        <v>76233409</v>
      </c>
      <c r="B1495" t="s">
        <v>4166</v>
      </c>
      <c r="C1495" t="s">
        <v>4167</v>
      </c>
      <c r="D1495">
        <v>76233409</v>
      </c>
      <c r="E1495">
        <v>2002648</v>
      </c>
      <c r="F1495" t="s">
        <v>39</v>
      </c>
      <c r="G1495">
        <v>400</v>
      </c>
      <c r="H1495" t="str">
        <f>VLOOKUP(A1495,'SV Child INS Apr'!$A:$H,1,0)</f>
        <v>76233409</v>
      </c>
      <c r="L1495" t="e">
        <f>VLOOKUP(A1495,'TV Apr Prorated Billing Sites'!$A:$I,1,0)</f>
        <v>#N/A</v>
      </c>
    </row>
    <row r="1496" spans="1:13">
      <c r="A1496" t="str">
        <f t="shared" si="25"/>
        <v>76233410</v>
      </c>
      <c r="B1496" t="s">
        <v>4168</v>
      </c>
      <c r="C1496" t="s">
        <v>4169</v>
      </c>
      <c r="D1496">
        <v>76233410</v>
      </c>
      <c r="E1496">
        <v>2002665</v>
      </c>
      <c r="F1496" t="s">
        <v>39</v>
      </c>
      <c r="G1496">
        <v>400</v>
      </c>
      <c r="H1496" t="str">
        <f>VLOOKUP(A1496,'SV Child INS Apr'!$A:$H,1,0)</f>
        <v>76233410</v>
      </c>
      <c r="L1496" t="e">
        <f>VLOOKUP(A1496,'TV Apr Prorated Billing Sites'!$A:$I,1,0)</f>
        <v>#N/A</v>
      </c>
    </row>
    <row r="1497" spans="1:13">
      <c r="A1497" t="str">
        <f t="shared" si="25"/>
        <v>76233579</v>
      </c>
      <c r="B1497" t="s">
        <v>4170</v>
      </c>
      <c r="C1497" t="s">
        <v>4171</v>
      </c>
      <c r="D1497">
        <v>76233579</v>
      </c>
      <c r="E1497">
        <v>2503574</v>
      </c>
      <c r="F1497" t="s">
        <v>39</v>
      </c>
      <c r="G1497">
        <v>300</v>
      </c>
      <c r="H1497" t="str">
        <f>VLOOKUP(A1497,'SV Child INS Apr'!$A:$H,1,0)</f>
        <v>76233579</v>
      </c>
      <c r="L1497" t="e">
        <f>VLOOKUP(A1497,'TV Apr Prorated Billing Sites'!$A:$I,1,0)</f>
        <v>#N/A</v>
      </c>
    </row>
    <row r="1498" spans="1:13">
      <c r="A1498" t="str">
        <f t="shared" si="25"/>
        <v>76233585</v>
      </c>
      <c r="B1498" t="s">
        <v>4172</v>
      </c>
      <c r="C1498" t="s">
        <v>4173</v>
      </c>
      <c r="D1498">
        <v>76233585</v>
      </c>
      <c r="E1498">
        <v>3000123</v>
      </c>
      <c r="F1498" t="s">
        <v>39</v>
      </c>
      <c r="G1498">
        <v>300</v>
      </c>
      <c r="H1498" t="str">
        <f>VLOOKUP(A1498,'SV Child INS Apr'!$A:$H,1,0)</f>
        <v>76233585</v>
      </c>
      <c r="L1498" t="e">
        <f>VLOOKUP(A1498,'TV Apr Prorated Billing Sites'!$A:$I,1,0)</f>
        <v>#N/A</v>
      </c>
    </row>
    <row r="1499" spans="1:13">
      <c r="A1499" t="str">
        <f t="shared" si="25"/>
        <v>76233592</v>
      </c>
      <c r="B1499" t="s">
        <v>4174</v>
      </c>
      <c r="C1499" t="s">
        <v>4175</v>
      </c>
      <c r="D1499">
        <v>76233592</v>
      </c>
      <c r="E1499">
        <v>3000122</v>
      </c>
      <c r="F1499" t="s">
        <v>39</v>
      </c>
      <c r="G1499">
        <v>300</v>
      </c>
      <c r="H1499" t="str">
        <f>VLOOKUP(A1499,'SV Child INS Apr'!$A:$H,1,0)</f>
        <v>76233592</v>
      </c>
      <c r="L1499" t="e">
        <f>VLOOKUP(A1499,'TV Apr Prorated Billing Sites'!$A:$I,1,0)</f>
        <v>#N/A</v>
      </c>
    </row>
    <row r="1500" spans="1:13">
      <c r="A1500" t="str">
        <f t="shared" si="25"/>
        <v>76233618</v>
      </c>
      <c r="B1500" t="s">
        <v>4176</v>
      </c>
      <c r="C1500" t="s">
        <v>4177</v>
      </c>
      <c r="D1500">
        <v>76233618</v>
      </c>
      <c r="E1500">
        <v>2503195</v>
      </c>
      <c r="F1500" t="s">
        <v>39</v>
      </c>
      <c r="G1500">
        <v>300</v>
      </c>
      <c r="H1500" t="str">
        <f>VLOOKUP(A1500,'SV Child INS Apr'!$A:$H,1,0)</f>
        <v>76233618</v>
      </c>
      <c r="L1500" t="e">
        <f>VLOOKUP(A1500,'TV Apr Prorated Billing Sites'!$A:$I,1,0)</f>
        <v>#N/A</v>
      </c>
    </row>
    <row r="1501" spans="1:13">
      <c r="A1501" t="str">
        <f t="shared" si="25"/>
        <v>76233631</v>
      </c>
      <c r="B1501" t="s">
        <v>4178</v>
      </c>
      <c r="C1501" t="s">
        <v>4179</v>
      </c>
      <c r="D1501">
        <v>76233631</v>
      </c>
      <c r="E1501">
        <v>2502802</v>
      </c>
      <c r="F1501" t="s">
        <v>39</v>
      </c>
      <c r="G1501">
        <v>300</v>
      </c>
      <c r="H1501" t="str">
        <f>VLOOKUP(A1501,'SV Child INS Apr'!$A:$H,1,0)</f>
        <v>76233631</v>
      </c>
      <c r="L1501" t="e">
        <f>VLOOKUP(A1501,'TV Apr Prorated Billing Sites'!$A:$I,1,0)</f>
        <v>#N/A</v>
      </c>
    </row>
    <row r="1502" spans="1:13">
      <c r="A1502" t="str">
        <f t="shared" si="25"/>
        <v>76233633</v>
      </c>
      <c r="B1502" t="s">
        <v>4180</v>
      </c>
      <c r="C1502" t="s">
        <v>4181</v>
      </c>
      <c r="D1502">
        <v>76233633</v>
      </c>
      <c r="E1502">
        <v>2502788</v>
      </c>
      <c r="F1502" t="s">
        <v>39</v>
      </c>
      <c r="G1502">
        <v>300</v>
      </c>
      <c r="H1502" t="str">
        <f>VLOOKUP(A1502,'SV Child INS Apr'!$A:$H,1,0)</f>
        <v>76233633</v>
      </c>
      <c r="L1502" t="e">
        <f>VLOOKUP(A1502,'TV Apr Prorated Billing Sites'!$A:$I,1,0)</f>
        <v>#N/A</v>
      </c>
    </row>
    <row r="1503" spans="1:13">
      <c r="A1503" t="str">
        <f t="shared" si="25"/>
        <v>76233741</v>
      </c>
      <c r="B1503" t="s">
        <v>4182</v>
      </c>
      <c r="C1503" t="s">
        <v>4183</v>
      </c>
      <c r="D1503">
        <v>76233741</v>
      </c>
      <c r="E1503">
        <v>2002193</v>
      </c>
      <c r="F1503" t="s">
        <v>39</v>
      </c>
      <c r="G1503">
        <v>400</v>
      </c>
      <c r="H1503" t="str">
        <f>VLOOKUP(A1503,'SV Child INS Apr'!$A:$H,1,0)</f>
        <v>76233741</v>
      </c>
      <c r="L1503" t="e">
        <f>VLOOKUP(A1503,'TV Apr Prorated Billing Sites'!$A:$I,1,0)</f>
        <v>#N/A</v>
      </c>
    </row>
    <row r="1504" spans="1:13">
      <c r="A1504" t="str">
        <f t="shared" si="25"/>
        <v>76233833</v>
      </c>
      <c r="B1504" t="s">
        <v>670</v>
      </c>
      <c r="C1504" t="s">
        <v>671</v>
      </c>
      <c r="D1504">
        <v>76233833</v>
      </c>
      <c r="E1504">
        <v>2002292</v>
      </c>
      <c r="F1504" t="s">
        <v>39</v>
      </c>
      <c r="G1504">
        <v>300</v>
      </c>
      <c r="H1504" t="e">
        <f>VLOOKUP(A1504,'SV Child INS Apr'!$A:$H,1,0)</f>
        <v>#N/A</v>
      </c>
      <c r="I1504" t="e">
        <f>VLOOKUP(B1504,'SV Child INS Apr'!$D:$F,1,0)</f>
        <v>#N/A</v>
      </c>
      <c r="J1504" t="str">
        <f>VLOOKUP(A1504,'SV Child BLG Apr'!$A:$J,1,0)</f>
        <v>76233833</v>
      </c>
      <c r="L1504" t="e">
        <f>VLOOKUP(A1504,'TV Apr Prorated Billing Sites'!$A:$I,1,0)</f>
        <v>#N/A</v>
      </c>
      <c r="M1504" t="e">
        <f>VLOOKUP(A1504,'CDK asked to retain list'!$H$1:$J$24,1,0)</f>
        <v>#N/A</v>
      </c>
    </row>
    <row r="1505" spans="1:13">
      <c r="A1505" t="str">
        <f t="shared" si="25"/>
        <v>76233858</v>
      </c>
      <c r="B1505" t="s">
        <v>4184</v>
      </c>
      <c r="C1505" t="s">
        <v>4185</v>
      </c>
      <c r="D1505">
        <v>76233858</v>
      </c>
      <c r="E1505">
        <v>2003127</v>
      </c>
      <c r="F1505" t="s">
        <v>39</v>
      </c>
      <c r="G1505">
        <v>300</v>
      </c>
      <c r="H1505" t="str">
        <f>VLOOKUP(A1505,'SV Child INS Apr'!$A:$H,1,0)</f>
        <v>76233858</v>
      </c>
      <c r="L1505" t="e">
        <f>VLOOKUP(A1505,'TV Apr Prorated Billing Sites'!$A:$I,1,0)</f>
        <v>#N/A</v>
      </c>
    </row>
    <row r="1506" spans="1:13">
      <c r="A1506" t="str">
        <f t="shared" si="25"/>
        <v>76233981</v>
      </c>
      <c r="B1506" t="s">
        <v>4186</v>
      </c>
      <c r="C1506" t="s">
        <v>4187</v>
      </c>
      <c r="D1506">
        <v>76233981</v>
      </c>
      <c r="E1506">
        <v>2002216</v>
      </c>
      <c r="F1506" t="s">
        <v>39</v>
      </c>
      <c r="G1506">
        <v>300</v>
      </c>
      <c r="H1506" t="str">
        <f>VLOOKUP(A1506,'SV Child INS Apr'!$A:$H,1,0)</f>
        <v>76233981</v>
      </c>
      <c r="L1506" t="e">
        <f>VLOOKUP(A1506,'TV Apr Prorated Billing Sites'!$A:$I,1,0)</f>
        <v>#N/A</v>
      </c>
    </row>
    <row r="1507" spans="1:13">
      <c r="A1507" t="str">
        <f t="shared" si="25"/>
        <v>76234095</v>
      </c>
      <c r="B1507" t="s">
        <v>4188</v>
      </c>
      <c r="C1507" t="s">
        <v>4189</v>
      </c>
      <c r="D1507">
        <v>76234095</v>
      </c>
      <c r="E1507">
        <v>0</v>
      </c>
      <c r="F1507" t="s">
        <v>39</v>
      </c>
      <c r="G1507">
        <v>400</v>
      </c>
      <c r="H1507" t="str">
        <f>VLOOKUP(A1507,'SV Child INS Apr'!$A:$H,1,0)</f>
        <v>76234095</v>
      </c>
      <c r="L1507" t="e">
        <f>VLOOKUP(A1507,'TV Apr Prorated Billing Sites'!$A:$I,1,0)</f>
        <v>#N/A</v>
      </c>
    </row>
    <row r="1508" spans="1:13">
      <c r="A1508" t="str">
        <f t="shared" si="25"/>
        <v>76234114</v>
      </c>
      <c r="B1508" t="s">
        <v>4190</v>
      </c>
      <c r="C1508" t="s">
        <v>4191</v>
      </c>
      <c r="D1508">
        <v>76234114</v>
      </c>
      <c r="E1508">
        <v>2002509</v>
      </c>
      <c r="F1508" t="s">
        <v>39</v>
      </c>
      <c r="G1508">
        <v>300</v>
      </c>
      <c r="H1508" t="str">
        <f>VLOOKUP(A1508,'SV Child INS Apr'!$A:$H,1,0)</f>
        <v>76234114</v>
      </c>
      <c r="L1508" t="e">
        <f>VLOOKUP(A1508,'TV Apr Prorated Billing Sites'!$A:$I,1,0)</f>
        <v>#N/A</v>
      </c>
    </row>
    <row r="1509" spans="1:13">
      <c r="A1509" t="str">
        <f t="shared" si="25"/>
        <v>76234206</v>
      </c>
      <c r="B1509" t="s">
        <v>210</v>
      </c>
      <c r="C1509" t="s">
        <v>211</v>
      </c>
      <c r="D1509">
        <v>76234206</v>
      </c>
      <c r="E1509">
        <v>2003022</v>
      </c>
      <c r="F1509" t="s">
        <v>39</v>
      </c>
      <c r="G1509">
        <v>300</v>
      </c>
      <c r="H1509" t="e">
        <f>VLOOKUP(A1509,'SV Child INS Apr'!$A:$H,1,0)</f>
        <v>#N/A</v>
      </c>
      <c r="I1509" t="e">
        <f>VLOOKUP(B1509,'SV Child INS Apr'!$D:$F,1,0)</f>
        <v>#N/A</v>
      </c>
      <c r="J1509" t="e">
        <f>VLOOKUP(A1509,'SV Child BLG Apr'!$A:$J,1,0)</f>
        <v>#N/A</v>
      </c>
      <c r="K1509" t="e">
        <f>VLOOKUP(B1509,'SV Child BLG Apr'!$D:$I,1,0)</f>
        <v>#N/A</v>
      </c>
      <c r="L1509" t="e">
        <f>VLOOKUP(A1509,'TV Apr Prorated Billing Sites'!$A:$I,1,0)</f>
        <v>#N/A</v>
      </c>
    </row>
    <row r="1510" spans="1:13">
      <c r="A1510" t="str">
        <f t="shared" si="25"/>
        <v>76234233</v>
      </c>
      <c r="B1510" t="s">
        <v>4192</v>
      </c>
      <c r="C1510" t="s">
        <v>4193</v>
      </c>
      <c r="D1510">
        <v>76234233</v>
      </c>
      <c r="E1510">
        <v>3000874</v>
      </c>
      <c r="F1510" t="s">
        <v>39</v>
      </c>
      <c r="G1510">
        <v>300</v>
      </c>
      <c r="H1510" t="str">
        <f>VLOOKUP(A1510,'SV Child INS Apr'!$A:$H,1,0)</f>
        <v>76234233</v>
      </c>
      <c r="L1510" t="e">
        <f>VLOOKUP(A1510,'TV Apr Prorated Billing Sites'!$A:$I,1,0)</f>
        <v>#N/A</v>
      </c>
    </row>
    <row r="1511" spans="1:13">
      <c r="A1511" t="str">
        <f t="shared" si="25"/>
        <v>76234267</v>
      </c>
      <c r="B1511" t="s">
        <v>4194</v>
      </c>
      <c r="C1511" t="s">
        <v>4195</v>
      </c>
      <c r="D1511">
        <v>76234267</v>
      </c>
      <c r="E1511" t="s">
        <v>438</v>
      </c>
      <c r="F1511" t="s">
        <v>39</v>
      </c>
      <c r="G1511">
        <v>300</v>
      </c>
      <c r="H1511" t="str">
        <f>VLOOKUP(A1511,'SV Child INS Apr'!$A:$H,1,0)</f>
        <v>76234267</v>
      </c>
      <c r="L1511" t="e">
        <f>VLOOKUP(A1511,'TV Apr Prorated Billing Sites'!$A:$I,1,0)</f>
        <v>#N/A</v>
      </c>
    </row>
    <row r="1512" spans="1:13">
      <c r="A1512" t="str">
        <f t="shared" si="25"/>
        <v>76234273</v>
      </c>
      <c r="B1512" t="s">
        <v>4196</v>
      </c>
      <c r="C1512" t="s">
        <v>4197</v>
      </c>
      <c r="D1512">
        <v>76234273</v>
      </c>
      <c r="E1512">
        <v>2002316</v>
      </c>
      <c r="F1512" t="s">
        <v>39</v>
      </c>
      <c r="G1512">
        <v>450</v>
      </c>
      <c r="H1512" t="str">
        <f>VLOOKUP(A1512,'SV Child INS Apr'!$A:$H,1,0)</f>
        <v>76234273</v>
      </c>
      <c r="L1512" t="e">
        <f>VLOOKUP(A1512,'TV Apr Prorated Billing Sites'!$A:$I,1,0)</f>
        <v>#N/A</v>
      </c>
    </row>
    <row r="1513" spans="1:13">
      <c r="A1513" t="str">
        <f t="shared" ref="A1513:A1576" si="26">TRIM(D1513)</f>
        <v>76234275</v>
      </c>
      <c r="B1513" t="s">
        <v>213</v>
      </c>
      <c r="C1513" t="s">
        <v>214</v>
      </c>
      <c r="D1513">
        <v>76234275</v>
      </c>
      <c r="E1513">
        <v>0</v>
      </c>
      <c r="F1513" t="s">
        <v>39</v>
      </c>
      <c r="G1513">
        <v>400</v>
      </c>
      <c r="H1513" t="e">
        <f>VLOOKUP(A1513,'SV Child INS Apr'!$A:$H,1,0)</f>
        <v>#N/A</v>
      </c>
      <c r="I1513" t="e">
        <f>VLOOKUP(B1513,'SV Child INS Apr'!$D:$F,1,0)</f>
        <v>#N/A</v>
      </c>
      <c r="J1513" t="e">
        <f>VLOOKUP(A1513,'SV Child BLG Apr'!$A:$J,1,0)</f>
        <v>#N/A</v>
      </c>
      <c r="K1513" t="e">
        <f>VLOOKUP(B1513,'SV Child BLG Apr'!$D:$I,1,0)</f>
        <v>#N/A</v>
      </c>
      <c r="L1513" t="e">
        <f>VLOOKUP(A1513,'TV Apr Prorated Billing Sites'!$A:$I,1,0)</f>
        <v>#N/A</v>
      </c>
    </row>
    <row r="1514" spans="1:13">
      <c r="A1514" t="str">
        <f t="shared" si="26"/>
        <v>76234346</v>
      </c>
      <c r="B1514" t="s">
        <v>673</v>
      </c>
      <c r="C1514" t="s">
        <v>674</v>
      </c>
      <c r="D1514">
        <v>76234346</v>
      </c>
      <c r="E1514">
        <v>2002231</v>
      </c>
      <c r="F1514" t="s">
        <v>39</v>
      </c>
      <c r="G1514">
        <v>300</v>
      </c>
      <c r="H1514" t="e">
        <f>VLOOKUP(A1514,'SV Child INS Apr'!$A:$H,1,0)</f>
        <v>#N/A</v>
      </c>
      <c r="I1514" t="e">
        <f>VLOOKUP(B1514,'SV Child INS Apr'!$D:$F,1,0)</f>
        <v>#N/A</v>
      </c>
      <c r="J1514" t="str">
        <f>VLOOKUP(A1514,'SV Child BLG Apr'!$A:$J,1,0)</f>
        <v>76234346</v>
      </c>
      <c r="L1514" t="e">
        <f>VLOOKUP(A1514,'TV Apr Prorated Billing Sites'!$A:$I,1,0)</f>
        <v>#N/A</v>
      </c>
      <c r="M1514" t="e">
        <f>VLOOKUP(A1514,'CDK asked to retain list'!$H$1:$J$24,1,0)</f>
        <v>#N/A</v>
      </c>
    </row>
    <row r="1515" spans="1:13">
      <c r="A1515" t="str">
        <f t="shared" si="26"/>
        <v>76234387</v>
      </c>
      <c r="B1515" t="s">
        <v>4198</v>
      </c>
      <c r="C1515" t="s">
        <v>4199</v>
      </c>
      <c r="D1515">
        <v>76234387</v>
      </c>
      <c r="E1515">
        <v>2002403</v>
      </c>
      <c r="F1515" t="s">
        <v>39</v>
      </c>
      <c r="G1515">
        <v>300</v>
      </c>
      <c r="H1515" t="str">
        <f>VLOOKUP(A1515,'SV Child INS Apr'!$A:$H,1,0)</f>
        <v>76234387</v>
      </c>
      <c r="L1515" t="e">
        <f>VLOOKUP(A1515,'TV Apr Prorated Billing Sites'!$A:$I,1,0)</f>
        <v>#N/A</v>
      </c>
    </row>
    <row r="1516" spans="1:13">
      <c r="A1516" t="str">
        <f t="shared" si="26"/>
        <v>76234704</v>
      </c>
      <c r="B1516" t="s">
        <v>4200</v>
      </c>
      <c r="C1516" t="s">
        <v>4201</v>
      </c>
      <c r="D1516">
        <v>76234704</v>
      </c>
      <c r="E1516">
        <v>2002603</v>
      </c>
      <c r="F1516" t="s">
        <v>39</v>
      </c>
      <c r="G1516">
        <v>300</v>
      </c>
      <c r="H1516" t="str">
        <f>VLOOKUP(A1516,'SV Child INS Apr'!$A:$H,1,0)</f>
        <v>76234704</v>
      </c>
      <c r="L1516" t="e">
        <f>VLOOKUP(A1516,'TV Apr Prorated Billing Sites'!$A:$I,1,0)</f>
        <v>#N/A</v>
      </c>
    </row>
    <row r="1517" spans="1:13">
      <c r="A1517" t="str">
        <f t="shared" si="26"/>
        <v>76234710</v>
      </c>
      <c r="B1517" t="s">
        <v>4202</v>
      </c>
      <c r="C1517" t="s">
        <v>4203</v>
      </c>
      <c r="D1517">
        <v>76234710</v>
      </c>
      <c r="E1517">
        <v>2600007</v>
      </c>
      <c r="F1517" t="s">
        <v>39</v>
      </c>
      <c r="G1517">
        <v>300</v>
      </c>
      <c r="H1517" t="str">
        <f>VLOOKUP(A1517,'SV Child INS Apr'!$A:$H,1,0)</f>
        <v>76234710</v>
      </c>
      <c r="L1517" t="e">
        <f>VLOOKUP(A1517,'TV Apr Prorated Billing Sites'!$A:$I,1,0)</f>
        <v>#N/A</v>
      </c>
    </row>
    <row r="1518" spans="1:13">
      <c r="A1518" t="str">
        <f t="shared" si="26"/>
        <v>76234711</v>
      </c>
      <c r="B1518" t="s">
        <v>4204</v>
      </c>
      <c r="C1518" t="s">
        <v>4205</v>
      </c>
      <c r="D1518">
        <v>76234711</v>
      </c>
      <c r="E1518">
        <v>2502957</v>
      </c>
      <c r="F1518" t="s">
        <v>39</v>
      </c>
      <c r="G1518">
        <v>300</v>
      </c>
      <c r="H1518" t="str">
        <f>VLOOKUP(A1518,'SV Child INS Apr'!$A:$H,1,0)</f>
        <v>76234711</v>
      </c>
      <c r="L1518" t="e">
        <f>VLOOKUP(A1518,'TV Apr Prorated Billing Sites'!$A:$I,1,0)</f>
        <v>#N/A</v>
      </c>
    </row>
    <row r="1519" spans="1:13">
      <c r="A1519" t="str">
        <f t="shared" si="26"/>
        <v>76234714</v>
      </c>
      <c r="B1519" t="s">
        <v>4206</v>
      </c>
      <c r="C1519" t="s">
        <v>4207</v>
      </c>
      <c r="D1519">
        <v>76234714</v>
      </c>
      <c r="E1519">
        <v>2002666</v>
      </c>
      <c r="F1519" t="s">
        <v>39</v>
      </c>
      <c r="G1519">
        <v>300</v>
      </c>
      <c r="H1519" t="str">
        <f>VLOOKUP(A1519,'SV Child INS Apr'!$A:$H,1,0)</f>
        <v>76234714</v>
      </c>
      <c r="L1519" t="e">
        <f>VLOOKUP(A1519,'TV Apr Prorated Billing Sites'!$A:$I,1,0)</f>
        <v>#N/A</v>
      </c>
    </row>
    <row r="1520" spans="1:13">
      <c r="A1520" t="str">
        <f t="shared" si="26"/>
        <v>76234722</v>
      </c>
      <c r="B1520" t="s">
        <v>4208</v>
      </c>
      <c r="C1520" t="s">
        <v>4209</v>
      </c>
      <c r="D1520">
        <v>76234722</v>
      </c>
      <c r="E1520">
        <v>2002827</v>
      </c>
      <c r="F1520" t="s">
        <v>39</v>
      </c>
      <c r="G1520">
        <v>300</v>
      </c>
      <c r="H1520" t="str">
        <f>VLOOKUP(A1520,'SV Child INS Apr'!$A:$H,1,0)</f>
        <v>76234722</v>
      </c>
      <c r="L1520" t="e">
        <f>VLOOKUP(A1520,'TV Apr Prorated Billing Sites'!$A:$I,1,0)</f>
        <v>#N/A</v>
      </c>
    </row>
    <row r="1521" spans="1:12">
      <c r="A1521" t="str">
        <f t="shared" si="26"/>
        <v>76234725</v>
      </c>
      <c r="B1521" t="s">
        <v>4210</v>
      </c>
      <c r="C1521" t="s">
        <v>4211</v>
      </c>
      <c r="D1521">
        <v>76234725</v>
      </c>
      <c r="E1521">
        <v>2002826</v>
      </c>
      <c r="F1521" t="s">
        <v>39</v>
      </c>
      <c r="G1521">
        <v>300</v>
      </c>
      <c r="H1521" t="str">
        <f>VLOOKUP(A1521,'SV Child INS Apr'!$A:$H,1,0)</f>
        <v>76234725</v>
      </c>
      <c r="L1521" t="e">
        <f>VLOOKUP(A1521,'TV Apr Prorated Billing Sites'!$A:$I,1,0)</f>
        <v>#N/A</v>
      </c>
    </row>
    <row r="1522" spans="1:12">
      <c r="A1522" t="str">
        <f t="shared" si="26"/>
        <v>76234731</v>
      </c>
      <c r="B1522" t="s">
        <v>4212</v>
      </c>
      <c r="C1522" t="s">
        <v>4213</v>
      </c>
      <c r="D1522">
        <v>76234731</v>
      </c>
      <c r="E1522">
        <v>2002825</v>
      </c>
      <c r="F1522" t="s">
        <v>39</v>
      </c>
      <c r="G1522">
        <v>300</v>
      </c>
      <c r="H1522" t="str">
        <f>VLOOKUP(A1522,'SV Child INS Apr'!$A:$H,1,0)</f>
        <v>76234731</v>
      </c>
      <c r="L1522" t="e">
        <f>VLOOKUP(A1522,'TV Apr Prorated Billing Sites'!$A:$I,1,0)</f>
        <v>#N/A</v>
      </c>
    </row>
    <row r="1523" spans="1:12">
      <c r="A1523" t="str">
        <f t="shared" si="26"/>
        <v>76234768</v>
      </c>
      <c r="B1523" t="s">
        <v>4214</v>
      </c>
      <c r="C1523" t="s">
        <v>4215</v>
      </c>
      <c r="D1523">
        <v>76234768</v>
      </c>
      <c r="E1523">
        <v>2503621</v>
      </c>
      <c r="F1523" t="s">
        <v>39</v>
      </c>
      <c r="G1523">
        <v>300</v>
      </c>
      <c r="H1523" t="str">
        <f>VLOOKUP(A1523,'SV Child INS Apr'!$A:$H,1,0)</f>
        <v>76234768</v>
      </c>
      <c r="L1523" t="e">
        <f>VLOOKUP(A1523,'TV Apr Prorated Billing Sites'!$A:$I,1,0)</f>
        <v>#N/A</v>
      </c>
    </row>
    <row r="1524" spans="1:12">
      <c r="A1524" t="str">
        <f t="shared" si="26"/>
        <v>76234882</v>
      </c>
      <c r="B1524" t="s">
        <v>4216</v>
      </c>
      <c r="C1524" t="s">
        <v>4217</v>
      </c>
      <c r="D1524">
        <v>76234882</v>
      </c>
      <c r="E1524">
        <v>3001898</v>
      </c>
      <c r="F1524" t="s">
        <v>39</v>
      </c>
      <c r="G1524">
        <v>300</v>
      </c>
      <c r="H1524" t="str">
        <f>VLOOKUP(A1524,'SV Child INS Apr'!$A:$H,1,0)</f>
        <v>76234882</v>
      </c>
      <c r="L1524" t="e">
        <f>VLOOKUP(A1524,'TV Apr Prorated Billing Sites'!$A:$I,1,0)</f>
        <v>#N/A</v>
      </c>
    </row>
    <row r="1525" spans="1:12">
      <c r="A1525" t="str">
        <f t="shared" si="26"/>
        <v>76234930</v>
      </c>
      <c r="B1525" t="s">
        <v>4218</v>
      </c>
      <c r="C1525" t="s">
        <v>4219</v>
      </c>
      <c r="D1525">
        <v>76234930</v>
      </c>
      <c r="E1525">
        <v>2502790</v>
      </c>
      <c r="F1525" t="s">
        <v>39</v>
      </c>
      <c r="G1525">
        <v>300</v>
      </c>
      <c r="H1525" t="str">
        <f>VLOOKUP(A1525,'SV Child INS Apr'!$A:$H,1,0)</f>
        <v>76234930</v>
      </c>
      <c r="L1525" t="e">
        <f>VLOOKUP(A1525,'TV Apr Prorated Billing Sites'!$A:$I,1,0)</f>
        <v>#N/A</v>
      </c>
    </row>
    <row r="1526" spans="1:12">
      <c r="A1526" t="str">
        <f t="shared" si="26"/>
        <v>76234937</v>
      </c>
      <c r="B1526" t="s">
        <v>4220</v>
      </c>
      <c r="C1526" t="s">
        <v>4221</v>
      </c>
      <c r="D1526">
        <v>76234937</v>
      </c>
      <c r="E1526">
        <v>2502757</v>
      </c>
      <c r="F1526" t="s">
        <v>39</v>
      </c>
      <c r="G1526">
        <v>300</v>
      </c>
      <c r="H1526" t="str">
        <f>VLOOKUP(A1526,'SV Child INS Apr'!$A:$H,1,0)</f>
        <v>76234937</v>
      </c>
      <c r="L1526" t="e">
        <f>VLOOKUP(A1526,'TV Apr Prorated Billing Sites'!$A:$I,1,0)</f>
        <v>#N/A</v>
      </c>
    </row>
    <row r="1527" spans="1:12">
      <c r="A1527" t="str">
        <f t="shared" si="26"/>
        <v>76234941</v>
      </c>
      <c r="B1527" t="s">
        <v>4222</v>
      </c>
      <c r="C1527" t="s">
        <v>4223</v>
      </c>
      <c r="D1527">
        <v>76234941</v>
      </c>
      <c r="E1527">
        <v>2500958</v>
      </c>
      <c r="F1527" t="s">
        <v>39</v>
      </c>
      <c r="G1527">
        <v>300</v>
      </c>
      <c r="H1527" t="str">
        <f>VLOOKUP(A1527,'SV Child INS Apr'!$A:$H,1,0)</f>
        <v>76234941</v>
      </c>
      <c r="L1527" t="e">
        <f>VLOOKUP(A1527,'TV Apr Prorated Billing Sites'!$A:$I,1,0)</f>
        <v>#N/A</v>
      </c>
    </row>
    <row r="1528" spans="1:12">
      <c r="A1528" t="str">
        <f t="shared" si="26"/>
        <v>76234955</v>
      </c>
      <c r="B1528" t="s">
        <v>4224</v>
      </c>
      <c r="C1528" t="s">
        <v>4225</v>
      </c>
      <c r="D1528">
        <v>76234955</v>
      </c>
      <c r="E1528">
        <v>2502758</v>
      </c>
      <c r="F1528" t="s">
        <v>39</v>
      </c>
      <c r="G1528">
        <v>300</v>
      </c>
      <c r="H1528" t="str">
        <f>VLOOKUP(A1528,'SV Child INS Apr'!$A:$H,1,0)</f>
        <v>76234955</v>
      </c>
      <c r="L1528" t="e">
        <f>VLOOKUP(A1528,'TV Apr Prorated Billing Sites'!$A:$I,1,0)</f>
        <v>#N/A</v>
      </c>
    </row>
    <row r="1529" spans="1:12">
      <c r="A1529" t="str">
        <f t="shared" si="26"/>
        <v>76234978</v>
      </c>
      <c r="B1529" t="s">
        <v>4226</v>
      </c>
      <c r="C1529" t="s">
        <v>4227</v>
      </c>
      <c r="D1529">
        <v>76234978</v>
      </c>
      <c r="E1529">
        <v>2503130</v>
      </c>
      <c r="F1529" t="s">
        <v>39</v>
      </c>
      <c r="G1529">
        <v>400</v>
      </c>
      <c r="H1529" t="str">
        <f>VLOOKUP(A1529,'SV Child INS Apr'!$A:$H,1,0)</f>
        <v>76234978</v>
      </c>
      <c r="L1529" t="e">
        <f>VLOOKUP(A1529,'TV Apr Prorated Billing Sites'!$A:$I,1,0)</f>
        <v>#N/A</v>
      </c>
    </row>
    <row r="1530" spans="1:12">
      <c r="A1530" t="str">
        <f t="shared" si="26"/>
        <v>76235166</v>
      </c>
      <c r="B1530" t="s">
        <v>4228</v>
      </c>
      <c r="C1530" t="s">
        <v>4229</v>
      </c>
      <c r="D1530">
        <v>76235166</v>
      </c>
      <c r="E1530">
        <v>3001704</v>
      </c>
      <c r="F1530" t="s">
        <v>39</v>
      </c>
      <c r="G1530">
        <v>300</v>
      </c>
      <c r="H1530" t="str">
        <f>VLOOKUP(A1530,'SV Child INS Apr'!$A:$H,1,0)</f>
        <v>76235166</v>
      </c>
      <c r="L1530" t="e">
        <f>VLOOKUP(A1530,'TV Apr Prorated Billing Sites'!$A:$I,1,0)</f>
        <v>#N/A</v>
      </c>
    </row>
    <row r="1531" spans="1:12">
      <c r="A1531" t="str">
        <f t="shared" si="26"/>
        <v>76235193</v>
      </c>
      <c r="B1531" t="s">
        <v>4230</v>
      </c>
      <c r="C1531" t="s">
        <v>4231</v>
      </c>
      <c r="D1531">
        <v>76235193</v>
      </c>
      <c r="E1531" t="s">
        <v>438</v>
      </c>
      <c r="F1531" t="s">
        <v>39</v>
      </c>
      <c r="G1531">
        <v>300</v>
      </c>
      <c r="H1531" t="str">
        <f>VLOOKUP(A1531,'SV Child INS Apr'!$A:$H,1,0)</f>
        <v>76235193</v>
      </c>
      <c r="L1531" t="e">
        <f>VLOOKUP(A1531,'TV Apr Prorated Billing Sites'!$A:$I,1,0)</f>
        <v>#N/A</v>
      </c>
    </row>
    <row r="1532" spans="1:12">
      <c r="A1532" t="str">
        <f t="shared" si="26"/>
        <v>76235225</v>
      </c>
      <c r="B1532" t="s">
        <v>4232</v>
      </c>
      <c r="C1532" t="s">
        <v>4233</v>
      </c>
      <c r="D1532">
        <v>76235225</v>
      </c>
      <c r="E1532">
        <v>3001703</v>
      </c>
      <c r="F1532" t="s">
        <v>39</v>
      </c>
      <c r="G1532">
        <v>300</v>
      </c>
      <c r="H1532" t="str">
        <f>VLOOKUP(A1532,'SV Child INS Apr'!$A:$H,1,0)</f>
        <v>76235225</v>
      </c>
      <c r="L1532" t="e">
        <f>VLOOKUP(A1532,'TV Apr Prorated Billing Sites'!$A:$I,1,0)</f>
        <v>#N/A</v>
      </c>
    </row>
    <row r="1533" spans="1:12">
      <c r="A1533" t="str">
        <f t="shared" si="26"/>
        <v>76235240</v>
      </c>
      <c r="B1533" t="s">
        <v>4234</v>
      </c>
      <c r="C1533" t="s">
        <v>4235</v>
      </c>
      <c r="D1533">
        <v>76235240</v>
      </c>
      <c r="E1533">
        <v>2002969</v>
      </c>
      <c r="F1533" t="s">
        <v>39</v>
      </c>
      <c r="G1533">
        <v>300</v>
      </c>
      <c r="H1533" t="str">
        <f>VLOOKUP(A1533,'SV Child INS Apr'!$A:$H,1,0)</f>
        <v>76235240</v>
      </c>
      <c r="L1533" t="e">
        <f>VLOOKUP(A1533,'TV Apr Prorated Billing Sites'!$A:$I,1,0)</f>
        <v>#N/A</v>
      </c>
    </row>
    <row r="1534" spans="1:12">
      <c r="A1534" t="str">
        <f t="shared" si="26"/>
        <v>76235245</v>
      </c>
      <c r="B1534" t="s">
        <v>4236</v>
      </c>
      <c r="C1534" t="s">
        <v>4237</v>
      </c>
      <c r="D1534">
        <v>76235245</v>
      </c>
      <c r="E1534">
        <v>2002987</v>
      </c>
      <c r="F1534" t="s">
        <v>39</v>
      </c>
      <c r="G1534">
        <v>300</v>
      </c>
      <c r="H1534" t="str">
        <f>VLOOKUP(A1534,'SV Child INS Apr'!$A:$H,1,0)</f>
        <v>76235245</v>
      </c>
      <c r="L1534" t="e">
        <f>VLOOKUP(A1534,'TV Apr Prorated Billing Sites'!$A:$I,1,0)</f>
        <v>#N/A</v>
      </c>
    </row>
    <row r="1535" spans="1:12">
      <c r="A1535" t="str">
        <f t="shared" si="26"/>
        <v>76235258</v>
      </c>
      <c r="B1535" t="s">
        <v>4238</v>
      </c>
      <c r="C1535" t="s">
        <v>4239</v>
      </c>
      <c r="D1535">
        <v>76235258</v>
      </c>
      <c r="E1535">
        <v>2502789</v>
      </c>
      <c r="F1535" t="s">
        <v>39</v>
      </c>
      <c r="G1535">
        <v>300</v>
      </c>
      <c r="H1535" t="str">
        <f>VLOOKUP(A1535,'SV Child INS Apr'!$A:$H,1,0)</f>
        <v>76235258</v>
      </c>
      <c r="L1535" t="e">
        <f>VLOOKUP(A1535,'TV Apr Prorated Billing Sites'!$A:$I,1,0)</f>
        <v>#N/A</v>
      </c>
    </row>
    <row r="1536" spans="1:12">
      <c r="A1536" t="str">
        <f t="shared" si="26"/>
        <v>76235265</v>
      </c>
      <c r="B1536" t="s">
        <v>4240</v>
      </c>
      <c r="C1536" t="s">
        <v>4241</v>
      </c>
      <c r="D1536">
        <v>76235265</v>
      </c>
      <c r="E1536">
        <v>2002561</v>
      </c>
      <c r="F1536" t="s">
        <v>39</v>
      </c>
      <c r="G1536">
        <v>300</v>
      </c>
      <c r="H1536" t="str">
        <f>VLOOKUP(A1536,'SV Child INS Apr'!$A:$H,1,0)</f>
        <v>76235265</v>
      </c>
      <c r="L1536" t="str">
        <f>VLOOKUP(A1536,'TV Apr Prorated Billing Sites'!$A:$I,1,0)</f>
        <v>76235265</v>
      </c>
    </row>
    <row r="1537" spans="1:13">
      <c r="A1537" t="str">
        <f t="shared" si="26"/>
        <v>76235273</v>
      </c>
      <c r="B1537" t="s">
        <v>4242</v>
      </c>
      <c r="C1537" t="s">
        <v>4243</v>
      </c>
      <c r="D1537">
        <v>76235273</v>
      </c>
      <c r="E1537">
        <v>2502868</v>
      </c>
      <c r="F1537" t="s">
        <v>39</v>
      </c>
      <c r="G1537">
        <v>400</v>
      </c>
      <c r="H1537" t="str">
        <f>VLOOKUP(A1537,'SV Child INS Apr'!$A:$H,1,0)</f>
        <v>76235273</v>
      </c>
      <c r="L1537" t="e">
        <f>VLOOKUP(A1537,'TV Apr Prorated Billing Sites'!$A:$I,1,0)</f>
        <v>#N/A</v>
      </c>
    </row>
    <row r="1538" spans="1:13">
      <c r="A1538" t="str">
        <f t="shared" si="26"/>
        <v>76235278</v>
      </c>
      <c r="B1538" t="s">
        <v>4244</v>
      </c>
      <c r="C1538" t="s">
        <v>4245</v>
      </c>
      <c r="D1538">
        <v>76235278</v>
      </c>
      <c r="E1538">
        <v>2502862</v>
      </c>
      <c r="F1538" t="s">
        <v>39</v>
      </c>
      <c r="G1538">
        <v>400</v>
      </c>
      <c r="H1538" t="str">
        <f>VLOOKUP(A1538,'SV Child INS Apr'!$A:$H,1,0)</f>
        <v>76235278</v>
      </c>
      <c r="L1538" t="e">
        <f>VLOOKUP(A1538,'TV Apr Prorated Billing Sites'!$A:$I,1,0)</f>
        <v>#N/A</v>
      </c>
    </row>
    <row r="1539" spans="1:13">
      <c r="A1539" t="str">
        <f t="shared" si="26"/>
        <v>76235381</v>
      </c>
      <c r="B1539" t="s">
        <v>4246</v>
      </c>
      <c r="C1539" t="s">
        <v>4247</v>
      </c>
      <c r="D1539">
        <v>76235381</v>
      </c>
      <c r="E1539">
        <v>2503000</v>
      </c>
      <c r="F1539" t="s">
        <v>39</v>
      </c>
      <c r="G1539">
        <v>450</v>
      </c>
      <c r="H1539" t="str">
        <f>VLOOKUP(A1539,'SV Child INS Apr'!$A:$H,1,0)</f>
        <v>76235381</v>
      </c>
      <c r="L1539" t="e">
        <f>VLOOKUP(A1539,'TV Apr Prorated Billing Sites'!$A:$I,1,0)</f>
        <v>#N/A</v>
      </c>
    </row>
    <row r="1540" spans="1:13">
      <c r="A1540" t="str">
        <f t="shared" si="26"/>
        <v>76235405</v>
      </c>
      <c r="B1540" t="s">
        <v>4248</v>
      </c>
      <c r="C1540" t="s">
        <v>4249</v>
      </c>
      <c r="D1540">
        <v>76235405</v>
      </c>
      <c r="E1540">
        <v>2002504</v>
      </c>
      <c r="F1540" t="s">
        <v>39</v>
      </c>
      <c r="G1540">
        <v>300</v>
      </c>
      <c r="H1540" t="str">
        <f>VLOOKUP(A1540,'SV Child INS Apr'!$A:$H,1,0)</f>
        <v>76235405</v>
      </c>
      <c r="L1540" t="e">
        <f>VLOOKUP(A1540,'TV Apr Prorated Billing Sites'!$A:$I,1,0)</f>
        <v>#N/A</v>
      </c>
    </row>
    <row r="1541" spans="1:13">
      <c r="A1541" t="str">
        <f t="shared" si="26"/>
        <v>76235444</v>
      </c>
      <c r="B1541" t="s">
        <v>4250</v>
      </c>
      <c r="C1541" t="s">
        <v>4251</v>
      </c>
      <c r="D1541">
        <v>76235444</v>
      </c>
      <c r="E1541">
        <v>2502481</v>
      </c>
      <c r="F1541" t="s">
        <v>39</v>
      </c>
      <c r="G1541">
        <v>450</v>
      </c>
      <c r="H1541" t="str">
        <f>VLOOKUP(A1541,'SV Child INS Apr'!$A:$H,1,0)</f>
        <v>76235444</v>
      </c>
      <c r="L1541" t="e">
        <f>VLOOKUP(A1541,'TV Apr Prorated Billing Sites'!$A:$I,1,0)</f>
        <v>#N/A</v>
      </c>
    </row>
    <row r="1542" spans="1:13">
      <c r="A1542" t="str">
        <f t="shared" si="26"/>
        <v>76235514</v>
      </c>
      <c r="B1542" t="s">
        <v>216</v>
      </c>
      <c r="C1542" t="s">
        <v>217</v>
      </c>
      <c r="D1542">
        <v>76235514</v>
      </c>
      <c r="E1542">
        <v>2503145</v>
      </c>
      <c r="F1542" t="s">
        <v>39</v>
      </c>
      <c r="G1542">
        <v>300</v>
      </c>
      <c r="H1542" t="e">
        <f>VLOOKUP(A1542,'SV Child INS Apr'!$A:$H,1,0)</f>
        <v>#N/A</v>
      </c>
      <c r="I1542" t="e">
        <f>VLOOKUP(B1542,'SV Child INS Apr'!$D:$F,1,0)</f>
        <v>#N/A</v>
      </c>
      <c r="J1542" t="e">
        <f>VLOOKUP(A1542,'SV Child BLG Apr'!$A:$J,1,0)</f>
        <v>#N/A</v>
      </c>
      <c r="K1542" t="e">
        <f>VLOOKUP(B1542,'SV Child BLG Apr'!$D:$I,1,0)</f>
        <v>#N/A</v>
      </c>
      <c r="L1542" t="e">
        <f>VLOOKUP(A1542,'TV Apr Prorated Billing Sites'!$A:$I,1,0)</f>
        <v>#N/A</v>
      </c>
    </row>
    <row r="1543" spans="1:13">
      <c r="A1543" t="str">
        <f t="shared" si="26"/>
        <v>76235600</v>
      </c>
      <c r="B1543" t="s">
        <v>4252</v>
      </c>
      <c r="C1543" t="s">
        <v>4253</v>
      </c>
      <c r="D1543">
        <v>76235600</v>
      </c>
      <c r="E1543">
        <v>2002401</v>
      </c>
      <c r="F1543" t="s">
        <v>39</v>
      </c>
      <c r="G1543">
        <v>300</v>
      </c>
      <c r="H1543" t="str">
        <f>VLOOKUP(A1543,'SV Child INS Apr'!$A:$H,1,0)</f>
        <v>76235600</v>
      </c>
      <c r="L1543" t="e">
        <f>VLOOKUP(A1543,'TV Apr Prorated Billing Sites'!$A:$I,1,0)</f>
        <v>#N/A</v>
      </c>
    </row>
    <row r="1544" spans="1:13">
      <c r="A1544" t="str">
        <f t="shared" si="26"/>
        <v>76235754</v>
      </c>
      <c r="B1544" t="s">
        <v>4254</v>
      </c>
      <c r="C1544" t="s">
        <v>4255</v>
      </c>
      <c r="D1544">
        <v>76235754</v>
      </c>
      <c r="E1544">
        <v>2501689</v>
      </c>
      <c r="F1544" t="s">
        <v>39</v>
      </c>
      <c r="G1544">
        <v>400</v>
      </c>
      <c r="H1544" t="str">
        <f>VLOOKUP(A1544,'SV Child INS Apr'!$A:$H,1,0)</f>
        <v>76235754</v>
      </c>
      <c r="L1544" t="e">
        <f>VLOOKUP(A1544,'TV Apr Prorated Billing Sites'!$A:$I,1,0)</f>
        <v>#N/A</v>
      </c>
    </row>
    <row r="1545" spans="1:13">
      <c r="A1545" t="str">
        <f t="shared" si="26"/>
        <v>76235776</v>
      </c>
      <c r="B1545" t="s">
        <v>4256</v>
      </c>
      <c r="C1545" t="s">
        <v>4257</v>
      </c>
      <c r="D1545">
        <v>76235776</v>
      </c>
      <c r="E1545">
        <v>2503100</v>
      </c>
      <c r="F1545" t="s">
        <v>39</v>
      </c>
      <c r="G1545">
        <v>300</v>
      </c>
      <c r="H1545" t="str">
        <f>VLOOKUP(A1545,'SV Child INS Apr'!$A:$H,1,0)</f>
        <v>76235776</v>
      </c>
      <c r="L1545" t="e">
        <f>VLOOKUP(A1545,'TV Apr Prorated Billing Sites'!$A:$I,1,0)</f>
        <v>#N/A</v>
      </c>
    </row>
    <row r="1546" spans="1:13">
      <c r="A1546" t="str">
        <f t="shared" si="26"/>
        <v>76235855</v>
      </c>
      <c r="B1546" t="s">
        <v>4258</v>
      </c>
      <c r="C1546" t="s">
        <v>4259</v>
      </c>
      <c r="D1546">
        <v>76235855</v>
      </c>
      <c r="E1546">
        <v>2502906</v>
      </c>
      <c r="F1546" t="s">
        <v>39</v>
      </c>
      <c r="G1546">
        <v>300</v>
      </c>
      <c r="H1546" t="str">
        <f>VLOOKUP(A1546,'SV Child INS Apr'!$A:$H,1,0)</f>
        <v>76235855</v>
      </c>
      <c r="L1546" t="e">
        <f>VLOOKUP(A1546,'TV Apr Prorated Billing Sites'!$A:$I,1,0)</f>
        <v>#N/A</v>
      </c>
    </row>
    <row r="1547" spans="1:13">
      <c r="A1547" t="str">
        <f t="shared" si="26"/>
        <v>76236030</v>
      </c>
      <c r="B1547" t="s">
        <v>4260</v>
      </c>
      <c r="C1547" t="s">
        <v>4261</v>
      </c>
      <c r="D1547">
        <v>76236030</v>
      </c>
      <c r="E1547">
        <v>2002521</v>
      </c>
      <c r="F1547" t="s">
        <v>39</v>
      </c>
      <c r="G1547">
        <v>300</v>
      </c>
      <c r="H1547" t="str">
        <f>VLOOKUP(A1547,'SV Child INS Apr'!$A:$H,1,0)</f>
        <v>76236030</v>
      </c>
      <c r="L1547" t="e">
        <f>VLOOKUP(A1547,'TV Apr Prorated Billing Sites'!$A:$I,1,0)</f>
        <v>#N/A</v>
      </c>
    </row>
    <row r="1548" spans="1:13">
      <c r="A1548" t="str">
        <f t="shared" si="26"/>
        <v>76236039</v>
      </c>
      <c r="B1548" t="s">
        <v>4262</v>
      </c>
      <c r="C1548" t="s">
        <v>4263</v>
      </c>
      <c r="D1548">
        <v>76236039</v>
      </c>
      <c r="E1548">
        <v>2502898</v>
      </c>
      <c r="F1548" t="s">
        <v>39</v>
      </c>
      <c r="G1548">
        <v>300</v>
      </c>
      <c r="H1548" t="str">
        <f>VLOOKUP(A1548,'SV Child INS Apr'!$A:$H,1,0)</f>
        <v>76236039</v>
      </c>
      <c r="L1548" t="e">
        <f>VLOOKUP(A1548,'TV Apr Prorated Billing Sites'!$A:$I,1,0)</f>
        <v>#N/A</v>
      </c>
    </row>
    <row r="1549" spans="1:13">
      <c r="A1549" t="str">
        <f t="shared" si="26"/>
        <v>76236040</v>
      </c>
      <c r="B1549" t="s">
        <v>4264</v>
      </c>
      <c r="C1549" t="s">
        <v>4265</v>
      </c>
      <c r="D1549">
        <v>76236040</v>
      </c>
      <c r="E1549">
        <v>2502864</v>
      </c>
      <c r="F1549" t="s">
        <v>39</v>
      </c>
      <c r="G1549">
        <v>300</v>
      </c>
      <c r="H1549" t="str">
        <f>VLOOKUP(A1549,'SV Child INS Apr'!$A:$H,1,0)</f>
        <v>76236040</v>
      </c>
      <c r="L1549" t="e">
        <f>VLOOKUP(A1549,'TV Apr Prorated Billing Sites'!$A:$I,1,0)</f>
        <v>#N/A</v>
      </c>
    </row>
    <row r="1550" spans="1:13">
      <c r="A1550" t="str">
        <f t="shared" si="26"/>
        <v>76236439</v>
      </c>
      <c r="B1550" t="s">
        <v>4266</v>
      </c>
      <c r="C1550" t="s">
        <v>4267</v>
      </c>
      <c r="D1550">
        <v>76236439</v>
      </c>
      <c r="E1550">
        <v>2002673</v>
      </c>
      <c r="F1550" t="s">
        <v>39</v>
      </c>
      <c r="G1550">
        <v>300</v>
      </c>
      <c r="H1550" t="str">
        <f>VLOOKUP(A1550,'SV Child INS Apr'!$A:$H,1,0)</f>
        <v>76236439</v>
      </c>
      <c r="L1550" t="e">
        <f>VLOOKUP(A1550,'TV Apr Prorated Billing Sites'!$A:$I,1,0)</f>
        <v>#N/A</v>
      </c>
    </row>
    <row r="1551" spans="1:13">
      <c r="A1551" t="str">
        <f t="shared" si="26"/>
        <v>76236503</v>
      </c>
      <c r="B1551" t="s">
        <v>676</v>
      </c>
      <c r="C1551" t="s">
        <v>677</v>
      </c>
      <c r="D1551">
        <v>76236503</v>
      </c>
      <c r="E1551">
        <v>3002961</v>
      </c>
      <c r="F1551" t="s">
        <v>39</v>
      </c>
      <c r="G1551">
        <v>300</v>
      </c>
      <c r="H1551" t="e">
        <f>VLOOKUP(A1551,'SV Child INS Apr'!$A:$H,1,0)</f>
        <v>#N/A</v>
      </c>
      <c r="I1551" t="e">
        <f>VLOOKUP(B1551,'SV Child INS Apr'!$D:$F,1,0)</f>
        <v>#N/A</v>
      </c>
      <c r="J1551" t="str">
        <f>VLOOKUP(A1551,'SV Child BLG Apr'!$A:$J,1,0)</f>
        <v>76236503</v>
      </c>
      <c r="L1551" t="str">
        <f>VLOOKUP(A1551,'TV Apr Prorated Billing Sites'!$A:$I,1,0)</f>
        <v>76236503</v>
      </c>
      <c r="M1551" t="e">
        <f>VLOOKUP(A1551,'CDK asked to retain list'!$H$1:$J$24,1,0)</f>
        <v>#N/A</v>
      </c>
    </row>
    <row r="1552" spans="1:13">
      <c r="A1552" t="str">
        <f t="shared" si="26"/>
        <v>76236567</v>
      </c>
      <c r="B1552" t="s">
        <v>4268</v>
      </c>
      <c r="C1552" t="s">
        <v>4269</v>
      </c>
      <c r="D1552">
        <v>76236567</v>
      </c>
      <c r="E1552">
        <v>2002556</v>
      </c>
      <c r="F1552" t="s">
        <v>39</v>
      </c>
      <c r="G1552">
        <v>300</v>
      </c>
      <c r="H1552" t="str">
        <f>VLOOKUP(A1552,'SV Child INS Apr'!$A:$H,1,0)</f>
        <v>76236567</v>
      </c>
      <c r="L1552" t="e">
        <f>VLOOKUP(A1552,'TV Apr Prorated Billing Sites'!$A:$I,1,0)</f>
        <v>#N/A</v>
      </c>
    </row>
    <row r="1553" spans="1:12">
      <c r="A1553" t="str">
        <f t="shared" si="26"/>
        <v>76236568</v>
      </c>
      <c r="B1553" t="s">
        <v>4270</v>
      </c>
      <c r="C1553" t="s">
        <v>4271</v>
      </c>
      <c r="D1553">
        <v>76236568</v>
      </c>
      <c r="E1553">
        <v>2002541</v>
      </c>
      <c r="F1553" t="s">
        <v>39</v>
      </c>
      <c r="G1553">
        <v>300</v>
      </c>
      <c r="H1553" t="str">
        <f>VLOOKUP(A1553,'SV Child INS Apr'!$A:$H,1,0)</f>
        <v>76236568</v>
      </c>
      <c r="L1553" t="e">
        <f>VLOOKUP(A1553,'TV Apr Prorated Billing Sites'!$A:$I,1,0)</f>
        <v>#N/A</v>
      </c>
    </row>
    <row r="1554" spans="1:12">
      <c r="A1554" t="str">
        <f t="shared" si="26"/>
        <v>76236622</v>
      </c>
      <c r="B1554" t="s">
        <v>219</v>
      </c>
      <c r="C1554" t="s">
        <v>220</v>
      </c>
      <c r="D1554">
        <v>76236622</v>
      </c>
      <c r="E1554">
        <v>2503117</v>
      </c>
      <c r="F1554" t="s">
        <v>39</v>
      </c>
      <c r="G1554">
        <v>300</v>
      </c>
      <c r="H1554" t="e">
        <f>VLOOKUP(A1554,'SV Child INS Apr'!$A:$H,1,0)</f>
        <v>#N/A</v>
      </c>
      <c r="I1554" t="e">
        <f>VLOOKUP(B1554,'SV Child INS Apr'!$D:$F,1,0)</f>
        <v>#N/A</v>
      </c>
      <c r="J1554" t="e">
        <f>VLOOKUP(A1554,'SV Child BLG Apr'!$A:$J,1,0)</f>
        <v>#N/A</v>
      </c>
      <c r="K1554" t="e">
        <f>VLOOKUP(B1554,'SV Child BLG Apr'!$D:$I,1,0)</f>
        <v>#N/A</v>
      </c>
      <c r="L1554" t="e">
        <f>VLOOKUP(A1554,'TV Apr Prorated Billing Sites'!$A:$I,1,0)</f>
        <v>#N/A</v>
      </c>
    </row>
    <row r="1555" spans="1:12">
      <c r="A1555" t="str">
        <f t="shared" si="26"/>
        <v>76236781</v>
      </c>
      <c r="B1555" t="s">
        <v>4272</v>
      </c>
      <c r="C1555" t="s">
        <v>4273</v>
      </c>
      <c r="D1555">
        <v>76236781</v>
      </c>
      <c r="E1555">
        <v>2502929</v>
      </c>
      <c r="F1555" t="s">
        <v>39</v>
      </c>
      <c r="G1555">
        <v>300</v>
      </c>
      <c r="H1555" t="str">
        <f>VLOOKUP(A1555,'SV Child INS Apr'!$A:$H,1,0)</f>
        <v>76236781</v>
      </c>
      <c r="L1555" t="e">
        <f>VLOOKUP(A1555,'TV Apr Prorated Billing Sites'!$A:$I,1,0)</f>
        <v>#N/A</v>
      </c>
    </row>
    <row r="1556" spans="1:12">
      <c r="A1556" t="str">
        <f t="shared" si="26"/>
        <v>76236889</v>
      </c>
      <c r="B1556" t="s">
        <v>4274</v>
      </c>
      <c r="C1556" t="s">
        <v>4275</v>
      </c>
      <c r="D1556">
        <v>76236889</v>
      </c>
      <c r="E1556">
        <v>3000960</v>
      </c>
      <c r="F1556" t="s">
        <v>39</v>
      </c>
      <c r="G1556">
        <v>300</v>
      </c>
      <c r="H1556" t="str">
        <f>VLOOKUP(A1556,'SV Child INS Apr'!$A:$H,1,0)</f>
        <v>76236889</v>
      </c>
      <c r="L1556" t="e">
        <f>VLOOKUP(A1556,'TV Apr Prorated Billing Sites'!$A:$I,1,0)</f>
        <v>#N/A</v>
      </c>
    </row>
    <row r="1557" spans="1:12">
      <c r="A1557" t="str">
        <f t="shared" si="26"/>
        <v>76236919</v>
      </c>
      <c r="B1557" t="s">
        <v>4276</v>
      </c>
      <c r="C1557" t="s">
        <v>4277</v>
      </c>
      <c r="D1557">
        <v>76236919</v>
      </c>
      <c r="E1557">
        <v>2002587</v>
      </c>
      <c r="F1557" t="s">
        <v>39</v>
      </c>
      <c r="G1557">
        <v>400</v>
      </c>
      <c r="H1557" t="str">
        <f>VLOOKUP(A1557,'SV Child INS Apr'!$A:$H,1,0)</f>
        <v>76236919</v>
      </c>
      <c r="L1557" t="e">
        <f>VLOOKUP(A1557,'TV Apr Prorated Billing Sites'!$A:$I,1,0)</f>
        <v>#N/A</v>
      </c>
    </row>
    <row r="1558" spans="1:12">
      <c r="A1558" t="str">
        <f t="shared" si="26"/>
        <v>76237108</v>
      </c>
      <c r="B1558" t="s">
        <v>4278</v>
      </c>
      <c r="C1558" t="s">
        <v>4279</v>
      </c>
      <c r="D1558">
        <v>76237108</v>
      </c>
      <c r="E1558">
        <v>2502964</v>
      </c>
      <c r="F1558" t="s">
        <v>39</v>
      </c>
      <c r="G1558">
        <v>400</v>
      </c>
      <c r="H1558" t="str">
        <f>VLOOKUP(A1558,'SV Child INS Apr'!$A:$H,1,0)</f>
        <v>76237108</v>
      </c>
      <c r="L1558" t="e">
        <f>VLOOKUP(A1558,'TV Apr Prorated Billing Sites'!$A:$I,1,0)</f>
        <v>#N/A</v>
      </c>
    </row>
    <row r="1559" spans="1:12">
      <c r="A1559" t="str">
        <f t="shared" si="26"/>
        <v>76237142</v>
      </c>
      <c r="B1559" t="s">
        <v>222</v>
      </c>
      <c r="C1559" t="s">
        <v>223</v>
      </c>
      <c r="D1559">
        <v>76237142</v>
      </c>
      <c r="E1559">
        <v>2002655</v>
      </c>
      <c r="F1559" t="s">
        <v>39</v>
      </c>
      <c r="G1559">
        <v>300</v>
      </c>
      <c r="H1559" t="e">
        <f>VLOOKUP(A1559,'SV Child INS Apr'!$A:$H,1,0)</f>
        <v>#N/A</v>
      </c>
      <c r="I1559" t="e">
        <f>VLOOKUP(B1559,'SV Child INS Apr'!$D:$F,1,0)</f>
        <v>#N/A</v>
      </c>
      <c r="J1559" t="e">
        <f>VLOOKUP(A1559,'SV Child BLG Apr'!$A:$J,1,0)</f>
        <v>#N/A</v>
      </c>
      <c r="K1559" t="e">
        <f>VLOOKUP(B1559,'SV Child BLG Apr'!$D:$I,1,0)</f>
        <v>#N/A</v>
      </c>
      <c r="L1559" t="e">
        <f>VLOOKUP(A1559,'TV Apr Prorated Billing Sites'!$A:$I,1,0)</f>
        <v>#N/A</v>
      </c>
    </row>
    <row r="1560" spans="1:12">
      <c r="A1560" t="str">
        <f t="shared" si="26"/>
        <v>76237167</v>
      </c>
      <c r="B1560" t="s">
        <v>225</v>
      </c>
      <c r="C1560" t="s">
        <v>226</v>
      </c>
      <c r="D1560">
        <v>76237167</v>
      </c>
      <c r="E1560">
        <v>2002821</v>
      </c>
      <c r="F1560" t="s">
        <v>39</v>
      </c>
      <c r="G1560">
        <v>300</v>
      </c>
      <c r="H1560" t="e">
        <f>VLOOKUP(A1560,'SV Child INS Apr'!$A:$H,1,0)</f>
        <v>#N/A</v>
      </c>
      <c r="I1560" t="e">
        <f>VLOOKUP(B1560,'SV Child INS Apr'!$D:$F,1,0)</f>
        <v>#N/A</v>
      </c>
      <c r="J1560" t="e">
        <f>VLOOKUP(A1560,'SV Child BLG Apr'!$A:$J,1,0)</f>
        <v>#N/A</v>
      </c>
      <c r="K1560" t="e">
        <f>VLOOKUP(B1560,'SV Child BLG Apr'!$D:$I,1,0)</f>
        <v>#N/A</v>
      </c>
      <c r="L1560" t="e">
        <f>VLOOKUP(A1560,'TV Apr Prorated Billing Sites'!$A:$I,1,0)</f>
        <v>#N/A</v>
      </c>
    </row>
    <row r="1561" spans="1:12">
      <c r="A1561" t="str">
        <f t="shared" si="26"/>
        <v>76237170</v>
      </c>
      <c r="B1561" t="s">
        <v>228</v>
      </c>
      <c r="C1561" t="s">
        <v>229</v>
      </c>
      <c r="D1561">
        <v>76237170</v>
      </c>
      <c r="E1561">
        <v>2000380</v>
      </c>
      <c r="F1561" t="s">
        <v>39</v>
      </c>
      <c r="G1561">
        <v>300</v>
      </c>
      <c r="H1561" t="e">
        <f>VLOOKUP(A1561,'SV Child INS Apr'!$A:$H,1,0)</f>
        <v>#N/A</v>
      </c>
      <c r="I1561" t="e">
        <f>VLOOKUP(B1561,'SV Child INS Apr'!$D:$F,1,0)</f>
        <v>#N/A</v>
      </c>
      <c r="J1561" t="e">
        <f>VLOOKUP(A1561,'SV Child BLG Apr'!$A:$J,1,0)</f>
        <v>#N/A</v>
      </c>
      <c r="K1561" t="e">
        <f>VLOOKUP(B1561,'SV Child BLG Apr'!$D:$I,1,0)</f>
        <v>#N/A</v>
      </c>
      <c r="L1561" t="e">
        <f>VLOOKUP(A1561,'TV Apr Prorated Billing Sites'!$A:$I,1,0)</f>
        <v>#N/A</v>
      </c>
    </row>
    <row r="1562" spans="1:12">
      <c r="A1562" t="str">
        <f t="shared" si="26"/>
        <v>76237183</v>
      </c>
      <c r="B1562" t="s">
        <v>4280</v>
      </c>
      <c r="C1562" t="s">
        <v>4281</v>
      </c>
      <c r="D1562">
        <v>76237183</v>
      </c>
      <c r="E1562">
        <v>2502982</v>
      </c>
      <c r="F1562" t="s">
        <v>39</v>
      </c>
      <c r="G1562">
        <v>300</v>
      </c>
      <c r="H1562" t="str">
        <f>VLOOKUP(A1562,'SV Child INS Apr'!$A:$H,1,0)</f>
        <v>76237183</v>
      </c>
      <c r="L1562" t="e">
        <f>VLOOKUP(A1562,'TV Apr Prorated Billing Sites'!$A:$I,1,0)</f>
        <v>#N/A</v>
      </c>
    </row>
    <row r="1563" spans="1:12">
      <c r="A1563" t="str">
        <f t="shared" si="26"/>
        <v>76237495</v>
      </c>
      <c r="B1563" t="s">
        <v>4282</v>
      </c>
      <c r="C1563" t="s">
        <v>4283</v>
      </c>
      <c r="D1563">
        <v>76237495</v>
      </c>
      <c r="E1563">
        <v>2700015</v>
      </c>
      <c r="F1563" t="s">
        <v>39</v>
      </c>
      <c r="G1563">
        <v>300</v>
      </c>
      <c r="H1563" t="str">
        <f>VLOOKUP(A1563,'SV Child INS Apr'!$A:$H,1,0)</f>
        <v>76237495</v>
      </c>
      <c r="L1563" t="e">
        <f>VLOOKUP(A1563,'TV Apr Prorated Billing Sites'!$A:$I,1,0)</f>
        <v>#N/A</v>
      </c>
    </row>
    <row r="1564" spans="1:12">
      <c r="A1564" t="str">
        <f t="shared" si="26"/>
        <v>76237652</v>
      </c>
      <c r="B1564" t="s">
        <v>4284</v>
      </c>
      <c r="C1564" t="s">
        <v>4285</v>
      </c>
      <c r="D1564">
        <v>76237652</v>
      </c>
      <c r="E1564">
        <v>3001070</v>
      </c>
      <c r="F1564" t="s">
        <v>39</v>
      </c>
      <c r="G1564">
        <v>300</v>
      </c>
      <c r="H1564" t="str">
        <f>VLOOKUP(A1564,'SV Child INS Apr'!$A:$H,1,0)</f>
        <v>76237652</v>
      </c>
      <c r="L1564" t="e">
        <f>VLOOKUP(A1564,'TV Apr Prorated Billing Sites'!$A:$I,1,0)</f>
        <v>#N/A</v>
      </c>
    </row>
    <row r="1565" spans="1:12">
      <c r="A1565" t="str">
        <f t="shared" si="26"/>
        <v>76237709</v>
      </c>
      <c r="B1565" t="s">
        <v>4286</v>
      </c>
      <c r="C1565" t="s">
        <v>4287</v>
      </c>
      <c r="D1565">
        <v>76237709</v>
      </c>
      <c r="E1565">
        <v>2002736</v>
      </c>
      <c r="F1565" t="s">
        <v>39</v>
      </c>
      <c r="G1565">
        <v>300</v>
      </c>
      <c r="H1565" t="str">
        <f>VLOOKUP(A1565,'SV Child INS Apr'!$A:$H,1,0)</f>
        <v>76237709</v>
      </c>
      <c r="L1565" t="e">
        <f>VLOOKUP(A1565,'TV Apr Prorated Billing Sites'!$A:$I,1,0)</f>
        <v>#N/A</v>
      </c>
    </row>
    <row r="1566" spans="1:12">
      <c r="A1566" t="str">
        <f t="shared" si="26"/>
        <v>76237710</v>
      </c>
      <c r="B1566" t="s">
        <v>4288</v>
      </c>
      <c r="C1566" t="s">
        <v>4289</v>
      </c>
      <c r="D1566">
        <v>76237710</v>
      </c>
      <c r="E1566">
        <v>2002737</v>
      </c>
      <c r="F1566" t="s">
        <v>39</v>
      </c>
      <c r="G1566">
        <v>300</v>
      </c>
      <c r="H1566" t="str">
        <f>VLOOKUP(A1566,'SV Child INS Apr'!$A:$H,1,0)</f>
        <v>76237710</v>
      </c>
      <c r="L1566" t="e">
        <f>VLOOKUP(A1566,'TV Apr Prorated Billing Sites'!$A:$I,1,0)</f>
        <v>#N/A</v>
      </c>
    </row>
    <row r="1567" spans="1:12">
      <c r="A1567" t="str">
        <f t="shared" si="26"/>
        <v>76237749</v>
      </c>
      <c r="B1567" t="s">
        <v>4290</v>
      </c>
      <c r="C1567" t="s">
        <v>4291</v>
      </c>
      <c r="D1567">
        <v>76237749</v>
      </c>
      <c r="E1567">
        <v>2002676</v>
      </c>
      <c r="F1567" t="s">
        <v>39</v>
      </c>
      <c r="G1567">
        <v>300</v>
      </c>
      <c r="H1567" t="str">
        <f>VLOOKUP(A1567,'SV Child INS Apr'!$A:$H,1,0)</f>
        <v>76237749</v>
      </c>
      <c r="L1567" t="e">
        <f>VLOOKUP(A1567,'TV Apr Prorated Billing Sites'!$A:$I,1,0)</f>
        <v>#N/A</v>
      </c>
    </row>
    <row r="1568" spans="1:12">
      <c r="A1568" t="str">
        <f t="shared" si="26"/>
        <v>76237899</v>
      </c>
      <c r="B1568" t="s">
        <v>4292</v>
      </c>
      <c r="C1568" t="s">
        <v>4293</v>
      </c>
      <c r="D1568">
        <v>76237899</v>
      </c>
      <c r="E1568">
        <v>2503083</v>
      </c>
      <c r="F1568" t="s">
        <v>39</v>
      </c>
      <c r="G1568">
        <v>400</v>
      </c>
      <c r="H1568" t="str">
        <f>VLOOKUP(A1568,'SV Child INS Apr'!$A:$H,1,0)</f>
        <v>76237899</v>
      </c>
      <c r="L1568" t="e">
        <f>VLOOKUP(A1568,'TV Apr Prorated Billing Sites'!$A:$I,1,0)</f>
        <v>#N/A</v>
      </c>
    </row>
    <row r="1569" spans="1:12">
      <c r="A1569" t="str">
        <f t="shared" si="26"/>
        <v>76237902</v>
      </c>
      <c r="B1569" t="s">
        <v>4294</v>
      </c>
      <c r="C1569" t="s">
        <v>4295</v>
      </c>
      <c r="D1569">
        <v>76237902</v>
      </c>
      <c r="E1569">
        <v>2503036</v>
      </c>
      <c r="F1569" t="s">
        <v>39</v>
      </c>
      <c r="G1569">
        <v>400</v>
      </c>
      <c r="H1569" t="str">
        <f>VLOOKUP(A1569,'SV Child INS Apr'!$A:$H,1,0)</f>
        <v>76237902</v>
      </c>
      <c r="L1569" t="e">
        <f>VLOOKUP(A1569,'TV Apr Prorated Billing Sites'!$A:$I,1,0)</f>
        <v>#N/A</v>
      </c>
    </row>
    <row r="1570" spans="1:12">
      <c r="A1570" t="str">
        <f t="shared" si="26"/>
        <v>76237987</v>
      </c>
      <c r="B1570" t="s">
        <v>4296</v>
      </c>
      <c r="C1570" t="s">
        <v>4297</v>
      </c>
      <c r="D1570">
        <v>76237987</v>
      </c>
      <c r="E1570">
        <v>2002938</v>
      </c>
      <c r="F1570" t="s">
        <v>39</v>
      </c>
      <c r="G1570">
        <v>300</v>
      </c>
      <c r="H1570" t="str">
        <f>VLOOKUP(A1570,'SV Child INS Apr'!$A:$H,1,0)</f>
        <v>76237987</v>
      </c>
      <c r="L1570" t="e">
        <f>VLOOKUP(A1570,'TV Apr Prorated Billing Sites'!$A:$I,1,0)</f>
        <v>#N/A</v>
      </c>
    </row>
    <row r="1571" spans="1:12">
      <c r="A1571" t="str">
        <f t="shared" si="26"/>
        <v>76238621</v>
      </c>
      <c r="B1571" t="s">
        <v>4298</v>
      </c>
      <c r="C1571" t="s">
        <v>4299</v>
      </c>
      <c r="D1571">
        <v>76238621</v>
      </c>
      <c r="E1571">
        <v>2000200</v>
      </c>
      <c r="F1571" t="s">
        <v>39</v>
      </c>
      <c r="G1571">
        <v>300</v>
      </c>
      <c r="H1571" t="str">
        <f>VLOOKUP(A1571,'SV Child INS Apr'!$A:$H,1,0)</f>
        <v>76238621</v>
      </c>
      <c r="L1571" t="e">
        <f>VLOOKUP(A1571,'TV Apr Prorated Billing Sites'!$A:$I,1,0)</f>
        <v>#N/A</v>
      </c>
    </row>
    <row r="1572" spans="1:12">
      <c r="A1572" t="str">
        <f t="shared" si="26"/>
        <v>76238658</v>
      </c>
      <c r="B1572" t="s">
        <v>4300</v>
      </c>
      <c r="C1572" t="s">
        <v>4301</v>
      </c>
      <c r="D1572">
        <v>76238658</v>
      </c>
      <c r="E1572">
        <v>2002681</v>
      </c>
      <c r="F1572" t="s">
        <v>39</v>
      </c>
      <c r="G1572">
        <v>300</v>
      </c>
      <c r="H1572" t="str">
        <f>VLOOKUP(A1572,'SV Child INS Apr'!$A:$H,1,0)</f>
        <v>76238658</v>
      </c>
      <c r="L1572" t="e">
        <f>VLOOKUP(A1572,'TV Apr Prorated Billing Sites'!$A:$I,1,0)</f>
        <v>#N/A</v>
      </c>
    </row>
    <row r="1573" spans="1:12">
      <c r="A1573" t="str">
        <f t="shared" si="26"/>
        <v>76238669</v>
      </c>
      <c r="B1573" t="s">
        <v>231</v>
      </c>
      <c r="C1573" t="s">
        <v>232</v>
      </c>
      <c r="D1573">
        <v>76238669</v>
      </c>
      <c r="E1573">
        <v>2503205</v>
      </c>
      <c r="F1573" t="s">
        <v>39</v>
      </c>
      <c r="G1573">
        <v>300</v>
      </c>
      <c r="H1573" t="e">
        <f>VLOOKUP(A1573,'SV Child INS Apr'!$A:$H,1,0)</f>
        <v>#N/A</v>
      </c>
      <c r="I1573" t="e">
        <f>VLOOKUP(B1573,'SV Child INS Apr'!$D:$F,1,0)</f>
        <v>#N/A</v>
      </c>
      <c r="J1573" t="e">
        <f>VLOOKUP(A1573,'SV Child BLG Apr'!$A:$J,1,0)</f>
        <v>#N/A</v>
      </c>
      <c r="K1573" t="e">
        <f>VLOOKUP(B1573,'SV Child BLG Apr'!$D:$I,1,0)</f>
        <v>#N/A</v>
      </c>
      <c r="L1573" t="e">
        <f>VLOOKUP(A1573,'TV Apr Prorated Billing Sites'!$A:$I,1,0)</f>
        <v>#N/A</v>
      </c>
    </row>
    <row r="1574" spans="1:12">
      <c r="A1574" t="str">
        <f t="shared" si="26"/>
        <v>76238705</v>
      </c>
      <c r="B1574" t="s">
        <v>4302</v>
      </c>
      <c r="C1574" t="s">
        <v>4303</v>
      </c>
      <c r="D1574">
        <v>76238705</v>
      </c>
      <c r="E1574">
        <v>2002897</v>
      </c>
      <c r="F1574" t="s">
        <v>39</v>
      </c>
      <c r="G1574">
        <v>300</v>
      </c>
      <c r="H1574" t="str">
        <f>VLOOKUP(A1574,'SV Child INS Apr'!$A:$H,1,0)</f>
        <v>76238705</v>
      </c>
      <c r="L1574" t="e">
        <f>VLOOKUP(A1574,'TV Apr Prorated Billing Sites'!$A:$I,1,0)</f>
        <v>#N/A</v>
      </c>
    </row>
    <row r="1575" spans="1:12">
      <c r="A1575" t="str">
        <f t="shared" si="26"/>
        <v>76238757</v>
      </c>
      <c r="B1575" t="s">
        <v>4304</v>
      </c>
      <c r="C1575" t="s">
        <v>4305</v>
      </c>
      <c r="D1575">
        <v>76238757</v>
      </c>
      <c r="E1575">
        <v>11072</v>
      </c>
      <c r="F1575" t="s">
        <v>39</v>
      </c>
      <c r="G1575">
        <v>300</v>
      </c>
      <c r="H1575" t="str">
        <f>VLOOKUP(A1575,'SV Child INS Apr'!$A:$H,1,0)</f>
        <v>76238757</v>
      </c>
      <c r="L1575" t="e">
        <f>VLOOKUP(A1575,'TV Apr Prorated Billing Sites'!$A:$I,1,0)</f>
        <v>#N/A</v>
      </c>
    </row>
    <row r="1576" spans="1:12">
      <c r="A1576" t="str">
        <f t="shared" si="26"/>
        <v>76238760</v>
      </c>
      <c r="B1576" t="s">
        <v>234</v>
      </c>
      <c r="C1576" t="s">
        <v>235</v>
      </c>
      <c r="D1576">
        <v>76238760</v>
      </c>
      <c r="E1576">
        <v>11073</v>
      </c>
      <c r="F1576" t="s">
        <v>39</v>
      </c>
      <c r="G1576">
        <v>300</v>
      </c>
      <c r="H1576" t="e">
        <f>VLOOKUP(A1576,'SV Child INS Apr'!$A:$H,1,0)</f>
        <v>#N/A</v>
      </c>
      <c r="I1576" t="e">
        <f>VLOOKUP(B1576,'SV Child INS Apr'!$D:$F,1,0)</f>
        <v>#N/A</v>
      </c>
      <c r="J1576" t="e">
        <f>VLOOKUP(A1576,'SV Child BLG Apr'!$A:$J,1,0)</f>
        <v>#N/A</v>
      </c>
      <c r="K1576" t="e">
        <f>VLOOKUP(B1576,'SV Child BLG Apr'!$D:$I,1,0)</f>
        <v>#N/A</v>
      </c>
      <c r="L1576" t="e">
        <f>VLOOKUP(A1576,'TV Apr Prorated Billing Sites'!$A:$I,1,0)</f>
        <v>#N/A</v>
      </c>
    </row>
    <row r="1577" spans="1:12">
      <c r="A1577" t="str">
        <f t="shared" ref="A1577:A1640" si="27">TRIM(D1577)</f>
        <v>76238762</v>
      </c>
      <c r="B1577" t="s">
        <v>4306</v>
      </c>
      <c r="C1577" t="s">
        <v>4307</v>
      </c>
      <c r="D1577">
        <v>76238762</v>
      </c>
      <c r="E1577">
        <v>11075</v>
      </c>
      <c r="F1577" t="s">
        <v>39</v>
      </c>
      <c r="G1577">
        <v>300</v>
      </c>
      <c r="H1577" t="str">
        <f>VLOOKUP(A1577,'SV Child INS Apr'!$A:$H,1,0)</f>
        <v>76238762</v>
      </c>
      <c r="L1577" t="e">
        <f>VLOOKUP(A1577,'TV Apr Prorated Billing Sites'!$A:$I,1,0)</f>
        <v>#N/A</v>
      </c>
    </row>
    <row r="1578" spans="1:12">
      <c r="A1578" t="str">
        <f t="shared" si="27"/>
        <v>76238764</v>
      </c>
      <c r="B1578" t="s">
        <v>4308</v>
      </c>
      <c r="C1578" t="s">
        <v>4309</v>
      </c>
      <c r="D1578">
        <v>76238764</v>
      </c>
      <c r="E1578">
        <v>2002718</v>
      </c>
      <c r="F1578" t="s">
        <v>39</v>
      </c>
      <c r="G1578">
        <v>300</v>
      </c>
      <c r="H1578" t="str">
        <f>VLOOKUP(A1578,'SV Child INS Apr'!$A:$H,1,0)</f>
        <v>76238764</v>
      </c>
      <c r="L1578" t="e">
        <f>VLOOKUP(A1578,'TV Apr Prorated Billing Sites'!$A:$I,1,0)</f>
        <v>#N/A</v>
      </c>
    </row>
    <row r="1579" spans="1:12">
      <c r="A1579" t="str">
        <f t="shared" si="27"/>
        <v>76238768</v>
      </c>
      <c r="B1579" t="s">
        <v>4310</v>
      </c>
      <c r="C1579" t="s">
        <v>4311</v>
      </c>
      <c r="D1579">
        <v>76238768</v>
      </c>
      <c r="E1579">
        <v>11074</v>
      </c>
      <c r="F1579" t="s">
        <v>39</v>
      </c>
      <c r="G1579">
        <v>300</v>
      </c>
      <c r="H1579" t="str">
        <f>VLOOKUP(A1579,'SV Child INS Apr'!$A:$H,1,0)</f>
        <v>76238768</v>
      </c>
      <c r="L1579" t="e">
        <f>VLOOKUP(A1579,'TV Apr Prorated Billing Sites'!$A:$I,1,0)</f>
        <v>#N/A</v>
      </c>
    </row>
    <row r="1580" spans="1:12">
      <c r="A1580" t="str">
        <f t="shared" si="27"/>
        <v>76239770</v>
      </c>
      <c r="B1580" t="s">
        <v>4312</v>
      </c>
      <c r="C1580" t="s">
        <v>4313</v>
      </c>
      <c r="D1580">
        <v>76239770</v>
      </c>
      <c r="E1580">
        <v>11077</v>
      </c>
      <c r="F1580" t="s">
        <v>39</v>
      </c>
      <c r="G1580">
        <v>300</v>
      </c>
      <c r="H1580" t="str">
        <f>VLOOKUP(A1580,'SV Child INS Apr'!$A:$H,1,0)</f>
        <v>76239770</v>
      </c>
      <c r="L1580" t="e">
        <f>VLOOKUP(A1580,'TV Apr Prorated Billing Sites'!$A:$I,1,0)</f>
        <v>#N/A</v>
      </c>
    </row>
    <row r="1581" spans="1:12">
      <c r="A1581" t="str">
        <f t="shared" si="27"/>
        <v>76240062</v>
      </c>
      <c r="B1581" t="s">
        <v>4314</v>
      </c>
      <c r="C1581" t="s">
        <v>4315</v>
      </c>
      <c r="D1581">
        <v>76240062</v>
      </c>
      <c r="E1581">
        <v>2002800</v>
      </c>
      <c r="F1581" t="s">
        <v>39</v>
      </c>
      <c r="G1581">
        <v>300</v>
      </c>
      <c r="H1581" t="str">
        <f>VLOOKUP(A1581,'SV Child INS Apr'!$A:$H,1,0)</f>
        <v>76240062</v>
      </c>
      <c r="L1581" t="e">
        <f>VLOOKUP(A1581,'TV Apr Prorated Billing Sites'!$A:$I,1,0)</f>
        <v>#N/A</v>
      </c>
    </row>
    <row r="1582" spans="1:12">
      <c r="A1582" t="str">
        <f t="shared" si="27"/>
        <v>76240107</v>
      </c>
      <c r="B1582" t="s">
        <v>4316</v>
      </c>
      <c r="C1582" t="s">
        <v>4317</v>
      </c>
      <c r="D1582">
        <v>76240107</v>
      </c>
      <c r="E1582">
        <v>2002760</v>
      </c>
      <c r="F1582" t="s">
        <v>39</v>
      </c>
      <c r="G1582">
        <v>400</v>
      </c>
      <c r="H1582" t="str">
        <f>VLOOKUP(A1582,'SV Child INS Apr'!$A:$H,1,0)</f>
        <v>76240107</v>
      </c>
      <c r="L1582" t="e">
        <f>VLOOKUP(A1582,'TV Apr Prorated Billing Sites'!$A:$I,1,0)</f>
        <v>#N/A</v>
      </c>
    </row>
    <row r="1583" spans="1:12">
      <c r="A1583" t="str">
        <f t="shared" si="27"/>
        <v>76240127</v>
      </c>
      <c r="B1583" t="s">
        <v>4318</v>
      </c>
      <c r="C1583" t="s">
        <v>4319</v>
      </c>
      <c r="D1583">
        <v>76240127</v>
      </c>
      <c r="E1583">
        <v>3000549</v>
      </c>
      <c r="F1583" t="s">
        <v>39</v>
      </c>
      <c r="G1583">
        <v>300</v>
      </c>
      <c r="H1583" t="str">
        <f>VLOOKUP(A1583,'SV Child INS Apr'!$A:$H,1,0)</f>
        <v>76240127</v>
      </c>
      <c r="L1583" t="e">
        <f>VLOOKUP(A1583,'TV Apr Prorated Billing Sites'!$A:$I,1,0)</f>
        <v>#N/A</v>
      </c>
    </row>
    <row r="1584" spans="1:12">
      <c r="A1584" t="str">
        <f t="shared" si="27"/>
        <v>76240142</v>
      </c>
      <c r="B1584" t="s">
        <v>237</v>
      </c>
      <c r="C1584" t="s">
        <v>238</v>
      </c>
      <c r="D1584">
        <v>76240142</v>
      </c>
      <c r="E1584">
        <v>2000770</v>
      </c>
      <c r="F1584" t="s">
        <v>39</v>
      </c>
      <c r="G1584">
        <v>300</v>
      </c>
      <c r="H1584" t="e">
        <f>VLOOKUP(A1584,'SV Child INS Apr'!$A:$H,1,0)</f>
        <v>#N/A</v>
      </c>
      <c r="I1584" t="e">
        <f>VLOOKUP(B1584,'SV Child INS Apr'!$D:$F,1,0)</f>
        <v>#N/A</v>
      </c>
      <c r="J1584" t="e">
        <f>VLOOKUP(A1584,'SV Child BLG Apr'!$A:$J,1,0)</f>
        <v>#N/A</v>
      </c>
      <c r="K1584" t="e">
        <f>VLOOKUP(B1584,'SV Child BLG Apr'!$D:$I,1,0)</f>
        <v>#N/A</v>
      </c>
      <c r="L1584" t="e">
        <f>VLOOKUP(A1584,'TV Apr Prorated Billing Sites'!$A:$I,1,0)</f>
        <v>#N/A</v>
      </c>
    </row>
    <row r="1585" spans="1:13">
      <c r="A1585" t="str">
        <f t="shared" si="27"/>
        <v>76240202</v>
      </c>
      <c r="B1585" t="s">
        <v>4320</v>
      </c>
      <c r="C1585" t="s">
        <v>4321</v>
      </c>
      <c r="D1585">
        <v>76240202</v>
      </c>
      <c r="E1585">
        <v>2002702</v>
      </c>
      <c r="F1585" t="s">
        <v>39</v>
      </c>
      <c r="G1585">
        <v>300</v>
      </c>
      <c r="H1585" t="str">
        <f>VLOOKUP(A1585,'SV Child INS Apr'!$A:$H,1,0)</f>
        <v>76240202</v>
      </c>
      <c r="L1585" t="e">
        <f>VLOOKUP(A1585,'TV Apr Prorated Billing Sites'!$A:$I,1,0)</f>
        <v>#N/A</v>
      </c>
    </row>
    <row r="1586" spans="1:13">
      <c r="A1586" t="str">
        <f t="shared" si="27"/>
        <v>76240343</v>
      </c>
      <c r="B1586" t="s">
        <v>679</v>
      </c>
      <c r="C1586" t="s">
        <v>680</v>
      </c>
      <c r="D1586">
        <v>76240343</v>
      </c>
      <c r="E1586">
        <v>3000814</v>
      </c>
      <c r="F1586" t="s">
        <v>39</v>
      </c>
      <c r="G1586">
        <v>300</v>
      </c>
      <c r="H1586" t="e">
        <f>VLOOKUP(A1586,'SV Child INS Apr'!$A:$H,1,0)</f>
        <v>#N/A</v>
      </c>
      <c r="I1586" t="e">
        <f>VLOOKUP(B1586,'SV Child INS Apr'!$D:$F,1,0)</f>
        <v>#N/A</v>
      </c>
      <c r="J1586" t="str">
        <f>VLOOKUP(A1586,'SV Child BLG Apr'!$A:$J,1,0)</f>
        <v>76240343</v>
      </c>
      <c r="L1586" t="e">
        <f>VLOOKUP(A1586,'TV Apr Prorated Billing Sites'!$A:$I,1,0)</f>
        <v>#N/A</v>
      </c>
      <c r="M1586" t="e">
        <f>VLOOKUP(A1586,'CDK asked to retain list'!$H$1:$J$24,1,0)</f>
        <v>#N/A</v>
      </c>
    </row>
    <row r="1587" spans="1:13">
      <c r="A1587" t="str">
        <f t="shared" si="27"/>
        <v>76240384</v>
      </c>
      <c r="B1587" t="s">
        <v>4322</v>
      </c>
      <c r="C1587" t="s">
        <v>4323</v>
      </c>
      <c r="D1587">
        <v>76240384</v>
      </c>
      <c r="E1587">
        <v>2503168</v>
      </c>
      <c r="F1587" t="s">
        <v>39</v>
      </c>
      <c r="G1587">
        <v>400</v>
      </c>
      <c r="H1587" t="str">
        <f>VLOOKUP(A1587,'SV Child INS Apr'!$A:$H,1,0)</f>
        <v>76240384</v>
      </c>
      <c r="L1587" t="e">
        <f>VLOOKUP(A1587,'TV Apr Prorated Billing Sites'!$A:$I,1,0)</f>
        <v>#N/A</v>
      </c>
    </row>
    <row r="1588" spans="1:13">
      <c r="A1588" t="str">
        <f t="shared" si="27"/>
        <v>76240412</v>
      </c>
      <c r="B1588" t="s">
        <v>4324</v>
      </c>
      <c r="C1588" t="s">
        <v>4325</v>
      </c>
      <c r="D1588">
        <v>76240412</v>
      </c>
      <c r="E1588">
        <v>2503136</v>
      </c>
      <c r="F1588" t="s">
        <v>39</v>
      </c>
      <c r="G1588">
        <v>400</v>
      </c>
      <c r="H1588" t="str">
        <f>VLOOKUP(A1588,'SV Child INS Apr'!$A:$H,1,0)</f>
        <v>76240412</v>
      </c>
      <c r="L1588" t="e">
        <f>VLOOKUP(A1588,'TV Apr Prorated Billing Sites'!$A:$I,1,0)</f>
        <v>#N/A</v>
      </c>
    </row>
    <row r="1589" spans="1:13">
      <c r="A1589" t="str">
        <f t="shared" si="27"/>
        <v>76240429</v>
      </c>
      <c r="B1589" t="s">
        <v>240</v>
      </c>
      <c r="C1589" t="s">
        <v>241</v>
      </c>
      <c r="D1589">
        <v>76240429</v>
      </c>
      <c r="E1589">
        <v>2002703</v>
      </c>
      <c r="F1589" t="s">
        <v>39</v>
      </c>
      <c r="G1589">
        <v>300</v>
      </c>
      <c r="H1589" t="e">
        <f>VLOOKUP(A1589,'SV Child INS Apr'!$A:$H,1,0)</f>
        <v>#N/A</v>
      </c>
      <c r="I1589" t="e">
        <f>VLOOKUP(B1589,'SV Child INS Apr'!$D:$F,1,0)</f>
        <v>#N/A</v>
      </c>
      <c r="J1589" t="e">
        <f>VLOOKUP(A1589,'SV Child BLG Apr'!$A:$J,1,0)</f>
        <v>#N/A</v>
      </c>
      <c r="K1589" t="e">
        <f>VLOOKUP(B1589,'SV Child BLG Apr'!$D:$I,1,0)</f>
        <v>#N/A</v>
      </c>
      <c r="L1589" t="e">
        <f>VLOOKUP(A1589,'TV Apr Prorated Billing Sites'!$A:$I,1,0)</f>
        <v>#N/A</v>
      </c>
    </row>
    <row r="1590" spans="1:13">
      <c r="A1590" t="str">
        <f t="shared" si="27"/>
        <v>76240482</v>
      </c>
      <c r="B1590" t="s">
        <v>4326</v>
      </c>
      <c r="C1590" t="s">
        <v>4327</v>
      </c>
      <c r="D1590">
        <v>76240482</v>
      </c>
      <c r="E1590">
        <v>2001833</v>
      </c>
      <c r="F1590" t="s">
        <v>39</v>
      </c>
      <c r="G1590">
        <v>300</v>
      </c>
      <c r="H1590" t="str">
        <f>VLOOKUP(A1590,'SV Child INS Apr'!$A:$H,1,0)</f>
        <v>76240482</v>
      </c>
      <c r="L1590" t="e">
        <f>VLOOKUP(A1590,'TV Apr Prorated Billing Sites'!$A:$I,1,0)</f>
        <v>#N/A</v>
      </c>
    </row>
    <row r="1591" spans="1:13">
      <c r="A1591" t="str">
        <f t="shared" si="27"/>
        <v>76240524</v>
      </c>
      <c r="B1591" t="s">
        <v>4328</v>
      </c>
      <c r="C1591" t="s">
        <v>4329</v>
      </c>
      <c r="D1591">
        <v>76240524</v>
      </c>
      <c r="E1591">
        <v>3001714</v>
      </c>
      <c r="F1591" t="s">
        <v>39</v>
      </c>
      <c r="G1591">
        <v>300</v>
      </c>
      <c r="H1591" t="str">
        <f>VLOOKUP(A1591,'SV Child INS Apr'!$A:$H,1,0)</f>
        <v>76240524</v>
      </c>
      <c r="L1591" t="e">
        <f>VLOOKUP(A1591,'TV Apr Prorated Billing Sites'!$A:$I,1,0)</f>
        <v>#N/A</v>
      </c>
    </row>
    <row r="1592" spans="1:13">
      <c r="A1592" t="str">
        <f t="shared" si="27"/>
        <v>76240607</v>
      </c>
      <c r="B1592" t="s">
        <v>4330</v>
      </c>
      <c r="C1592" t="s">
        <v>4331</v>
      </c>
      <c r="D1592">
        <v>76240607</v>
      </c>
      <c r="E1592">
        <v>2503149</v>
      </c>
      <c r="F1592" t="s">
        <v>39</v>
      </c>
      <c r="G1592">
        <v>400</v>
      </c>
      <c r="H1592" t="str">
        <f>VLOOKUP(A1592,'SV Child INS Apr'!$A:$H,1,0)</f>
        <v>76240607</v>
      </c>
      <c r="L1592" t="e">
        <f>VLOOKUP(A1592,'TV Apr Prorated Billing Sites'!$A:$I,1,0)</f>
        <v>#N/A</v>
      </c>
    </row>
    <row r="1593" spans="1:13">
      <c r="A1593" t="str">
        <f t="shared" si="27"/>
        <v>76240800</v>
      </c>
      <c r="B1593" t="s">
        <v>4332</v>
      </c>
      <c r="C1593" t="s">
        <v>4333</v>
      </c>
      <c r="D1593">
        <v>76240800</v>
      </c>
      <c r="E1593">
        <v>2503166</v>
      </c>
      <c r="F1593" t="s">
        <v>39</v>
      </c>
      <c r="G1593">
        <v>300</v>
      </c>
      <c r="H1593" t="str">
        <f>VLOOKUP(A1593,'SV Child INS Apr'!$A:$H,1,0)</f>
        <v>76240800</v>
      </c>
      <c r="L1593" t="e">
        <f>VLOOKUP(A1593,'TV Apr Prorated Billing Sites'!$A:$I,1,0)</f>
        <v>#N/A</v>
      </c>
    </row>
    <row r="1594" spans="1:13">
      <c r="A1594" t="str">
        <f t="shared" si="27"/>
        <v>76240913</v>
      </c>
      <c r="B1594" t="s">
        <v>4334</v>
      </c>
      <c r="C1594" t="s">
        <v>4335</v>
      </c>
      <c r="D1594">
        <v>76240913</v>
      </c>
      <c r="E1594">
        <v>2503461</v>
      </c>
      <c r="F1594" t="s">
        <v>39</v>
      </c>
      <c r="G1594">
        <v>300</v>
      </c>
      <c r="H1594" t="str">
        <f>VLOOKUP(A1594,'SV Child INS Apr'!$A:$H,1,0)</f>
        <v>76240913</v>
      </c>
      <c r="L1594" t="e">
        <f>VLOOKUP(A1594,'TV Apr Prorated Billing Sites'!$A:$I,1,0)</f>
        <v>#N/A</v>
      </c>
    </row>
    <row r="1595" spans="1:13">
      <c r="A1595" t="str">
        <f t="shared" si="27"/>
        <v>76240943</v>
      </c>
      <c r="B1595" t="s">
        <v>4336</v>
      </c>
      <c r="C1595" t="s">
        <v>4337</v>
      </c>
      <c r="D1595">
        <v>76240943</v>
      </c>
      <c r="E1595">
        <v>2002834</v>
      </c>
      <c r="F1595" t="s">
        <v>39</v>
      </c>
      <c r="G1595">
        <v>300</v>
      </c>
      <c r="H1595" t="str">
        <f>VLOOKUP(A1595,'SV Child INS Apr'!$A:$H,1,0)</f>
        <v>76240943</v>
      </c>
      <c r="L1595" t="e">
        <f>VLOOKUP(A1595,'TV Apr Prorated Billing Sites'!$A:$I,1,0)</f>
        <v>#N/A</v>
      </c>
    </row>
    <row r="1596" spans="1:13">
      <c r="A1596" t="str">
        <f t="shared" si="27"/>
        <v>76240969</v>
      </c>
      <c r="B1596" t="s">
        <v>4338</v>
      </c>
      <c r="C1596" t="s">
        <v>4339</v>
      </c>
      <c r="D1596">
        <v>76240969</v>
      </c>
      <c r="E1596">
        <v>2002793</v>
      </c>
      <c r="F1596" t="s">
        <v>39</v>
      </c>
      <c r="G1596">
        <v>300</v>
      </c>
      <c r="H1596" t="str">
        <f>VLOOKUP(A1596,'SV Child INS Apr'!$A:$H,1,0)</f>
        <v>76240969</v>
      </c>
      <c r="L1596" t="e">
        <f>VLOOKUP(A1596,'TV Apr Prorated Billing Sites'!$A:$I,1,0)</f>
        <v>#N/A</v>
      </c>
    </row>
    <row r="1597" spans="1:13">
      <c r="A1597" t="str">
        <f t="shared" si="27"/>
        <v>76241005</v>
      </c>
      <c r="B1597" t="s">
        <v>243</v>
      </c>
      <c r="C1597" t="s">
        <v>244</v>
      </c>
      <c r="D1597">
        <v>76241005</v>
      </c>
      <c r="E1597">
        <v>2002833</v>
      </c>
      <c r="F1597" t="s">
        <v>39</v>
      </c>
      <c r="G1597">
        <v>300</v>
      </c>
      <c r="H1597" t="e">
        <f>VLOOKUP(A1597,'SV Child INS Apr'!$A:$H,1,0)</f>
        <v>#N/A</v>
      </c>
      <c r="I1597" t="e">
        <f>VLOOKUP(B1597,'SV Child INS Apr'!$D:$F,1,0)</f>
        <v>#N/A</v>
      </c>
      <c r="J1597" t="e">
        <f>VLOOKUP(A1597,'SV Child BLG Apr'!$A:$J,1,0)</f>
        <v>#N/A</v>
      </c>
      <c r="K1597" t="e">
        <f>VLOOKUP(B1597,'SV Child BLG Apr'!$D:$I,1,0)</f>
        <v>#N/A</v>
      </c>
      <c r="L1597" t="e">
        <f>VLOOKUP(A1597,'TV Apr Prorated Billing Sites'!$A:$I,1,0)</f>
        <v>#N/A</v>
      </c>
    </row>
    <row r="1598" spans="1:13">
      <c r="A1598" t="str">
        <f t="shared" si="27"/>
        <v>76241119</v>
      </c>
      <c r="B1598" t="s">
        <v>4340</v>
      </c>
      <c r="C1598" t="s">
        <v>4341</v>
      </c>
      <c r="D1598">
        <v>76241119</v>
      </c>
      <c r="E1598">
        <v>2002775</v>
      </c>
      <c r="F1598" t="s">
        <v>39</v>
      </c>
      <c r="G1598">
        <v>300</v>
      </c>
      <c r="H1598" t="str">
        <f>VLOOKUP(A1598,'SV Child INS Apr'!$A:$H,1,0)</f>
        <v>76241119</v>
      </c>
      <c r="L1598" t="e">
        <f>VLOOKUP(A1598,'TV Apr Prorated Billing Sites'!$A:$I,1,0)</f>
        <v>#N/A</v>
      </c>
    </row>
    <row r="1599" spans="1:13">
      <c r="A1599" t="str">
        <f t="shared" si="27"/>
        <v>76241159</v>
      </c>
      <c r="B1599" t="s">
        <v>682</v>
      </c>
      <c r="C1599" t="s">
        <v>683</v>
      </c>
      <c r="D1599">
        <v>76241159</v>
      </c>
      <c r="E1599">
        <v>3001147</v>
      </c>
      <c r="F1599" t="s">
        <v>39</v>
      </c>
      <c r="G1599">
        <v>300</v>
      </c>
      <c r="H1599" t="e">
        <f>VLOOKUP(A1599,'SV Child INS Apr'!$A:$H,1,0)</f>
        <v>#N/A</v>
      </c>
      <c r="I1599" t="e">
        <f>VLOOKUP(B1599,'SV Child INS Apr'!$D:$F,1,0)</f>
        <v>#N/A</v>
      </c>
      <c r="J1599" t="str">
        <f>VLOOKUP(A1599,'SV Child BLG Apr'!$A:$J,1,0)</f>
        <v>76241159</v>
      </c>
      <c r="L1599" t="str">
        <f>VLOOKUP(A1599,'TV Apr Prorated Billing Sites'!$A:$I,1,0)</f>
        <v>76241159</v>
      </c>
      <c r="M1599" t="e">
        <f>VLOOKUP(A1599,'CDK asked to retain list'!$H$1:$J$24,1,0)</f>
        <v>#N/A</v>
      </c>
    </row>
    <row r="1600" spans="1:13">
      <c r="A1600" t="str">
        <f t="shared" si="27"/>
        <v>76241171</v>
      </c>
      <c r="B1600" t="s">
        <v>246</v>
      </c>
      <c r="C1600" t="s">
        <v>247</v>
      </c>
      <c r="D1600">
        <v>76241171</v>
      </c>
      <c r="E1600">
        <v>2002774</v>
      </c>
      <c r="F1600" t="s">
        <v>39</v>
      </c>
      <c r="G1600">
        <v>300</v>
      </c>
      <c r="H1600" t="e">
        <f>VLOOKUP(A1600,'SV Child INS Apr'!$A:$H,1,0)</f>
        <v>#N/A</v>
      </c>
      <c r="I1600" t="e">
        <f>VLOOKUP(B1600,'SV Child INS Apr'!$D:$F,1,0)</f>
        <v>#N/A</v>
      </c>
      <c r="J1600" t="e">
        <f>VLOOKUP(A1600,'SV Child BLG Apr'!$A:$J,1,0)</f>
        <v>#N/A</v>
      </c>
      <c r="K1600" t="e">
        <f>VLOOKUP(B1600,'SV Child BLG Apr'!$D:$I,1,0)</f>
        <v>#N/A</v>
      </c>
      <c r="L1600" t="e">
        <f>VLOOKUP(A1600,'TV Apr Prorated Billing Sites'!$A:$I,1,0)</f>
        <v>#N/A</v>
      </c>
    </row>
    <row r="1601" spans="1:13">
      <c r="A1601" t="str">
        <f t="shared" si="27"/>
        <v>76241172</v>
      </c>
      <c r="B1601" t="s">
        <v>249</v>
      </c>
      <c r="C1601" t="s">
        <v>250</v>
      </c>
      <c r="D1601">
        <v>76241172</v>
      </c>
      <c r="E1601">
        <v>2002773</v>
      </c>
      <c r="F1601" t="s">
        <v>39</v>
      </c>
      <c r="G1601">
        <v>400</v>
      </c>
      <c r="H1601" t="e">
        <f>VLOOKUP(A1601,'SV Child INS Apr'!$A:$H,1,0)</f>
        <v>#N/A</v>
      </c>
      <c r="I1601" t="e">
        <f>VLOOKUP(B1601,'SV Child INS Apr'!$D:$F,1,0)</f>
        <v>#N/A</v>
      </c>
      <c r="J1601" t="e">
        <f>VLOOKUP(A1601,'SV Child BLG Apr'!$A:$J,1,0)</f>
        <v>#N/A</v>
      </c>
      <c r="K1601" t="e">
        <f>VLOOKUP(B1601,'SV Child BLG Apr'!$D:$I,1,0)</f>
        <v>#N/A</v>
      </c>
      <c r="L1601" t="e">
        <f>VLOOKUP(A1601,'TV Apr Prorated Billing Sites'!$A:$I,1,0)</f>
        <v>#N/A</v>
      </c>
    </row>
    <row r="1602" spans="1:13">
      <c r="A1602" t="str">
        <f t="shared" si="27"/>
        <v>76241216</v>
      </c>
      <c r="B1602" t="s">
        <v>685</v>
      </c>
      <c r="C1602" t="s">
        <v>686</v>
      </c>
      <c r="D1602">
        <v>76241216</v>
      </c>
      <c r="E1602">
        <v>3002066</v>
      </c>
      <c r="F1602" t="s">
        <v>39</v>
      </c>
      <c r="G1602">
        <v>300</v>
      </c>
      <c r="H1602" t="e">
        <f>VLOOKUP(A1602,'SV Child INS Apr'!$A:$H,1,0)</f>
        <v>#N/A</v>
      </c>
      <c r="I1602" t="e">
        <f>VLOOKUP(B1602,'SV Child INS Apr'!$D:$F,1,0)</f>
        <v>#N/A</v>
      </c>
      <c r="J1602" t="str">
        <f>VLOOKUP(A1602,'SV Child BLG Apr'!$A:$J,1,0)</f>
        <v>76241216</v>
      </c>
      <c r="L1602" t="e">
        <f>VLOOKUP(A1602,'TV Apr Prorated Billing Sites'!$A:$I,1,0)</f>
        <v>#N/A</v>
      </c>
      <c r="M1602" t="e">
        <f>VLOOKUP(A1602,'CDK asked to retain list'!$H$1:$J$24,1,0)</f>
        <v>#N/A</v>
      </c>
    </row>
    <row r="1603" spans="1:13">
      <c r="A1603" t="str">
        <f t="shared" si="27"/>
        <v>76241219</v>
      </c>
      <c r="B1603" t="s">
        <v>4342</v>
      </c>
      <c r="C1603" t="s">
        <v>4343</v>
      </c>
      <c r="D1603">
        <v>76241219</v>
      </c>
      <c r="E1603">
        <v>2002807</v>
      </c>
      <c r="F1603" t="s">
        <v>39</v>
      </c>
      <c r="G1603">
        <v>300</v>
      </c>
      <c r="H1603" t="str">
        <f>VLOOKUP(A1603,'SV Child INS Apr'!$A:$H,1,0)</f>
        <v>76241219</v>
      </c>
      <c r="L1603" t="e">
        <f>VLOOKUP(A1603,'TV Apr Prorated Billing Sites'!$A:$I,1,0)</f>
        <v>#N/A</v>
      </c>
    </row>
    <row r="1604" spans="1:13">
      <c r="A1604" t="str">
        <f t="shared" si="27"/>
        <v>76241220</v>
      </c>
      <c r="B1604" t="s">
        <v>4344</v>
      </c>
      <c r="C1604" t="s">
        <v>4345</v>
      </c>
      <c r="D1604">
        <v>76241220</v>
      </c>
      <c r="E1604">
        <v>2503172</v>
      </c>
      <c r="F1604" t="s">
        <v>39</v>
      </c>
      <c r="G1604">
        <v>300</v>
      </c>
      <c r="H1604" t="str">
        <f>VLOOKUP(A1604,'SV Child INS Apr'!$A:$H,1,0)</f>
        <v>76241220</v>
      </c>
      <c r="L1604" t="e">
        <f>VLOOKUP(A1604,'TV Apr Prorated Billing Sites'!$A:$I,1,0)</f>
        <v>#N/A</v>
      </c>
    </row>
    <row r="1605" spans="1:13">
      <c r="A1605" t="str">
        <f t="shared" si="27"/>
        <v>76241252</v>
      </c>
      <c r="B1605" t="s">
        <v>4346</v>
      </c>
      <c r="C1605" t="s">
        <v>4347</v>
      </c>
      <c r="D1605">
        <v>76241252</v>
      </c>
      <c r="E1605">
        <v>2503235</v>
      </c>
      <c r="F1605" t="s">
        <v>39</v>
      </c>
      <c r="G1605">
        <v>300</v>
      </c>
      <c r="H1605" t="str">
        <f>VLOOKUP(A1605,'SV Child INS Apr'!$A:$H,1,0)</f>
        <v>76241252</v>
      </c>
      <c r="L1605" t="e">
        <f>VLOOKUP(A1605,'TV Apr Prorated Billing Sites'!$A:$I,1,0)</f>
        <v>#N/A</v>
      </c>
    </row>
    <row r="1606" spans="1:13">
      <c r="A1606" t="str">
        <f t="shared" si="27"/>
        <v>76241253</v>
      </c>
      <c r="B1606" t="s">
        <v>4348</v>
      </c>
      <c r="C1606" t="s">
        <v>4349</v>
      </c>
      <c r="D1606">
        <v>76241253</v>
      </c>
      <c r="E1606">
        <v>2503236</v>
      </c>
      <c r="F1606" t="s">
        <v>39</v>
      </c>
      <c r="G1606">
        <v>300</v>
      </c>
      <c r="H1606" t="str">
        <f>VLOOKUP(A1606,'SV Child INS Apr'!$A:$H,1,0)</f>
        <v>76241253</v>
      </c>
      <c r="L1606" t="e">
        <f>VLOOKUP(A1606,'TV Apr Prorated Billing Sites'!$A:$I,1,0)</f>
        <v>#N/A</v>
      </c>
    </row>
    <row r="1607" spans="1:13">
      <c r="A1607" t="str">
        <f t="shared" si="27"/>
        <v>76241294</v>
      </c>
      <c r="B1607" t="s">
        <v>4350</v>
      </c>
      <c r="C1607" t="s">
        <v>4351</v>
      </c>
      <c r="D1607">
        <v>76241294</v>
      </c>
      <c r="E1607">
        <v>2503187</v>
      </c>
      <c r="F1607" t="s">
        <v>39</v>
      </c>
      <c r="G1607">
        <v>300</v>
      </c>
      <c r="H1607" t="str">
        <f>VLOOKUP(A1607,'SV Child INS Apr'!$A:$H,1,0)</f>
        <v>76241294</v>
      </c>
      <c r="L1607" t="e">
        <f>VLOOKUP(A1607,'TV Apr Prorated Billing Sites'!$A:$I,1,0)</f>
        <v>#N/A</v>
      </c>
    </row>
    <row r="1608" spans="1:13">
      <c r="A1608" t="str">
        <f t="shared" si="27"/>
        <v>76241344</v>
      </c>
      <c r="B1608" t="s">
        <v>4352</v>
      </c>
      <c r="C1608" t="s">
        <v>4353</v>
      </c>
      <c r="D1608">
        <v>76241344</v>
      </c>
      <c r="E1608">
        <v>2503462</v>
      </c>
      <c r="F1608" t="s">
        <v>39</v>
      </c>
      <c r="G1608">
        <v>300</v>
      </c>
      <c r="H1608" t="str">
        <f>VLOOKUP(A1608,'SV Child INS Apr'!$A:$H,1,0)</f>
        <v>76241344</v>
      </c>
      <c r="L1608" t="e">
        <f>VLOOKUP(A1608,'TV Apr Prorated Billing Sites'!$A:$I,1,0)</f>
        <v>#N/A</v>
      </c>
    </row>
    <row r="1609" spans="1:13">
      <c r="A1609" t="str">
        <f t="shared" si="27"/>
        <v>76241446</v>
      </c>
      <c r="B1609" t="s">
        <v>4354</v>
      </c>
      <c r="C1609" t="s">
        <v>4355</v>
      </c>
      <c r="D1609">
        <v>76241446</v>
      </c>
      <c r="E1609">
        <v>2002808</v>
      </c>
      <c r="F1609" t="s">
        <v>39</v>
      </c>
      <c r="G1609">
        <v>300</v>
      </c>
      <c r="H1609" t="str">
        <f>VLOOKUP(A1609,'SV Child INS Apr'!$A:$H,1,0)</f>
        <v>76241446</v>
      </c>
      <c r="L1609" t="e">
        <f>VLOOKUP(A1609,'TV Apr Prorated Billing Sites'!$A:$I,1,0)</f>
        <v>#N/A</v>
      </c>
    </row>
    <row r="1610" spans="1:13">
      <c r="A1610" t="str">
        <f t="shared" si="27"/>
        <v>76241447</v>
      </c>
      <c r="B1610" t="s">
        <v>252</v>
      </c>
      <c r="C1610" t="s">
        <v>253</v>
      </c>
      <c r="D1610">
        <v>76241447</v>
      </c>
      <c r="E1610">
        <v>2002789</v>
      </c>
      <c r="F1610" t="s">
        <v>39</v>
      </c>
      <c r="G1610">
        <v>300</v>
      </c>
      <c r="H1610" t="e">
        <f>VLOOKUP(A1610,'SV Child INS Apr'!$A:$H,1,0)</f>
        <v>#N/A</v>
      </c>
      <c r="I1610" t="e">
        <f>VLOOKUP(B1610,'SV Child INS Apr'!$D:$F,1,0)</f>
        <v>#N/A</v>
      </c>
      <c r="J1610" t="e">
        <f>VLOOKUP(A1610,'SV Child BLG Apr'!$A:$J,1,0)</f>
        <v>#N/A</v>
      </c>
      <c r="K1610" t="e">
        <f>VLOOKUP(B1610,'SV Child BLG Apr'!$D:$I,1,0)</f>
        <v>#N/A</v>
      </c>
      <c r="L1610" t="e">
        <f>VLOOKUP(A1610,'TV Apr Prorated Billing Sites'!$A:$I,1,0)</f>
        <v>#N/A</v>
      </c>
    </row>
    <row r="1611" spans="1:13">
      <c r="A1611" t="str">
        <f t="shared" si="27"/>
        <v>76241522</v>
      </c>
      <c r="B1611" t="s">
        <v>255</v>
      </c>
      <c r="C1611" t="s">
        <v>256</v>
      </c>
      <c r="D1611">
        <v>76241522</v>
      </c>
      <c r="E1611">
        <v>2002804</v>
      </c>
      <c r="F1611" t="s">
        <v>39</v>
      </c>
      <c r="G1611">
        <v>300</v>
      </c>
      <c r="H1611" t="e">
        <f>VLOOKUP(A1611,'SV Child INS Apr'!$A:$H,1,0)</f>
        <v>#N/A</v>
      </c>
      <c r="I1611" t="e">
        <f>VLOOKUP(B1611,'SV Child INS Apr'!$D:$F,1,0)</f>
        <v>#N/A</v>
      </c>
      <c r="J1611" t="e">
        <f>VLOOKUP(A1611,'SV Child BLG Apr'!$A:$J,1,0)</f>
        <v>#N/A</v>
      </c>
      <c r="K1611" t="e">
        <f>VLOOKUP(B1611,'SV Child BLG Apr'!$D:$I,1,0)</f>
        <v>#N/A</v>
      </c>
      <c r="L1611" t="e">
        <f>VLOOKUP(A1611,'TV Apr Prorated Billing Sites'!$A:$I,1,0)</f>
        <v>#N/A</v>
      </c>
    </row>
    <row r="1612" spans="1:13">
      <c r="A1612" t="str">
        <f t="shared" si="27"/>
        <v>76241560</v>
      </c>
      <c r="B1612" t="s">
        <v>4356</v>
      </c>
      <c r="C1612" t="s">
        <v>4357</v>
      </c>
      <c r="D1612">
        <v>76241560</v>
      </c>
      <c r="E1612">
        <v>1500048</v>
      </c>
      <c r="F1612" t="s">
        <v>39</v>
      </c>
      <c r="G1612">
        <v>300</v>
      </c>
      <c r="H1612" t="e">
        <f>VLOOKUP(A1612,'SV Child INS Apr'!$A:$H,1,0)</f>
        <v>#N/A</v>
      </c>
      <c r="I1612" t="str">
        <f>VLOOKUP(B1612,'SV Child INS Apr'!$D:$F,1,0)</f>
        <v>KEATING CHEVROLET</v>
      </c>
      <c r="L1612" t="e">
        <f>VLOOKUP(A1612,'TV Apr Prorated Billing Sites'!$A:$I,1,0)</f>
        <v>#N/A</v>
      </c>
    </row>
    <row r="1613" spans="1:13">
      <c r="A1613" t="str">
        <f t="shared" si="27"/>
        <v>76241605</v>
      </c>
      <c r="B1613" t="s">
        <v>688</v>
      </c>
      <c r="C1613" t="s">
        <v>689</v>
      </c>
      <c r="D1613">
        <v>76241605</v>
      </c>
      <c r="E1613">
        <v>2001100</v>
      </c>
      <c r="F1613" t="s">
        <v>39</v>
      </c>
      <c r="G1613">
        <v>300</v>
      </c>
      <c r="H1613" t="e">
        <f>VLOOKUP(A1613,'SV Child INS Apr'!$A:$H,1,0)</f>
        <v>#N/A</v>
      </c>
      <c r="I1613" t="e">
        <f>VLOOKUP(B1613,'SV Child INS Apr'!$D:$F,1,0)</f>
        <v>#N/A</v>
      </c>
      <c r="J1613" t="str">
        <f>VLOOKUP(A1613,'SV Child BLG Apr'!$A:$J,1,0)</f>
        <v>76241605</v>
      </c>
      <c r="L1613" t="str">
        <f>VLOOKUP(A1613,'TV Apr Prorated Billing Sites'!$A:$I,1,0)</f>
        <v>76241605</v>
      </c>
      <c r="M1613" t="e">
        <f>VLOOKUP(A1613,'CDK asked to retain list'!$H$1:$J$24,1,0)</f>
        <v>#N/A</v>
      </c>
    </row>
    <row r="1614" spans="1:13">
      <c r="A1614" t="str">
        <f t="shared" si="27"/>
        <v>76241714</v>
      </c>
      <c r="B1614" t="s">
        <v>4358</v>
      </c>
      <c r="C1614" t="s">
        <v>4359</v>
      </c>
      <c r="D1614">
        <v>76241714</v>
      </c>
      <c r="E1614">
        <v>2503351</v>
      </c>
      <c r="F1614" t="s">
        <v>39</v>
      </c>
      <c r="G1614">
        <v>300</v>
      </c>
      <c r="H1614" t="str">
        <f>VLOOKUP(A1614,'SV Child INS Apr'!$A:$H,1,0)</f>
        <v>76241714</v>
      </c>
      <c r="L1614" t="e">
        <f>VLOOKUP(A1614,'TV Apr Prorated Billing Sites'!$A:$I,1,0)</f>
        <v>#N/A</v>
      </c>
    </row>
    <row r="1615" spans="1:13">
      <c r="A1615" t="str">
        <f t="shared" si="27"/>
        <v>76241734</v>
      </c>
      <c r="B1615" t="s">
        <v>4360</v>
      </c>
      <c r="C1615" t="s">
        <v>4361</v>
      </c>
      <c r="D1615">
        <v>76241734</v>
      </c>
      <c r="E1615">
        <v>2002859</v>
      </c>
      <c r="F1615" t="s">
        <v>39</v>
      </c>
      <c r="G1615">
        <v>300</v>
      </c>
      <c r="H1615" t="str">
        <f>VLOOKUP(A1615,'SV Child INS Apr'!$A:$H,1,0)</f>
        <v>76241734</v>
      </c>
      <c r="L1615" t="e">
        <f>VLOOKUP(A1615,'TV Apr Prorated Billing Sites'!$A:$I,1,0)</f>
        <v>#N/A</v>
      </c>
    </row>
    <row r="1616" spans="1:13">
      <c r="A1616" t="str">
        <f t="shared" si="27"/>
        <v>76242076</v>
      </c>
      <c r="B1616" t="s">
        <v>4362</v>
      </c>
      <c r="C1616" t="s">
        <v>4363</v>
      </c>
      <c r="D1616">
        <v>76242076</v>
      </c>
      <c r="E1616">
        <v>3000730</v>
      </c>
      <c r="F1616" t="s">
        <v>39</v>
      </c>
      <c r="G1616">
        <v>300</v>
      </c>
      <c r="H1616" t="str">
        <f>VLOOKUP(A1616,'SV Child INS Apr'!$A:$H,1,0)</f>
        <v>76242076</v>
      </c>
      <c r="L1616" t="e">
        <f>VLOOKUP(A1616,'TV Apr Prorated Billing Sites'!$A:$I,1,0)</f>
        <v>#N/A</v>
      </c>
    </row>
    <row r="1617" spans="1:12">
      <c r="A1617" t="str">
        <f t="shared" si="27"/>
        <v>76242096</v>
      </c>
      <c r="B1617" t="s">
        <v>4364</v>
      </c>
      <c r="C1617" t="s">
        <v>4365</v>
      </c>
      <c r="D1617">
        <v>76242096</v>
      </c>
      <c r="E1617">
        <v>2503276</v>
      </c>
      <c r="F1617" t="s">
        <v>39</v>
      </c>
      <c r="G1617">
        <v>300</v>
      </c>
      <c r="H1617" t="str">
        <f>VLOOKUP(A1617,'SV Child INS Apr'!$A:$H,1,0)</f>
        <v>76242096</v>
      </c>
      <c r="L1617" t="e">
        <f>VLOOKUP(A1617,'TV Apr Prorated Billing Sites'!$A:$I,1,0)</f>
        <v>#N/A</v>
      </c>
    </row>
    <row r="1618" spans="1:12">
      <c r="A1618" t="str">
        <f t="shared" si="27"/>
        <v>76242099</v>
      </c>
      <c r="B1618" t="s">
        <v>4366</v>
      </c>
      <c r="C1618" t="s">
        <v>4367</v>
      </c>
      <c r="D1618">
        <v>76242099</v>
      </c>
      <c r="E1618">
        <v>2503304</v>
      </c>
      <c r="F1618" t="s">
        <v>39</v>
      </c>
      <c r="G1618">
        <v>300</v>
      </c>
      <c r="H1618" t="str">
        <f>VLOOKUP(A1618,'SV Child INS Apr'!$A:$H,1,0)</f>
        <v>76242099</v>
      </c>
      <c r="L1618" t="e">
        <f>VLOOKUP(A1618,'TV Apr Prorated Billing Sites'!$A:$I,1,0)</f>
        <v>#N/A</v>
      </c>
    </row>
    <row r="1619" spans="1:12">
      <c r="A1619" t="str">
        <f t="shared" si="27"/>
        <v>76242101</v>
      </c>
      <c r="B1619" t="s">
        <v>4368</v>
      </c>
      <c r="C1619" t="s">
        <v>4369</v>
      </c>
      <c r="D1619">
        <v>76242101</v>
      </c>
      <c r="E1619">
        <v>2503315</v>
      </c>
      <c r="F1619" t="s">
        <v>39</v>
      </c>
      <c r="G1619">
        <v>300</v>
      </c>
      <c r="H1619" t="str">
        <f>VLOOKUP(A1619,'SV Child INS Apr'!$A:$H,1,0)</f>
        <v>76242101</v>
      </c>
      <c r="L1619" t="e">
        <f>VLOOKUP(A1619,'TV Apr Prorated Billing Sites'!$A:$I,1,0)</f>
        <v>#N/A</v>
      </c>
    </row>
    <row r="1620" spans="1:12">
      <c r="A1620" t="str">
        <f t="shared" si="27"/>
        <v>76242105</v>
      </c>
      <c r="B1620" t="s">
        <v>4370</v>
      </c>
      <c r="C1620" t="s">
        <v>4371</v>
      </c>
      <c r="D1620">
        <v>76242105</v>
      </c>
      <c r="E1620">
        <v>2503300</v>
      </c>
      <c r="F1620" t="s">
        <v>39</v>
      </c>
      <c r="G1620">
        <v>300</v>
      </c>
      <c r="H1620" t="str">
        <f>VLOOKUP(A1620,'SV Child INS Apr'!$A:$H,1,0)</f>
        <v>76242105</v>
      </c>
      <c r="L1620" t="e">
        <f>VLOOKUP(A1620,'TV Apr Prorated Billing Sites'!$A:$I,1,0)</f>
        <v>#N/A</v>
      </c>
    </row>
    <row r="1621" spans="1:12">
      <c r="A1621" t="str">
        <f t="shared" si="27"/>
        <v>76242107</v>
      </c>
      <c r="B1621" t="s">
        <v>4372</v>
      </c>
      <c r="C1621" t="s">
        <v>4373</v>
      </c>
      <c r="D1621">
        <v>76242107</v>
      </c>
      <c r="E1621">
        <v>2503323</v>
      </c>
      <c r="F1621" t="s">
        <v>39</v>
      </c>
      <c r="G1621">
        <v>300</v>
      </c>
      <c r="H1621" t="str">
        <f>VLOOKUP(A1621,'SV Child INS Apr'!$A:$H,1,0)</f>
        <v>76242107</v>
      </c>
      <c r="L1621" t="e">
        <f>VLOOKUP(A1621,'TV Apr Prorated Billing Sites'!$A:$I,1,0)</f>
        <v>#N/A</v>
      </c>
    </row>
    <row r="1622" spans="1:12">
      <c r="A1622" t="str">
        <f t="shared" si="27"/>
        <v>76242987</v>
      </c>
      <c r="B1622" t="s">
        <v>4374</v>
      </c>
      <c r="C1622" t="s">
        <v>4375</v>
      </c>
      <c r="D1622">
        <v>76242987</v>
      </c>
      <c r="E1622">
        <v>3001906</v>
      </c>
      <c r="F1622" t="s">
        <v>39</v>
      </c>
      <c r="G1622">
        <v>300</v>
      </c>
      <c r="H1622" t="str">
        <f>VLOOKUP(A1622,'SV Child INS Apr'!$A:$H,1,0)</f>
        <v>76242987</v>
      </c>
      <c r="L1622" t="e">
        <f>VLOOKUP(A1622,'TV Apr Prorated Billing Sites'!$A:$I,1,0)</f>
        <v>#N/A</v>
      </c>
    </row>
    <row r="1623" spans="1:12">
      <c r="A1623" t="str">
        <f t="shared" si="27"/>
        <v>76243022</v>
      </c>
      <c r="B1623" t="s">
        <v>4376</v>
      </c>
      <c r="C1623" t="s">
        <v>4377</v>
      </c>
      <c r="D1623">
        <v>76243022</v>
      </c>
      <c r="E1623">
        <v>3002003</v>
      </c>
      <c r="F1623" t="s">
        <v>39</v>
      </c>
      <c r="G1623">
        <v>300</v>
      </c>
      <c r="H1623" t="str">
        <f>VLOOKUP(A1623,'SV Child INS Apr'!$A:$H,1,0)</f>
        <v>76243022</v>
      </c>
      <c r="L1623" t="e">
        <f>VLOOKUP(A1623,'TV Apr Prorated Billing Sites'!$A:$I,1,0)</f>
        <v>#N/A</v>
      </c>
    </row>
    <row r="1624" spans="1:12">
      <c r="A1624" t="str">
        <f t="shared" si="27"/>
        <v>76243293</v>
      </c>
      <c r="B1624" t="s">
        <v>258</v>
      </c>
      <c r="C1624" t="s">
        <v>259</v>
      </c>
      <c r="D1624">
        <v>76243293</v>
      </c>
      <c r="E1624">
        <v>2503344</v>
      </c>
      <c r="F1624" t="s">
        <v>39</v>
      </c>
      <c r="G1624">
        <v>300</v>
      </c>
      <c r="H1624" t="e">
        <f>VLOOKUP(A1624,'SV Child INS Apr'!$A:$H,1,0)</f>
        <v>#N/A</v>
      </c>
      <c r="I1624" t="e">
        <f>VLOOKUP(B1624,'SV Child INS Apr'!$D:$F,1,0)</f>
        <v>#N/A</v>
      </c>
      <c r="J1624" t="e">
        <f>VLOOKUP(A1624,'SV Child BLG Apr'!$A:$J,1,0)</f>
        <v>#N/A</v>
      </c>
      <c r="K1624" t="e">
        <f>VLOOKUP(B1624,'SV Child BLG Apr'!$D:$I,1,0)</f>
        <v>#N/A</v>
      </c>
      <c r="L1624" t="e">
        <f>VLOOKUP(A1624,'TV Apr Prorated Billing Sites'!$A:$I,1,0)</f>
        <v>#N/A</v>
      </c>
    </row>
    <row r="1625" spans="1:12">
      <c r="A1625" t="str">
        <f t="shared" si="27"/>
        <v>76243303</v>
      </c>
      <c r="B1625" t="s">
        <v>4378</v>
      </c>
      <c r="C1625" t="s">
        <v>4379</v>
      </c>
      <c r="D1625">
        <v>76243303</v>
      </c>
      <c r="E1625">
        <v>3000733</v>
      </c>
      <c r="F1625" t="s">
        <v>39</v>
      </c>
      <c r="G1625">
        <v>300</v>
      </c>
      <c r="H1625" t="str">
        <f>VLOOKUP(A1625,'SV Child INS Apr'!$A:$H,1,0)</f>
        <v>76243303</v>
      </c>
      <c r="L1625" t="e">
        <f>VLOOKUP(A1625,'TV Apr Prorated Billing Sites'!$A:$I,1,0)</f>
        <v>#N/A</v>
      </c>
    </row>
    <row r="1626" spans="1:12">
      <c r="A1626" t="str">
        <f t="shared" si="27"/>
        <v>76243311</v>
      </c>
      <c r="B1626" t="s">
        <v>4380</v>
      </c>
      <c r="C1626" t="s">
        <v>4381</v>
      </c>
      <c r="D1626">
        <v>76243311</v>
      </c>
      <c r="E1626">
        <v>2503254</v>
      </c>
      <c r="F1626" t="s">
        <v>39</v>
      </c>
      <c r="G1626">
        <v>300</v>
      </c>
      <c r="H1626" t="str">
        <f>VLOOKUP(A1626,'SV Child INS Apr'!$A:$H,1,0)</f>
        <v>76243311</v>
      </c>
      <c r="L1626" t="e">
        <f>VLOOKUP(A1626,'TV Apr Prorated Billing Sites'!$A:$I,1,0)</f>
        <v>#N/A</v>
      </c>
    </row>
    <row r="1627" spans="1:12">
      <c r="A1627" t="str">
        <f t="shared" si="27"/>
        <v>76243576</v>
      </c>
      <c r="B1627" t="s">
        <v>4382</v>
      </c>
      <c r="C1627" t="s">
        <v>4383</v>
      </c>
      <c r="D1627">
        <v>76243576</v>
      </c>
      <c r="E1627">
        <v>2503294</v>
      </c>
      <c r="F1627" t="s">
        <v>39</v>
      </c>
      <c r="G1627">
        <v>300</v>
      </c>
      <c r="H1627" t="str">
        <f>VLOOKUP(A1627,'SV Child INS Apr'!$A:$H,1,0)</f>
        <v>76243576</v>
      </c>
      <c r="L1627" t="e">
        <f>VLOOKUP(A1627,'TV Apr Prorated Billing Sites'!$A:$I,1,0)</f>
        <v>#N/A</v>
      </c>
    </row>
    <row r="1628" spans="1:12">
      <c r="A1628" t="str">
        <f t="shared" si="27"/>
        <v>76243776</v>
      </c>
      <c r="B1628" t="s">
        <v>4384</v>
      </c>
      <c r="C1628" t="s">
        <v>4385</v>
      </c>
      <c r="D1628">
        <v>76243776</v>
      </c>
      <c r="E1628">
        <v>0</v>
      </c>
      <c r="F1628" t="s">
        <v>39</v>
      </c>
      <c r="G1628">
        <v>300</v>
      </c>
      <c r="H1628" t="str">
        <f>VLOOKUP(A1628,'SV Child INS Apr'!$A:$H,1,0)</f>
        <v>76243776</v>
      </c>
      <c r="L1628" t="e">
        <f>VLOOKUP(A1628,'TV Apr Prorated Billing Sites'!$A:$I,1,0)</f>
        <v>#N/A</v>
      </c>
    </row>
    <row r="1629" spans="1:12">
      <c r="A1629" t="str">
        <f t="shared" si="27"/>
        <v>76243863</v>
      </c>
      <c r="B1629" t="s">
        <v>4386</v>
      </c>
      <c r="C1629" t="s">
        <v>4387</v>
      </c>
      <c r="D1629">
        <v>76243863</v>
      </c>
      <c r="E1629">
        <v>2501425</v>
      </c>
      <c r="F1629" t="s">
        <v>39</v>
      </c>
      <c r="G1629">
        <v>300</v>
      </c>
      <c r="H1629" t="str">
        <f>VLOOKUP(A1629,'SV Child INS Apr'!$A:$H,1,0)</f>
        <v>76243863</v>
      </c>
      <c r="L1629" t="e">
        <f>VLOOKUP(A1629,'TV Apr Prorated Billing Sites'!$A:$I,1,0)</f>
        <v>#N/A</v>
      </c>
    </row>
    <row r="1630" spans="1:12">
      <c r="A1630" t="str">
        <f t="shared" si="27"/>
        <v>76243888</v>
      </c>
      <c r="B1630" t="s">
        <v>4388</v>
      </c>
      <c r="C1630" t="s">
        <v>4389</v>
      </c>
      <c r="D1630">
        <v>76243888</v>
      </c>
      <c r="E1630">
        <v>2501420</v>
      </c>
      <c r="F1630" t="s">
        <v>39</v>
      </c>
      <c r="G1630">
        <v>300</v>
      </c>
      <c r="H1630" t="str">
        <f>VLOOKUP(A1630,'SV Child INS Apr'!$A:$H,1,0)</f>
        <v>76243888</v>
      </c>
      <c r="L1630" t="e">
        <f>VLOOKUP(A1630,'TV Apr Prorated Billing Sites'!$A:$I,1,0)</f>
        <v>#N/A</v>
      </c>
    </row>
    <row r="1631" spans="1:12">
      <c r="A1631" t="str">
        <f t="shared" si="27"/>
        <v>76243898</v>
      </c>
      <c r="B1631" t="s">
        <v>4390</v>
      </c>
      <c r="C1631" t="s">
        <v>4391</v>
      </c>
      <c r="D1631">
        <v>76243898</v>
      </c>
      <c r="E1631">
        <v>2501422</v>
      </c>
      <c r="F1631" t="s">
        <v>39</v>
      </c>
      <c r="G1631">
        <v>300</v>
      </c>
      <c r="H1631" t="str">
        <f>VLOOKUP(A1631,'SV Child INS Apr'!$A:$H,1,0)</f>
        <v>76243898</v>
      </c>
      <c r="L1631" t="e">
        <f>VLOOKUP(A1631,'TV Apr Prorated Billing Sites'!$A:$I,1,0)</f>
        <v>#N/A</v>
      </c>
    </row>
    <row r="1632" spans="1:12">
      <c r="A1632" t="str">
        <f t="shared" si="27"/>
        <v>76243902</v>
      </c>
      <c r="B1632" t="s">
        <v>4392</v>
      </c>
      <c r="C1632" t="s">
        <v>4393</v>
      </c>
      <c r="D1632">
        <v>76243902</v>
      </c>
      <c r="E1632">
        <v>2501424</v>
      </c>
      <c r="F1632" t="s">
        <v>39</v>
      </c>
      <c r="G1632">
        <v>300</v>
      </c>
      <c r="H1632" t="str">
        <f>VLOOKUP(A1632,'SV Child INS Apr'!$A:$H,1,0)</f>
        <v>76243902</v>
      </c>
      <c r="L1632" t="e">
        <f>VLOOKUP(A1632,'TV Apr Prorated Billing Sites'!$A:$I,1,0)</f>
        <v>#N/A</v>
      </c>
    </row>
    <row r="1633" spans="1:13">
      <c r="A1633" t="str">
        <f t="shared" si="27"/>
        <v>76244010</v>
      </c>
      <c r="B1633" t="s">
        <v>4394</v>
      </c>
      <c r="C1633" t="s">
        <v>4395</v>
      </c>
      <c r="D1633">
        <v>76244010</v>
      </c>
      <c r="E1633">
        <v>3000742</v>
      </c>
      <c r="F1633" t="s">
        <v>39</v>
      </c>
      <c r="G1633">
        <v>300</v>
      </c>
      <c r="H1633" t="str">
        <f>VLOOKUP(A1633,'SV Child INS Apr'!$A:$H,1,0)</f>
        <v>76244010</v>
      </c>
      <c r="L1633" t="e">
        <f>VLOOKUP(A1633,'TV Apr Prorated Billing Sites'!$A:$I,1,0)</f>
        <v>#N/A</v>
      </c>
    </row>
    <row r="1634" spans="1:13">
      <c r="A1634" t="str">
        <f t="shared" si="27"/>
        <v>76244521</v>
      </c>
      <c r="B1634" t="s">
        <v>261</v>
      </c>
      <c r="C1634" t="s">
        <v>262</v>
      </c>
      <c r="D1634">
        <v>76244521</v>
      </c>
      <c r="E1634">
        <v>2003072</v>
      </c>
      <c r="F1634" t="s">
        <v>39</v>
      </c>
      <c r="G1634">
        <v>300</v>
      </c>
      <c r="H1634" t="e">
        <f>VLOOKUP(A1634,'SV Child INS Apr'!$A:$H,1,0)</f>
        <v>#N/A</v>
      </c>
      <c r="I1634" t="e">
        <f>VLOOKUP(B1634,'SV Child INS Apr'!$D:$F,1,0)</f>
        <v>#N/A</v>
      </c>
      <c r="J1634" t="e">
        <f>VLOOKUP(A1634,'SV Child BLG Apr'!$A:$J,1,0)</f>
        <v>#N/A</v>
      </c>
      <c r="K1634" t="e">
        <f>VLOOKUP(B1634,'SV Child BLG Apr'!$D:$I,1,0)</f>
        <v>#N/A</v>
      </c>
      <c r="L1634" t="e">
        <f>VLOOKUP(A1634,'TV Apr Prorated Billing Sites'!$A:$I,1,0)</f>
        <v>#N/A</v>
      </c>
    </row>
    <row r="1635" spans="1:13">
      <c r="A1635" t="str">
        <f t="shared" si="27"/>
        <v>76244565</v>
      </c>
      <c r="B1635" t="s">
        <v>4396</v>
      </c>
      <c r="C1635" t="s">
        <v>4397</v>
      </c>
      <c r="D1635">
        <v>76244565</v>
      </c>
      <c r="E1635">
        <v>2002869</v>
      </c>
      <c r="F1635" t="s">
        <v>39</v>
      </c>
      <c r="G1635">
        <v>300</v>
      </c>
      <c r="H1635" t="str">
        <f>VLOOKUP(A1635,'SV Child INS Apr'!$A:$H,1,0)</f>
        <v>76244565</v>
      </c>
      <c r="L1635" t="e">
        <f>VLOOKUP(A1635,'TV Apr Prorated Billing Sites'!$A:$I,1,0)</f>
        <v>#N/A</v>
      </c>
    </row>
    <row r="1636" spans="1:13">
      <c r="A1636" t="str">
        <f t="shared" si="27"/>
        <v>76244702</v>
      </c>
      <c r="B1636" t="s">
        <v>4398</v>
      </c>
      <c r="C1636" t="s">
        <v>4399</v>
      </c>
      <c r="D1636">
        <v>76244702</v>
      </c>
      <c r="E1636" t="s">
        <v>438</v>
      </c>
      <c r="F1636" t="s">
        <v>39</v>
      </c>
      <c r="G1636">
        <v>300</v>
      </c>
      <c r="H1636" t="str">
        <f>VLOOKUP(A1636,'SV Child INS Apr'!$A:$H,1,0)</f>
        <v>76244702</v>
      </c>
      <c r="L1636" t="e">
        <f>VLOOKUP(A1636,'TV Apr Prorated Billing Sites'!$A:$I,1,0)</f>
        <v>#N/A</v>
      </c>
    </row>
    <row r="1637" spans="1:13">
      <c r="A1637" t="str">
        <f t="shared" si="27"/>
        <v>76244703</v>
      </c>
      <c r="B1637" t="s">
        <v>4400</v>
      </c>
      <c r="C1637" t="s">
        <v>4401</v>
      </c>
      <c r="D1637">
        <v>76244703</v>
      </c>
      <c r="E1637">
        <v>2002887</v>
      </c>
      <c r="F1637" t="s">
        <v>39</v>
      </c>
      <c r="G1637">
        <v>300</v>
      </c>
      <c r="H1637" t="str">
        <f>VLOOKUP(A1637,'SV Child INS Apr'!$A:$H,1,0)</f>
        <v>76244703</v>
      </c>
      <c r="L1637" t="e">
        <f>VLOOKUP(A1637,'TV Apr Prorated Billing Sites'!$A:$I,1,0)</f>
        <v>#N/A</v>
      </c>
    </row>
    <row r="1638" spans="1:13">
      <c r="A1638" t="str">
        <f t="shared" si="27"/>
        <v>76244766</v>
      </c>
      <c r="B1638" t="s">
        <v>4402</v>
      </c>
      <c r="C1638" t="s">
        <v>4403</v>
      </c>
      <c r="D1638">
        <v>76244766</v>
      </c>
      <c r="E1638">
        <v>2503262</v>
      </c>
      <c r="F1638" t="s">
        <v>39</v>
      </c>
      <c r="G1638">
        <v>300</v>
      </c>
      <c r="H1638" t="str">
        <f>VLOOKUP(A1638,'SV Child INS Apr'!$A:$H,1,0)</f>
        <v>76244766</v>
      </c>
      <c r="L1638" t="e">
        <f>VLOOKUP(A1638,'TV Apr Prorated Billing Sites'!$A:$I,1,0)</f>
        <v>#N/A</v>
      </c>
    </row>
    <row r="1639" spans="1:13">
      <c r="A1639" t="str">
        <f t="shared" si="27"/>
        <v>76244770</v>
      </c>
      <c r="B1639" t="s">
        <v>4404</v>
      </c>
      <c r="C1639" t="s">
        <v>4405</v>
      </c>
      <c r="D1639">
        <v>76244770</v>
      </c>
      <c r="E1639">
        <v>2503379</v>
      </c>
      <c r="F1639" t="s">
        <v>39</v>
      </c>
      <c r="G1639">
        <v>400</v>
      </c>
      <c r="H1639" t="str">
        <f>VLOOKUP(A1639,'SV Child INS Apr'!$A:$H,1,0)</f>
        <v>76244770</v>
      </c>
      <c r="L1639" t="e">
        <f>VLOOKUP(A1639,'TV Apr Prorated Billing Sites'!$A:$I,1,0)</f>
        <v>#N/A</v>
      </c>
    </row>
    <row r="1640" spans="1:13">
      <c r="A1640" t="str">
        <f t="shared" si="27"/>
        <v>76244781</v>
      </c>
      <c r="B1640" t="s">
        <v>264</v>
      </c>
      <c r="C1640" t="s">
        <v>265</v>
      </c>
      <c r="D1640">
        <v>76244781</v>
      </c>
      <c r="E1640">
        <v>2502176</v>
      </c>
      <c r="F1640" t="s">
        <v>39</v>
      </c>
      <c r="G1640">
        <v>400</v>
      </c>
      <c r="H1640" t="e">
        <f>VLOOKUP(A1640,'SV Child INS Apr'!$A:$H,1,0)</f>
        <v>#N/A</v>
      </c>
      <c r="I1640" t="e">
        <f>VLOOKUP(B1640,'SV Child INS Apr'!$D:$F,1,0)</f>
        <v>#N/A</v>
      </c>
      <c r="J1640" t="e">
        <f>VLOOKUP(A1640,'SV Child BLG Apr'!$A:$J,1,0)</f>
        <v>#N/A</v>
      </c>
      <c r="K1640" t="e">
        <f>VLOOKUP(B1640,'SV Child BLG Apr'!$D:$I,1,0)</f>
        <v>#N/A</v>
      </c>
      <c r="L1640" t="e">
        <f>VLOOKUP(A1640,'TV Apr Prorated Billing Sites'!$A:$I,1,0)</f>
        <v>#N/A</v>
      </c>
    </row>
    <row r="1641" spans="1:13">
      <c r="A1641" t="str">
        <f t="shared" ref="A1641:A1704" si="28">TRIM(D1641)</f>
        <v>76244797</v>
      </c>
      <c r="B1641" t="s">
        <v>4406</v>
      </c>
      <c r="C1641" t="s">
        <v>4407</v>
      </c>
      <c r="D1641">
        <v>76244797</v>
      </c>
      <c r="E1641">
        <v>2002920</v>
      </c>
      <c r="F1641" t="s">
        <v>39</v>
      </c>
      <c r="G1641">
        <v>300</v>
      </c>
      <c r="H1641" t="str">
        <f>VLOOKUP(A1641,'SV Child INS Apr'!$A:$H,1,0)</f>
        <v>76244797</v>
      </c>
      <c r="L1641" t="e">
        <f>VLOOKUP(A1641,'TV Apr Prorated Billing Sites'!$A:$I,1,0)</f>
        <v>#N/A</v>
      </c>
    </row>
    <row r="1642" spans="1:13">
      <c r="A1642" t="str">
        <f t="shared" si="28"/>
        <v>76244900</v>
      </c>
      <c r="B1642" t="s">
        <v>691</v>
      </c>
      <c r="C1642" t="s">
        <v>692</v>
      </c>
      <c r="D1642">
        <v>76244900</v>
      </c>
      <c r="E1642">
        <v>2002885</v>
      </c>
      <c r="F1642" t="s">
        <v>39</v>
      </c>
      <c r="G1642">
        <v>300</v>
      </c>
      <c r="H1642" t="e">
        <f>VLOOKUP(A1642,'SV Child INS Apr'!$A:$H,1,0)</f>
        <v>#N/A</v>
      </c>
      <c r="I1642" t="e">
        <f>VLOOKUP(B1642,'SV Child INS Apr'!$D:$F,1,0)</f>
        <v>#N/A</v>
      </c>
      <c r="J1642" t="str">
        <f>VLOOKUP(A1642,'SV Child BLG Apr'!$A:$J,1,0)</f>
        <v>76244900</v>
      </c>
      <c r="L1642" t="e">
        <f>VLOOKUP(A1642,'TV Apr Prorated Billing Sites'!$A:$I,1,0)</f>
        <v>#N/A</v>
      </c>
      <c r="M1642" t="e">
        <f>VLOOKUP(A1642,'CDK asked to retain list'!$H$1:$J$24,1,0)</f>
        <v>#N/A</v>
      </c>
    </row>
    <row r="1643" spans="1:13">
      <c r="A1643" t="str">
        <f t="shared" si="28"/>
        <v>76245003</v>
      </c>
      <c r="B1643" t="s">
        <v>267</v>
      </c>
      <c r="C1643" t="s">
        <v>268</v>
      </c>
      <c r="D1643">
        <v>76245003</v>
      </c>
      <c r="E1643">
        <v>2002906</v>
      </c>
      <c r="F1643" t="s">
        <v>39</v>
      </c>
      <c r="G1643">
        <v>300</v>
      </c>
      <c r="H1643" t="e">
        <f>VLOOKUP(A1643,'SV Child INS Apr'!$A:$H,1,0)</f>
        <v>#N/A</v>
      </c>
      <c r="I1643" t="e">
        <f>VLOOKUP(B1643,'SV Child INS Apr'!$D:$F,1,0)</f>
        <v>#N/A</v>
      </c>
      <c r="J1643" t="e">
        <f>VLOOKUP(A1643,'SV Child BLG Apr'!$A:$J,1,0)</f>
        <v>#N/A</v>
      </c>
      <c r="K1643" t="e">
        <f>VLOOKUP(B1643,'SV Child BLG Apr'!$D:$I,1,0)</f>
        <v>#N/A</v>
      </c>
      <c r="L1643" t="e">
        <f>VLOOKUP(A1643,'TV Apr Prorated Billing Sites'!$A:$I,1,0)</f>
        <v>#N/A</v>
      </c>
    </row>
    <row r="1644" spans="1:13">
      <c r="A1644" t="str">
        <f t="shared" si="28"/>
        <v>76245016</v>
      </c>
      <c r="B1644" t="s">
        <v>270</v>
      </c>
      <c r="C1644" t="s">
        <v>271</v>
      </c>
      <c r="D1644">
        <v>76245016</v>
      </c>
      <c r="E1644">
        <v>2002905</v>
      </c>
      <c r="F1644" t="s">
        <v>39</v>
      </c>
      <c r="G1644">
        <v>300</v>
      </c>
      <c r="H1644" t="e">
        <f>VLOOKUP(A1644,'SV Child INS Apr'!$A:$H,1,0)</f>
        <v>#N/A</v>
      </c>
      <c r="I1644" t="e">
        <f>VLOOKUP(B1644,'SV Child INS Apr'!$D:$F,1,0)</f>
        <v>#N/A</v>
      </c>
      <c r="J1644" t="e">
        <f>VLOOKUP(A1644,'SV Child BLG Apr'!$A:$J,1,0)</f>
        <v>#N/A</v>
      </c>
      <c r="K1644" t="e">
        <f>VLOOKUP(B1644,'SV Child BLG Apr'!$D:$I,1,0)</f>
        <v>#N/A</v>
      </c>
      <c r="L1644" t="e">
        <f>VLOOKUP(A1644,'TV Apr Prorated Billing Sites'!$A:$I,1,0)</f>
        <v>#N/A</v>
      </c>
    </row>
    <row r="1645" spans="1:13">
      <c r="A1645" t="str">
        <f t="shared" si="28"/>
        <v>76245040</v>
      </c>
      <c r="B1645" t="s">
        <v>273</v>
      </c>
      <c r="C1645" t="s">
        <v>274</v>
      </c>
      <c r="D1645">
        <v>76245040</v>
      </c>
      <c r="E1645">
        <v>2503548</v>
      </c>
      <c r="F1645" t="s">
        <v>39</v>
      </c>
      <c r="G1645">
        <v>300</v>
      </c>
      <c r="H1645" t="e">
        <f>VLOOKUP(A1645,'SV Child INS Apr'!$A:$H,1,0)</f>
        <v>#N/A</v>
      </c>
      <c r="I1645" t="e">
        <f>VLOOKUP(B1645,'SV Child INS Apr'!$D:$F,1,0)</f>
        <v>#N/A</v>
      </c>
      <c r="J1645" t="e">
        <f>VLOOKUP(A1645,'SV Child BLG Apr'!$A:$J,1,0)</f>
        <v>#N/A</v>
      </c>
      <c r="K1645" t="e">
        <f>VLOOKUP(B1645,'SV Child BLG Apr'!$D:$I,1,0)</f>
        <v>#N/A</v>
      </c>
      <c r="L1645" t="e">
        <f>VLOOKUP(A1645,'TV Apr Prorated Billing Sites'!$A:$I,1,0)</f>
        <v>#N/A</v>
      </c>
    </row>
    <row r="1646" spans="1:13">
      <c r="A1646" t="str">
        <f t="shared" si="28"/>
        <v>76245276</v>
      </c>
      <c r="B1646" t="s">
        <v>4408</v>
      </c>
      <c r="C1646" t="s">
        <v>4409</v>
      </c>
      <c r="D1646">
        <v>76245276</v>
      </c>
      <c r="E1646">
        <v>2002947</v>
      </c>
      <c r="F1646" t="s">
        <v>39</v>
      </c>
      <c r="G1646">
        <v>300</v>
      </c>
      <c r="H1646" t="str">
        <f>VLOOKUP(A1646,'SV Child INS Apr'!$A:$H,1,0)</f>
        <v>76245276</v>
      </c>
      <c r="L1646" t="e">
        <f>VLOOKUP(A1646,'TV Apr Prorated Billing Sites'!$A:$I,1,0)</f>
        <v>#N/A</v>
      </c>
    </row>
    <row r="1647" spans="1:13">
      <c r="A1647" t="str">
        <f t="shared" si="28"/>
        <v>76245330</v>
      </c>
      <c r="B1647" t="s">
        <v>4410</v>
      </c>
      <c r="C1647" t="s">
        <v>4411</v>
      </c>
      <c r="D1647">
        <v>76245330</v>
      </c>
      <c r="E1647">
        <v>2503396</v>
      </c>
      <c r="F1647" t="s">
        <v>39</v>
      </c>
      <c r="G1647">
        <v>300</v>
      </c>
      <c r="H1647" t="str">
        <f>VLOOKUP(A1647,'SV Child INS Apr'!$A:$H,1,0)</f>
        <v>76245330</v>
      </c>
      <c r="L1647" t="e">
        <f>VLOOKUP(A1647,'TV Apr Prorated Billing Sites'!$A:$I,1,0)</f>
        <v>#N/A</v>
      </c>
    </row>
    <row r="1648" spans="1:13">
      <c r="A1648" t="str">
        <f t="shared" si="28"/>
        <v>76245407</v>
      </c>
      <c r="B1648" t="s">
        <v>4412</v>
      </c>
      <c r="C1648" t="s">
        <v>4413</v>
      </c>
      <c r="D1648">
        <v>76245407</v>
      </c>
      <c r="E1648">
        <v>2002912</v>
      </c>
      <c r="F1648" t="s">
        <v>39</v>
      </c>
      <c r="G1648">
        <v>300</v>
      </c>
      <c r="H1648" t="str">
        <f>VLOOKUP(A1648,'SV Child INS Apr'!$A:$H,1,0)</f>
        <v>76245407</v>
      </c>
      <c r="L1648" t="e">
        <f>VLOOKUP(A1648,'TV Apr Prorated Billing Sites'!$A:$I,1,0)</f>
        <v>#N/A</v>
      </c>
    </row>
    <row r="1649" spans="1:13">
      <c r="A1649" t="str">
        <f t="shared" si="28"/>
        <v>76245431</v>
      </c>
      <c r="B1649" t="s">
        <v>4414</v>
      </c>
      <c r="C1649" t="s">
        <v>4415</v>
      </c>
      <c r="D1649">
        <v>76245431</v>
      </c>
      <c r="E1649">
        <v>2503591</v>
      </c>
      <c r="F1649" t="s">
        <v>39</v>
      </c>
      <c r="G1649">
        <v>300</v>
      </c>
      <c r="H1649" t="str">
        <f>VLOOKUP(A1649,'SV Child INS Apr'!$A:$H,1,0)</f>
        <v>76245431</v>
      </c>
      <c r="L1649" t="e">
        <f>VLOOKUP(A1649,'TV Apr Prorated Billing Sites'!$A:$I,1,0)</f>
        <v>#N/A</v>
      </c>
    </row>
    <row r="1650" spans="1:13">
      <c r="A1650" t="str">
        <f t="shared" si="28"/>
        <v>76245916</v>
      </c>
      <c r="B1650" t="s">
        <v>4416</v>
      </c>
      <c r="C1650" t="s">
        <v>4417</v>
      </c>
      <c r="D1650">
        <v>76245916</v>
      </c>
      <c r="E1650">
        <v>2503307</v>
      </c>
      <c r="F1650" t="s">
        <v>39</v>
      </c>
      <c r="G1650">
        <v>300</v>
      </c>
      <c r="H1650" t="str">
        <f>VLOOKUP(A1650,'SV Child INS Apr'!$A:$H,1,0)</f>
        <v>76245916</v>
      </c>
      <c r="L1650" t="e">
        <f>VLOOKUP(A1650,'TV Apr Prorated Billing Sites'!$A:$I,1,0)</f>
        <v>#N/A</v>
      </c>
    </row>
    <row r="1651" spans="1:13">
      <c r="A1651" t="str">
        <f t="shared" si="28"/>
        <v>76246007</v>
      </c>
      <c r="B1651" t="s">
        <v>4418</v>
      </c>
      <c r="C1651" t="s">
        <v>4419</v>
      </c>
      <c r="D1651">
        <v>76246007</v>
      </c>
      <c r="E1651">
        <v>3000757</v>
      </c>
      <c r="F1651" t="s">
        <v>39</v>
      </c>
      <c r="G1651">
        <v>300</v>
      </c>
      <c r="H1651" t="str">
        <f>VLOOKUP(A1651,'SV Child INS Apr'!$A:$H,1,0)</f>
        <v>76246007</v>
      </c>
      <c r="L1651" t="e">
        <f>VLOOKUP(A1651,'TV Apr Prorated Billing Sites'!$A:$I,1,0)</f>
        <v>#N/A</v>
      </c>
    </row>
    <row r="1652" spans="1:13">
      <c r="A1652" t="str">
        <f t="shared" si="28"/>
        <v>76246239</v>
      </c>
      <c r="B1652" t="s">
        <v>4420</v>
      </c>
      <c r="C1652" t="s">
        <v>4421</v>
      </c>
      <c r="D1652">
        <v>76246239</v>
      </c>
      <c r="E1652">
        <v>2003109</v>
      </c>
      <c r="F1652" t="s">
        <v>39</v>
      </c>
      <c r="G1652">
        <v>400</v>
      </c>
      <c r="H1652" t="str">
        <f>VLOOKUP(A1652,'SV Child INS Apr'!$A:$H,1,0)</f>
        <v>76246239</v>
      </c>
      <c r="L1652" t="e">
        <f>VLOOKUP(A1652,'TV Apr Prorated Billing Sites'!$A:$I,1,0)</f>
        <v>#N/A</v>
      </c>
    </row>
    <row r="1653" spans="1:13">
      <c r="A1653" t="str">
        <f t="shared" si="28"/>
        <v>76246348</v>
      </c>
      <c r="B1653" t="s">
        <v>4422</v>
      </c>
      <c r="C1653" t="s">
        <v>4423</v>
      </c>
      <c r="D1653">
        <v>76246348</v>
      </c>
      <c r="E1653">
        <v>2503513</v>
      </c>
      <c r="F1653" t="s">
        <v>39</v>
      </c>
      <c r="G1653">
        <v>300</v>
      </c>
      <c r="H1653" t="str">
        <f>VLOOKUP(A1653,'SV Child INS Apr'!$A:$H,1,0)</f>
        <v>76246348</v>
      </c>
      <c r="L1653" t="e">
        <f>VLOOKUP(A1653,'TV Apr Prorated Billing Sites'!$A:$I,1,0)</f>
        <v>#N/A</v>
      </c>
    </row>
    <row r="1654" spans="1:13">
      <c r="A1654" t="str">
        <f t="shared" si="28"/>
        <v>76246443</v>
      </c>
      <c r="B1654" t="s">
        <v>4424</v>
      </c>
      <c r="C1654" t="s">
        <v>4425</v>
      </c>
      <c r="D1654">
        <v>76246443</v>
      </c>
      <c r="E1654">
        <v>2503482</v>
      </c>
      <c r="F1654" t="s">
        <v>39</v>
      </c>
      <c r="G1654">
        <v>400</v>
      </c>
      <c r="H1654" t="str">
        <f>VLOOKUP(A1654,'SV Child INS Apr'!$A:$H,1,0)</f>
        <v>76246443</v>
      </c>
      <c r="L1654" t="e">
        <f>VLOOKUP(A1654,'TV Apr Prorated Billing Sites'!$A:$I,1,0)</f>
        <v>#N/A</v>
      </c>
    </row>
    <row r="1655" spans="1:13">
      <c r="A1655" t="str">
        <f t="shared" si="28"/>
        <v>76246482</v>
      </c>
      <c r="B1655" t="s">
        <v>4426</v>
      </c>
      <c r="C1655" t="s">
        <v>4427</v>
      </c>
      <c r="D1655">
        <v>76246482</v>
      </c>
      <c r="E1655">
        <v>2503483</v>
      </c>
      <c r="F1655" t="s">
        <v>39</v>
      </c>
      <c r="G1655">
        <v>300</v>
      </c>
      <c r="H1655" t="str">
        <f>VLOOKUP(A1655,'SV Child INS Apr'!$A:$H,1,0)</f>
        <v>76246482</v>
      </c>
      <c r="L1655" t="e">
        <f>VLOOKUP(A1655,'TV Apr Prorated Billing Sites'!$A:$I,1,0)</f>
        <v>#N/A</v>
      </c>
    </row>
    <row r="1656" spans="1:13">
      <c r="A1656" t="str">
        <f t="shared" si="28"/>
        <v>76246564</v>
      </c>
      <c r="B1656" t="s">
        <v>4428</v>
      </c>
      <c r="C1656" t="s">
        <v>4429</v>
      </c>
      <c r="D1656">
        <v>76246564</v>
      </c>
      <c r="E1656">
        <v>2002940</v>
      </c>
      <c r="F1656" t="s">
        <v>39</v>
      </c>
      <c r="G1656">
        <v>300</v>
      </c>
      <c r="H1656" t="str">
        <f>VLOOKUP(A1656,'SV Child INS Apr'!$A:$H,1,0)</f>
        <v>76246564</v>
      </c>
      <c r="L1656" t="e">
        <f>VLOOKUP(A1656,'TV Apr Prorated Billing Sites'!$A:$I,1,0)</f>
        <v>#N/A</v>
      </c>
    </row>
    <row r="1657" spans="1:13">
      <c r="A1657" t="str">
        <f t="shared" si="28"/>
        <v>76246584</v>
      </c>
      <c r="B1657" t="s">
        <v>4430</v>
      </c>
      <c r="C1657" t="s">
        <v>4431</v>
      </c>
      <c r="D1657">
        <v>76246584</v>
      </c>
      <c r="E1657">
        <v>2002941</v>
      </c>
      <c r="F1657" t="s">
        <v>39</v>
      </c>
      <c r="G1657">
        <v>300</v>
      </c>
      <c r="H1657" t="str">
        <f>VLOOKUP(A1657,'SV Child INS Apr'!$A:$H,1,0)</f>
        <v>76246584</v>
      </c>
      <c r="L1657" t="e">
        <f>VLOOKUP(A1657,'TV Apr Prorated Billing Sites'!$A:$I,1,0)</f>
        <v>#N/A</v>
      </c>
    </row>
    <row r="1658" spans="1:13">
      <c r="A1658" t="str">
        <f t="shared" si="28"/>
        <v>76246638</v>
      </c>
      <c r="B1658" t="s">
        <v>4432</v>
      </c>
      <c r="C1658" t="s">
        <v>4433</v>
      </c>
      <c r="D1658">
        <v>76246638</v>
      </c>
      <c r="E1658">
        <v>2003104</v>
      </c>
      <c r="F1658" t="s">
        <v>39</v>
      </c>
      <c r="G1658">
        <v>300</v>
      </c>
      <c r="H1658" t="str">
        <f>VLOOKUP(A1658,'SV Child INS Apr'!$A:$H,1,0)</f>
        <v>76246638</v>
      </c>
      <c r="L1658" t="e">
        <f>VLOOKUP(A1658,'TV Apr Prorated Billing Sites'!$A:$I,1,0)</f>
        <v>#N/A</v>
      </c>
    </row>
    <row r="1659" spans="1:13">
      <c r="A1659" t="str">
        <f t="shared" si="28"/>
        <v>76246769</v>
      </c>
      <c r="B1659" t="s">
        <v>4434</v>
      </c>
      <c r="C1659" t="s">
        <v>4435</v>
      </c>
      <c r="D1659">
        <v>76246769</v>
      </c>
      <c r="E1659">
        <v>2003037</v>
      </c>
      <c r="F1659" t="s">
        <v>39</v>
      </c>
      <c r="G1659">
        <v>400</v>
      </c>
      <c r="H1659" t="str">
        <f>VLOOKUP(A1659,'SV Child INS Apr'!$A:$H,1,0)</f>
        <v>76246769</v>
      </c>
      <c r="L1659" t="e">
        <f>VLOOKUP(A1659,'TV Apr Prorated Billing Sites'!$A:$I,1,0)</f>
        <v>#N/A</v>
      </c>
    </row>
    <row r="1660" spans="1:13">
      <c r="A1660" t="str">
        <f t="shared" si="28"/>
        <v>76246857</v>
      </c>
      <c r="B1660" t="s">
        <v>694</v>
      </c>
      <c r="C1660" t="s">
        <v>695</v>
      </c>
      <c r="D1660">
        <v>76246857</v>
      </c>
      <c r="E1660">
        <v>3002291</v>
      </c>
      <c r="F1660" t="s">
        <v>39</v>
      </c>
      <c r="G1660">
        <v>400</v>
      </c>
      <c r="H1660" t="e">
        <f>VLOOKUP(A1660,'SV Child INS Apr'!$A:$H,1,0)</f>
        <v>#N/A</v>
      </c>
      <c r="I1660" t="e">
        <f>VLOOKUP(B1660,'SV Child INS Apr'!$D:$F,1,0)</f>
        <v>#N/A</v>
      </c>
      <c r="J1660" t="str">
        <f>VLOOKUP(A1660,'SV Child BLG Apr'!$A:$J,1,0)</f>
        <v>76246857</v>
      </c>
      <c r="L1660" t="e">
        <f>VLOOKUP(A1660,'TV Apr Prorated Billing Sites'!$A:$I,1,0)</f>
        <v>#N/A</v>
      </c>
      <c r="M1660" t="e">
        <f>VLOOKUP(A1660,'CDK asked to retain list'!$H$1:$J$24,1,0)</f>
        <v>#N/A</v>
      </c>
    </row>
    <row r="1661" spans="1:13">
      <c r="A1661" t="str">
        <f t="shared" si="28"/>
        <v>76246888</v>
      </c>
      <c r="B1661" t="s">
        <v>276</v>
      </c>
      <c r="C1661" t="s">
        <v>277</v>
      </c>
      <c r="D1661">
        <v>76246888</v>
      </c>
      <c r="E1661">
        <v>2503531</v>
      </c>
      <c r="F1661" t="s">
        <v>39</v>
      </c>
      <c r="G1661">
        <v>300</v>
      </c>
      <c r="H1661" t="e">
        <f>VLOOKUP(A1661,'SV Child INS Apr'!$A:$H,1,0)</f>
        <v>#N/A</v>
      </c>
      <c r="I1661" t="e">
        <f>VLOOKUP(B1661,'SV Child INS Apr'!$D:$F,1,0)</f>
        <v>#N/A</v>
      </c>
      <c r="J1661" t="e">
        <f>VLOOKUP(A1661,'SV Child BLG Apr'!$A:$J,1,0)</f>
        <v>#N/A</v>
      </c>
      <c r="K1661" t="e">
        <f>VLOOKUP(B1661,'SV Child BLG Apr'!$D:$I,1,0)</f>
        <v>#N/A</v>
      </c>
      <c r="L1661" t="e">
        <f>VLOOKUP(A1661,'TV Apr Prorated Billing Sites'!$A:$I,1,0)</f>
        <v>#N/A</v>
      </c>
    </row>
    <row r="1662" spans="1:13">
      <c r="A1662" t="str">
        <f t="shared" si="28"/>
        <v>76246924</v>
      </c>
      <c r="B1662" t="s">
        <v>4436</v>
      </c>
      <c r="C1662" t="s">
        <v>4437</v>
      </c>
      <c r="D1662">
        <v>76246924</v>
      </c>
      <c r="E1662">
        <v>3001948</v>
      </c>
      <c r="F1662" t="s">
        <v>39</v>
      </c>
      <c r="G1662">
        <v>300</v>
      </c>
      <c r="H1662" t="str">
        <f>VLOOKUP(A1662,'SV Child INS Apr'!$A:$H,1,0)</f>
        <v>76246924</v>
      </c>
      <c r="L1662" t="e">
        <f>VLOOKUP(A1662,'TV Apr Prorated Billing Sites'!$A:$I,1,0)</f>
        <v>#N/A</v>
      </c>
    </row>
    <row r="1663" spans="1:13">
      <c r="A1663" t="str">
        <f t="shared" si="28"/>
        <v>76246928</v>
      </c>
      <c r="B1663" t="s">
        <v>4438</v>
      </c>
      <c r="C1663" t="s">
        <v>4439</v>
      </c>
      <c r="D1663">
        <v>76246928</v>
      </c>
      <c r="E1663">
        <v>3001428</v>
      </c>
      <c r="F1663" t="s">
        <v>39</v>
      </c>
      <c r="G1663">
        <v>300</v>
      </c>
      <c r="H1663" t="str">
        <f>VLOOKUP(A1663,'SV Child INS Apr'!$A:$H,1,0)</f>
        <v>76246928</v>
      </c>
      <c r="L1663" t="e">
        <f>VLOOKUP(A1663,'TV Apr Prorated Billing Sites'!$A:$I,1,0)</f>
        <v>#N/A</v>
      </c>
    </row>
    <row r="1664" spans="1:13">
      <c r="A1664" t="str">
        <f t="shared" si="28"/>
        <v>76246941</v>
      </c>
      <c r="B1664" t="s">
        <v>4440</v>
      </c>
      <c r="C1664" t="s">
        <v>4441</v>
      </c>
      <c r="D1664">
        <v>76246941</v>
      </c>
      <c r="E1664">
        <v>2503557</v>
      </c>
      <c r="F1664" t="s">
        <v>39</v>
      </c>
      <c r="G1664">
        <v>300</v>
      </c>
      <c r="H1664" t="str">
        <f>VLOOKUP(A1664,'SV Child INS Apr'!$A:$H,1,0)</f>
        <v>76246941</v>
      </c>
      <c r="L1664" t="e">
        <f>VLOOKUP(A1664,'TV Apr Prorated Billing Sites'!$A:$I,1,0)</f>
        <v>#N/A</v>
      </c>
    </row>
    <row r="1665" spans="1:13">
      <c r="A1665" t="str">
        <f t="shared" si="28"/>
        <v>76246955</v>
      </c>
      <c r="B1665" t="s">
        <v>4442</v>
      </c>
      <c r="C1665" t="s">
        <v>4443</v>
      </c>
      <c r="D1665">
        <v>76246955</v>
      </c>
      <c r="E1665">
        <v>2003018</v>
      </c>
      <c r="F1665" t="s">
        <v>39</v>
      </c>
      <c r="G1665">
        <v>300</v>
      </c>
      <c r="H1665" t="str">
        <f>VLOOKUP(A1665,'SV Child INS Apr'!$A:$H,1,0)</f>
        <v>76246955</v>
      </c>
      <c r="L1665" t="e">
        <f>VLOOKUP(A1665,'TV Apr Prorated Billing Sites'!$A:$I,1,0)</f>
        <v>#N/A</v>
      </c>
    </row>
    <row r="1666" spans="1:13">
      <c r="A1666" t="str">
        <f t="shared" si="28"/>
        <v>76247020</v>
      </c>
      <c r="B1666" t="s">
        <v>4444</v>
      </c>
      <c r="C1666" t="s">
        <v>4445</v>
      </c>
      <c r="D1666">
        <v>76247020</v>
      </c>
      <c r="E1666">
        <v>2503453</v>
      </c>
      <c r="F1666" t="s">
        <v>39</v>
      </c>
      <c r="G1666">
        <v>300</v>
      </c>
      <c r="H1666" t="str">
        <f>VLOOKUP(A1666,'SV Child INS Apr'!$A:$H,1,0)</f>
        <v>76247020</v>
      </c>
      <c r="L1666" t="e">
        <f>VLOOKUP(A1666,'TV Apr Prorated Billing Sites'!$A:$I,1,0)</f>
        <v>#N/A</v>
      </c>
    </row>
    <row r="1667" spans="1:13">
      <c r="A1667" t="str">
        <f t="shared" si="28"/>
        <v>76247032</v>
      </c>
      <c r="B1667" t="s">
        <v>4446</v>
      </c>
      <c r="C1667" t="s">
        <v>4447</v>
      </c>
      <c r="D1667">
        <v>76247032</v>
      </c>
      <c r="E1667">
        <v>2002960</v>
      </c>
      <c r="F1667" t="s">
        <v>39</v>
      </c>
      <c r="G1667">
        <v>300</v>
      </c>
      <c r="H1667" t="str">
        <f>VLOOKUP(A1667,'SV Child INS Apr'!$A:$H,1,0)</f>
        <v>76247032</v>
      </c>
      <c r="L1667" t="e">
        <f>VLOOKUP(A1667,'TV Apr Prorated Billing Sites'!$A:$I,1,0)</f>
        <v>#N/A</v>
      </c>
    </row>
    <row r="1668" spans="1:13">
      <c r="A1668" t="str">
        <f t="shared" si="28"/>
        <v>76247042</v>
      </c>
      <c r="B1668" t="s">
        <v>4448</v>
      </c>
      <c r="C1668" t="s">
        <v>4449</v>
      </c>
      <c r="D1668">
        <v>76247042</v>
      </c>
      <c r="E1668">
        <v>2002979</v>
      </c>
      <c r="F1668" t="s">
        <v>39</v>
      </c>
      <c r="G1668">
        <v>300</v>
      </c>
      <c r="H1668" t="str">
        <f>VLOOKUP(A1668,'SV Child INS Apr'!$A:$H,1,0)</f>
        <v>76247042</v>
      </c>
      <c r="L1668" t="e">
        <f>VLOOKUP(A1668,'TV Apr Prorated Billing Sites'!$A:$I,1,0)</f>
        <v>#N/A</v>
      </c>
    </row>
    <row r="1669" spans="1:13">
      <c r="A1669" t="str">
        <f t="shared" si="28"/>
        <v>76247082</v>
      </c>
      <c r="B1669" t="s">
        <v>4450</v>
      </c>
      <c r="C1669" t="s">
        <v>4451</v>
      </c>
      <c r="D1669">
        <v>76247082</v>
      </c>
      <c r="E1669">
        <v>2002992</v>
      </c>
      <c r="F1669" t="s">
        <v>39</v>
      </c>
      <c r="G1669">
        <v>300</v>
      </c>
      <c r="H1669" t="str">
        <f>VLOOKUP(A1669,'SV Child INS Apr'!$A:$H,1,0)</f>
        <v>76247082</v>
      </c>
      <c r="L1669" t="e">
        <f>VLOOKUP(A1669,'TV Apr Prorated Billing Sites'!$A:$I,1,0)</f>
        <v>#N/A</v>
      </c>
    </row>
    <row r="1670" spans="1:13">
      <c r="A1670" t="str">
        <f t="shared" si="28"/>
        <v>76247108</v>
      </c>
      <c r="B1670" t="s">
        <v>4452</v>
      </c>
      <c r="C1670" t="s">
        <v>4453</v>
      </c>
      <c r="D1670">
        <v>76247108</v>
      </c>
      <c r="E1670">
        <v>2503454</v>
      </c>
      <c r="F1670" t="s">
        <v>39</v>
      </c>
      <c r="G1670">
        <v>300</v>
      </c>
      <c r="H1670" t="str">
        <f>VLOOKUP(A1670,'SV Child INS Apr'!$A:$H,1,0)</f>
        <v>76247108</v>
      </c>
      <c r="L1670" t="e">
        <f>VLOOKUP(A1670,'TV Apr Prorated Billing Sites'!$A:$I,1,0)</f>
        <v>#N/A</v>
      </c>
    </row>
    <row r="1671" spans="1:13">
      <c r="A1671" t="str">
        <f t="shared" si="28"/>
        <v>76250378</v>
      </c>
      <c r="B1671" t="s">
        <v>279</v>
      </c>
      <c r="C1671" t="s">
        <v>280</v>
      </c>
      <c r="D1671">
        <v>76250378</v>
      </c>
      <c r="E1671">
        <v>2503449</v>
      </c>
      <c r="F1671" t="s">
        <v>39</v>
      </c>
      <c r="G1671">
        <v>300</v>
      </c>
      <c r="H1671" t="e">
        <f>VLOOKUP(A1671,'SV Child INS Apr'!$A:$H,1,0)</f>
        <v>#N/A</v>
      </c>
      <c r="I1671" t="e">
        <f>VLOOKUP(B1671,'SV Child INS Apr'!$D:$F,1,0)</f>
        <v>#N/A</v>
      </c>
      <c r="J1671" t="e">
        <f>VLOOKUP(A1671,'SV Child BLG Apr'!$A:$J,1,0)</f>
        <v>#N/A</v>
      </c>
      <c r="K1671" t="e">
        <f>VLOOKUP(B1671,'SV Child BLG Apr'!$D:$I,1,0)</f>
        <v>#N/A</v>
      </c>
      <c r="L1671" t="e">
        <f>VLOOKUP(A1671,'TV Apr Prorated Billing Sites'!$A:$I,1,0)</f>
        <v>#N/A</v>
      </c>
    </row>
    <row r="1672" spans="1:13">
      <c r="A1672" t="str">
        <f t="shared" si="28"/>
        <v>76250502</v>
      </c>
      <c r="B1672" t="s">
        <v>697</v>
      </c>
      <c r="C1672" t="s">
        <v>698</v>
      </c>
      <c r="D1672">
        <v>76250502</v>
      </c>
      <c r="E1672">
        <v>2001883</v>
      </c>
      <c r="F1672" t="s">
        <v>39</v>
      </c>
      <c r="G1672">
        <v>300</v>
      </c>
      <c r="H1672" t="e">
        <f>VLOOKUP(A1672,'SV Child INS Apr'!$A:$H,1,0)</f>
        <v>#N/A</v>
      </c>
      <c r="I1672" t="e">
        <f>VLOOKUP(B1672,'SV Child INS Apr'!$D:$F,1,0)</f>
        <v>#N/A</v>
      </c>
      <c r="J1672" t="str">
        <f>VLOOKUP(A1672,'SV Child BLG Apr'!$A:$J,1,0)</f>
        <v>76250502</v>
      </c>
      <c r="L1672" t="e">
        <f>VLOOKUP(A1672,'TV Apr Prorated Billing Sites'!$A:$I,1,0)</f>
        <v>#N/A</v>
      </c>
      <c r="M1672" t="e">
        <f>VLOOKUP(A1672,'CDK asked to retain list'!$H$1:$J$24,1,0)</f>
        <v>#N/A</v>
      </c>
    </row>
    <row r="1673" spans="1:13">
      <c r="A1673" t="str">
        <f t="shared" si="28"/>
        <v>76250572</v>
      </c>
      <c r="B1673" t="s">
        <v>4454</v>
      </c>
      <c r="C1673" t="s">
        <v>4455</v>
      </c>
      <c r="D1673">
        <v>76250572</v>
      </c>
      <c r="E1673">
        <v>2503429</v>
      </c>
      <c r="F1673" t="s">
        <v>39</v>
      </c>
      <c r="G1673">
        <v>300</v>
      </c>
      <c r="H1673" t="str">
        <f>VLOOKUP(A1673,'SV Child INS Apr'!$A:$H,1,0)</f>
        <v>76250572</v>
      </c>
      <c r="L1673" t="e">
        <f>VLOOKUP(A1673,'TV Apr Prorated Billing Sites'!$A:$I,1,0)</f>
        <v>#N/A</v>
      </c>
    </row>
    <row r="1674" spans="1:13">
      <c r="A1674" t="str">
        <f t="shared" si="28"/>
        <v>76250582</v>
      </c>
      <c r="B1674" t="s">
        <v>4456</v>
      </c>
      <c r="C1674" t="s">
        <v>4457</v>
      </c>
      <c r="D1674">
        <v>76250582</v>
      </c>
      <c r="E1674">
        <v>286</v>
      </c>
      <c r="F1674" t="s">
        <v>39</v>
      </c>
      <c r="G1674">
        <v>300</v>
      </c>
      <c r="H1674" t="str">
        <f>VLOOKUP(A1674,'SV Child INS Apr'!$A:$H,1,0)</f>
        <v>76250582</v>
      </c>
      <c r="L1674" t="e">
        <f>VLOOKUP(A1674,'TV Apr Prorated Billing Sites'!$A:$I,1,0)</f>
        <v>#N/A</v>
      </c>
    </row>
    <row r="1675" spans="1:13">
      <c r="A1675" t="str">
        <f t="shared" si="28"/>
        <v>76250849</v>
      </c>
      <c r="B1675" t="s">
        <v>4458</v>
      </c>
      <c r="C1675" t="s">
        <v>4459</v>
      </c>
      <c r="D1675">
        <v>76250849</v>
      </c>
      <c r="E1675">
        <v>2003017</v>
      </c>
      <c r="F1675" t="s">
        <v>39</v>
      </c>
      <c r="G1675">
        <v>300</v>
      </c>
      <c r="H1675" t="str">
        <f>VLOOKUP(A1675,'SV Child INS Apr'!$A:$H,1,0)</f>
        <v>76250849</v>
      </c>
      <c r="L1675" t="e">
        <f>VLOOKUP(A1675,'TV Apr Prorated Billing Sites'!$A:$I,1,0)</f>
        <v>#N/A</v>
      </c>
    </row>
    <row r="1676" spans="1:13">
      <c r="A1676" t="str">
        <f t="shared" si="28"/>
        <v>76250850</v>
      </c>
      <c r="B1676" t="s">
        <v>4460</v>
      </c>
      <c r="C1676" t="s">
        <v>4461</v>
      </c>
      <c r="D1676">
        <v>76250850</v>
      </c>
      <c r="E1676">
        <v>2003003</v>
      </c>
      <c r="F1676" t="s">
        <v>39</v>
      </c>
      <c r="G1676">
        <v>300</v>
      </c>
      <c r="H1676" t="str">
        <f>VLOOKUP(A1676,'SV Child INS Apr'!$A:$H,1,0)</f>
        <v>76250850</v>
      </c>
      <c r="L1676" t="e">
        <f>VLOOKUP(A1676,'TV Apr Prorated Billing Sites'!$A:$I,1,0)</f>
        <v>#N/A</v>
      </c>
    </row>
    <row r="1677" spans="1:13">
      <c r="A1677" t="str">
        <f t="shared" si="28"/>
        <v>76250896</v>
      </c>
      <c r="B1677" t="s">
        <v>4462</v>
      </c>
      <c r="C1677" t="s">
        <v>4463</v>
      </c>
      <c r="D1677">
        <v>76250896</v>
      </c>
      <c r="E1677">
        <v>2503422</v>
      </c>
      <c r="F1677" t="s">
        <v>39</v>
      </c>
      <c r="G1677">
        <v>300</v>
      </c>
      <c r="H1677" t="str">
        <f>VLOOKUP(A1677,'SV Child INS Apr'!$A:$H,1,0)</f>
        <v>76250896</v>
      </c>
      <c r="L1677" t="e">
        <f>VLOOKUP(A1677,'TV Apr Prorated Billing Sites'!$A:$I,1,0)</f>
        <v>#N/A</v>
      </c>
    </row>
    <row r="1678" spans="1:13">
      <c r="A1678" t="str">
        <f t="shared" si="28"/>
        <v>76250898</v>
      </c>
      <c r="B1678" t="s">
        <v>4464</v>
      </c>
      <c r="C1678" t="s">
        <v>4465</v>
      </c>
      <c r="D1678">
        <v>76250898</v>
      </c>
      <c r="E1678">
        <v>2003008</v>
      </c>
      <c r="F1678" t="s">
        <v>39</v>
      </c>
      <c r="G1678">
        <v>300</v>
      </c>
      <c r="H1678" t="str">
        <f>VLOOKUP(A1678,'SV Child INS Apr'!$A:$H,1,0)</f>
        <v>76250898</v>
      </c>
      <c r="L1678" t="e">
        <f>VLOOKUP(A1678,'TV Apr Prorated Billing Sites'!$A:$I,1,0)</f>
        <v>#N/A</v>
      </c>
    </row>
    <row r="1679" spans="1:13">
      <c r="A1679" t="str">
        <f t="shared" si="28"/>
        <v>76250958</v>
      </c>
      <c r="B1679" t="s">
        <v>4466</v>
      </c>
      <c r="C1679" t="s">
        <v>4467</v>
      </c>
      <c r="D1679">
        <v>76250958</v>
      </c>
      <c r="E1679">
        <v>2700008</v>
      </c>
      <c r="F1679" t="s">
        <v>39</v>
      </c>
      <c r="G1679">
        <v>300</v>
      </c>
      <c r="H1679" t="str">
        <f>VLOOKUP(A1679,'SV Child INS Apr'!$A:$H,1,0)</f>
        <v>76250958</v>
      </c>
      <c r="L1679" t="e">
        <f>VLOOKUP(A1679,'TV Apr Prorated Billing Sites'!$A:$I,1,0)</f>
        <v>#N/A</v>
      </c>
    </row>
    <row r="1680" spans="1:13">
      <c r="A1680" t="str">
        <f t="shared" si="28"/>
        <v>76251163</v>
      </c>
      <c r="B1680" t="s">
        <v>4468</v>
      </c>
      <c r="C1680" t="s">
        <v>4469</v>
      </c>
      <c r="D1680">
        <v>76251163</v>
      </c>
      <c r="E1680">
        <v>0</v>
      </c>
      <c r="F1680" t="s">
        <v>39</v>
      </c>
      <c r="G1680">
        <v>400</v>
      </c>
      <c r="H1680" t="str">
        <f>VLOOKUP(A1680,'SV Child INS Apr'!$A:$H,1,0)</f>
        <v>76251163</v>
      </c>
      <c r="L1680" t="e">
        <f>VLOOKUP(A1680,'TV Apr Prorated Billing Sites'!$A:$I,1,0)</f>
        <v>#N/A</v>
      </c>
    </row>
    <row r="1681" spans="1:13">
      <c r="A1681" t="str">
        <f t="shared" si="28"/>
        <v>76251176</v>
      </c>
      <c r="B1681" t="s">
        <v>4470</v>
      </c>
      <c r="C1681" t="s">
        <v>4471</v>
      </c>
      <c r="D1681">
        <v>76251176</v>
      </c>
      <c r="E1681">
        <v>2003016</v>
      </c>
      <c r="F1681" t="s">
        <v>39</v>
      </c>
      <c r="G1681">
        <v>300</v>
      </c>
      <c r="H1681" t="str">
        <f>VLOOKUP(A1681,'SV Child INS Apr'!$A:$H,1,0)</f>
        <v>76251176</v>
      </c>
      <c r="L1681" t="e">
        <f>VLOOKUP(A1681,'TV Apr Prorated Billing Sites'!$A:$I,1,0)</f>
        <v>#N/A</v>
      </c>
    </row>
    <row r="1682" spans="1:13">
      <c r="A1682" t="str">
        <f t="shared" si="28"/>
        <v>76251177</v>
      </c>
      <c r="B1682" t="s">
        <v>4472</v>
      </c>
      <c r="C1682" t="s">
        <v>4473</v>
      </c>
      <c r="D1682">
        <v>76251177</v>
      </c>
      <c r="E1682">
        <v>2003006</v>
      </c>
      <c r="F1682" t="s">
        <v>39</v>
      </c>
      <c r="G1682">
        <v>300</v>
      </c>
      <c r="H1682" t="str">
        <f>VLOOKUP(A1682,'SV Child INS Apr'!$A:$H,1,0)</f>
        <v>76251177</v>
      </c>
      <c r="L1682" t="e">
        <f>VLOOKUP(A1682,'TV Apr Prorated Billing Sites'!$A:$I,1,0)</f>
        <v>#N/A</v>
      </c>
    </row>
    <row r="1683" spans="1:13">
      <c r="A1683" t="str">
        <f t="shared" si="28"/>
        <v>76251329</v>
      </c>
      <c r="B1683" t="s">
        <v>4474</v>
      </c>
      <c r="C1683" t="s">
        <v>4475</v>
      </c>
      <c r="D1683">
        <v>76251329</v>
      </c>
      <c r="E1683">
        <v>3000892</v>
      </c>
      <c r="F1683" t="s">
        <v>39</v>
      </c>
      <c r="G1683">
        <v>300</v>
      </c>
      <c r="H1683" t="e">
        <f>VLOOKUP(A1683,'SV Child INS Apr'!$A:$H,1,0)</f>
        <v>#N/A</v>
      </c>
      <c r="I1683" t="str">
        <f>VLOOKUP(B1683,'SV Child INS Apr'!$D:$F,1,0)</f>
        <v>FERRARI RANCHO MIRAGE</v>
      </c>
      <c r="L1683" t="e">
        <f>VLOOKUP(A1683,'TV Apr Prorated Billing Sites'!$A:$I,1,0)</f>
        <v>#N/A</v>
      </c>
    </row>
    <row r="1684" spans="1:13">
      <c r="A1684" t="str">
        <f t="shared" si="28"/>
        <v>76251423</v>
      </c>
      <c r="B1684" t="s">
        <v>700</v>
      </c>
      <c r="C1684" t="s">
        <v>701</v>
      </c>
      <c r="D1684">
        <v>76251423</v>
      </c>
      <c r="E1684">
        <v>3002946</v>
      </c>
      <c r="F1684" t="s">
        <v>39</v>
      </c>
      <c r="G1684">
        <v>300</v>
      </c>
      <c r="H1684" t="e">
        <f>VLOOKUP(A1684,'SV Child INS Apr'!$A:$H,1,0)</f>
        <v>#N/A</v>
      </c>
      <c r="I1684" t="e">
        <f>VLOOKUP(B1684,'SV Child INS Apr'!$D:$F,1,0)</f>
        <v>#N/A</v>
      </c>
      <c r="J1684" t="str">
        <f>VLOOKUP(A1684,'SV Child BLG Apr'!$A:$J,1,0)</f>
        <v>76251423</v>
      </c>
      <c r="L1684" t="str">
        <f>VLOOKUP(A1684,'TV Apr Prorated Billing Sites'!$A:$I,1,0)</f>
        <v>76251423</v>
      </c>
      <c r="M1684" t="e">
        <f>VLOOKUP(A1684,'CDK asked to retain list'!$H$1:$J$24,1,0)</f>
        <v>#N/A</v>
      </c>
    </row>
    <row r="1685" spans="1:13">
      <c r="A1685" t="str">
        <f t="shared" si="28"/>
        <v>76251463</v>
      </c>
      <c r="B1685" t="s">
        <v>4476</v>
      </c>
      <c r="C1685" t="s">
        <v>4477</v>
      </c>
      <c r="D1685">
        <v>76251463</v>
      </c>
      <c r="E1685">
        <v>2503618</v>
      </c>
      <c r="F1685" t="s">
        <v>39</v>
      </c>
      <c r="G1685">
        <v>300</v>
      </c>
      <c r="H1685" t="str">
        <f>VLOOKUP(A1685,'SV Child INS Apr'!$A:$H,1,0)</f>
        <v>76251463</v>
      </c>
      <c r="L1685" t="e">
        <f>VLOOKUP(A1685,'TV Apr Prorated Billing Sites'!$A:$I,1,0)</f>
        <v>#N/A</v>
      </c>
    </row>
    <row r="1686" spans="1:13">
      <c r="A1686" t="str">
        <f t="shared" si="28"/>
        <v>76251465</v>
      </c>
      <c r="B1686" t="s">
        <v>4478</v>
      </c>
      <c r="C1686" t="s">
        <v>4479</v>
      </c>
      <c r="D1686">
        <v>76251465</v>
      </c>
      <c r="E1686">
        <v>2503471</v>
      </c>
      <c r="F1686" t="s">
        <v>39</v>
      </c>
      <c r="G1686">
        <v>300</v>
      </c>
      <c r="H1686" t="str">
        <f>VLOOKUP(A1686,'SV Child INS Apr'!$A:$H,1,0)</f>
        <v>76251465</v>
      </c>
      <c r="L1686" t="e">
        <f>VLOOKUP(A1686,'TV Apr Prorated Billing Sites'!$A:$I,1,0)</f>
        <v>#N/A</v>
      </c>
    </row>
    <row r="1687" spans="1:13">
      <c r="A1687" t="str">
        <f t="shared" si="28"/>
        <v>76251551</v>
      </c>
      <c r="B1687" t="s">
        <v>4480</v>
      </c>
      <c r="C1687" t="s">
        <v>4481</v>
      </c>
      <c r="D1687">
        <v>76251551</v>
      </c>
      <c r="E1687">
        <v>2503469</v>
      </c>
      <c r="F1687" t="s">
        <v>39</v>
      </c>
      <c r="G1687">
        <v>300</v>
      </c>
      <c r="H1687" t="str">
        <f>VLOOKUP(A1687,'SV Child INS Apr'!$A:$H,1,0)</f>
        <v>76251551</v>
      </c>
      <c r="L1687" t="e">
        <f>VLOOKUP(A1687,'TV Apr Prorated Billing Sites'!$A:$I,1,0)</f>
        <v>#N/A</v>
      </c>
    </row>
    <row r="1688" spans="1:13">
      <c r="A1688" t="str">
        <f t="shared" si="28"/>
        <v>76251607</v>
      </c>
      <c r="B1688" t="s">
        <v>4482</v>
      </c>
      <c r="C1688" t="s">
        <v>4483</v>
      </c>
      <c r="D1688">
        <v>76251607</v>
      </c>
      <c r="E1688">
        <v>2502373</v>
      </c>
      <c r="F1688" t="s">
        <v>39</v>
      </c>
      <c r="G1688">
        <v>300</v>
      </c>
      <c r="H1688" t="str">
        <f>VLOOKUP(A1688,'SV Child INS Apr'!$A:$H,1,0)</f>
        <v>76251607</v>
      </c>
      <c r="L1688" t="e">
        <f>VLOOKUP(A1688,'TV Apr Prorated Billing Sites'!$A:$I,1,0)</f>
        <v>#N/A</v>
      </c>
    </row>
    <row r="1689" spans="1:13">
      <c r="A1689" t="str">
        <f t="shared" si="28"/>
        <v>76251645</v>
      </c>
      <c r="B1689" t="s">
        <v>4484</v>
      </c>
      <c r="C1689" t="s">
        <v>4485</v>
      </c>
      <c r="D1689">
        <v>76251645</v>
      </c>
      <c r="E1689">
        <v>2002985</v>
      </c>
      <c r="F1689" t="s">
        <v>39</v>
      </c>
      <c r="G1689">
        <v>300</v>
      </c>
      <c r="H1689" t="str">
        <f>VLOOKUP(A1689,'SV Child INS Apr'!$A:$H,1,0)</f>
        <v>76251645</v>
      </c>
      <c r="L1689" t="e">
        <f>VLOOKUP(A1689,'TV Apr Prorated Billing Sites'!$A:$I,1,0)</f>
        <v>#N/A</v>
      </c>
    </row>
    <row r="1690" spans="1:13">
      <c r="A1690" t="str">
        <f t="shared" si="28"/>
        <v>76251793</v>
      </c>
      <c r="B1690" t="s">
        <v>4486</v>
      </c>
      <c r="C1690" t="s">
        <v>4487</v>
      </c>
      <c r="D1690">
        <v>76251793</v>
      </c>
      <c r="E1690">
        <v>2003077</v>
      </c>
      <c r="F1690" t="s">
        <v>39</v>
      </c>
      <c r="G1690">
        <v>300</v>
      </c>
      <c r="H1690" t="str">
        <f>VLOOKUP(A1690,'SV Child INS Apr'!$A:$H,1,0)</f>
        <v>76251793</v>
      </c>
      <c r="L1690" t="e">
        <f>VLOOKUP(A1690,'TV Apr Prorated Billing Sites'!$A:$I,1,0)</f>
        <v>#N/A</v>
      </c>
    </row>
    <row r="1691" spans="1:13">
      <c r="A1691" t="str">
        <f t="shared" si="28"/>
        <v>76251805</v>
      </c>
      <c r="B1691" t="s">
        <v>703</v>
      </c>
      <c r="C1691" t="s">
        <v>704</v>
      </c>
      <c r="D1691">
        <v>76251805</v>
      </c>
      <c r="E1691">
        <v>2003023</v>
      </c>
      <c r="F1691" t="s">
        <v>39</v>
      </c>
      <c r="G1691">
        <v>300</v>
      </c>
      <c r="H1691" t="e">
        <f>VLOOKUP(A1691,'SV Child INS Apr'!$A:$H,1,0)</f>
        <v>#N/A</v>
      </c>
      <c r="I1691" t="e">
        <f>VLOOKUP(B1691,'SV Child INS Apr'!$D:$F,1,0)</f>
        <v>#N/A</v>
      </c>
      <c r="J1691" t="str">
        <f>VLOOKUP(A1691,'SV Child BLG Apr'!$A:$J,1,0)</f>
        <v>76251805</v>
      </c>
      <c r="L1691" t="e">
        <f>VLOOKUP(A1691,'TV Apr Prorated Billing Sites'!$A:$I,1,0)</f>
        <v>#N/A</v>
      </c>
      <c r="M1691" t="e">
        <f>VLOOKUP(A1691,'CDK asked to retain list'!$H$1:$J$24,1,0)</f>
        <v>#N/A</v>
      </c>
    </row>
    <row r="1692" spans="1:13">
      <c r="A1692" t="str">
        <f t="shared" si="28"/>
        <v>76251823</v>
      </c>
      <c r="B1692" t="s">
        <v>4488</v>
      </c>
      <c r="C1692" t="s">
        <v>4489</v>
      </c>
      <c r="D1692">
        <v>76251823</v>
      </c>
      <c r="E1692">
        <v>2003050</v>
      </c>
      <c r="F1692" t="s">
        <v>39</v>
      </c>
      <c r="G1692">
        <v>300</v>
      </c>
      <c r="H1692" t="str">
        <f>VLOOKUP(A1692,'SV Child INS Apr'!$A:$H,1,0)</f>
        <v>76251823</v>
      </c>
      <c r="L1692" t="e">
        <f>VLOOKUP(A1692,'TV Apr Prorated Billing Sites'!$A:$I,1,0)</f>
        <v>#N/A</v>
      </c>
    </row>
    <row r="1693" spans="1:13">
      <c r="A1693" t="str">
        <f t="shared" si="28"/>
        <v>76251856</v>
      </c>
      <c r="B1693" t="s">
        <v>4490</v>
      </c>
      <c r="C1693" t="s">
        <v>4491</v>
      </c>
      <c r="D1693">
        <v>76251856</v>
      </c>
      <c r="E1693">
        <v>2503604</v>
      </c>
      <c r="F1693" t="s">
        <v>39</v>
      </c>
      <c r="G1693">
        <v>300</v>
      </c>
      <c r="H1693" t="str">
        <f>VLOOKUP(A1693,'SV Child INS Apr'!$A:$H,1,0)</f>
        <v>76251856</v>
      </c>
      <c r="L1693" t="e">
        <f>VLOOKUP(A1693,'TV Apr Prorated Billing Sites'!$A:$I,1,0)</f>
        <v>#N/A</v>
      </c>
    </row>
    <row r="1694" spans="1:13">
      <c r="A1694" t="str">
        <f t="shared" si="28"/>
        <v>76251883</v>
      </c>
      <c r="B1694" t="s">
        <v>4492</v>
      </c>
      <c r="C1694" t="s">
        <v>4493</v>
      </c>
      <c r="D1694">
        <v>76251883</v>
      </c>
      <c r="E1694">
        <v>2503457</v>
      </c>
      <c r="F1694" t="s">
        <v>39</v>
      </c>
      <c r="G1694">
        <v>300</v>
      </c>
      <c r="H1694" t="str">
        <f>VLOOKUP(A1694,'SV Child INS Apr'!$A:$H,1,0)</f>
        <v>76251883</v>
      </c>
      <c r="L1694" t="e">
        <f>VLOOKUP(A1694,'TV Apr Prorated Billing Sites'!$A:$I,1,0)</f>
        <v>#N/A</v>
      </c>
    </row>
    <row r="1695" spans="1:13">
      <c r="A1695" t="str">
        <f t="shared" si="28"/>
        <v>76251901</v>
      </c>
      <c r="B1695" t="s">
        <v>4494</v>
      </c>
      <c r="C1695" t="s">
        <v>4495</v>
      </c>
      <c r="D1695">
        <v>76251901</v>
      </c>
      <c r="E1695">
        <v>2503550</v>
      </c>
      <c r="F1695" t="s">
        <v>39</v>
      </c>
      <c r="G1695">
        <v>300</v>
      </c>
      <c r="H1695" t="str">
        <f>VLOOKUP(A1695,'SV Child INS Apr'!$A:$H,1,0)</f>
        <v>76251901</v>
      </c>
      <c r="L1695" t="e">
        <f>VLOOKUP(A1695,'TV Apr Prorated Billing Sites'!$A:$I,1,0)</f>
        <v>#N/A</v>
      </c>
    </row>
    <row r="1696" spans="1:13">
      <c r="A1696" t="str">
        <f t="shared" si="28"/>
        <v>76252038</v>
      </c>
      <c r="B1696" t="s">
        <v>4496</v>
      </c>
      <c r="C1696" t="s">
        <v>4497</v>
      </c>
      <c r="D1696">
        <v>76252038</v>
      </c>
      <c r="E1696">
        <v>2503501</v>
      </c>
      <c r="F1696" t="s">
        <v>39</v>
      </c>
      <c r="G1696">
        <v>300</v>
      </c>
      <c r="H1696" t="str">
        <f>VLOOKUP(A1696,'SV Child INS Apr'!$A:$H,1,0)</f>
        <v>76252038</v>
      </c>
      <c r="L1696" t="e">
        <f>VLOOKUP(A1696,'TV Apr Prorated Billing Sites'!$A:$I,1,0)</f>
        <v>#N/A</v>
      </c>
    </row>
    <row r="1697" spans="1:13">
      <c r="A1697" t="str">
        <f t="shared" si="28"/>
        <v>76252046</v>
      </c>
      <c r="B1697" t="s">
        <v>282</v>
      </c>
      <c r="C1697" t="s">
        <v>283</v>
      </c>
      <c r="D1697">
        <v>76252046</v>
      </c>
      <c r="E1697">
        <v>2503503</v>
      </c>
      <c r="F1697" t="s">
        <v>39</v>
      </c>
      <c r="G1697">
        <v>300</v>
      </c>
      <c r="H1697" t="e">
        <f>VLOOKUP(A1697,'SV Child INS Apr'!$A:$H,1,0)</f>
        <v>#N/A</v>
      </c>
      <c r="I1697" t="e">
        <f>VLOOKUP(B1697,'SV Child INS Apr'!$D:$F,1,0)</f>
        <v>#N/A</v>
      </c>
      <c r="J1697" t="e">
        <f>VLOOKUP(A1697,'SV Child BLG Apr'!$A:$J,1,0)</f>
        <v>#N/A</v>
      </c>
      <c r="K1697" t="e">
        <f>VLOOKUP(B1697,'SV Child BLG Apr'!$D:$I,1,0)</f>
        <v>#N/A</v>
      </c>
      <c r="L1697" t="e">
        <f>VLOOKUP(A1697,'TV Apr Prorated Billing Sites'!$A:$I,1,0)</f>
        <v>#N/A</v>
      </c>
    </row>
    <row r="1698" spans="1:13">
      <c r="A1698" t="str">
        <f t="shared" si="28"/>
        <v>76252059</v>
      </c>
      <c r="B1698" t="s">
        <v>4498</v>
      </c>
      <c r="C1698" t="s">
        <v>4499</v>
      </c>
      <c r="D1698">
        <v>76252059</v>
      </c>
      <c r="E1698">
        <v>3000050</v>
      </c>
      <c r="F1698" t="s">
        <v>39</v>
      </c>
      <c r="G1698">
        <v>300</v>
      </c>
      <c r="H1698" t="str">
        <f>VLOOKUP(A1698,'SV Child INS Apr'!$A:$H,1,0)</f>
        <v>76252059</v>
      </c>
      <c r="L1698" t="e">
        <f>VLOOKUP(A1698,'TV Apr Prorated Billing Sites'!$A:$I,1,0)</f>
        <v>#N/A</v>
      </c>
    </row>
    <row r="1699" spans="1:13">
      <c r="A1699" t="str">
        <f t="shared" si="28"/>
        <v>76252069</v>
      </c>
      <c r="B1699" t="s">
        <v>4500</v>
      </c>
      <c r="C1699" t="s">
        <v>1311</v>
      </c>
      <c r="D1699">
        <v>76252069</v>
      </c>
      <c r="E1699">
        <v>2502422</v>
      </c>
      <c r="F1699" t="s">
        <v>39</v>
      </c>
      <c r="G1699">
        <v>300</v>
      </c>
      <c r="H1699" t="str">
        <f>VLOOKUP(A1699,'SV Child INS Apr'!$A:$H,1,0)</f>
        <v>76252069</v>
      </c>
      <c r="L1699" t="e">
        <f>VLOOKUP(A1699,'TV Apr Prorated Billing Sites'!$A:$I,1,0)</f>
        <v>#N/A</v>
      </c>
    </row>
    <row r="1700" spans="1:13">
      <c r="A1700" t="str">
        <f t="shared" si="28"/>
        <v>76252076</v>
      </c>
      <c r="B1700" t="s">
        <v>706</v>
      </c>
      <c r="C1700" t="s">
        <v>707</v>
      </c>
      <c r="D1700">
        <v>76252076</v>
      </c>
      <c r="E1700">
        <v>2503463</v>
      </c>
      <c r="F1700" t="s">
        <v>39</v>
      </c>
      <c r="G1700">
        <v>300</v>
      </c>
      <c r="H1700" t="e">
        <f>VLOOKUP(A1700,'SV Child INS Apr'!$A:$H,1,0)</f>
        <v>#N/A</v>
      </c>
      <c r="I1700" t="e">
        <f>VLOOKUP(B1700,'SV Child INS Apr'!$D:$F,1,0)</f>
        <v>#N/A</v>
      </c>
      <c r="J1700" t="str">
        <f>VLOOKUP(A1700,'SV Child BLG Apr'!$A:$J,1,0)</f>
        <v>76252076</v>
      </c>
      <c r="L1700" t="e">
        <f>VLOOKUP(A1700,'TV Apr Prorated Billing Sites'!$A:$I,1,0)</f>
        <v>#N/A</v>
      </c>
      <c r="M1700" t="e">
        <f>VLOOKUP(A1700,'CDK asked to retain list'!$H$1:$J$24,1,0)</f>
        <v>#N/A</v>
      </c>
    </row>
    <row r="1701" spans="1:13">
      <c r="A1701" t="str">
        <f t="shared" si="28"/>
        <v>76252135</v>
      </c>
      <c r="B1701" t="s">
        <v>4501</v>
      </c>
      <c r="C1701" t="s">
        <v>4502</v>
      </c>
      <c r="D1701">
        <v>76252135</v>
      </c>
      <c r="E1701">
        <v>2503520</v>
      </c>
      <c r="F1701" t="s">
        <v>39</v>
      </c>
      <c r="G1701">
        <v>300</v>
      </c>
      <c r="H1701" t="str">
        <f>VLOOKUP(A1701,'SV Child INS Apr'!$A:$H,1,0)</f>
        <v>76252135</v>
      </c>
      <c r="L1701" t="e">
        <f>VLOOKUP(A1701,'TV Apr Prorated Billing Sites'!$A:$I,1,0)</f>
        <v>#N/A</v>
      </c>
    </row>
    <row r="1702" spans="1:13">
      <c r="A1702" t="str">
        <f t="shared" si="28"/>
        <v>76252222</v>
      </c>
      <c r="B1702" t="s">
        <v>4503</v>
      </c>
      <c r="C1702" t="s">
        <v>4504</v>
      </c>
      <c r="D1702">
        <v>76252222</v>
      </c>
      <c r="E1702">
        <v>2501457</v>
      </c>
      <c r="F1702" t="s">
        <v>39</v>
      </c>
      <c r="G1702">
        <v>300</v>
      </c>
      <c r="H1702" t="str">
        <f>VLOOKUP(A1702,'SV Child INS Apr'!$A:$H,1,0)</f>
        <v>76252222</v>
      </c>
      <c r="L1702" t="e">
        <f>VLOOKUP(A1702,'TV Apr Prorated Billing Sites'!$A:$I,1,0)</f>
        <v>#N/A</v>
      </c>
    </row>
    <row r="1703" spans="1:13">
      <c r="A1703" t="str">
        <f t="shared" si="28"/>
        <v>76252265</v>
      </c>
      <c r="B1703" t="s">
        <v>4505</v>
      </c>
      <c r="C1703" t="s">
        <v>4506</v>
      </c>
      <c r="D1703">
        <v>76252265</v>
      </c>
      <c r="E1703">
        <v>3000697</v>
      </c>
      <c r="F1703" t="s">
        <v>39</v>
      </c>
      <c r="G1703">
        <v>300</v>
      </c>
      <c r="H1703" t="str">
        <f>VLOOKUP(A1703,'SV Child INS Apr'!$A:$H,1,0)</f>
        <v>76252265</v>
      </c>
      <c r="L1703" t="e">
        <f>VLOOKUP(A1703,'TV Apr Prorated Billing Sites'!$A:$I,1,0)</f>
        <v>#N/A</v>
      </c>
    </row>
    <row r="1704" spans="1:13">
      <c r="A1704" t="str">
        <f t="shared" si="28"/>
        <v>76252357</v>
      </c>
      <c r="B1704" t="s">
        <v>4507</v>
      </c>
      <c r="C1704" t="s">
        <v>4508</v>
      </c>
      <c r="D1704">
        <v>76252357</v>
      </c>
      <c r="E1704">
        <v>2503484</v>
      </c>
      <c r="F1704" t="s">
        <v>39</v>
      </c>
      <c r="G1704">
        <v>300</v>
      </c>
      <c r="H1704" t="str">
        <f>VLOOKUP(A1704,'SV Child INS Apr'!$A:$H,1,0)</f>
        <v>76252357</v>
      </c>
      <c r="L1704" t="e">
        <f>VLOOKUP(A1704,'TV Apr Prorated Billing Sites'!$A:$I,1,0)</f>
        <v>#N/A</v>
      </c>
    </row>
    <row r="1705" spans="1:13">
      <c r="A1705" t="str">
        <f t="shared" ref="A1705:A1768" si="29">TRIM(D1705)</f>
        <v>76252397</v>
      </c>
      <c r="B1705" t="s">
        <v>4509</v>
      </c>
      <c r="C1705" t="s">
        <v>4510</v>
      </c>
      <c r="D1705">
        <v>76252397</v>
      </c>
      <c r="E1705">
        <v>2503525</v>
      </c>
      <c r="F1705" t="s">
        <v>39</v>
      </c>
      <c r="G1705">
        <v>300</v>
      </c>
      <c r="H1705" t="str">
        <f>VLOOKUP(A1705,'SV Child INS Apr'!$A:$H,1,0)</f>
        <v>76252397</v>
      </c>
      <c r="L1705" t="e">
        <f>VLOOKUP(A1705,'TV Apr Prorated Billing Sites'!$A:$I,1,0)</f>
        <v>#N/A</v>
      </c>
    </row>
    <row r="1706" spans="1:13">
      <c r="A1706" t="str">
        <f t="shared" si="29"/>
        <v>76252718</v>
      </c>
      <c r="B1706" t="s">
        <v>4511</v>
      </c>
      <c r="C1706" t="s">
        <v>4512</v>
      </c>
      <c r="D1706">
        <v>76252718</v>
      </c>
      <c r="E1706">
        <v>3000696</v>
      </c>
      <c r="F1706" t="s">
        <v>39</v>
      </c>
      <c r="G1706">
        <v>300</v>
      </c>
      <c r="H1706" t="str">
        <f>VLOOKUP(A1706,'SV Child INS Apr'!$A:$H,1,0)</f>
        <v>76252718</v>
      </c>
      <c r="L1706" t="e">
        <f>VLOOKUP(A1706,'TV Apr Prorated Billing Sites'!$A:$I,1,0)</f>
        <v>#N/A</v>
      </c>
    </row>
    <row r="1707" spans="1:13">
      <c r="A1707" t="str">
        <f t="shared" si="29"/>
        <v>76252738</v>
      </c>
      <c r="B1707" t="s">
        <v>709</v>
      </c>
      <c r="C1707" t="s">
        <v>710</v>
      </c>
      <c r="D1707">
        <v>76252738</v>
      </c>
      <c r="E1707">
        <v>3002944</v>
      </c>
      <c r="F1707" t="s">
        <v>39</v>
      </c>
      <c r="G1707">
        <v>300</v>
      </c>
      <c r="H1707" t="e">
        <f>VLOOKUP(A1707,'SV Child INS Apr'!$A:$H,1,0)</f>
        <v>#N/A</v>
      </c>
      <c r="I1707" t="e">
        <f>VLOOKUP(B1707,'SV Child INS Apr'!$D:$F,1,0)</f>
        <v>#N/A</v>
      </c>
      <c r="J1707" t="str">
        <f>VLOOKUP(A1707,'SV Child BLG Apr'!$A:$J,1,0)</f>
        <v>76252738</v>
      </c>
      <c r="L1707" t="str">
        <f>VLOOKUP(A1707,'TV Apr Prorated Billing Sites'!$A:$I,1,0)</f>
        <v>76252738</v>
      </c>
      <c r="M1707" t="e">
        <f>VLOOKUP(A1707,'CDK asked to retain list'!$H$1:$J$24,1,0)</f>
        <v>#N/A</v>
      </c>
    </row>
    <row r="1708" spans="1:13">
      <c r="A1708" t="str">
        <f t="shared" si="29"/>
        <v>76252740</v>
      </c>
      <c r="B1708" t="s">
        <v>712</v>
      </c>
      <c r="C1708" t="s">
        <v>713</v>
      </c>
      <c r="D1708">
        <v>76252740</v>
      </c>
      <c r="E1708">
        <v>3002948</v>
      </c>
      <c r="F1708" t="s">
        <v>39</v>
      </c>
      <c r="G1708">
        <v>300</v>
      </c>
      <c r="H1708" t="e">
        <f>VLOOKUP(A1708,'SV Child INS Apr'!$A:$H,1,0)</f>
        <v>#N/A</v>
      </c>
      <c r="I1708" t="e">
        <f>VLOOKUP(B1708,'SV Child INS Apr'!$D:$F,1,0)</f>
        <v>#N/A</v>
      </c>
      <c r="J1708" t="str">
        <f>VLOOKUP(A1708,'SV Child BLG Apr'!$A:$J,1,0)</f>
        <v>76252740</v>
      </c>
      <c r="L1708" t="str">
        <f>VLOOKUP(A1708,'TV Apr Prorated Billing Sites'!$A:$I,1,0)</f>
        <v>76252740</v>
      </c>
      <c r="M1708" t="e">
        <f>VLOOKUP(A1708,'CDK asked to retain list'!$H$1:$J$24,1,0)</f>
        <v>#N/A</v>
      </c>
    </row>
    <row r="1709" spans="1:13">
      <c r="A1709" t="str">
        <f t="shared" si="29"/>
        <v>76252750</v>
      </c>
      <c r="B1709" t="s">
        <v>4513</v>
      </c>
      <c r="C1709" t="s">
        <v>4514</v>
      </c>
      <c r="D1709">
        <v>76252750</v>
      </c>
      <c r="E1709">
        <v>2503581</v>
      </c>
      <c r="F1709" t="s">
        <v>39</v>
      </c>
      <c r="G1709">
        <v>300</v>
      </c>
      <c r="H1709" t="str">
        <f>VLOOKUP(A1709,'SV Child INS Apr'!$A:$H,1,0)</f>
        <v>76252750</v>
      </c>
      <c r="L1709" t="e">
        <f>VLOOKUP(A1709,'TV Apr Prorated Billing Sites'!$A:$I,1,0)</f>
        <v>#N/A</v>
      </c>
    </row>
    <row r="1710" spans="1:13">
      <c r="A1710" t="str">
        <f t="shared" si="29"/>
        <v>76252854</v>
      </c>
      <c r="B1710" t="s">
        <v>4515</v>
      </c>
      <c r="C1710" t="s">
        <v>4516</v>
      </c>
      <c r="D1710">
        <v>76252854</v>
      </c>
      <c r="E1710">
        <v>3000846</v>
      </c>
      <c r="F1710" t="s">
        <v>39</v>
      </c>
      <c r="G1710">
        <v>300</v>
      </c>
      <c r="H1710" t="str">
        <f>VLOOKUP(A1710,'SV Child INS Apr'!$A:$H,1,0)</f>
        <v>76252854</v>
      </c>
      <c r="L1710" t="e">
        <f>VLOOKUP(A1710,'TV Apr Prorated Billing Sites'!$A:$I,1,0)</f>
        <v>#N/A</v>
      </c>
    </row>
    <row r="1711" spans="1:13">
      <c r="A1711" t="str">
        <f t="shared" si="29"/>
        <v>76252938</v>
      </c>
      <c r="B1711" t="s">
        <v>4517</v>
      </c>
      <c r="C1711" t="s">
        <v>4518</v>
      </c>
      <c r="D1711">
        <v>76252938</v>
      </c>
      <c r="E1711">
        <v>2503533</v>
      </c>
      <c r="F1711" t="s">
        <v>39</v>
      </c>
      <c r="G1711">
        <v>300</v>
      </c>
      <c r="H1711" t="str">
        <f>VLOOKUP(A1711,'SV Child INS Apr'!$A:$H,1,0)</f>
        <v>76252938</v>
      </c>
      <c r="L1711" t="e">
        <f>VLOOKUP(A1711,'TV Apr Prorated Billing Sites'!$A:$I,1,0)</f>
        <v>#N/A</v>
      </c>
    </row>
    <row r="1712" spans="1:13">
      <c r="A1712" t="str">
        <f t="shared" si="29"/>
        <v>76252940</v>
      </c>
      <c r="B1712" t="s">
        <v>4519</v>
      </c>
      <c r="C1712" t="s">
        <v>4520</v>
      </c>
      <c r="D1712">
        <v>76252940</v>
      </c>
      <c r="E1712">
        <v>2003073</v>
      </c>
      <c r="F1712" t="s">
        <v>39</v>
      </c>
      <c r="G1712">
        <v>300</v>
      </c>
      <c r="H1712" t="str">
        <f>VLOOKUP(A1712,'SV Child INS Apr'!$A:$H,1,0)</f>
        <v>76252940</v>
      </c>
      <c r="L1712" t="e">
        <f>VLOOKUP(A1712,'TV Apr Prorated Billing Sites'!$A:$I,1,0)</f>
        <v>#N/A</v>
      </c>
    </row>
    <row r="1713" spans="1:12">
      <c r="A1713" t="str">
        <f t="shared" si="29"/>
        <v>76252980</v>
      </c>
      <c r="B1713" t="s">
        <v>4521</v>
      </c>
      <c r="C1713" t="s">
        <v>4522</v>
      </c>
      <c r="D1713">
        <v>76252980</v>
      </c>
      <c r="E1713">
        <v>2003074</v>
      </c>
      <c r="F1713" t="s">
        <v>39</v>
      </c>
      <c r="G1713">
        <v>300</v>
      </c>
      <c r="H1713" t="str">
        <f>VLOOKUP(A1713,'SV Child INS Apr'!$A:$H,1,0)</f>
        <v>76252980</v>
      </c>
      <c r="L1713" t="e">
        <f>VLOOKUP(A1713,'TV Apr Prorated Billing Sites'!$A:$I,1,0)</f>
        <v>#N/A</v>
      </c>
    </row>
    <row r="1714" spans="1:12">
      <c r="A1714" t="str">
        <f t="shared" si="29"/>
        <v>76253254</v>
      </c>
      <c r="B1714" t="s">
        <v>4523</v>
      </c>
      <c r="C1714" t="s">
        <v>4524</v>
      </c>
      <c r="D1714">
        <v>76253254</v>
      </c>
      <c r="E1714">
        <v>2003123</v>
      </c>
      <c r="F1714" t="s">
        <v>39</v>
      </c>
      <c r="G1714">
        <v>300</v>
      </c>
      <c r="H1714" t="str">
        <f>VLOOKUP(A1714,'SV Child INS Apr'!$A:$H,1,0)</f>
        <v>76253254</v>
      </c>
      <c r="L1714" t="e">
        <f>VLOOKUP(A1714,'TV Apr Prorated Billing Sites'!$A:$I,1,0)</f>
        <v>#N/A</v>
      </c>
    </row>
    <row r="1715" spans="1:12">
      <c r="A1715" t="str">
        <f t="shared" si="29"/>
        <v>76253262</v>
      </c>
      <c r="B1715" t="s">
        <v>4525</v>
      </c>
      <c r="C1715" t="s">
        <v>4526</v>
      </c>
      <c r="D1715">
        <v>76253262</v>
      </c>
      <c r="E1715">
        <v>3001701</v>
      </c>
      <c r="F1715" t="s">
        <v>39</v>
      </c>
      <c r="G1715">
        <v>400</v>
      </c>
      <c r="H1715" t="str">
        <f>VLOOKUP(A1715,'SV Child INS Apr'!$A:$H,1,0)</f>
        <v>76253262</v>
      </c>
      <c r="L1715" t="e">
        <f>VLOOKUP(A1715,'TV Apr Prorated Billing Sites'!$A:$I,1,0)</f>
        <v>#N/A</v>
      </c>
    </row>
    <row r="1716" spans="1:12">
      <c r="A1716" t="str">
        <f t="shared" si="29"/>
        <v>76253347</v>
      </c>
      <c r="B1716" t="s">
        <v>4527</v>
      </c>
      <c r="C1716" t="s">
        <v>4528</v>
      </c>
      <c r="D1716">
        <v>76253347</v>
      </c>
      <c r="E1716">
        <v>2503603</v>
      </c>
      <c r="F1716" t="s">
        <v>39</v>
      </c>
      <c r="G1716">
        <v>300</v>
      </c>
      <c r="H1716" t="str">
        <f>VLOOKUP(A1716,'SV Child INS Apr'!$A:$H,1,0)</f>
        <v>76253347</v>
      </c>
      <c r="L1716" t="e">
        <f>VLOOKUP(A1716,'TV Apr Prorated Billing Sites'!$A:$I,1,0)</f>
        <v>#N/A</v>
      </c>
    </row>
    <row r="1717" spans="1:12">
      <c r="A1717" t="str">
        <f t="shared" si="29"/>
        <v>76253389</v>
      </c>
      <c r="B1717" t="s">
        <v>4529</v>
      </c>
      <c r="C1717" t="s">
        <v>4530</v>
      </c>
      <c r="D1717">
        <v>76253389</v>
      </c>
      <c r="E1717">
        <v>2503568</v>
      </c>
      <c r="F1717" t="s">
        <v>39</v>
      </c>
      <c r="G1717">
        <v>300</v>
      </c>
      <c r="H1717" t="str">
        <f>VLOOKUP(A1717,'SV Child INS Apr'!$A:$H,1,0)</f>
        <v>76253389</v>
      </c>
      <c r="L1717" t="e">
        <f>VLOOKUP(A1717,'TV Apr Prorated Billing Sites'!$A:$I,1,0)</f>
        <v>#N/A</v>
      </c>
    </row>
    <row r="1718" spans="1:12">
      <c r="A1718" t="str">
        <f t="shared" si="29"/>
        <v>76253402</v>
      </c>
      <c r="B1718" t="s">
        <v>4531</v>
      </c>
      <c r="C1718" t="s">
        <v>4532</v>
      </c>
      <c r="D1718">
        <v>76253402</v>
      </c>
      <c r="E1718">
        <v>2503636</v>
      </c>
      <c r="F1718" t="s">
        <v>39</v>
      </c>
      <c r="G1718">
        <v>300</v>
      </c>
      <c r="H1718" t="str">
        <f>VLOOKUP(A1718,'SV Child INS Apr'!$A:$H,1,0)</f>
        <v>76253402</v>
      </c>
      <c r="L1718" t="e">
        <f>VLOOKUP(A1718,'TV Apr Prorated Billing Sites'!$A:$I,1,0)</f>
        <v>#N/A</v>
      </c>
    </row>
    <row r="1719" spans="1:12">
      <c r="A1719" t="str">
        <f t="shared" si="29"/>
        <v>76253419</v>
      </c>
      <c r="B1719" t="s">
        <v>4533</v>
      </c>
      <c r="C1719" t="s">
        <v>4534</v>
      </c>
      <c r="D1719">
        <v>76253419</v>
      </c>
      <c r="E1719">
        <v>3001957</v>
      </c>
      <c r="F1719" t="s">
        <v>39</v>
      </c>
      <c r="G1719">
        <v>400</v>
      </c>
      <c r="H1719" t="str">
        <f>VLOOKUP(A1719,'SV Child INS Apr'!$A:$H,1,0)</f>
        <v>76253419</v>
      </c>
      <c r="L1719" t="e">
        <f>VLOOKUP(A1719,'TV Apr Prorated Billing Sites'!$A:$I,1,0)</f>
        <v>#N/A</v>
      </c>
    </row>
    <row r="1720" spans="1:12">
      <c r="A1720" t="str">
        <f t="shared" si="29"/>
        <v>76253535</v>
      </c>
      <c r="B1720" t="s">
        <v>4535</v>
      </c>
      <c r="C1720" t="s">
        <v>4536</v>
      </c>
      <c r="D1720">
        <v>76253535</v>
      </c>
      <c r="E1720">
        <v>2003093</v>
      </c>
      <c r="F1720" t="s">
        <v>39</v>
      </c>
      <c r="G1720">
        <v>300</v>
      </c>
      <c r="H1720" t="str">
        <f>VLOOKUP(A1720,'SV Child INS Apr'!$A:$H,1,0)</f>
        <v>76253535</v>
      </c>
      <c r="L1720" t="e">
        <f>VLOOKUP(A1720,'TV Apr Prorated Billing Sites'!$A:$I,1,0)</f>
        <v>#N/A</v>
      </c>
    </row>
    <row r="1721" spans="1:12">
      <c r="A1721" t="str">
        <f t="shared" si="29"/>
        <v>76253645</v>
      </c>
      <c r="B1721" t="s">
        <v>4537</v>
      </c>
      <c r="C1721" t="s">
        <v>4538</v>
      </c>
      <c r="D1721">
        <v>76253645</v>
      </c>
      <c r="E1721">
        <v>2503598</v>
      </c>
      <c r="F1721" t="s">
        <v>39</v>
      </c>
      <c r="G1721">
        <v>300</v>
      </c>
      <c r="H1721" t="str">
        <f>VLOOKUP(A1721,'SV Child INS Apr'!$A:$H,1,0)</f>
        <v>76253645</v>
      </c>
      <c r="L1721" t="e">
        <f>VLOOKUP(A1721,'TV Apr Prorated Billing Sites'!$A:$I,1,0)</f>
        <v>#N/A</v>
      </c>
    </row>
    <row r="1722" spans="1:12">
      <c r="A1722" t="str">
        <f t="shared" si="29"/>
        <v>76253766</v>
      </c>
      <c r="B1722" t="s">
        <v>285</v>
      </c>
      <c r="C1722" t="s">
        <v>286</v>
      </c>
      <c r="D1722">
        <v>76253766</v>
      </c>
      <c r="E1722">
        <v>2503580</v>
      </c>
      <c r="F1722" t="s">
        <v>39</v>
      </c>
      <c r="G1722">
        <v>300</v>
      </c>
      <c r="H1722" t="e">
        <f>VLOOKUP(A1722,'SV Child INS Apr'!$A:$H,1,0)</f>
        <v>#N/A</v>
      </c>
      <c r="I1722" t="e">
        <f>VLOOKUP(B1722,'SV Child INS Apr'!$D:$F,1,0)</f>
        <v>#N/A</v>
      </c>
      <c r="J1722" t="e">
        <f>VLOOKUP(A1722,'SV Child BLG Apr'!$A:$J,1,0)</f>
        <v>#N/A</v>
      </c>
      <c r="K1722" t="e">
        <f>VLOOKUP(B1722,'SV Child BLG Apr'!$D:$I,1,0)</f>
        <v>#N/A</v>
      </c>
      <c r="L1722" t="e">
        <f>VLOOKUP(A1722,'TV Apr Prorated Billing Sites'!$A:$I,1,0)</f>
        <v>#N/A</v>
      </c>
    </row>
    <row r="1723" spans="1:12">
      <c r="A1723" t="str">
        <f t="shared" si="29"/>
        <v>76253767</v>
      </c>
      <c r="B1723" t="s">
        <v>288</v>
      </c>
      <c r="C1723" t="s">
        <v>289</v>
      </c>
      <c r="D1723">
        <v>76253767</v>
      </c>
      <c r="E1723">
        <v>2503579</v>
      </c>
      <c r="F1723" t="s">
        <v>39</v>
      </c>
      <c r="G1723">
        <v>300</v>
      </c>
      <c r="H1723" t="e">
        <f>VLOOKUP(A1723,'SV Child INS Apr'!$A:$H,1,0)</f>
        <v>#N/A</v>
      </c>
      <c r="I1723" t="e">
        <f>VLOOKUP(B1723,'SV Child INS Apr'!$D:$F,1,0)</f>
        <v>#N/A</v>
      </c>
      <c r="J1723" t="e">
        <f>VLOOKUP(A1723,'SV Child BLG Apr'!$A:$J,1,0)</f>
        <v>#N/A</v>
      </c>
      <c r="K1723" t="e">
        <f>VLOOKUP(B1723,'SV Child BLG Apr'!$D:$I,1,0)</f>
        <v>#N/A</v>
      </c>
      <c r="L1723" t="e">
        <f>VLOOKUP(A1723,'TV Apr Prorated Billing Sites'!$A:$I,1,0)</f>
        <v>#N/A</v>
      </c>
    </row>
    <row r="1724" spans="1:12">
      <c r="A1724" t="str">
        <f t="shared" si="29"/>
        <v>76253966</v>
      </c>
      <c r="B1724" t="s">
        <v>4539</v>
      </c>
      <c r="C1724" t="s">
        <v>4540</v>
      </c>
      <c r="D1724">
        <v>76253966</v>
      </c>
      <c r="E1724">
        <v>3001003</v>
      </c>
      <c r="F1724" t="s">
        <v>39</v>
      </c>
      <c r="G1724">
        <v>300</v>
      </c>
      <c r="H1724" t="str">
        <f>VLOOKUP(A1724,'SV Child INS Apr'!$A:$H,1,0)</f>
        <v>76253966</v>
      </c>
      <c r="L1724" t="e">
        <f>VLOOKUP(A1724,'TV Apr Prorated Billing Sites'!$A:$I,1,0)</f>
        <v>#N/A</v>
      </c>
    </row>
    <row r="1725" spans="1:12">
      <c r="A1725" t="str">
        <f t="shared" si="29"/>
        <v>76253973</v>
      </c>
      <c r="B1725" t="s">
        <v>4541</v>
      </c>
      <c r="C1725" t="s">
        <v>4542</v>
      </c>
      <c r="D1725">
        <v>76253973</v>
      </c>
      <c r="E1725">
        <v>2000800</v>
      </c>
      <c r="F1725" t="s">
        <v>39</v>
      </c>
      <c r="G1725">
        <v>300</v>
      </c>
      <c r="H1725" t="str">
        <f>VLOOKUP(A1725,'SV Child INS Apr'!$A:$H,1,0)</f>
        <v>76253973</v>
      </c>
      <c r="L1725" t="e">
        <f>VLOOKUP(A1725,'TV Apr Prorated Billing Sites'!$A:$I,1,0)</f>
        <v>#N/A</v>
      </c>
    </row>
    <row r="1726" spans="1:12">
      <c r="A1726" t="str">
        <f t="shared" si="29"/>
        <v>76254172</v>
      </c>
      <c r="B1726" t="s">
        <v>4543</v>
      </c>
      <c r="C1726" t="s">
        <v>4544</v>
      </c>
      <c r="D1726">
        <v>76254172</v>
      </c>
      <c r="E1726">
        <v>3000809</v>
      </c>
      <c r="F1726" t="s">
        <v>39</v>
      </c>
      <c r="G1726">
        <v>300</v>
      </c>
      <c r="H1726" t="str">
        <f>VLOOKUP(A1726,'SV Child INS Apr'!$A:$H,1,0)</f>
        <v>76254172</v>
      </c>
      <c r="L1726" t="e">
        <f>VLOOKUP(A1726,'TV Apr Prorated Billing Sites'!$A:$I,1,0)</f>
        <v>#N/A</v>
      </c>
    </row>
    <row r="1727" spans="1:12">
      <c r="A1727" t="str">
        <f t="shared" si="29"/>
        <v>76254233</v>
      </c>
      <c r="B1727" t="s">
        <v>4545</v>
      </c>
      <c r="C1727" t="s">
        <v>4546</v>
      </c>
      <c r="D1727">
        <v>76254233</v>
      </c>
      <c r="E1727">
        <v>2503620</v>
      </c>
      <c r="F1727" t="s">
        <v>39</v>
      </c>
      <c r="G1727">
        <v>300</v>
      </c>
      <c r="H1727" t="str">
        <f>VLOOKUP(A1727,'SV Child INS Apr'!$A:$H,1,0)</f>
        <v>76254233</v>
      </c>
      <c r="L1727" t="e">
        <f>VLOOKUP(A1727,'TV Apr Prorated Billing Sites'!$A:$I,1,0)</f>
        <v>#N/A</v>
      </c>
    </row>
    <row r="1728" spans="1:12">
      <c r="A1728" t="str">
        <f t="shared" si="29"/>
        <v>76254334</v>
      </c>
      <c r="B1728" t="s">
        <v>4547</v>
      </c>
      <c r="C1728" t="s">
        <v>4548</v>
      </c>
      <c r="D1728">
        <v>76254334</v>
      </c>
      <c r="E1728">
        <v>2503597</v>
      </c>
      <c r="F1728" t="s">
        <v>39</v>
      </c>
      <c r="G1728">
        <v>300</v>
      </c>
      <c r="H1728" t="str">
        <f>VLOOKUP(A1728,'SV Child INS Apr'!$A:$H,1,0)</f>
        <v>76254334</v>
      </c>
      <c r="L1728" t="e">
        <f>VLOOKUP(A1728,'TV Apr Prorated Billing Sites'!$A:$I,1,0)</f>
        <v>#N/A</v>
      </c>
    </row>
    <row r="1729" spans="1:13">
      <c r="A1729" t="str">
        <f t="shared" si="29"/>
        <v>76254483</v>
      </c>
      <c r="B1729" t="s">
        <v>4549</v>
      </c>
      <c r="C1729" t="s">
        <v>4550</v>
      </c>
      <c r="D1729">
        <v>76254483</v>
      </c>
      <c r="E1729">
        <v>3000617</v>
      </c>
      <c r="F1729" t="s">
        <v>39</v>
      </c>
      <c r="G1729">
        <v>300</v>
      </c>
      <c r="H1729" t="str">
        <f>VLOOKUP(A1729,'SV Child INS Apr'!$A:$H,1,0)</f>
        <v>76254483</v>
      </c>
      <c r="L1729" t="e">
        <f>VLOOKUP(A1729,'TV Apr Prorated Billing Sites'!$A:$I,1,0)</f>
        <v>#N/A</v>
      </c>
    </row>
    <row r="1730" spans="1:13">
      <c r="A1730" t="str">
        <f t="shared" si="29"/>
        <v>76254740</v>
      </c>
      <c r="B1730" t="s">
        <v>4551</v>
      </c>
      <c r="C1730" t="s">
        <v>4552</v>
      </c>
      <c r="D1730">
        <v>76254740</v>
      </c>
      <c r="E1730">
        <v>3000994</v>
      </c>
      <c r="F1730" t="s">
        <v>39</v>
      </c>
      <c r="G1730">
        <v>300</v>
      </c>
      <c r="H1730" t="str">
        <f>VLOOKUP(A1730,'SV Child INS Apr'!$A:$H,1,0)</f>
        <v>76254740</v>
      </c>
      <c r="L1730" t="e">
        <f>VLOOKUP(A1730,'TV Apr Prorated Billing Sites'!$A:$I,1,0)</f>
        <v>#N/A</v>
      </c>
    </row>
    <row r="1731" spans="1:13">
      <c r="A1731" t="str">
        <f t="shared" si="29"/>
        <v>76254751</v>
      </c>
      <c r="B1731" t="s">
        <v>4553</v>
      </c>
      <c r="C1731" t="s">
        <v>4554</v>
      </c>
      <c r="D1731">
        <v>76254751</v>
      </c>
      <c r="E1731">
        <v>2600002</v>
      </c>
      <c r="F1731" t="s">
        <v>39</v>
      </c>
      <c r="G1731">
        <v>300</v>
      </c>
      <c r="H1731" t="str">
        <f>VLOOKUP(A1731,'SV Child INS Apr'!$A:$H,1,0)</f>
        <v>76254751</v>
      </c>
      <c r="L1731" t="e">
        <f>VLOOKUP(A1731,'TV Apr Prorated Billing Sites'!$A:$I,1,0)</f>
        <v>#N/A</v>
      </c>
    </row>
    <row r="1732" spans="1:13">
      <c r="A1732" t="str">
        <f t="shared" si="29"/>
        <v>76255008</v>
      </c>
      <c r="B1732" t="s">
        <v>4555</v>
      </c>
      <c r="C1732" t="s">
        <v>4556</v>
      </c>
      <c r="D1732">
        <v>76255008</v>
      </c>
      <c r="E1732">
        <v>3002019</v>
      </c>
      <c r="F1732" t="s">
        <v>39</v>
      </c>
      <c r="G1732">
        <v>300</v>
      </c>
      <c r="H1732" t="str">
        <f>VLOOKUP(A1732,'SV Child INS Apr'!$A:$H,1,0)</f>
        <v>76255008</v>
      </c>
      <c r="L1732" t="e">
        <f>VLOOKUP(A1732,'TV Apr Prorated Billing Sites'!$A:$I,1,0)</f>
        <v>#N/A</v>
      </c>
    </row>
    <row r="1733" spans="1:13">
      <c r="A1733" t="str">
        <f t="shared" si="29"/>
        <v>76255135</v>
      </c>
      <c r="B1733" t="s">
        <v>715</v>
      </c>
      <c r="C1733" t="s">
        <v>716</v>
      </c>
      <c r="D1733">
        <v>76255135</v>
      </c>
      <c r="E1733">
        <v>8105</v>
      </c>
      <c r="F1733" t="s">
        <v>39</v>
      </c>
      <c r="G1733">
        <v>300</v>
      </c>
      <c r="H1733" t="e">
        <f>VLOOKUP(A1733,'SV Child INS Apr'!$A:$H,1,0)</f>
        <v>#N/A</v>
      </c>
      <c r="I1733" t="e">
        <f>VLOOKUP(B1733,'SV Child INS Apr'!$D:$F,1,0)</f>
        <v>#N/A</v>
      </c>
      <c r="J1733" t="str">
        <f>VLOOKUP(A1733,'SV Child BLG Apr'!$A:$J,1,0)</f>
        <v>76255135</v>
      </c>
      <c r="L1733" t="e">
        <f>VLOOKUP(A1733,'TV Apr Prorated Billing Sites'!$A:$I,1,0)</f>
        <v>#N/A</v>
      </c>
      <c r="M1733" t="e">
        <f>VLOOKUP(A1733,'CDK asked to retain list'!$H$1:$J$24,1,0)</f>
        <v>#N/A</v>
      </c>
    </row>
    <row r="1734" spans="1:13">
      <c r="A1734" t="str">
        <f t="shared" si="29"/>
        <v>76255151</v>
      </c>
      <c r="B1734" t="s">
        <v>4557</v>
      </c>
      <c r="C1734" t="s">
        <v>4558</v>
      </c>
      <c r="D1734">
        <v>76255151</v>
      </c>
      <c r="E1734">
        <v>2600014</v>
      </c>
      <c r="F1734" t="s">
        <v>39</v>
      </c>
      <c r="G1734">
        <v>300</v>
      </c>
      <c r="H1734" t="str">
        <f>VLOOKUP(A1734,'SV Child INS Apr'!$A:$H,1,0)</f>
        <v>76255151</v>
      </c>
      <c r="L1734" t="e">
        <f>VLOOKUP(A1734,'TV Apr Prorated Billing Sites'!$A:$I,1,0)</f>
        <v>#N/A</v>
      </c>
    </row>
    <row r="1735" spans="1:13">
      <c r="A1735" t="str">
        <f t="shared" si="29"/>
        <v>76255194</v>
      </c>
      <c r="B1735" t="s">
        <v>4559</v>
      </c>
      <c r="C1735" t="s">
        <v>4560</v>
      </c>
      <c r="D1735">
        <v>76255194</v>
      </c>
      <c r="E1735">
        <v>3000316</v>
      </c>
      <c r="F1735" t="s">
        <v>39</v>
      </c>
      <c r="G1735">
        <v>300</v>
      </c>
      <c r="H1735" t="str">
        <f>VLOOKUP(A1735,'SV Child INS Apr'!$A:$H,1,0)</f>
        <v>76255194</v>
      </c>
      <c r="L1735" t="e">
        <f>VLOOKUP(A1735,'TV Apr Prorated Billing Sites'!$A:$I,1,0)</f>
        <v>#N/A</v>
      </c>
    </row>
    <row r="1736" spans="1:13">
      <c r="A1736" t="str">
        <f t="shared" si="29"/>
        <v>76255234</v>
      </c>
      <c r="B1736" t="s">
        <v>4561</v>
      </c>
      <c r="C1736" t="s">
        <v>4562</v>
      </c>
      <c r="D1736">
        <v>76255234</v>
      </c>
      <c r="E1736">
        <v>3000983</v>
      </c>
      <c r="F1736" t="s">
        <v>39</v>
      </c>
      <c r="G1736">
        <v>300</v>
      </c>
      <c r="H1736" t="str">
        <f>VLOOKUP(A1736,'SV Child INS Apr'!$A:$H,1,0)</f>
        <v>76255234</v>
      </c>
      <c r="L1736" t="e">
        <f>VLOOKUP(A1736,'TV Apr Prorated Billing Sites'!$A:$I,1,0)</f>
        <v>#N/A</v>
      </c>
    </row>
    <row r="1737" spans="1:13">
      <c r="A1737" t="str">
        <f t="shared" si="29"/>
        <v>76255281</v>
      </c>
      <c r="B1737" t="s">
        <v>4563</v>
      </c>
      <c r="C1737" t="s">
        <v>4564</v>
      </c>
      <c r="D1737">
        <v>76255281</v>
      </c>
      <c r="E1737">
        <v>3000254</v>
      </c>
      <c r="F1737" t="s">
        <v>39</v>
      </c>
      <c r="G1737">
        <v>300</v>
      </c>
      <c r="H1737" t="str">
        <f>VLOOKUP(A1737,'SV Child INS Apr'!$A:$H,1,0)</f>
        <v>76255281</v>
      </c>
      <c r="L1737" t="e">
        <f>VLOOKUP(A1737,'TV Apr Prorated Billing Sites'!$A:$I,1,0)</f>
        <v>#N/A</v>
      </c>
    </row>
    <row r="1738" spans="1:13">
      <c r="A1738" t="str">
        <f t="shared" si="29"/>
        <v>76255303</v>
      </c>
      <c r="B1738" t="s">
        <v>4565</v>
      </c>
      <c r="C1738" t="s">
        <v>4566</v>
      </c>
      <c r="D1738">
        <v>76255303</v>
      </c>
      <c r="E1738">
        <v>3000253</v>
      </c>
      <c r="F1738" t="s">
        <v>39</v>
      </c>
      <c r="G1738">
        <v>300</v>
      </c>
      <c r="H1738" t="str">
        <f>VLOOKUP(A1738,'SV Child INS Apr'!$A:$H,1,0)</f>
        <v>76255303</v>
      </c>
      <c r="L1738" t="e">
        <f>VLOOKUP(A1738,'TV Apr Prorated Billing Sites'!$A:$I,1,0)</f>
        <v>#N/A</v>
      </c>
    </row>
    <row r="1739" spans="1:13">
      <c r="A1739" t="str">
        <f t="shared" si="29"/>
        <v>76255384</v>
      </c>
      <c r="B1739" t="s">
        <v>4567</v>
      </c>
      <c r="C1739" t="s">
        <v>4568</v>
      </c>
      <c r="D1739">
        <v>76255384</v>
      </c>
      <c r="E1739">
        <v>3000819</v>
      </c>
      <c r="F1739" t="s">
        <v>39</v>
      </c>
      <c r="G1739">
        <v>300</v>
      </c>
      <c r="H1739" t="str">
        <f>VLOOKUP(A1739,'SV Child INS Apr'!$A:$H,1,0)</f>
        <v>76255384</v>
      </c>
      <c r="L1739" t="e">
        <f>VLOOKUP(A1739,'TV Apr Prorated Billing Sites'!$A:$I,1,0)</f>
        <v>#N/A</v>
      </c>
    </row>
    <row r="1740" spans="1:13">
      <c r="A1740" t="str">
        <f t="shared" si="29"/>
        <v>76255390</v>
      </c>
      <c r="B1740" t="s">
        <v>4569</v>
      </c>
      <c r="C1740" t="s">
        <v>4570</v>
      </c>
      <c r="D1740">
        <v>76255390</v>
      </c>
      <c r="E1740">
        <v>3000810</v>
      </c>
      <c r="F1740" t="s">
        <v>39</v>
      </c>
      <c r="G1740">
        <v>300</v>
      </c>
      <c r="H1740" t="str">
        <f>VLOOKUP(A1740,'SV Child INS Apr'!$A:$H,1,0)</f>
        <v>76255390</v>
      </c>
      <c r="L1740" t="e">
        <f>VLOOKUP(A1740,'TV Apr Prorated Billing Sites'!$A:$I,1,0)</f>
        <v>#N/A</v>
      </c>
    </row>
    <row r="1741" spans="1:13">
      <c r="A1741" t="str">
        <f t="shared" si="29"/>
        <v>76255648</v>
      </c>
      <c r="B1741" t="s">
        <v>4571</v>
      </c>
      <c r="C1741" t="s">
        <v>4572</v>
      </c>
      <c r="D1741">
        <v>76255648</v>
      </c>
      <c r="E1741">
        <v>3000808</v>
      </c>
      <c r="F1741" t="s">
        <v>39</v>
      </c>
      <c r="G1741">
        <v>300</v>
      </c>
      <c r="H1741" t="str">
        <f>VLOOKUP(A1741,'SV Child INS Apr'!$A:$H,1,0)</f>
        <v>76255648</v>
      </c>
      <c r="L1741" t="e">
        <f>VLOOKUP(A1741,'TV Apr Prorated Billing Sites'!$A:$I,1,0)</f>
        <v>#N/A</v>
      </c>
    </row>
    <row r="1742" spans="1:13">
      <c r="A1742" t="str">
        <f t="shared" si="29"/>
        <v>76255694</v>
      </c>
      <c r="B1742" t="s">
        <v>4573</v>
      </c>
      <c r="C1742" t="s">
        <v>4574</v>
      </c>
      <c r="D1742">
        <v>76255694</v>
      </c>
      <c r="E1742">
        <v>3000436</v>
      </c>
      <c r="F1742" t="s">
        <v>39</v>
      </c>
      <c r="G1742">
        <v>400</v>
      </c>
      <c r="H1742" t="str">
        <f>VLOOKUP(A1742,'SV Child INS Apr'!$A:$H,1,0)</f>
        <v>76255694</v>
      </c>
      <c r="L1742" t="e">
        <f>VLOOKUP(A1742,'TV Apr Prorated Billing Sites'!$A:$I,1,0)</f>
        <v>#N/A</v>
      </c>
    </row>
    <row r="1743" spans="1:13">
      <c r="A1743" t="str">
        <f t="shared" si="29"/>
        <v>76255877</v>
      </c>
      <c r="B1743" t="s">
        <v>4575</v>
      </c>
      <c r="C1743" t="s">
        <v>4576</v>
      </c>
      <c r="D1743">
        <v>76255877</v>
      </c>
      <c r="E1743">
        <v>3000391</v>
      </c>
      <c r="F1743" t="s">
        <v>39</v>
      </c>
      <c r="G1743">
        <v>300</v>
      </c>
      <c r="H1743" t="str">
        <f>VLOOKUP(A1743,'SV Child INS Apr'!$A:$H,1,0)</f>
        <v>76255877</v>
      </c>
      <c r="L1743" t="e">
        <f>VLOOKUP(A1743,'TV Apr Prorated Billing Sites'!$A:$I,1,0)</f>
        <v>#N/A</v>
      </c>
    </row>
    <row r="1744" spans="1:13">
      <c r="A1744" t="str">
        <f t="shared" si="29"/>
        <v>76255929</v>
      </c>
      <c r="B1744" t="s">
        <v>4577</v>
      </c>
      <c r="C1744" t="s">
        <v>4578</v>
      </c>
      <c r="D1744">
        <v>76255929</v>
      </c>
      <c r="E1744">
        <v>3000545</v>
      </c>
      <c r="F1744" t="s">
        <v>39</v>
      </c>
      <c r="G1744">
        <v>300</v>
      </c>
      <c r="H1744" t="str">
        <f>VLOOKUP(A1744,'SV Child INS Apr'!$A:$H,1,0)</f>
        <v>76255929</v>
      </c>
      <c r="L1744" t="e">
        <f>VLOOKUP(A1744,'TV Apr Prorated Billing Sites'!$A:$I,1,0)</f>
        <v>#N/A</v>
      </c>
    </row>
    <row r="1745" spans="1:13">
      <c r="A1745" t="str">
        <f t="shared" si="29"/>
        <v>76255953</v>
      </c>
      <c r="B1745" t="s">
        <v>4579</v>
      </c>
      <c r="C1745" t="s">
        <v>4580</v>
      </c>
      <c r="D1745">
        <v>76255953</v>
      </c>
      <c r="E1745">
        <v>3000130</v>
      </c>
      <c r="F1745" t="s">
        <v>39</v>
      </c>
      <c r="G1745">
        <v>300</v>
      </c>
      <c r="H1745" t="str">
        <f>VLOOKUP(A1745,'SV Child INS Apr'!$A:$H,1,0)</f>
        <v>76255953</v>
      </c>
      <c r="L1745" t="e">
        <f>VLOOKUP(A1745,'TV Apr Prorated Billing Sites'!$A:$I,1,0)</f>
        <v>#N/A</v>
      </c>
    </row>
    <row r="1746" spans="1:13">
      <c r="A1746" t="str">
        <f t="shared" si="29"/>
        <v>76256088</v>
      </c>
      <c r="B1746" t="s">
        <v>4581</v>
      </c>
      <c r="C1746" t="s">
        <v>4582</v>
      </c>
      <c r="D1746">
        <v>76256088</v>
      </c>
      <c r="E1746">
        <v>3000387</v>
      </c>
      <c r="F1746" t="s">
        <v>39</v>
      </c>
      <c r="G1746">
        <v>300</v>
      </c>
      <c r="H1746" t="str">
        <f>VLOOKUP(A1746,'SV Child INS Apr'!$A:$H,1,0)</f>
        <v>76256088</v>
      </c>
      <c r="L1746" t="e">
        <f>VLOOKUP(A1746,'TV Apr Prorated Billing Sites'!$A:$I,1,0)</f>
        <v>#N/A</v>
      </c>
    </row>
    <row r="1747" spans="1:13">
      <c r="A1747" t="str">
        <f t="shared" si="29"/>
        <v>76256315</v>
      </c>
      <c r="B1747" t="s">
        <v>4583</v>
      </c>
      <c r="C1747" t="s">
        <v>4584</v>
      </c>
      <c r="D1747">
        <v>76256315</v>
      </c>
      <c r="E1747">
        <v>3001972</v>
      </c>
      <c r="F1747" t="s">
        <v>39</v>
      </c>
      <c r="G1747">
        <v>300</v>
      </c>
      <c r="H1747" t="str">
        <f>VLOOKUP(A1747,'SV Child INS Apr'!$A:$H,1,0)</f>
        <v>76256315</v>
      </c>
      <c r="L1747" t="e">
        <f>VLOOKUP(A1747,'TV Apr Prorated Billing Sites'!$A:$I,1,0)</f>
        <v>#N/A</v>
      </c>
    </row>
    <row r="1748" spans="1:13">
      <c r="A1748" t="str">
        <f t="shared" si="29"/>
        <v>76256403</v>
      </c>
      <c r="B1748" t="s">
        <v>4585</v>
      </c>
      <c r="C1748" t="s">
        <v>4586</v>
      </c>
      <c r="D1748">
        <v>76256403</v>
      </c>
      <c r="E1748">
        <v>3000915</v>
      </c>
      <c r="F1748" t="s">
        <v>39</v>
      </c>
      <c r="G1748">
        <v>300</v>
      </c>
      <c r="H1748" t="str">
        <f>VLOOKUP(A1748,'SV Child INS Apr'!$A:$H,1,0)</f>
        <v>76256403</v>
      </c>
      <c r="L1748" t="e">
        <f>VLOOKUP(A1748,'TV Apr Prorated Billing Sites'!$A:$I,1,0)</f>
        <v>#N/A</v>
      </c>
    </row>
    <row r="1749" spans="1:13">
      <c r="A1749" t="str">
        <f t="shared" si="29"/>
        <v>76256562</v>
      </c>
      <c r="B1749" t="s">
        <v>291</v>
      </c>
      <c r="C1749" t="s">
        <v>292</v>
      </c>
      <c r="D1749">
        <v>76256562</v>
      </c>
      <c r="E1749">
        <v>3000496</v>
      </c>
      <c r="F1749" t="s">
        <v>39</v>
      </c>
      <c r="G1749">
        <v>300</v>
      </c>
      <c r="H1749" t="e">
        <f>VLOOKUP(A1749,'SV Child INS Apr'!$A:$H,1,0)</f>
        <v>#N/A</v>
      </c>
      <c r="I1749" t="e">
        <f>VLOOKUP(B1749,'SV Child INS Apr'!$D:$F,1,0)</f>
        <v>#N/A</v>
      </c>
      <c r="J1749" t="e">
        <f>VLOOKUP(A1749,'SV Child BLG Apr'!$A:$J,1,0)</f>
        <v>#N/A</v>
      </c>
      <c r="K1749" t="e">
        <f>VLOOKUP(B1749,'SV Child BLG Apr'!$D:$I,1,0)</f>
        <v>#N/A</v>
      </c>
      <c r="L1749" t="e">
        <f>VLOOKUP(A1749,'TV Apr Prorated Billing Sites'!$A:$I,1,0)</f>
        <v>#N/A</v>
      </c>
    </row>
    <row r="1750" spans="1:13">
      <c r="A1750" t="str">
        <f t="shared" si="29"/>
        <v>76256601</v>
      </c>
      <c r="B1750" t="s">
        <v>4587</v>
      </c>
      <c r="C1750" t="s">
        <v>4588</v>
      </c>
      <c r="D1750">
        <v>76256601</v>
      </c>
      <c r="E1750">
        <v>3001705</v>
      </c>
      <c r="F1750" t="s">
        <v>39</v>
      </c>
      <c r="G1750">
        <v>300</v>
      </c>
      <c r="H1750" t="str">
        <f>VLOOKUP(A1750,'SV Child INS Apr'!$A:$H,1,0)</f>
        <v>76256601</v>
      </c>
      <c r="L1750" t="e">
        <f>VLOOKUP(A1750,'TV Apr Prorated Billing Sites'!$A:$I,1,0)</f>
        <v>#N/A</v>
      </c>
    </row>
    <row r="1751" spans="1:13">
      <c r="A1751" t="str">
        <f t="shared" si="29"/>
        <v>76256661</v>
      </c>
      <c r="B1751" t="s">
        <v>4589</v>
      </c>
      <c r="C1751" t="s">
        <v>4590</v>
      </c>
      <c r="D1751">
        <v>76256661</v>
      </c>
      <c r="E1751">
        <v>2502478</v>
      </c>
      <c r="F1751" t="s">
        <v>39</v>
      </c>
      <c r="G1751">
        <v>300</v>
      </c>
      <c r="H1751" t="str">
        <f>VLOOKUP(A1751,'SV Child INS Apr'!$A:$H,1,0)</f>
        <v>76256661</v>
      </c>
      <c r="L1751" t="e">
        <f>VLOOKUP(A1751,'TV Apr Prorated Billing Sites'!$A:$I,1,0)</f>
        <v>#N/A</v>
      </c>
    </row>
    <row r="1752" spans="1:13">
      <c r="A1752" t="str">
        <f t="shared" si="29"/>
        <v>76256714</v>
      </c>
      <c r="B1752" t="s">
        <v>4591</v>
      </c>
      <c r="C1752" t="s">
        <v>4592</v>
      </c>
      <c r="D1752">
        <v>76256714</v>
      </c>
      <c r="E1752">
        <v>3001296</v>
      </c>
      <c r="F1752" t="s">
        <v>39</v>
      </c>
      <c r="G1752">
        <v>300</v>
      </c>
      <c r="H1752" t="str">
        <f>VLOOKUP(A1752,'SV Child INS Apr'!$A:$H,1,0)</f>
        <v>76256714</v>
      </c>
      <c r="L1752" t="e">
        <f>VLOOKUP(A1752,'TV Apr Prorated Billing Sites'!$A:$I,1,0)</f>
        <v>#N/A</v>
      </c>
    </row>
    <row r="1753" spans="1:13">
      <c r="A1753" t="str">
        <f t="shared" si="29"/>
        <v>76256754</v>
      </c>
      <c r="B1753" t="s">
        <v>4593</v>
      </c>
      <c r="C1753" t="s">
        <v>4594</v>
      </c>
      <c r="D1753">
        <v>76256754</v>
      </c>
      <c r="E1753">
        <v>2502493</v>
      </c>
      <c r="F1753" t="s">
        <v>39</v>
      </c>
      <c r="G1753">
        <v>300</v>
      </c>
      <c r="H1753" t="str">
        <f>VLOOKUP(A1753,'SV Child INS Apr'!$A:$H,1,0)</f>
        <v>76256754</v>
      </c>
      <c r="L1753" t="e">
        <f>VLOOKUP(A1753,'TV Apr Prorated Billing Sites'!$A:$I,1,0)</f>
        <v>#N/A</v>
      </c>
    </row>
    <row r="1754" spans="1:13">
      <c r="A1754" t="str">
        <f t="shared" si="29"/>
        <v>76256807</v>
      </c>
      <c r="B1754" t="s">
        <v>4595</v>
      </c>
      <c r="C1754" t="s">
        <v>4596</v>
      </c>
      <c r="D1754">
        <v>76256807</v>
      </c>
      <c r="E1754">
        <v>2001223</v>
      </c>
      <c r="F1754" t="s">
        <v>39</v>
      </c>
      <c r="G1754">
        <v>300</v>
      </c>
      <c r="H1754" t="str">
        <f>VLOOKUP(A1754,'SV Child INS Apr'!$A:$H,1,0)</f>
        <v>76256807</v>
      </c>
      <c r="L1754" t="e">
        <f>VLOOKUP(A1754,'TV Apr Prorated Billing Sites'!$A:$I,1,0)</f>
        <v>#N/A</v>
      </c>
    </row>
    <row r="1755" spans="1:13">
      <c r="A1755" t="str">
        <f t="shared" si="29"/>
        <v>76256834</v>
      </c>
      <c r="B1755" t="s">
        <v>4597</v>
      </c>
      <c r="C1755" t="s">
        <v>4598</v>
      </c>
      <c r="D1755">
        <v>76256834</v>
      </c>
      <c r="E1755">
        <v>3000486</v>
      </c>
      <c r="F1755" t="s">
        <v>39</v>
      </c>
      <c r="G1755">
        <v>300</v>
      </c>
      <c r="H1755" t="str">
        <f>VLOOKUP(A1755,'SV Child INS Apr'!$A:$H,1,0)</f>
        <v>76256834</v>
      </c>
      <c r="L1755" t="e">
        <f>VLOOKUP(A1755,'TV Apr Prorated Billing Sites'!$A:$I,1,0)</f>
        <v>#N/A</v>
      </c>
    </row>
    <row r="1756" spans="1:13">
      <c r="A1756" t="str">
        <f t="shared" si="29"/>
        <v>76256842</v>
      </c>
      <c r="B1756" t="s">
        <v>4599</v>
      </c>
      <c r="C1756" t="s">
        <v>4600</v>
      </c>
      <c r="D1756">
        <v>76256842</v>
      </c>
      <c r="E1756">
        <v>3000713</v>
      </c>
      <c r="F1756" t="s">
        <v>39</v>
      </c>
      <c r="G1756">
        <v>300</v>
      </c>
      <c r="H1756" t="str">
        <f>VLOOKUP(A1756,'SV Child INS Apr'!$A:$H,1,0)</f>
        <v>76256842</v>
      </c>
      <c r="L1756" t="e">
        <f>VLOOKUP(A1756,'TV Apr Prorated Billing Sites'!$A:$I,1,0)</f>
        <v>#N/A</v>
      </c>
    </row>
    <row r="1757" spans="1:13">
      <c r="A1757" t="str">
        <f t="shared" si="29"/>
        <v>76257011</v>
      </c>
      <c r="B1757" t="s">
        <v>4601</v>
      </c>
      <c r="C1757" t="s">
        <v>4602</v>
      </c>
      <c r="D1757">
        <v>76257011</v>
      </c>
      <c r="E1757">
        <v>3000863</v>
      </c>
      <c r="F1757" t="s">
        <v>39</v>
      </c>
      <c r="G1757">
        <v>300</v>
      </c>
      <c r="H1757" t="str">
        <f>VLOOKUP(A1757,'SV Child INS Apr'!$A:$H,1,0)</f>
        <v>76257011</v>
      </c>
      <c r="L1757" t="e">
        <f>VLOOKUP(A1757,'TV Apr Prorated Billing Sites'!$A:$I,1,0)</f>
        <v>#N/A</v>
      </c>
    </row>
    <row r="1758" spans="1:13">
      <c r="A1758" t="str">
        <f t="shared" si="29"/>
        <v>76257049</v>
      </c>
      <c r="B1758" t="s">
        <v>4603</v>
      </c>
      <c r="C1758" t="s">
        <v>4604</v>
      </c>
      <c r="D1758">
        <v>76257049</v>
      </c>
      <c r="E1758">
        <v>2002855</v>
      </c>
      <c r="F1758" t="s">
        <v>39</v>
      </c>
      <c r="G1758">
        <v>300</v>
      </c>
      <c r="H1758" t="str">
        <f>VLOOKUP(A1758,'SV Child INS Apr'!$A:$H,1,0)</f>
        <v>76257049</v>
      </c>
      <c r="L1758" t="str">
        <f>VLOOKUP(A1758,'TV Apr Prorated Billing Sites'!$A:$I,1,0)</f>
        <v>76257049</v>
      </c>
    </row>
    <row r="1759" spans="1:13">
      <c r="A1759" t="str">
        <f t="shared" si="29"/>
        <v>76257075</v>
      </c>
      <c r="B1759" t="s">
        <v>4605</v>
      </c>
      <c r="C1759" t="s">
        <v>4606</v>
      </c>
      <c r="D1759">
        <v>76257075</v>
      </c>
      <c r="E1759">
        <v>3000913</v>
      </c>
      <c r="F1759" t="s">
        <v>39</v>
      </c>
      <c r="G1759">
        <v>300</v>
      </c>
      <c r="H1759" t="str">
        <f>VLOOKUP(A1759,'SV Child INS Apr'!$A:$H,1,0)</f>
        <v>76257075</v>
      </c>
      <c r="L1759" t="e">
        <f>VLOOKUP(A1759,'TV Apr Prorated Billing Sites'!$A:$I,1,0)</f>
        <v>#N/A</v>
      </c>
    </row>
    <row r="1760" spans="1:13">
      <c r="A1760" t="str">
        <f t="shared" si="29"/>
        <v>76257108</v>
      </c>
      <c r="B1760" t="s">
        <v>718</v>
      </c>
      <c r="C1760" t="s">
        <v>719</v>
      </c>
      <c r="D1760">
        <v>76257108</v>
      </c>
      <c r="E1760">
        <v>3000642</v>
      </c>
      <c r="F1760" t="s">
        <v>39</v>
      </c>
      <c r="G1760">
        <v>300</v>
      </c>
      <c r="H1760" t="e">
        <f>VLOOKUP(A1760,'SV Child INS Apr'!$A:$H,1,0)</f>
        <v>#N/A</v>
      </c>
      <c r="I1760" t="e">
        <f>VLOOKUP(B1760,'SV Child INS Apr'!$D:$F,1,0)</f>
        <v>#N/A</v>
      </c>
      <c r="J1760" t="str">
        <f>VLOOKUP(A1760,'SV Child BLG Apr'!$A:$J,1,0)</f>
        <v>76257108</v>
      </c>
      <c r="L1760" t="str">
        <f>VLOOKUP(A1760,'TV Apr Prorated Billing Sites'!$A:$I,1,0)</f>
        <v>76257108</v>
      </c>
      <c r="M1760" t="e">
        <f>VLOOKUP(A1760,'CDK asked to retain list'!$H$1:$J$24,1,0)</f>
        <v>#N/A</v>
      </c>
    </row>
    <row r="1761" spans="1:13">
      <c r="A1761" t="str">
        <f t="shared" si="29"/>
        <v>76257159</v>
      </c>
      <c r="B1761" t="s">
        <v>294</v>
      </c>
      <c r="C1761" t="s">
        <v>295</v>
      </c>
      <c r="D1761">
        <v>76257159</v>
      </c>
      <c r="E1761">
        <v>8038</v>
      </c>
      <c r="F1761" t="s">
        <v>39</v>
      </c>
      <c r="G1761">
        <v>400</v>
      </c>
      <c r="H1761" t="e">
        <f>VLOOKUP(A1761,'SV Child INS Apr'!$A:$H,1,0)</f>
        <v>#N/A</v>
      </c>
      <c r="I1761" t="e">
        <f>VLOOKUP(B1761,'SV Child INS Apr'!$D:$F,1,0)</f>
        <v>#N/A</v>
      </c>
      <c r="J1761" t="e">
        <f>VLOOKUP(A1761,'SV Child BLG Apr'!$A:$J,1,0)</f>
        <v>#N/A</v>
      </c>
      <c r="K1761" t="e">
        <f>VLOOKUP(B1761,'SV Child BLG Apr'!$D:$I,1,0)</f>
        <v>#N/A</v>
      </c>
      <c r="L1761" t="e">
        <f>VLOOKUP(A1761,'TV Apr Prorated Billing Sites'!$A:$I,1,0)</f>
        <v>#N/A</v>
      </c>
    </row>
    <row r="1762" spans="1:13">
      <c r="A1762" t="str">
        <f t="shared" si="29"/>
        <v>76257216</v>
      </c>
      <c r="B1762" t="s">
        <v>4607</v>
      </c>
      <c r="C1762" t="s">
        <v>4608</v>
      </c>
      <c r="D1762">
        <v>76257216</v>
      </c>
      <c r="E1762">
        <v>3000822</v>
      </c>
      <c r="F1762" t="s">
        <v>39</v>
      </c>
      <c r="G1762">
        <v>300</v>
      </c>
      <c r="H1762" t="str">
        <f>VLOOKUP(A1762,'SV Child INS Apr'!$A:$H,1,0)</f>
        <v>76257216</v>
      </c>
      <c r="L1762" t="e">
        <f>VLOOKUP(A1762,'TV Apr Prorated Billing Sites'!$A:$I,1,0)</f>
        <v>#N/A</v>
      </c>
    </row>
    <row r="1763" spans="1:13">
      <c r="A1763" t="str">
        <f t="shared" si="29"/>
        <v>76257238</v>
      </c>
      <c r="B1763" t="s">
        <v>4609</v>
      </c>
      <c r="C1763" t="s">
        <v>4610</v>
      </c>
      <c r="D1763">
        <v>76257238</v>
      </c>
      <c r="E1763">
        <v>3000873</v>
      </c>
      <c r="F1763" t="s">
        <v>39</v>
      </c>
      <c r="G1763">
        <v>300</v>
      </c>
      <c r="H1763" t="str">
        <f>VLOOKUP(A1763,'SV Child INS Apr'!$A:$H,1,0)</f>
        <v>76257238</v>
      </c>
      <c r="L1763" t="e">
        <f>VLOOKUP(A1763,'TV Apr Prorated Billing Sites'!$A:$I,1,0)</f>
        <v>#N/A</v>
      </c>
    </row>
    <row r="1764" spans="1:13">
      <c r="A1764" t="str">
        <f t="shared" si="29"/>
        <v>76257241</v>
      </c>
      <c r="B1764" t="s">
        <v>4611</v>
      </c>
      <c r="C1764" t="s">
        <v>4612</v>
      </c>
      <c r="D1764">
        <v>76257241</v>
      </c>
      <c r="E1764">
        <v>3002040</v>
      </c>
      <c r="F1764" t="s">
        <v>39</v>
      </c>
      <c r="G1764">
        <v>300</v>
      </c>
      <c r="H1764" t="str">
        <f>VLOOKUP(A1764,'SV Child INS Apr'!$A:$H,1,0)</f>
        <v>76257241</v>
      </c>
      <c r="L1764" t="e">
        <f>VLOOKUP(A1764,'TV Apr Prorated Billing Sites'!$A:$I,1,0)</f>
        <v>#N/A</v>
      </c>
    </row>
    <row r="1765" spans="1:13">
      <c r="A1765" t="str">
        <f t="shared" si="29"/>
        <v>76257366</v>
      </c>
      <c r="B1765" t="s">
        <v>721</v>
      </c>
      <c r="C1765" t="s">
        <v>722</v>
      </c>
      <c r="D1765">
        <v>76257366</v>
      </c>
      <c r="E1765">
        <v>2001341</v>
      </c>
      <c r="F1765" t="s">
        <v>39</v>
      </c>
      <c r="G1765">
        <v>300</v>
      </c>
      <c r="H1765" t="e">
        <f>VLOOKUP(A1765,'SV Child INS Apr'!$A:$H,1,0)</f>
        <v>#N/A</v>
      </c>
      <c r="I1765" t="e">
        <f>VLOOKUP(B1765,'SV Child INS Apr'!$D:$F,1,0)</f>
        <v>#N/A</v>
      </c>
      <c r="J1765" t="str">
        <f>VLOOKUP(A1765,'SV Child BLG Apr'!$A:$J,1,0)</f>
        <v>76257366</v>
      </c>
      <c r="L1765" t="e">
        <f>VLOOKUP(A1765,'TV Apr Prorated Billing Sites'!$A:$I,1,0)</f>
        <v>#N/A</v>
      </c>
      <c r="M1765" t="e">
        <f>VLOOKUP(A1765,'CDK asked to retain list'!$H$1:$J$24,1,0)</f>
        <v>#N/A</v>
      </c>
    </row>
    <row r="1766" spans="1:13">
      <c r="A1766" t="str">
        <f t="shared" si="29"/>
        <v>76257430</v>
      </c>
      <c r="B1766" t="s">
        <v>4613</v>
      </c>
      <c r="C1766" t="s">
        <v>4614</v>
      </c>
      <c r="D1766">
        <v>76257430</v>
      </c>
      <c r="E1766">
        <v>3000905</v>
      </c>
      <c r="F1766" t="s">
        <v>39</v>
      </c>
      <c r="G1766">
        <v>300</v>
      </c>
      <c r="H1766" t="str">
        <f>VLOOKUP(A1766,'SV Child INS Apr'!$A:$H,1,0)</f>
        <v>76257430</v>
      </c>
      <c r="L1766" t="e">
        <f>VLOOKUP(A1766,'TV Apr Prorated Billing Sites'!$A:$I,1,0)</f>
        <v>#N/A</v>
      </c>
    </row>
    <row r="1767" spans="1:13">
      <c r="A1767" t="str">
        <f t="shared" si="29"/>
        <v>76257461</v>
      </c>
      <c r="B1767" t="s">
        <v>4615</v>
      </c>
      <c r="C1767" t="s">
        <v>4616</v>
      </c>
      <c r="D1767">
        <v>76257461</v>
      </c>
      <c r="E1767">
        <v>3000867</v>
      </c>
      <c r="F1767" t="s">
        <v>39</v>
      </c>
      <c r="G1767">
        <v>300</v>
      </c>
      <c r="H1767" t="str">
        <f>VLOOKUP(A1767,'SV Child INS Apr'!$A:$H,1,0)</f>
        <v>76257461</v>
      </c>
      <c r="L1767" t="e">
        <f>VLOOKUP(A1767,'TV Apr Prorated Billing Sites'!$A:$I,1,0)</f>
        <v>#N/A</v>
      </c>
    </row>
    <row r="1768" spans="1:13">
      <c r="A1768" t="str">
        <f t="shared" si="29"/>
        <v>76257496</v>
      </c>
      <c r="B1768" t="s">
        <v>4617</v>
      </c>
      <c r="C1768" t="s">
        <v>4618</v>
      </c>
      <c r="D1768">
        <v>76257496</v>
      </c>
      <c r="E1768">
        <v>3001686</v>
      </c>
      <c r="F1768" t="s">
        <v>39</v>
      </c>
      <c r="G1768">
        <v>300</v>
      </c>
      <c r="H1768" t="str">
        <f>VLOOKUP(A1768,'SV Child INS Apr'!$A:$H,1,0)</f>
        <v>76257496</v>
      </c>
      <c r="L1768" t="e">
        <f>VLOOKUP(A1768,'TV Apr Prorated Billing Sites'!$A:$I,1,0)</f>
        <v>#N/A</v>
      </c>
    </row>
    <row r="1769" spans="1:13">
      <c r="A1769" t="str">
        <f t="shared" ref="A1769:A1788" si="30">TRIM(D1769)</f>
        <v>76257564</v>
      </c>
      <c r="B1769" t="s">
        <v>4619</v>
      </c>
      <c r="C1769" t="s">
        <v>4620</v>
      </c>
      <c r="D1769">
        <v>76257564</v>
      </c>
      <c r="E1769">
        <v>2502004</v>
      </c>
      <c r="F1769" t="s">
        <v>39</v>
      </c>
      <c r="G1769">
        <v>300</v>
      </c>
      <c r="H1769" t="str">
        <f>VLOOKUP(A1769,'SV Child INS Apr'!$A:$H,1,0)</f>
        <v>76257564</v>
      </c>
      <c r="L1769" t="e">
        <f>VLOOKUP(A1769,'TV Apr Prorated Billing Sites'!$A:$I,1,0)</f>
        <v>#N/A</v>
      </c>
    </row>
    <row r="1770" spans="1:13">
      <c r="A1770" t="str">
        <f t="shared" si="30"/>
        <v>76257603</v>
      </c>
      <c r="B1770" t="s">
        <v>4621</v>
      </c>
      <c r="C1770" t="s">
        <v>4622</v>
      </c>
      <c r="D1770">
        <v>76257603</v>
      </c>
      <c r="E1770">
        <v>3002129</v>
      </c>
      <c r="F1770" t="s">
        <v>39</v>
      </c>
      <c r="G1770">
        <v>300</v>
      </c>
      <c r="H1770" t="str">
        <f>VLOOKUP(A1770,'SV Child INS Apr'!$A:$H,1,0)</f>
        <v>76257603</v>
      </c>
      <c r="L1770" t="e">
        <f>VLOOKUP(A1770,'TV Apr Prorated Billing Sites'!$A:$I,1,0)</f>
        <v>#N/A</v>
      </c>
    </row>
    <row r="1771" spans="1:13">
      <c r="A1771" t="str">
        <f t="shared" si="30"/>
        <v>76257614</v>
      </c>
      <c r="B1771" t="s">
        <v>4623</v>
      </c>
      <c r="C1771" t="s">
        <v>4624</v>
      </c>
      <c r="D1771">
        <v>76257614</v>
      </c>
      <c r="E1771">
        <v>3000968</v>
      </c>
      <c r="F1771" t="s">
        <v>39</v>
      </c>
      <c r="G1771">
        <v>300</v>
      </c>
      <c r="H1771" t="str">
        <f>VLOOKUP(A1771,'SV Child INS Apr'!$A:$H,1,0)</f>
        <v>76257614</v>
      </c>
      <c r="L1771" t="e">
        <f>VLOOKUP(A1771,'TV Apr Prorated Billing Sites'!$A:$I,1,0)</f>
        <v>#N/A</v>
      </c>
    </row>
    <row r="1772" spans="1:13">
      <c r="A1772" t="str">
        <f t="shared" si="30"/>
        <v>76257640</v>
      </c>
      <c r="B1772" t="s">
        <v>4625</v>
      </c>
      <c r="C1772" t="s">
        <v>4626</v>
      </c>
      <c r="D1772">
        <v>76257640</v>
      </c>
      <c r="E1772">
        <v>3001780</v>
      </c>
      <c r="F1772" t="s">
        <v>39</v>
      </c>
      <c r="G1772">
        <v>300</v>
      </c>
      <c r="H1772" t="str">
        <f>VLOOKUP(A1772,'SV Child INS Apr'!$A:$H,1,0)</f>
        <v>76257640</v>
      </c>
      <c r="L1772" t="e">
        <f>VLOOKUP(A1772,'TV Apr Prorated Billing Sites'!$A:$I,1,0)</f>
        <v>#N/A</v>
      </c>
    </row>
    <row r="1773" spans="1:13">
      <c r="A1773" t="str">
        <f t="shared" si="30"/>
        <v>76257826</v>
      </c>
      <c r="B1773" t="s">
        <v>724</v>
      </c>
      <c r="C1773" t="s">
        <v>725</v>
      </c>
      <c r="D1773">
        <v>76257826</v>
      </c>
      <c r="E1773">
        <v>3002020</v>
      </c>
      <c r="F1773" t="s">
        <v>39</v>
      </c>
      <c r="G1773">
        <v>300</v>
      </c>
      <c r="H1773" t="e">
        <f>VLOOKUP(A1773,'SV Child INS Apr'!$A:$H,1,0)</f>
        <v>#N/A</v>
      </c>
      <c r="I1773" t="e">
        <f>VLOOKUP(B1773,'SV Child INS Apr'!$D:$F,1,0)</f>
        <v>#N/A</v>
      </c>
      <c r="J1773" t="str">
        <f>VLOOKUP(A1773,'SV Child BLG Apr'!$A:$J,1,0)</f>
        <v>76257826</v>
      </c>
      <c r="L1773" t="e">
        <f>VLOOKUP(A1773,'TV Apr Prorated Billing Sites'!$A:$I,1,0)</f>
        <v>#N/A</v>
      </c>
      <c r="M1773" t="e">
        <f>VLOOKUP(A1773,'CDK asked to retain list'!$H$1:$J$24,1,0)</f>
        <v>#N/A</v>
      </c>
    </row>
    <row r="1774" spans="1:13">
      <c r="A1774" t="str">
        <f t="shared" si="30"/>
        <v>76258093</v>
      </c>
      <c r="B1774" t="s">
        <v>297</v>
      </c>
      <c r="C1774" t="s">
        <v>298</v>
      </c>
      <c r="D1774">
        <v>76258093</v>
      </c>
      <c r="E1774">
        <v>3000981</v>
      </c>
      <c r="F1774" t="s">
        <v>39</v>
      </c>
      <c r="G1774">
        <v>300</v>
      </c>
      <c r="H1774" t="e">
        <f>VLOOKUP(A1774,'SV Child INS Apr'!$A:$H,1,0)</f>
        <v>#N/A</v>
      </c>
      <c r="I1774" t="e">
        <f>VLOOKUP(B1774,'SV Child INS Apr'!$D:$F,1,0)</f>
        <v>#N/A</v>
      </c>
      <c r="J1774" t="e">
        <f>VLOOKUP(A1774,'SV Child BLG Apr'!$A:$J,1,0)</f>
        <v>#N/A</v>
      </c>
      <c r="K1774" t="e">
        <f>VLOOKUP(B1774,'SV Child BLG Apr'!$D:$I,1,0)</f>
        <v>#N/A</v>
      </c>
      <c r="L1774" t="e">
        <f>VLOOKUP(A1774,'TV Apr Prorated Billing Sites'!$A:$I,1,0)</f>
        <v>#N/A</v>
      </c>
    </row>
    <row r="1775" spans="1:13">
      <c r="A1775" t="str">
        <f t="shared" si="30"/>
        <v>76258179</v>
      </c>
      <c r="B1775" t="s">
        <v>4627</v>
      </c>
      <c r="C1775" t="s">
        <v>4628</v>
      </c>
      <c r="D1775">
        <v>76258179</v>
      </c>
      <c r="E1775">
        <v>3001300</v>
      </c>
      <c r="F1775" t="s">
        <v>39</v>
      </c>
      <c r="G1775">
        <v>300</v>
      </c>
      <c r="H1775" t="str">
        <f>VLOOKUP(A1775,'SV Child INS Apr'!$A:$H,1,0)</f>
        <v>76258179</v>
      </c>
      <c r="L1775" t="e">
        <f>VLOOKUP(A1775,'TV Apr Prorated Billing Sites'!$A:$I,1,0)</f>
        <v>#N/A</v>
      </c>
    </row>
    <row r="1776" spans="1:13">
      <c r="A1776" t="str">
        <f t="shared" si="30"/>
        <v>76258275</v>
      </c>
      <c r="B1776" t="s">
        <v>4629</v>
      </c>
      <c r="C1776" t="s">
        <v>4630</v>
      </c>
      <c r="D1776">
        <v>76258275</v>
      </c>
      <c r="E1776">
        <v>3002462</v>
      </c>
      <c r="F1776" t="s">
        <v>39</v>
      </c>
      <c r="G1776">
        <v>300</v>
      </c>
      <c r="H1776" t="str">
        <f>VLOOKUP(A1776,'SV Child INS Apr'!$A:$H,1,0)</f>
        <v>76258275</v>
      </c>
      <c r="L1776" t="e">
        <f>VLOOKUP(A1776,'TV Apr Prorated Billing Sites'!$A:$I,1,0)</f>
        <v>#N/A</v>
      </c>
    </row>
    <row r="1777" spans="1:13">
      <c r="A1777" t="str">
        <f t="shared" si="30"/>
        <v>76258379</v>
      </c>
      <c r="B1777" t="s">
        <v>4631</v>
      </c>
      <c r="C1777" t="s">
        <v>4632</v>
      </c>
      <c r="D1777">
        <v>76258379</v>
      </c>
      <c r="E1777">
        <v>2501178</v>
      </c>
      <c r="F1777" t="s">
        <v>39</v>
      </c>
      <c r="G1777">
        <v>300</v>
      </c>
      <c r="H1777" t="str">
        <f>VLOOKUP(A1777,'SV Child INS Apr'!$A:$H,1,0)</f>
        <v>76258379</v>
      </c>
      <c r="L1777" t="e">
        <f>VLOOKUP(A1777,'TV Apr Prorated Billing Sites'!$A:$I,1,0)</f>
        <v>#N/A</v>
      </c>
    </row>
    <row r="1778" spans="1:13">
      <c r="A1778" t="str">
        <f t="shared" si="30"/>
        <v>76258429</v>
      </c>
      <c r="B1778" t="s">
        <v>4633</v>
      </c>
      <c r="C1778" t="s">
        <v>4634</v>
      </c>
      <c r="D1778">
        <v>76258429</v>
      </c>
      <c r="E1778">
        <v>0</v>
      </c>
      <c r="F1778" t="s">
        <v>39</v>
      </c>
      <c r="G1778">
        <v>300</v>
      </c>
      <c r="H1778" t="str">
        <f>VLOOKUP(A1778,'SV Child INS Apr'!$A:$H,1,0)</f>
        <v>76258429</v>
      </c>
      <c r="L1778" t="e">
        <f>VLOOKUP(A1778,'TV Apr Prorated Billing Sites'!$A:$I,1,0)</f>
        <v>#N/A</v>
      </c>
    </row>
    <row r="1779" spans="1:13">
      <c r="A1779" t="str">
        <f t="shared" si="30"/>
        <v>76258460</v>
      </c>
      <c r="B1779" t="s">
        <v>4635</v>
      </c>
      <c r="C1779" t="s">
        <v>4636</v>
      </c>
      <c r="D1779">
        <v>76258460</v>
      </c>
      <c r="E1779">
        <v>3002496</v>
      </c>
      <c r="F1779" t="s">
        <v>39</v>
      </c>
      <c r="G1779">
        <v>300</v>
      </c>
      <c r="H1779" t="str">
        <f>VLOOKUP(A1779,'SV Child INS Apr'!$A:$H,1,0)</f>
        <v>76258460</v>
      </c>
      <c r="L1779" t="e">
        <f>VLOOKUP(A1779,'TV Apr Prorated Billing Sites'!$A:$I,1,0)</f>
        <v>#N/A</v>
      </c>
    </row>
    <row r="1780" spans="1:13">
      <c r="A1780" t="str">
        <f t="shared" si="30"/>
        <v>76258908</v>
      </c>
      <c r="B1780" t="s">
        <v>4637</v>
      </c>
      <c r="C1780" t="s">
        <v>4638</v>
      </c>
      <c r="D1780">
        <v>76258908</v>
      </c>
      <c r="E1780">
        <v>3002355</v>
      </c>
      <c r="F1780" t="s">
        <v>39</v>
      </c>
      <c r="G1780">
        <v>300</v>
      </c>
      <c r="H1780" t="str">
        <f>VLOOKUP(A1780,'SV Child INS Apr'!$A:$H,1,0)</f>
        <v>76258908</v>
      </c>
      <c r="L1780" t="e">
        <f>VLOOKUP(A1780,'TV Apr Prorated Billing Sites'!$A:$I,1,0)</f>
        <v>#N/A</v>
      </c>
    </row>
    <row r="1781" spans="1:13">
      <c r="A1781" t="str">
        <f t="shared" si="30"/>
        <v>76258911</v>
      </c>
      <c r="B1781" t="s">
        <v>4639</v>
      </c>
      <c r="C1781" t="s">
        <v>4640</v>
      </c>
      <c r="D1781">
        <v>76258911</v>
      </c>
      <c r="E1781">
        <v>3002379</v>
      </c>
      <c r="F1781" t="s">
        <v>39</v>
      </c>
      <c r="G1781">
        <v>300</v>
      </c>
      <c r="H1781" t="str">
        <f>VLOOKUP(A1781,'SV Child INS Apr'!$A:$H,1,0)</f>
        <v>76258911</v>
      </c>
      <c r="L1781" t="e">
        <f>VLOOKUP(A1781,'TV Apr Prorated Billing Sites'!$A:$I,1,0)</f>
        <v>#N/A</v>
      </c>
    </row>
    <row r="1782" spans="1:13">
      <c r="A1782" t="str">
        <f t="shared" si="30"/>
        <v>76259155</v>
      </c>
      <c r="B1782" t="s">
        <v>4641</v>
      </c>
      <c r="C1782" t="s">
        <v>4642</v>
      </c>
      <c r="D1782">
        <v>76259155</v>
      </c>
      <c r="E1782">
        <v>3002032</v>
      </c>
      <c r="F1782" t="s">
        <v>39</v>
      </c>
      <c r="G1782">
        <v>300</v>
      </c>
      <c r="H1782" t="str">
        <f>VLOOKUP(A1782,'SV Child INS Apr'!$A:$H,1,0)</f>
        <v>76259155</v>
      </c>
      <c r="L1782" t="e">
        <f>VLOOKUP(A1782,'TV Apr Prorated Billing Sites'!$A:$I,1,0)</f>
        <v>#N/A</v>
      </c>
    </row>
    <row r="1783" spans="1:13">
      <c r="A1783" t="str">
        <f t="shared" si="30"/>
        <v>76259156</v>
      </c>
      <c r="B1783" t="s">
        <v>4643</v>
      </c>
      <c r="C1783" t="s">
        <v>4644</v>
      </c>
      <c r="D1783">
        <v>76259156</v>
      </c>
      <c r="E1783">
        <v>3002007</v>
      </c>
      <c r="F1783" t="s">
        <v>39</v>
      </c>
      <c r="G1783">
        <v>300</v>
      </c>
      <c r="H1783" t="str">
        <f>VLOOKUP(A1783,'SV Child INS Apr'!$A:$H,1,0)</f>
        <v>76259156</v>
      </c>
      <c r="L1783" t="e">
        <f>VLOOKUP(A1783,'TV Apr Prorated Billing Sites'!$A:$I,1,0)</f>
        <v>#N/A</v>
      </c>
    </row>
    <row r="1784" spans="1:13">
      <c r="A1784" t="str">
        <f t="shared" si="30"/>
        <v>76259165</v>
      </c>
      <c r="B1784" t="s">
        <v>4645</v>
      </c>
      <c r="C1784" t="s">
        <v>4646</v>
      </c>
      <c r="D1784">
        <v>76259165</v>
      </c>
      <c r="E1784">
        <v>3002018</v>
      </c>
      <c r="F1784" t="s">
        <v>39</v>
      </c>
      <c r="G1784">
        <v>300</v>
      </c>
      <c r="H1784" t="str">
        <f>VLOOKUP(A1784,'SV Child INS Apr'!$A:$H,1,0)</f>
        <v>76259165</v>
      </c>
      <c r="L1784" t="e">
        <f>VLOOKUP(A1784,'TV Apr Prorated Billing Sites'!$A:$I,1,0)</f>
        <v>#N/A</v>
      </c>
    </row>
    <row r="1785" spans="1:13">
      <c r="A1785" t="str">
        <f t="shared" si="30"/>
        <v>76259166</v>
      </c>
      <c r="B1785" t="s">
        <v>4647</v>
      </c>
      <c r="C1785" t="s">
        <v>4648</v>
      </c>
      <c r="D1785">
        <v>76259166</v>
      </c>
      <c r="E1785">
        <v>3002089</v>
      </c>
      <c r="F1785" t="s">
        <v>39</v>
      </c>
      <c r="G1785">
        <v>400</v>
      </c>
      <c r="H1785" t="str">
        <f>VLOOKUP(A1785,'SV Child INS Apr'!$A:$H,1,0)</f>
        <v>76259166</v>
      </c>
      <c r="L1785" t="e">
        <f>VLOOKUP(A1785,'TV Apr Prorated Billing Sites'!$A:$I,1,0)</f>
        <v>#N/A</v>
      </c>
    </row>
    <row r="1786" spans="1:13">
      <c r="A1786" t="str">
        <f t="shared" si="30"/>
        <v>76259305</v>
      </c>
      <c r="B1786" t="s">
        <v>4649</v>
      </c>
      <c r="C1786" t="s">
        <v>4650</v>
      </c>
      <c r="D1786">
        <v>76259305</v>
      </c>
      <c r="E1786">
        <v>3002346</v>
      </c>
      <c r="F1786" t="s">
        <v>39</v>
      </c>
      <c r="G1786">
        <v>300</v>
      </c>
      <c r="H1786" t="str">
        <f>VLOOKUP(A1786,'SV Child INS Apr'!$A:$H,1,0)</f>
        <v>76259305</v>
      </c>
      <c r="L1786" t="e">
        <f>VLOOKUP(A1786,'TV Apr Prorated Billing Sites'!$A:$I,1,0)</f>
        <v>#N/A</v>
      </c>
    </row>
    <row r="1787" spans="1:13">
      <c r="A1787" t="str">
        <f t="shared" si="30"/>
        <v>76259370</v>
      </c>
      <c r="B1787" t="s">
        <v>4651</v>
      </c>
      <c r="C1787" t="s">
        <v>4652</v>
      </c>
      <c r="D1787">
        <v>76259370</v>
      </c>
      <c r="E1787">
        <v>3002017</v>
      </c>
      <c r="F1787" t="s">
        <v>39</v>
      </c>
      <c r="G1787">
        <v>300</v>
      </c>
      <c r="H1787" t="str">
        <f>VLOOKUP(A1787,'SV Child INS Apr'!$A:$H,1,0)</f>
        <v>76259370</v>
      </c>
      <c r="L1787" t="e">
        <f>VLOOKUP(A1787,'TV Apr Prorated Billing Sites'!$A:$I,1,0)</f>
        <v>#N/A</v>
      </c>
    </row>
    <row r="1788" spans="1:13">
      <c r="A1788" t="str">
        <f t="shared" si="30"/>
        <v>97000001</v>
      </c>
      <c r="B1788" t="s">
        <v>727</v>
      </c>
      <c r="C1788" t="s">
        <v>728</v>
      </c>
      <c r="D1788">
        <v>97000001</v>
      </c>
      <c r="E1788">
        <v>2500664</v>
      </c>
      <c r="F1788" t="s">
        <v>39</v>
      </c>
      <c r="G1788">
        <v>300</v>
      </c>
      <c r="H1788" t="e">
        <f>VLOOKUP(A1788,'SV Child INS Apr'!$A:$H,1,0)</f>
        <v>#N/A</v>
      </c>
      <c r="I1788" t="e">
        <f>VLOOKUP(B1788,'SV Child INS Apr'!$D:$F,1,0)</f>
        <v>#N/A</v>
      </c>
      <c r="J1788" t="str">
        <f>VLOOKUP(A1788,'SV Child BLG Apr'!$A:$J,1,0)</f>
        <v>97000001</v>
      </c>
      <c r="L1788" t="str">
        <f>VLOOKUP(A1788,'TV Apr Prorated Billing Sites'!$A:$I,1,0)</f>
        <v>97000001</v>
      </c>
      <c r="M1788" t="e">
        <f>VLOOKUP(A1788,'CDK asked to retain list'!$H$1:$J$24,1,0)</f>
        <v>#N/A</v>
      </c>
    </row>
  </sheetData>
  <autoFilter ref="A1:M1788" xr:uid="{DBD24A11-E9DC-42F3-96F2-3BE73E8831B1}"/>
  <sortState xmlns:xlrd2="http://schemas.microsoft.com/office/spreadsheetml/2017/richdata2" ref="A2:L1788">
    <sortCondition ref="A2:A1788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5BA84-3E21-4B7E-9ABC-A026928E3A61}">
  <sheetPr filterMode="1">
    <tabColor rgb="FF92D050"/>
  </sheetPr>
  <dimension ref="A1:K70"/>
  <sheetViews>
    <sheetView workbookViewId="0">
      <selection activeCell="B9" sqref="B9"/>
    </sheetView>
  </sheetViews>
  <sheetFormatPr defaultRowHeight="15"/>
  <cols>
    <col min="2" max="2" width="53.7109375" bestFit="1" customWidth="1"/>
    <col min="3" max="3" width="12.28515625" bestFit="1" customWidth="1"/>
    <col min="4" max="4" width="11.28515625" bestFit="1" customWidth="1"/>
    <col min="5" max="5" width="23" bestFit="1" customWidth="1"/>
    <col min="6" max="6" width="12.7109375" bestFit="1" customWidth="1"/>
    <col min="7" max="7" width="25" bestFit="1" customWidth="1"/>
    <col min="8" max="8" width="24.140625" bestFit="1" customWidth="1"/>
    <col min="9" max="10" width="24.42578125" bestFit="1" customWidth="1"/>
  </cols>
  <sheetData>
    <row r="1" spans="1:11">
      <c r="A1" t="s">
        <v>22</v>
      </c>
      <c r="B1" t="s">
        <v>23</v>
      </c>
      <c r="C1" t="s">
        <v>25</v>
      </c>
      <c r="D1" t="s">
        <v>26</v>
      </c>
      <c r="E1" t="s">
        <v>27</v>
      </c>
      <c r="F1" t="s">
        <v>376</v>
      </c>
      <c r="G1" t="s">
        <v>1495</v>
      </c>
      <c r="H1" t="s">
        <v>1496</v>
      </c>
      <c r="I1" t="s">
        <v>1497</v>
      </c>
      <c r="J1" t="s">
        <v>1498</v>
      </c>
      <c r="K1" s="14" t="s">
        <v>1500</v>
      </c>
    </row>
    <row r="2" spans="1:11">
      <c r="A2" t="str">
        <f>TRIM("0"&amp;C2)</f>
        <v>01012201</v>
      </c>
      <c r="B2" t="s">
        <v>379</v>
      </c>
      <c r="C2">
        <v>1012201</v>
      </c>
      <c r="D2">
        <v>3001502</v>
      </c>
      <c r="E2" t="s">
        <v>39</v>
      </c>
      <c r="F2">
        <v>40</v>
      </c>
      <c r="G2" t="e">
        <f>VLOOKUP(A2,'SV Child INS Apr'!$A:$J,1,0)</f>
        <v>#N/A</v>
      </c>
      <c r="H2" t="e">
        <f>VLOOKUP(B2,'SV Child INS Apr'!$D:$J,1,0)</f>
        <v>#N/A</v>
      </c>
      <c r="I2" t="str">
        <f>VLOOKUP(A2,'SV Child BLG Apr'!A:J,1,0)</f>
        <v>01012201</v>
      </c>
      <c r="K2" t="e">
        <f>VLOOKUP(A2,'CDK asked to retain list'!H2:$K$25,1,0)</f>
        <v>#N/A</v>
      </c>
    </row>
    <row r="3" spans="1:11">
      <c r="A3" t="str">
        <f t="shared" ref="A3:A5" si="0">TRIM("0"&amp;C3)</f>
        <v>01012202</v>
      </c>
      <c r="B3" t="s">
        <v>382</v>
      </c>
      <c r="C3">
        <v>1012202</v>
      </c>
      <c r="D3">
        <v>3001510</v>
      </c>
      <c r="E3" t="s">
        <v>39</v>
      </c>
      <c r="F3">
        <v>100</v>
      </c>
      <c r="G3" t="e">
        <f>VLOOKUP(A3,'SV Child INS Apr'!$A:$J,1,0)</f>
        <v>#N/A</v>
      </c>
      <c r="H3" t="e">
        <f>VLOOKUP(B3,'SV Child INS Apr'!$D:$J,1,0)</f>
        <v>#N/A</v>
      </c>
      <c r="I3" t="str">
        <f>VLOOKUP(A3,'SV Child BLG Apr'!A:J,1,0)</f>
        <v>01012202</v>
      </c>
      <c r="K3" t="e">
        <f>VLOOKUP(A3,'CDK asked to retain list'!H3:$K$25,1,0)</f>
        <v>#N/A</v>
      </c>
    </row>
    <row r="4" spans="1:11">
      <c r="A4" t="str">
        <f t="shared" si="0"/>
        <v>01326145</v>
      </c>
      <c r="B4" t="s">
        <v>397</v>
      </c>
      <c r="C4">
        <v>1326145</v>
      </c>
      <c r="D4">
        <v>2500576</v>
      </c>
      <c r="E4" t="s">
        <v>39</v>
      </c>
      <c r="F4">
        <v>290</v>
      </c>
      <c r="G4" t="e">
        <f>VLOOKUP(A4,'SV Child INS Apr'!$A:$J,1,0)</f>
        <v>#N/A</v>
      </c>
      <c r="H4" t="e">
        <f>VLOOKUP(B4,'SV Child INS Apr'!$D:$J,1,0)</f>
        <v>#N/A</v>
      </c>
      <c r="I4" t="str">
        <f>VLOOKUP(A4,'SV Child BLG Apr'!A:J,1,0)</f>
        <v>01326145</v>
      </c>
      <c r="K4" t="e">
        <f>VLOOKUP(A4,'CDK asked to retain list'!H4:$K$25,1,0)</f>
        <v>#N/A</v>
      </c>
    </row>
    <row r="5" spans="1:11">
      <c r="A5" t="str">
        <f t="shared" si="0"/>
        <v>09025902</v>
      </c>
      <c r="B5" t="s">
        <v>403</v>
      </c>
      <c r="C5">
        <v>9025902</v>
      </c>
      <c r="D5">
        <v>2002697</v>
      </c>
      <c r="E5" t="s">
        <v>39</v>
      </c>
      <c r="F5">
        <v>160</v>
      </c>
      <c r="G5" t="e">
        <f>VLOOKUP(A5,'SV Child INS Apr'!$A:$J,1,0)</f>
        <v>#N/A</v>
      </c>
      <c r="H5" t="e">
        <f>VLOOKUP(B5,'SV Child INS Apr'!$D:$J,1,0)</f>
        <v>#N/A</v>
      </c>
      <c r="I5" t="str">
        <f>VLOOKUP(A5,'SV Child BLG Apr'!A:J,1,0)</f>
        <v>09025902</v>
      </c>
      <c r="K5" t="e">
        <f>VLOOKUP(A5,'CDK asked to retain list'!H5:$K$25,1,0)</f>
        <v>#N/A</v>
      </c>
    </row>
    <row r="6" spans="1:11">
      <c r="A6" t="str">
        <f t="shared" ref="A6:A37" si="1">TRIM(C6)</f>
        <v>13498058</v>
      </c>
      <c r="B6" t="s">
        <v>406</v>
      </c>
      <c r="C6">
        <v>13498058</v>
      </c>
      <c r="D6">
        <v>3365</v>
      </c>
      <c r="E6" t="s">
        <v>39</v>
      </c>
      <c r="F6">
        <v>210</v>
      </c>
      <c r="G6" t="e">
        <f>VLOOKUP(A6,'SV Child INS Apr'!$A:$J,1,0)</f>
        <v>#N/A</v>
      </c>
      <c r="H6" t="e">
        <f>VLOOKUP(B6,'SV Child INS Apr'!$D:$J,1,0)</f>
        <v>#N/A</v>
      </c>
      <c r="I6" t="str">
        <f>VLOOKUP(A6,'SV Child BLG Apr'!A:J,1,0)</f>
        <v>13498058</v>
      </c>
      <c r="K6" t="e">
        <f>VLOOKUP(A6,'CDK asked to retain list'!H6:$K$25,1,0)</f>
        <v>#N/A</v>
      </c>
    </row>
    <row r="7" spans="1:11">
      <c r="A7" t="str">
        <f t="shared" si="1"/>
        <v>25212501</v>
      </c>
      <c r="B7" t="s">
        <v>418</v>
      </c>
      <c r="C7">
        <v>25212501</v>
      </c>
      <c r="D7">
        <v>6024</v>
      </c>
      <c r="E7" t="s">
        <v>39</v>
      </c>
      <c r="F7">
        <v>170</v>
      </c>
      <c r="G7" t="e">
        <f>VLOOKUP(A7,'SV Child INS Apr'!$A:$J,1,0)</f>
        <v>#N/A</v>
      </c>
      <c r="H7" t="e">
        <f>VLOOKUP(B7,'SV Child INS Apr'!$D:$J,1,0)</f>
        <v>#N/A</v>
      </c>
      <c r="I7" t="str">
        <f>VLOOKUP(A7,'SV Child BLG Apr'!A:J,1,0)</f>
        <v>25212501</v>
      </c>
      <c r="K7" t="e">
        <f>VLOOKUP(A7,'CDK asked to retain list'!H7:$K$25,1,0)</f>
        <v>#N/A</v>
      </c>
    </row>
    <row r="8" spans="1:11">
      <c r="A8" t="str">
        <f t="shared" si="1"/>
        <v>25300610</v>
      </c>
      <c r="B8" t="s">
        <v>424</v>
      </c>
      <c r="C8">
        <v>25300610</v>
      </c>
      <c r="D8">
        <v>3002945</v>
      </c>
      <c r="E8" t="s">
        <v>39</v>
      </c>
      <c r="F8">
        <v>40</v>
      </c>
      <c r="G8" t="e">
        <f>VLOOKUP(A8,'SV Child INS Apr'!$A:$J,1,0)</f>
        <v>#N/A</v>
      </c>
      <c r="H8" t="e">
        <f>VLOOKUP(B8,'SV Child INS Apr'!$D:$J,1,0)</f>
        <v>#N/A</v>
      </c>
      <c r="I8" t="str">
        <f>VLOOKUP(A8,'SV Child BLG Apr'!A:J,1,0)</f>
        <v>25300610</v>
      </c>
      <c r="K8" t="e">
        <f>VLOOKUP(A8,'CDK asked to retain list'!H8:$K$25,1,0)</f>
        <v>#N/A</v>
      </c>
    </row>
    <row r="9" spans="1:11">
      <c r="A9" t="str">
        <f t="shared" si="1"/>
        <v>44780001</v>
      </c>
      <c r="B9" t="s">
        <v>427</v>
      </c>
      <c r="C9">
        <v>44780001</v>
      </c>
      <c r="D9">
        <v>2502046</v>
      </c>
      <c r="E9" t="s">
        <v>39</v>
      </c>
      <c r="F9">
        <v>90</v>
      </c>
      <c r="G9" t="e">
        <f>VLOOKUP(A9,'SV Child INS Apr'!$A:$J,1,0)</f>
        <v>#N/A</v>
      </c>
      <c r="H9" t="e">
        <f>VLOOKUP(B9,'SV Child INS Apr'!$D:$J,1,0)</f>
        <v>#N/A</v>
      </c>
      <c r="I9" t="str">
        <f>VLOOKUP(A9,'SV Child BLG Apr'!A:J,1,0)</f>
        <v>44780001</v>
      </c>
      <c r="K9" t="e">
        <f>VLOOKUP(A9,'CDK asked to retain list'!H9:$K$25,1,0)</f>
        <v>#N/A</v>
      </c>
    </row>
    <row r="10" spans="1:11">
      <c r="A10" t="str">
        <f t="shared" si="1"/>
        <v>45602701</v>
      </c>
      <c r="B10" t="s">
        <v>430</v>
      </c>
      <c r="C10">
        <v>45602701</v>
      </c>
      <c r="D10">
        <v>2501852</v>
      </c>
      <c r="E10" t="s">
        <v>39</v>
      </c>
      <c r="F10">
        <v>30</v>
      </c>
      <c r="G10" t="e">
        <f>VLOOKUP(A10,'SV Child INS Apr'!$A:$J,1,0)</f>
        <v>#N/A</v>
      </c>
      <c r="H10" t="e">
        <f>VLOOKUP(B10,'SV Child INS Apr'!$D:$J,1,0)</f>
        <v>#N/A</v>
      </c>
      <c r="I10" t="str">
        <f>VLOOKUP(A10,'SV Child BLG Apr'!A:J,1,0)</f>
        <v>45602701</v>
      </c>
      <c r="K10" t="e">
        <f>VLOOKUP(A10,'CDK asked to retain list'!H10:$K$25,1,0)</f>
        <v>#N/A</v>
      </c>
    </row>
    <row r="11" spans="1:11" hidden="1">
      <c r="A11" t="str">
        <f t="shared" si="1"/>
        <v>71040312</v>
      </c>
      <c r="B11" t="s">
        <v>2026</v>
      </c>
      <c r="C11">
        <v>71040312</v>
      </c>
      <c r="D11">
        <v>4150</v>
      </c>
      <c r="E11" t="s">
        <v>39</v>
      </c>
      <c r="F11">
        <v>180</v>
      </c>
      <c r="G11" t="str">
        <f>VLOOKUP(A11,'SV Child INS Apr'!$A:$J,1,0)</f>
        <v>71040312</v>
      </c>
      <c r="K11" t="e">
        <f>VLOOKUP(A11,'CDK asked to retain list'!H11:$K$25,1,0)</f>
        <v>#N/A</v>
      </c>
    </row>
    <row r="12" spans="1:11" hidden="1">
      <c r="A12" t="str">
        <f t="shared" si="1"/>
        <v>71048539</v>
      </c>
      <c r="B12" t="s">
        <v>2116</v>
      </c>
      <c r="C12">
        <v>71048539</v>
      </c>
      <c r="D12">
        <v>3001338</v>
      </c>
      <c r="E12" t="s">
        <v>39</v>
      </c>
      <c r="F12">
        <v>290</v>
      </c>
      <c r="G12" t="str">
        <f>VLOOKUP(A12,'SV Child INS Apr'!$A:$J,1,0)</f>
        <v>71048539</v>
      </c>
      <c r="K12" t="e">
        <f>VLOOKUP(A12,'CDK asked to retain list'!H12:$K$25,1,0)</f>
        <v>#N/A</v>
      </c>
    </row>
    <row r="13" spans="1:11" hidden="1">
      <c r="A13" t="str">
        <f t="shared" si="1"/>
        <v>71052266</v>
      </c>
      <c r="B13" t="s">
        <v>2142</v>
      </c>
      <c r="C13">
        <v>71052266</v>
      </c>
      <c r="D13">
        <v>2503552</v>
      </c>
      <c r="E13" t="s">
        <v>39</v>
      </c>
      <c r="F13">
        <v>290</v>
      </c>
      <c r="G13" t="str">
        <f>VLOOKUP(A13,'SV Child INS Apr'!$A:$J,1,0)</f>
        <v>71052266</v>
      </c>
      <c r="K13" t="e">
        <f>VLOOKUP(A13,'CDK asked to retain list'!H13:$K$25,1,0)</f>
        <v>#N/A</v>
      </c>
    </row>
    <row r="14" spans="1:11">
      <c r="A14" t="str">
        <f t="shared" si="1"/>
        <v>71061453</v>
      </c>
      <c r="B14" t="s">
        <v>449</v>
      </c>
      <c r="C14">
        <v>71061453</v>
      </c>
      <c r="D14">
        <v>3002947</v>
      </c>
      <c r="E14" t="s">
        <v>39</v>
      </c>
      <c r="F14">
        <v>110</v>
      </c>
      <c r="G14" t="e">
        <f>VLOOKUP(A14,'SV Child INS Apr'!$A:$J,1,0)</f>
        <v>#N/A</v>
      </c>
      <c r="H14" t="e">
        <f>VLOOKUP(B14,'SV Child INS Apr'!$D:$J,1,0)</f>
        <v>#N/A</v>
      </c>
      <c r="I14" t="str">
        <f>VLOOKUP(A14,'SV Child BLG Apr'!A:J,1,0)</f>
        <v>71061453</v>
      </c>
      <c r="K14" t="e">
        <f>VLOOKUP(A14,'CDK asked to retain list'!H14:$K$25,1,0)</f>
        <v>#N/A</v>
      </c>
    </row>
    <row r="15" spans="1:11" hidden="1">
      <c r="A15" t="str">
        <f t="shared" si="1"/>
        <v>76023577</v>
      </c>
      <c r="B15" t="s">
        <v>2340</v>
      </c>
      <c r="C15">
        <v>76023577</v>
      </c>
      <c r="D15">
        <v>3001713</v>
      </c>
      <c r="E15" t="s">
        <v>39</v>
      </c>
      <c r="F15">
        <v>170</v>
      </c>
      <c r="G15" t="str">
        <f>VLOOKUP(A15,'SV Child INS Apr'!$A:$J,1,0)</f>
        <v>76023577</v>
      </c>
      <c r="K15" t="e">
        <f>VLOOKUP(A15,'CDK asked to retain list'!H15:$K$25,1,0)</f>
        <v>#N/A</v>
      </c>
    </row>
    <row r="16" spans="1:11" hidden="1">
      <c r="A16" t="str">
        <f t="shared" si="1"/>
        <v>76026176</v>
      </c>
      <c r="B16" t="s">
        <v>2372</v>
      </c>
      <c r="C16">
        <v>76026176</v>
      </c>
      <c r="D16">
        <v>10011</v>
      </c>
      <c r="E16" t="s">
        <v>39</v>
      </c>
      <c r="F16">
        <v>280</v>
      </c>
      <c r="G16" t="str">
        <f>VLOOKUP(A16,'SV Child INS Apr'!$A:$J,1,0)</f>
        <v>76026176</v>
      </c>
      <c r="K16" t="e">
        <f>VLOOKUP(A16,'CDK asked to retain list'!H16:$K$25,1,0)</f>
        <v>#N/A</v>
      </c>
    </row>
    <row r="17" spans="1:11">
      <c r="A17" t="str">
        <f t="shared" si="1"/>
        <v>76032748</v>
      </c>
      <c r="B17" t="s">
        <v>464</v>
      </c>
      <c r="C17">
        <v>76032748</v>
      </c>
      <c r="D17">
        <v>3002949</v>
      </c>
      <c r="E17" t="s">
        <v>39</v>
      </c>
      <c r="F17">
        <v>30</v>
      </c>
      <c r="G17" t="e">
        <f>VLOOKUP(A17,'SV Child INS Apr'!$A:$J,1,0)</f>
        <v>#N/A</v>
      </c>
      <c r="H17" t="e">
        <f>VLOOKUP(B17,'SV Child INS Apr'!$D:$J,1,0)</f>
        <v>#N/A</v>
      </c>
      <c r="I17" t="str">
        <f>VLOOKUP(A17,'SV Child BLG Apr'!A:J,1,0)</f>
        <v>76032748</v>
      </c>
      <c r="K17" t="e">
        <f>VLOOKUP(A17,'CDK asked to retain list'!H17:$K$25,1,0)</f>
        <v>#N/A</v>
      </c>
    </row>
    <row r="18" spans="1:11" hidden="1">
      <c r="A18" t="str">
        <f t="shared" si="1"/>
        <v>76034396</v>
      </c>
      <c r="B18" t="s">
        <v>2426</v>
      </c>
      <c r="C18">
        <v>76034396</v>
      </c>
      <c r="D18">
        <v>2503573</v>
      </c>
      <c r="E18" t="s">
        <v>39</v>
      </c>
      <c r="F18">
        <v>100</v>
      </c>
      <c r="G18" t="str">
        <f>VLOOKUP(A18,'SV Child INS Apr'!$A:$J,1,0)</f>
        <v>76034396</v>
      </c>
      <c r="K18" t="e">
        <f>VLOOKUP(A18,'CDK asked to retain list'!H18:$K$25,1,0)</f>
        <v>#N/A</v>
      </c>
    </row>
    <row r="19" spans="1:11">
      <c r="A19" t="str">
        <f t="shared" si="1"/>
        <v>76036137</v>
      </c>
      <c r="B19" t="s">
        <v>467</v>
      </c>
      <c r="C19">
        <v>76036137</v>
      </c>
      <c r="D19">
        <v>2501825</v>
      </c>
      <c r="E19" t="s">
        <v>39</v>
      </c>
      <c r="F19">
        <v>90</v>
      </c>
      <c r="G19" t="e">
        <f>VLOOKUP(A19,'SV Child INS Apr'!$A:$J,1,0)</f>
        <v>#N/A</v>
      </c>
      <c r="H19" t="e">
        <f>VLOOKUP(B19,'SV Child INS Apr'!$D:$J,1,0)</f>
        <v>#N/A</v>
      </c>
      <c r="I19" t="str">
        <f>VLOOKUP(A19,'SV Child BLG Apr'!A:J,1,0)</f>
        <v>76036137</v>
      </c>
      <c r="K19" t="e">
        <f>VLOOKUP(A19,'CDK asked to retain list'!H19:$K$25,1,0)</f>
        <v>#N/A</v>
      </c>
    </row>
    <row r="20" spans="1:11">
      <c r="A20" t="str">
        <f t="shared" si="1"/>
        <v>76036160</v>
      </c>
      <c r="B20" t="s">
        <v>470</v>
      </c>
      <c r="C20">
        <v>76036160</v>
      </c>
      <c r="D20">
        <v>9014</v>
      </c>
      <c r="E20" t="s">
        <v>39</v>
      </c>
      <c r="F20">
        <v>170</v>
      </c>
      <c r="G20" t="e">
        <f>VLOOKUP(A20,'SV Child INS Apr'!$A:$J,1,0)</f>
        <v>#N/A</v>
      </c>
      <c r="H20" t="e">
        <f>VLOOKUP(B20,'SV Child INS Apr'!$D:$J,1,0)</f>
        <v>#N/A</v>
      </c>
      <c r="I20" t="str">
        <f>VLOOKUP(A20,'SV Child BLG Apr'!A:J,1,0)</f>
        <v>76036160</v>
      </c>
      <c r="K20" t="e">
        <f>VLOOKUP(A20,'CDK asked to retain list'!H20:$K$25,1,0)</f>
        <v>#N/A</v>
      </c>
    </row>
    <row r="21" spans="1:11">
      <c r="A21" t="str">
        <f t="shared" si="1"/>
        <v>76037591</v>
      </c>
      <c r="B21" t="s">
        <v>473</v>
      </c>
      <c r="C21">
        <v>76037591</v>
      </c>
      <c r="D21">
        <v>6091</v>
      </c>
      <c r="E21" t="s">
        <v>39</v>
      </c>
      <c r="F21">
        <v>160</v>
      </c>
      <c r="G21" t="e">
        <f>VLOOKUP(A21,'SV Child INS Apr'!$A:$J,1,0)</f>
        <v>#N/A</v>
      </c>
      <c r="H21" t="e">
        <f>VLOOKUP(B21,'SV Child INS Apr'!$D:$J,1,0)</f>
        <v>#N/A</v>
      </c>
      <c r="I21" t="str">
        <f>VLOOKUP(A21,'SV Child BLG Apr'!A:J,1,0)</f>
        <v>76037591</v>
      </c>
      <c r="K21" t="e">
        <f>VLOOKUP(A21,'CDK asked to retain list'!H21:$K$25,1,0)</f>
        <v>#N/A</v>
      </c>
    </row>
    <row r="22" spans="1:11">
      <c r="A22" t="str">
        <f t="shared" si="1"/>
        <v>76038422</v>
      </c>
      <c r="B22" t="s">
        <v>476</v>
      </c>
      <c r="C22">
        <v>76038422</v>
      </c>
      <c r="D22">
        <v>2500295</v>
      </c>
      <c r="E22" t="s">
        <v>39</v>
      </c>
      <c r="F22">
        <v>300</v>
      </c>
      <c r="G22" t="e">
        <f>VLOOKUP(A22,'SV Child INS Apr'!$A:$J,1,0)</f>
        <v>#N/A</v>
      </c>
      <c r="H22" t="e">
        <f>VLOOKUP(B22,'SV Child INS Apr'!$D:$J,1,0)</f>
        <v>#N/A</v>
      </c>
      <c r="I22" t="str">
        <f>VLOOKUP(A22,'SV Child BLG Apr'!A:J,1,0)</f>
        <v>76038422</v>
      </c>
      <c r="K22" t="e">
        <f>VLOOKUP(A22,'CDK asked to retain list'!H22:$K$25,1,0)</f>
        <v>#N/A</v>
      </c>
    </row>
    <row r="23" spans="1:11">
      <c r="A23" t="str">
        <f t="shared" si="1"/>
        <v>76043468</v>
      </c>
      <c r="B23" t="s">
        <v>494</v>
      </c>
      <c r="C23">
        <v>76043468</v>
      </c>
      <c r="D23">
        <v>2001550</v>
      </c>
      <c r="E23" t="s">
        <v>39</v>
      </c>
      <c r="F23">
        <v>280</v>
      </c>
      <c r="G23" t="e">
        <f>VLOOKUP(A23,'SV Child INS Apr'!$A:$J,1,0)</f>
        <v>#N/A</v>
      </c>
      <c r="H23" t="e">
        <f>VLOOKUP(B23,'SV Child INS Apr'!$D:$J,1,0)</f>
        <v>#N/A</v>
      </c>
      <c r="I23" t="str">
        <f>VLOOKUP(A23,'SV Child BLG Apr'!A:J,1,0)</f>
        <v>76043468</v>
      </c>
      <c r="K23" t="e">
        <f>VLOOKUP(A23,'CDK asked to retain list'!H23:$K$25,1,0)</f>
        <v>#N/A</v>
      </c>
    </row>
    <row r="24" spans="1:11" hidden="1">
      <c r="A24" t="str">
        <f t="shared" si="1"/>
        <v>76055894</v>
      </c>
      <c r="B24" t="s">
        <v>2586</v>
      </c>
      <c r="C24">
        <v>76055894</v>
      </c>
      <c r="D24">
        <v>2502435</v>
      </c>
      <c r="E24" t="s">
        <v>39</v>
      </c>
      <c r="F24">
        <v>210</v>
      </c>
      <c r="G24" t="str">
        <f>VLOOKUP(A24,'SV Child INS Apr'!$A:$J,1,0)</f>
        <v>76055894</v>
      </c>
      <c r="K24" t="e">
        <f>VLOOKUP(A24,'CDK asked to retain list'!H24:$K$25,1,0)</f>
        <v>#N/A</v>
      </c>
    </row>
    <row r="25" spans="1:11" hidden="1">
      <c r="A25" t="str">
        <f t="shared" si="1"/>
        <v>76061499</v>
      </c>
      <c r="B25" t="s">
        <v>2643</v>
      </c>
      <c r="C25">
        <v>76061499</v>
      </c>
      <c r="D25">
        <v>12028</v>
      </c>
      <c r="E25" t="s">
        <v>39</v>
      </c>
      <c r="F25">
        <v>300</v>
      </c>
      <c r="G25" t="str">
        <f>VLOOKUP(A25,'SV Child INS Apr'!$A:$J,1,0)</f>
        <v>76061499</v>
      </c>
      <c r="K25" t="e">
        <f>VLOOKUP(A25,'CDK asked to retain list'!H25:$K$25,1,0)</f>
        <v>#N/A</v>
      </c>
    </row>
    <row r="26" spans="1:11" hidden="1">
      <c r="A26" t="str">
        <f t="shared" si="1"/>
        <v>76063135</v>
      </c>
      <c r="B26" t="s">
        <v>2649</v>
      </c>
      <c r="C26">
        <v>76063135</v>
      </c>
      <c r="D26">
        <v>2001667</v>
      </c>
      <c r="E26" t="s">
        <v>39</v>
      </c>
      <c r="F26">
        <v>300</v>
      </c>
      <c r="G26" t="str">
        <f>VLOOKUP(A26,'SV Child INS Apr'!$A:$J,1,0)</f>
        <v>76063135</v>
      </c>
      <c r="K26" t="e">
        <f>VLOOKUP(A26,'CDK asked to retain list'!H$25:$K26,1,0)</f>
        <v>#N/A</v>
      </c>
    </row>
    <row r="27" spans="1:11" hidden="1">
      <c r="A27" t="str">
        <f t="shared" si="1"/>
        <v>76066680</v>
      </c>
      <c r="B27" t="s">
        <v>2703</v>
      </c>
      <c r="C27">
        <v>76066680</v>
      </c>
      <c r="D27">
        <v>2503609</v>
      </c>
      <c r="E27" t="s">
        <v>39</v>
      </c>
      <c r="F27">
        <v>230</v>
      </c>
      <c r="G27" t="str">
        <f>VLOOKUP(A27,'SV Child INS Apr'!$A:$J,1,0)</f>
        <v>76066680</v>
      </c>
      <c r="K27" t="e">
        <f>VLOOKUP(A27,'CDK asked to retain list'!H$25:$K27,1,0)</f>
        <v>#N/A</v>
      </c>
    </row>
    <row r="28" spans="1:11">
      <c r="A28" t="str">
        <f t="shared" si="1"/>
        <v>76072064</v>
      </c>
      <c r="B28" t="s">
        <v>500</v>
      </c>
      <c r="C28">
        <v>76072064</v>
      </c>
      <c r="D28">
        <v>2503103</v>
      </c>
      <c r="E28" t="s">
        <v>39</v>
      </c>
      <c r="F28">
        <v>110</v>
      </c>
      <c r="G28" t="e">
        <f>VLOOKUP(A28,'SV Child INS Apr'!$A:$J,1,0)</f>
        <v>#N/A</v>
      </c>
      <c r="H28" t="e">
        <f>VLOOKUP(B28,'SV Child INS Apr'!$D:$J,1,0)</f>
        <v>#N/A</v>
      </c>
      <c r="I28" t="str">
        <f>VLOOKUP(A28,'SV Child BLG Apr'!A:J,1,0)</f>
        <v>76072064</v>
      </c>
      <c r="K28" t="e">
        <f>VLOOKUP(A28,'CDK asked to retain list'!H$25:$K28,1,0)</f>
        <v>#N/A</v>
      </c>
    </row>
    <row r="29" spans="1:11" hidden="1">
      <c r="A29" t="str">
        <f t="shared" si="1"/>
        <v>76072230</v>
      </c>
      <c r="B29" t="s">
        <v>2741</v>
      </c>
      <c r="C29">
        <v>76072230</v>
      </c>
      <c r="D29">
        <v>2000509</v>
      </c>
      <c r="E29" t="s">
        <v>39</v>
      </c>
      <c r="F29">
        <v>210</v>
      </c>
      <c r="G29" t="str">
        <f>VLOOKUP(A29,'SV Child INS Apr'!$A:$J,1,0)</f>
        <v>76072230</v>
      </c>
      <c r="K29" t="e">
        <f>VLOOKUP(A29,'CDK asked to retain list'!H$25:$K29,1,0)</f>
        <v>#N/A</v>
      </c>
    </row>
    <row r="30" spans="1:11">
      <c r="A30" t="str">
        <f t="shared" si="1"/>
        <v>76073131</v>
      </c>
      <c r="B30" t="s">
        <v>503</v>
      </c>
      <c r="C30">
        <v>76073131</v>
      </c>
      <c r="D30">
        <v>143062</v>
      </c>
      <c r="E30" t="s">
        <v>39</v>
      </c>
      <c r="F30">
        <v>160</v>
      </c>
      <c r="G30" t="e">
        <f>VLOOKUP(A30,'SV Child INS Apr'!$A:$J,1,0)</f>
        <v>#N/A</v>
      </c>
      <c r="H30" t="e">
        <f>VLOOKUP(B30,'SV Child INS Apr'!$D:$J,1,0)</f>
        <v>#N/A</v>
      </c>
      <c r="I30" t="str">
        <f>VLOOKUP(A30,'SV Child BLG Apr'!A:J,1,0)</f>
        <v>76073131</v>
      </c>
      <c r="K30" t="e">
        <f>VLOOKUP(A30,'CDK asked to retain list'!H$25:$K30,1,0)</f>
        <v>#N/A</v>
      </c>
    </row>
    <row r="31" spans="1:11">
      <c r="A31" t="str">
        <f t="shared" si="1"/>
        <v>76074791</v>
      </c>
      <c r="B31" t="s">
        <v>509</v>
      </c>
      <c r="C31">
        <v>76074791</v>
      </c>
      <c r="D31">
        <v>3002489</v>
      </c>
      <c r="E31" t="s">
        <v>39</v>
      </c>
      <c r="F31">
        <v>300</v>
      </c>
      <c r="G31" t="e">
        <f>VLOOKUP(A31,'SV Child INS Apr'!$A:$J,1,0)</f>
        <v>#N/A</v>
      </c>
      <c r="H31" t="e">
        <f>VLOOKUP(B31,'SV Child INS Apr'!$D:$J,1,0)</f>
        <v>#N/A</v>
      </c>
      <c r="I31" t="str">
        <f>VLOOKUP(A31,'SV Child BLG Apr'!A:J,1,0)</f>
        <v>76074791</v>
      </c>
      <c r="K31" t="e">
        <f>VLOOKUP(A31,'CDK asked to retain list'!H$25:$K31,1,0)</f>
        <v>#N/A</v>
      </c>
    </row>
    <row r="32" spans="1:11" hidden="1">
      <c r="A32" t="str">
        <f t="shared" si="1"/>
        <v>76075567</v>
      </c>
      <c r="B32" t="s">
        <v>2779</v>
      </c>
      <c r="C32">
        <v>76075567</v>
      </c>
      <c r="D32">
        <v>3131</v>
      </c>
      <c r="E32" t="s">
        <v>39</v>
      </c>
      <c r="F32">
        <v>300</v>
      </c>
      <c r="G32" t="str">
        <f>VLOOKUP(A32,'SV Child INS Apr'!$A:$J,1,0)</f>
        <v>76075567</v>
      </c>
      <c r="K32" t="e">
        <f>VLOOKUP(A32,'CDK asked to retain list'!H$25:$K32,1,0)</f>
        <v>#N/A</v>
      </c>
    </row>
    <row r="33" spans="1:11" hidden="1">
      <c r="A33" t="str">
        <f t="shared" si="1"/>
        <v>76076543</v>
      </c>
      <c r="B33" t="s">
        <v>2787</v>
      </c>
      <c r="C33">
        <v>76076543</v>
      </c>
      <c r="D33">
        <v>1500222</v>
      </c>
      <c r="E33" t="s">
        <v>39</v>
      </c>
      <c r="F33">
        <v>30</v>
      </c>
      <c r="G33" t="str">
        <f>VLOOKUP(A33,'SV Child INS Apr'!$A:$J,1,0)</f>
        <v>76076543</v>
      </c>
      <c r="K33" t="e">
        <f>VLOOKUP(A33,'CDK asked to retain list'!H$25:$K33,1,0)</f>
        <v>#N/A</v>
      </c>
    </row>
    <row r="34" spans="1:11" hidden="1">
      <c r="A34" t="str">
        <f t="shared" si="1"/>
        <v>76078918</v>
      </c>
      <c r="B34" t="s">
        <v>2805</v>
      </c>
      <c r="C34">
        <v>76078918</v>
      </c>
      <c r="D34">
        <v>2500456</v>
      </c>
      <c r="E34" t="s">
        <v>39</v>
      </c>
      <c r="F34">
        <v>300</v>
      </c>
      <c r="G34" t="str">
        <f>VLOOKUP(A34,'SV Child INS Apr'!$A:$J,1,0)</f>
        <v>76078918</v>
      </c>
      <c r="K34" t="e">
        <f>VLOOKUP(A34,'CDK asked to retain list'!H$25:$K34,1,0)</f>
        <v>#N/A</v>
      </c>
    </row>
    <row r="35" spans="1:11">
      <c r="A35" t="str">
        <f t="shared" si="1"/>
        <v>76135790</v>
      </c>
      <c r="B35" t="s">
        <v>515</v>
      </c>
      <c r="C35">
        <v>76135790</v>
      </c>
      <c r="D35">
        <v>2503496</v>
      </c>
      <c r="E35" t="s">
        <v>39</v>
      </c>
      <c r="F35">
        <v>100</v>
      </c>
      <c r="G35" t="e">
        <f>VLOOKUP(A35,'SV Child INS Apr'!$A:$J,1,0)</f>
        <v>#N/A</v>
      </c>
      <c r="H35" t="e">
        <f>VLOOKUP(B35,'SV Child INS Apr'!$D:$J,1,0)</f>
        <v>#N/A</v>
      </c>
      <c r="I35" t="str">
        <f>VLOOKUP(A35,'SV Child BLG Apr'!A:J,1,0)</f>
        <v>76135790</v>
      </c>
      <c r="K35" t="e">
        <f>VLOOKUP(A35,'CDK asked to retain list'!H$25:$K35,1,0)</f>
        <v>#N/A</v>
      </c>
    </row>
    <row r="36" spans="1:11">
      <c r="A36" t="str">
        <f t="shared" si="1"/>
        <v>76143376</v>
      </c>
      <c r="B36" t="s">
        <v>521</v>
      </c>
      <c r="C36">
        <v>76143376</v>
      </c>
      <c r="D36">
        <v>3001863</v>
      </c>
      <c r="E36" t="s">
        <v>39</v>
      </c>
      <c r="F36">
        <v>280</v>
      </c>
      <c r="G36" t="e">
        <f>VLOOKUP(A36,'SV Child INS Apr'!$A:$J,1,0)</f>
        <v>#N/A</v>
      </c>
      <c r="H36" t="e">
        <f>VLOOKUP(B36,'SV Child INS Apr'!$D:$J,1,0)</f>
        <v>#N/A</v>
      </c>
      <c r="I36" t="str">
        <f>VLOOKUP(A36,'SV Child BLG Apr'!A:J,1,0)</f>
        <v>76143376</v>
      </c>
      <c r="K36" t="e">
        <f>VLOOKUP(A36,'CDK asked to retain list'!H$25:$K36,1,0)</f>
        <v>#N/A</v>
      </c>
    </row>
    <row r="37" spans="1:11">
      <c r="A37" t="str">
        <f t="shared" si="1"/>
        <v>76144136</v>
      </c>
      <c r="B37" t="s">
        <v>524</v>
      </c>
      <c r="C37">
        <v>76144136</v>
      </c>
      <c r="D37">
        <v>3002895</v>
      </c>
      <c r="E37" t="s">
        <v>39</v>
      </c>
      <c r="F37">
        <v>150</v>
      </c>
      <c r="G37" t="e">
        <f>VLOOKUP(A37,'SV Child INS Apr'!$A:$J,1,0)</f>
        <v>#N/A</v>
      </c>
      <c r="H37" t="e">
        <f>VLOOKUP(B37,'SV Child INS Apr'!$D:$J,1,0)</f>
        <v>#N/A</v>
      </c>
      <c r="I37" t="str">
        <f>VLOOKUP(A37,'SV Child BLG Apr'!A:J,1,0)</f>
        <v>76144136</v>
      </c>
      <c r="K37" t="e">
        <f>VLOOKUP(A37,'CDK asked to retain list'!H$25:$K37,1,0)</f>
        <v>#N/A</v>
      </c>
    </row>
    <row r="38" spans="1:11">
      <c r="A38" t="str">
        <f t="shared" ref="A38:A70" si="2">TRIM(C38)</f>
        <v>76159225</v>
      </c>
      <c r="B38" t="s">
        <v>533</v>
      </c>
      <c r="C38">
        <v>76159225</v>
      </c>
      <c r="D38">
        <v>2502115</v>
      </c>
      <c r="E38" t="s">
        <v>39</v>
      </c>
      <c r="F38">
        <v>90</v>
      </c>
      <c r="G38" t="e">
        <f>VLOOKUP(A38,'SV Child INS Apr'!$A:$J,1,0)</f>
        <v>#N/A</v>
      </c>
      <c r="H38" t="e">
        <f>VLOOKUP(B38,'SV Child INS Apr'!$D:$J,1,0)</f>
        <v>#N/A</v>
      </c>
      <c r="I38" t="str">
        <f>VLOOKUP(A38,'SV Child BLG Apr'!A:J,1,0)</f>
        <v>76159225</v>
      </c>
      <c r="K38" t="e">
        <f>VLOOKUP(A38,'CDK asked to retain list'!H$25:$K38,1,0)</f>
        <v>#N/A</v>
      </c>
    </row>
    <row r="39" spans="1:11">
      <c r="A39" t="str">
        <f t="shared" si="2"/>
        <v>76159913</v>
      </c>
      <c r="B39" t="s">
        <v>536</v>
      </c>
      <c r="C39">
        <v>76159913</v>
      </c>
      <c r="D39">
        <v>2500592</v>
      </c>
      <c r="E39" t="s">
        <v>39</v>
      </c>
      <c r="F39">
        <v>100</v>
      </c>
      <c r="G39" t="e">
        <f>VLOOKUP(A39,'SV Child INS Apr'!$A:$J,1,0)</f>
        <v>#N/A</v>
      </c>
      <c r="H39" t="e">
        <f>VLOOKUP(B39,'SV Child INS Apr'!$D:$J,1,0)</f>
        <v>#N/A</v>
      </c>
      <c r="I39" t="str">
        <f>VLOOKUP(A39,'SV Child BLG Apr'!A:J,1,0)</f>
        <v>76159913</v>
      </c>
      <c r="K39" t="e">
        <f>VLOOKUP(A39,'CDK asked to retain list'!H$25:$K39,1,0)</f>
        <v>#N/A</v>
      </c>
    </row>
    <row r="40" spans="1:11" hidden="1">
      <c r="A40" t="str">
        <f t="shared" si="2"/>
        <v>76162825</v>
      </c>
      <c r="B40" t="s">
        <v>3041</v>
      </c>
      <c r="C40">
        <v>76162825</v>
      </c>
      <c r="D40">
        <v>2002165</v>
      </c>
      <c r="E40" t="s">
        <v>39</v>
      </c>
      <c r="F40">
        <v>150</v>
      </c>
      <c r="G40" t="str">
        <f>VLOOKUP(A40,'SV Child INS Apr'!$A:$J,1,0)</f>
        <v>76162825</v>
      </c>
      <c r="K40" t="e">
        <f>VLOOKUP(A40,'CDK asked to retain list'!H$25:$K40,1,0)</f>
        <v>#N/A</v>
      </c>
    </row>
    <row r="41" spans="1:11">
      <c r="A41" t="str">
        <f t="shared" si="2"/>
        <v>76164480</v>
      </c>
      <c r="B41" t="s">
        <v>539</v>
      </c>
      <c r="C41">
        <v>76164480</v>
      </c>
      <c r="D41">
        <v>2000978</v>
      </c>
      <c r="E41" t="s">
        <v>39</v>
      </c>
      <c r="F41">
        <v>210</v>
      </c>
      <c r="G41" t="e">
        <f>VLOOKUP(A41,'SV Child INS Apr'!$A:$J,1,0)</f>
        <v>#N/A</v>
      </c>
      <c r="H41" t="e">
        <f>VLOOKUP(B41,'SV Child INS Apr'!$D:$J,1,0)</f>
        <v>#N/A</v>
      </c>
      <c r="I41" t="str">
        <f>VLOOKUP(A41,'SV Child BLG Apr'!A:J,1,0)</f>
        <v>76164480</v>
      </c>
      <c r="K41" t="e">
        <f>VLOOKUP(A41,'CDK asked to retain list'!H$25:$K41,1,0)</f>
        <v>#N/A</v>
      </c>
    </row>
    <row r="42" spans="1:11" hidden="1">
      <c r="A42" t="str">
        <f t="shared" si="2"/>
        <v>76171174</v>
      </c>
      <c r="B42" t="s">
        <v>3125</v>
      </c>
      <c r="C42">
        <v>76171174</v>
      </c>
      <c r="D42">
        <v>2000092</v>
      </c>
      <c r="E42" t="s">
        <v>39</v>
      </c>
      <c r="F42">
        <v>160</v>
      </c>
      <c r="G42" t="str">
        <f>VLOOKUP(A42,'SV Child INS Apr'!$A:$J,1,0)</f>
        <v>76171174</v>
      </c>
      <c r="K42" t="e">
        <f>VLOOKUP(A42,'CDK asked to retain list'!H$25:$K42,1,0)</f>
        <v>#N/A</v>
      </c>
    </row>
    <row r="43" spans="1:11" hidden="1">
      <c r="A43" t="str">
        <f t="shared" si="2"/>
        <v>76172751</v>
      </c>
      <c r="B43" t="s">
        <v>3151</v>
      </c>
      <c r="C43">
        <v>76172751</v>
      </c>
      <c r="D43">
        <v>3000979</v>
      </c>
      <c r="E43" t="s">
        <v>39</v>
      </c>
      <c r="F43">
        <v>280</v>
      </c>
      <c r="G43" t="str">
        <f>VLOOKUP(A43,'SV Child INS Apr'!$A:$J,1,0)</f>
        <v>76172751</v>
      </c>
      <c r="K43" t="e">
        <f>VLOOKUP(A43,'CDK asked to retain list'!H$25:$K43,1,0)</f>
        <v>#N/A</v>
      </c>
    </row>
    <row r="44" spans="1:11">
      <c r="A44" t="str">
        <f t="shared" si="2"/>
        <v>76180102</v>
      </c>
      <c r="B44" t="s">
        <v>560</v>
      </c>
      <c r="C44">
        <v>76180102</v>
      </c>
      <c r="D44">
        <v>2502528</v>
      </c>
      <c r="E44" t="s">
        <v>39</v>
      </c>
      <c r="F44">
        <v>110</v>
      </c>
      <c r="G44" t="e">
        <f>VLOOKUP(A44,'SV Child INS Apr'!$A:$J,1,0)</f>
        <v>#N/A</v>
      </c>
      <c r="H44" t="e">
        <f>VLOOKUP(B44,'SV Child INS Apr'!$D:$J,1,0)</f>
        <v>#N/A</v>
      </c>
      <c r="I44" t="str">
        <f>VLOOKUP(A44,'SV Child BLG Apr'!A:J,1,0)</f>
        <v>76180102</v>
      </c>
      <c r="K44" t="e">
        <f>VLOOKUP(A44,'CDK asked to retain list'!H$25:$K44,1,0)</f>
        <v>#N/A</v>
      </c>
    </row>
    <row r="45" spans="1:11">
      <c r="A45" t="str">
        <f t="shared" si="2"/>
        <v>76181513</v>
      </c>
      <c r="B45" t="s">
        <v>566</v>
      </c>
      <c r="C45">
        <v>76181513</v>
      </c>
      <c r="D45">
        <v>3001083</v>
      </c>
      <c r="E45" t="s">
        <v>39</v>
      </c>
      <c r="F45">
        <v>40</v>
      </c>
      <c r="G45" t="e">
        <f>VLOOKUP(A45,'SV Child INS Apr'!$A:$J,1,0)</f>
        <v>#N/A</v>
      </c>
      <c r="H45" t="e">
        <f>VLOOKUP(B45,'SV Child INS Apr'!$D:$J,1,0)</f>
        <v>#N/A</v>
      </c>
      <c r="I45" t="str">
        <f>VLOOKUP(A45,'SV Child BLG Apr'!A:J,1,0)</f>
        <v>76181513</v>
      </c>
      <c r="K45" t="e">
        <f>VLOOKUP(A45,'CDK asked to retain list'!H$25:$K45,1,0)</f>
        <v>#N/A</v>
      </c>
    </row>
    <row r="46" spans="1:11">
      <c r="A46" t="str">
        <f t="shared" si="2"/>
        <v>76187537</v>
      </c>
      <c r="B46" t="s">
        <v>569</v>
      </c>
      <c r="C46">
        <v>76187537</v>
      </c>
      <c r="D46">
        <v>10143</v>
      </c>
      <c r="E46" t="s">
        <v>39</v>
      </c>
      <c r="F46">
        <v>280</v>
      </c>
      <c r="G46" t="e">
        <f>VLOOKUP(A46,'SV Child INS Apr'!$A:$J,1,0)</f>
        <v>#N/A</v>
      </c>
      <c r="H46" t="e">
        <f>VLOOKUP(B46,'SV Child INS Apr'!$D:$J,1,0)</f>
        <v>#N/A</v>
      </c>
      <c r="I46" t="str">
        <f>VLOOKUP(A46,'SV Child BLG Apr'!A:J,1,0)</f>
        <v>76187537</v>
      </c>
      <c r="K46" t="e">
        <f>VLOOKUP(A46,'CDK asked to retain list'!H$25:$K46,1,0)</f>
        <v>#N/A</v>
      </c>
    </row>
    <row r="47" spans="1:11">
      <c r="A47" t="str">
        <f t="shared" si="2"/>
        <v>76188296</v>
      </c>
      <c r="B47" t="s">
        <v>572</v>
      </c>
      <c r="C47">
        <v>76188296</v>
      </c>
      <c r="D47">
        <v>3001076</v>
      </c>
      <c r="E47" t="s">
        <v>39</v>
      </c>
      <c r="F47">
        <v>170</v>
      </c>
      <c r="G47" t="e">
        <f>VLOOKUP(A47,'SV Child INS Apr'!$A:$J,1,0)</f>
        <v>#N/A</v>
      </c>
      <c r="H47" t="e">
        <f>VLOOKUP(B47,'SV Child INS Apr'!$D:$J,1,0)</f>
        <v>#N/A</v>
      </c>
      <c r="I47" t="str">
        <f>VLOOKUP(A47,'SV Child BLG Apr'!A:J,1,0)</f>
        <v>76188296</v>
      </c>
      <c r="K47" t="e">
        <f>VLOOKUP(A47,'CDK asked to retain list'!H$25:$K47,1,0)</f>
        <v>#N/A</v>
      </c>
    </row>
    <row r="48" spans="1:11">
      <c r="A48" t="str">
        <f t="shared" si="2"/>
        <v>76204394</v>
      </c>
      <c r="B48" t="s">
        <v>575</v>
      </c>
      <c r="C48">
        <v>76204394</v>
      </c>
      <c r="D48">
        <v>2503164</v>
      </c>
      <c r="E48" t="s">
        <v>39</v>
      </c>
      <c r="F48">
        <v>160</v>
      </c>
      <c r="G48" t="e">
        <f>VLOOKUP(A48,'SV Child INS Apr'!$A:$J,1,0)</f>
        <v>#N/A</v>
      </c>
      <c r="H48" t="e">
        <f>VLOOKUP(B48,'SV Child INS Apr'!$D:$J,1,0)</f>
        <v>#N/A</v>
      </c>
      <c r="I48" t="str">
        <f>VLOOKUP(A48,'SV Child BLG Apr'!A:J,1,0)</f>
        <v>76204394</v>
      </c>
      <c r="K48" t="e">
        <f>VLOOKUP(A48,'CDK asked to retain list'!H$25:$K48,1,0)</f>
        <v>#N/A</v>
      </c>
    </row>
    <row r="49" spans="1:11" hidden="1">
      <c r="A49" t="str">
        <f t="shared" si="2"/>
        <v>76206439</v>
      </c>
      <c r="B49" t="s">
        <v>3443</v>
      </c>
      <c r="C49">
        <v>76206439</v>
      </c>
      <c r="D49">
        <v>2000748</v>
      </c>
      <c r="E49" t="s">
        <v>39</v>
      </c>
      <c r="F49">
        <v>160</v>
      </c>
      <c r="G49" t="str">
        <f>VLOOKUP(A49,'SV Child INS Apr'!$A:$J,1,0)</f>
        <v>76206439</v>
      </c>
      <c r="K49" t="e">
        <f>VLOOKUP(A49,'CDK asked to retain list'!H$25:$K49,1,0)</f>
        <v>#N/A</v>
      </c>
    </row>
    <row r="50" spans="1:11" hidden="1">
      <c r="A50" t="str">
        <f t="shared" si="2"/>
        <v>76206447</v>
      </c>
      <c r="B50" t="s">
        <v>3445</v>
      </c>
      <c r="C50">
        <v>76206447</v>
      </c>
      <c r="D50">
        <v>2000755</v>
      </c>
      <c r="E50" t="s">
        <v>39</v>
      </c>
      <c r="F50">
        <v>160</v>
      </c>
      <c r="G50" t="str">
        <f>VLOOKUP(A50,'SV Child INS Apr'!$A:$J,1,0)</f>
        <v>76206447</v>
      </c>
      <c r="K50" t="e">
        <f>VLOOKUP(A50,'CDK asked to retain list'!H$25:$K50,1,0)</f>
        <v>#N/A</v>
      </c>
    </row>
    <row r="51" spans="1:11" hidden="1">
      <c r="A51" t="str">
        <f t="shared" si="2"/>
        <v>76209808</v>
      </c>
      <c r="B51" t="s">
        <v>3545</v>
      </c>
      <c r="C51">
        <v>76209808</v>
      </c>
      <c r="D51">
        <v>2503569</v>
      </c>
      <c r="E51" t="s">
        <v>39</v>
      </c>
      <c r="F51">
        <v>240</v>
      </c>
      <c r="G51" t="str">
        <f>VLOOKUP(A51,'SV Child INS Apr'!$A:$J,1,0)</f>
        <v>76209808</v>
      </c>
      <c r="K51" t="e">
        <f>VLOOKUP(A51,'CDK asked to retain list'!H$25:$K51,1,0)</f>
        <v>#N/A</v>
      </c>
    </row>
    <row r="52" spans="1:11">
      <c r="A52" t="str">
        <f t="shared" si="2"/>
        <v>76210834</v>
      </c>
      <c r="B52" t="s">
        <v>590</v>
      </c>
      <c r="C52">
        <v>76210834</v>
      </c>
      <c r="D52">
        <v>3002830</v>
      </c>
      <c r="E52" t="s">
        <v>39</v>
      </c>
      <c r="F52">
        <v>240</v>
      </c>
      <c r="G52" t="e">
        <f>VLOOKUP(A52,'SV Child INS Apr'!$A:$J,1,0)</f>
        <v>#N/A</v>
      </c>
      <c r="H52" t="e">
        <f>VLOOKUP(B52,'SV Child INS Apr'!$D:$J,1,0)</f>
        <v>#N/A</v>
      </c>
      <c r="I52" t="str">
        <f>VLOOKUP(A52,'SV Child BLG Apr'!A:J,1,0)</f>
        <v>76210834</v>
      </c>
      <c r="K52" t="e">
        <f>VLOOKUP(A52,'CDK asked to retain list'!H$25:$K52,1,0)</f>
        <v>#N/A</v>
      </c>
    </row>
    <row r="53" spans="1:11">
      <c r="A53" t="str">
        <f t="shared" si="2"/>
        <v>76211772</v>
      </c>
      <c r="B53" t="s">
        <v>593</v>
      </c>
      <c r="C53">
        <v>76211772</v>
      </c>
      <c r="D53">
        <v>3002899</v>
      </c>
      <c r="E53" t="s">
        <v>39</v>
      </c>
      <c r="F53">
        <v>30</v>
      </c>
      <c r="G53" t="e">
        <f>VLOOKUP(A53,'SV Child INS Apr'!$A:$J,1,0)</f>
        <v>#N/A</v>
      </c>
      <c r="H53" t="e">
        <f>VLOOKUP(B53,'SV Child INS Apr'!$D:$J,1,0)</f>
        <v>#N/A</v>
      </c>
      <c r="I53" t="str">
        <f>VLOOKUP(A53,'SV Child BLG Apr'!A:J,1,0)</f>
        <v>76211772</v>
      </c>
      <c r="K53" t="e">
        <f>VLOOKUP(A53,'CDK asked to retain list'!H$25:$K53,1,0)</f>
        <v>#N/A</v>
      </c>
    </row>
    <row r="54" spans="1:11">
      <c r="A54" t="str">
        <f t="shared" si="2"/>
        <v>76216633</v>
      </c>
      <c r="B54" t="s">
        <v>602</v>
      </c>
      <c r="C54">
        <v>76216633</v>
      </c>
      <c r="D54">
        <v>2503124</v>
      </c>
      <c r="E54" t="s">
        <v>39</v>
      </c>
      <c r="F54">
        <v>90</v>
      </c>
      <c r="G54" t="e">
        <f>VLOOKUP(A54,'SV Child INS Apr'!$A:$J,1,0)</f>
        <v>#N/A</v>
      </c>
      <c r="H54" t="e">
        <f>VLOOKUP(B54,'SV Child INS Apr'!$D:$J,1,0)</f>
        <v>#N/A</v>
      </c>
      <c r="I54" t="str">
        <f>VLOOKUP(A54,'SV Child BLG Apr'!A:J,1,0)</f>
        <v>76216633</v>
      </c>
      <c r="K54" t="e">
        <f>VLOOKUP(A54,'CDK asked to retain list'!H$25:$K54,1,0)</f>
        <v>#N/A</v>
      </c>
    </row>
    <row r="55" spans="1:11">
      <c r="A55" t="str">
        <f t="shared" si="2"/>
        <v>76217262</v>
      </c>
      <c r="B55" t="s">
        <v>611</v>
      </c>
      <c r="C55">
        <v>76217262</v>
      </c>
      <c r="D55">
        <v>2501434</v>
      </c>
      <c r="E55" t="s">
        <v>39</v>
      </c>
      <c r="F55">
        <v>100</v>
      </c>
      <c r="G55" t="e">
        <f>VLOOKUP(A55,'SV Child INS Apr'!$A:$J,1,0)</f>
        <v>#N/A</v>
      </c>
      <c r="H55" t="e">
        <f>VLOOKUP(B55,'SV Child INS Apr'!$D:$J,1,0)</f>
        <v>#N/A</v>
      </c>
      <c r="I55" t="str">
        <f>VLOOKUP(A55,'SV Child BLG Apr'!A:J,1,0)</f>
        <v>76217262</v>
      </c>
      <c r="K55" t="e">
        <f>VLOOKUP(A55,'CDK asked to retain list'!H$25:$K55,1,0)</f>
        <v>#N/A</v>
      </c>
    </row>
    <row r="56" spans="1:11" hidden="1">
      <c r="A56" t="str">
        <f t="shared" si="2"/>
        <v>76221166</v>
      </c>
      <c r="B56" t="s">
        <v>3785</v>
      </c>
      <c r="C56">
        <v>76221166</v>
      </c>
      <c r="D56">
        <v>2002176</v>
      </c>
      <c r="E56" t="s">
        <v>39</v>
      </c>
      <c r="F56">
        <v>150</v>
      </c>
      <c r="G56" t="str">
        <f>VLOOKUP(A56,'SV Child INS Apr'!$A:$J,1,0)</f>
        <v>76221166</v>
      </c>
      <c r="K56" t="e">
        <f>VLOOKUP(A56,'CDK asked to retain list'!H$25:$K56,1,0)</f>
        <v>#N/A</v>
      </c>
    </row>
    <row r="57" spans="1:11" hidden="1">
      <c r="A57" t="str">
        <f t="shared" si="2"/>
        <v>76226228</v>
      </c>
      <c r="B57" t="s">
        <v>3905</v>
      </c>
      <c r="C57">
        <v>76226228</v>
      </c>
      <c r="D57">
        <v>2001934</v>
      </c>
      <c r="E57" t="s">
        <v>39</v>
      </c>
      <c r="F57">
        <v>220</v>
      </c>
      <c r="G57" t="str">
        <f>VLOOKUP(A57,'SV Child INS Apr'!$A:$J,1,0)</f>
        <v>76226228</v>
      </c>
      <c r="K57" t="e">
        <f>VLOOKUP(A57,'CDK asked to retain list'!H$25:$K57,1,0)</f>
        <v>#N/A</v>
      </c>
    </row>
    <row r="58" spans="1:11" hidden="1">
      <c r="A58" t="str">
        <f t="shared" si="2"/>
        <v>76232056</v>
      </c>
      <c r="B58" t="s">
        <v>4140</v>
      </c>
      <c r="C58">
        <v>76232056</v>
      </c>
      <c r="D58">
        <v>2502589</v>
      </c>
      <c r="E58" t="s">
        <v>39</v>
      </c>
      <c r="F58">
        <v>180</v>
      </c>
      <c r="G58" t="str">
        <f>VLOOKUP(A58,'SV Child INS Apr'!$A:$J,1,0)</f>
        <v>76232056</v>
      </c>
      <c r="K58" t="e">
        <f>VLOOKUP(A58,'CDK asked to retain list'!H$25:$K58,1,0)</f>
        <v>#N/A</v>
      </c>
    </row>
    <row r="59" spans="1:11">
      <c r="A59" t="str">
        <f t="shared" si="2"/>
        <v>76233198</v>
      </c>
      <c r="B59" t="s">
        <v>667</v>
      </c>
      <c r="C59">
        <v>76233198</v>
      </c>
      <c r="D59">
        <v>3002958</v>
      </c>
      <c r="E59" t="s">
        <v>39</v>
      </c>
      <c r="F59">
        <v>40</v>
      </c>
      <c r="G59" t="e">
        <f>VLOOKUP(A59,'SV Child INS Apr'!$A:$J,1,0)</f>
        <v>#N/A</v>
      </c>
      <c r="H59" t="e">
        <f>VLOOKUP(B59,'SV Child INS Apr'!$D:$J,1,0)</f>
        <v>#N/A</v>
      </c>
      <c r="I59" t="str">
        <f>VLOOKUP(A59,'SV Child BLG Apr'!A:J,1,0)</f>
        <v>76233198</v>
      </c>
      <c r="K59" t="e">
        <f>VLOOKUP(A59,'CDK asked to retain list'!H$25:$K59,1,0)</f>
        <v>#N/A</v>
      </c>
    </row>
    <row r="60" spans="1:11" hidden="1">
      <c r="A60" t="str">
        <f t="shared" si="2"/>
        <v>76233199</v>
      </c>
      <c r="B60" t="s">
        <v>4158</v>
      </c>
      <c r="C60">
        <v>76233199</v>
      </c>
      <c r="D60">
        <v>3002934</v>
      </c>
      <c r="E60" t="s">
        <v>39</v>
      </c>
      <c r="F60">
        <v>100</v>
      </c>
      <c r="G60" t="str">
        <f>VLOOKUP(A60,'SV Child INS Apr'!$A:$J,1,0)</f>
        <v>76233199</v>
      </c>
      <c r="K60" t="e">
        <f>VLOOKUP(A60,'CDK asked to retain list'!H$25:$K60,1,0)</f>
        <v>#N/A</v>
      </c>
    </row>
    <row r="61" spans="1:11" hidden="1">
      <c r="A61" t="str">
        <f t="shared" si="2"/>
        <v>76235265</v>
      </c>
      <c r="B61" t="s">
        <v>4240</v>
      </c>
      <c r="C61">
        <v>76235265</v>
      </c>
      <c r="D61">
        <v>2002561</v>
      </c>
      <c r="E61" t="s">
        <v>39</v>
      </c>
      <c r="F61">
        <v>230</v>
      </c>
      <c r="G61" t="str">
        <f>VLOOKUP(A61,'SV Child INS Apr'!$A:$J,1,0)</f>
        <v>76235265</v>
      </c>
      <c r="K61" t="e">
        <f>VLOOKUP(A61,'CDK asked to retain list'!H$25:$K61,1,0)</f>
        <v>#N/A</v>
      </c>
    </row>
    <row r="62" spans="1:11">
      <c r="A62" t="str">
        <f t="shared" si="2"/>
        <v>76236503</v>
      </c>
      <c r="B62" t="s">
        <v>676</v>
      </c>
      <c r="C62">
        <v>76236503</v>
      </c>
      <c r="D62">
        <v>3002961</v>
      </c>
      <c r="E62" t="s">
        <v>39</v>
      </c>
      <c r="F62">
        <v>30</v>
      </c>
      <c r="G62" t="e">
        <f>VLOOKUP(A62,'SV Child INS Apr'!$A:$J,1,0)</f>
        <v>#N/A</v>
      </c>
      <c r="H62" t="e">
        <f>VLOOKUP(B62,'SV Child INS Apr'!$D:$J,1,0)</f>
        <v>#N/A</v>
      </c>
      <c r="I62" t="str">
        <f>VLOOKUP(A62,'SV Child BLG Apr'!A:J,1,0)</f>
        <v>76236503</v>
      </c>
      <c r="K62" t="e">
        <f>VLOOKUP(A62,'CDK asked to retain list'!H$25:$K62,1,0)</f>
        <v>#N/A</v>
      </c>
    </row>
    <row r="63" spans="1:11">
      <c r="A63" t="str">
        <f t="shared" si="2"/>
        <v>76241159</v>
      </c>
      <c r="B63" t="s">
        <v>682</v>
      </c>
      <c r="C63">
        <v>76241159</v>
      </c>
      <c r="D63">
        <v>3001147</v>
      </c>
      <c r="E63" t="s">
        <v>39</v>
      </c>
      <c r="F63">
        <v>100</v>
      </c>
      <c r="G63" t="e">
        <f>VLOOKUP(A63,'SV Child INS Apr'!$A:$J,1,0)</f>
        <v>#N/A</v>
      </c>
      <c r="H63" t="e">
        <f>VLOOKUP(B63,'SV Child INS Apr'!$D:$J,1,0)</f>
        <v>#N/A</v>
      </c>
      <c r="I63" t="str">
        <f>VLOOKUP(A63,'SV Child BLG Apr'!A:J,1,0)</f>
        <v>76241159</v>
      </c>
      <c r="K63" t="e">
        <f>VLOOKUP(A63,'CDK asked to retain list'!H$25:$K63,1,0)</f>
        <v>#N/A</v>
      </c>
    </row>
    <row r="64" spans="1:11">
      <c r="A64" t="str">
        <f t="shared" si="2"/>
        <v>76241605</v>
      </c>
      <c r="B64" t="s">
        <v>688</v>
      </c>
      <c r="C64">
        <v>76241605</v>
      </c>
      <c r="D64">
        <v>2001100</v>
      </c>
      <c r="E64" t="s">
        <v>39</v>
      </c>
      <c r="F64">
        <v>90</v>
      </c>
      <c r="G64" t="e">
        <f>VLOOKUP(A64,'SV Child INS Apr'!$A:$J,1,0)</f>
        <v>#N/A</v>
      </c>
      <c r="H64" t="e">
        <f>VLOOKUP(B64,'SV Child INS Apr'!$D:$J,1,0)</f>
        <v>#N/A</v>
      </c>
      <c r="I64" t="str">
        <f>VLOOKUP(A64,'SV Child BLG Apr'!A:J,1,0)</f>
        <v>76241605</v>
      </c>
      <c r="K64" t="e">
        <f>VLOOKUP(A64,'CDK asked to retain list'!H$25:$K64,1,0)</f>
        <v>#N/A</v>
      </c>
    </row>
    <row r="65" spans="1:11">
      <c r="A65" t="str">
        <f t="shared" si="2"/>
        <v>76251423</v>
      </c>
      <c r="B65" t="s">
        <v>700</v>
      </c>
      <c r="C65">
        <v>76251423</v>
      </c>
      <c r="D65">
        <v>3002946</v>
      </c>
      <c r="E65" t="s">
        <v>39</v>
      </c>
      <c r="F65">
        <v>30</v>
      </c>
      <c r="G65" t="e">
        <f>VLOOKUP(A65,'SV Child INS Apr'!$A:$J,1,0)</f>
        <v>#N/A</v>
      </c>
      <c r="H65" t="e">
        <f>VLOOKUP(B65,'SV Child INS Apr'!$D:$J,1,0)</f>
        <v>#N/A</v>
      </c>
      <c r="I65" t="str">
        <f>VLOOKUP(A65,'SV Child BLG Apr'!A:J,1,0)</f>
        <v>76251423</v>
      </c>
      <c r="K65" t="e">
        <f>VLOOKUP(A65,'CDK asked to retain list'!H$25:$K65,1,0)</f>
        <v>#N/A</v>
      </c>
    </row>
    <row r="66" spans="1:11">
      <c r="A66" t="str">
        <f t="shared" si="2"/>
        <v>76252738</v>
      </c>
      <c r="B66" t="s">
        <v>709</v>
      </c>
      <c r="C66">
        <v>76252738</v>
      </c>
      <c r="D66">
        <v>3002944</v>
      </c>
      <c r="E66" t="s">
        <v>39</v>
      </c>
      <c r="F66">
        <v>90</v>
      </c>
      <c r="G66" t="e">
        <f>VLOOKUP(A66,'SV Child INS Apr'!$A:$J,1,0)</f>
        <v>#N/A</v>
      </c>
      <c r="H66" t="e">
        <f>VLOOKUP(B66,'SV Child INS Apr'!$D:$J,1,0)</f>
        <v>#N/A</v>
      </c>
      <c r="I66" t="str">
        <f>VLOOKUP(A66,'SV Child BLG Apr'!A:J,1,0)</f>
        <v>76252738</v>
      </c>
      <c r="K66" t="e">
        <f>VLOOKUP(A66,'CDK asked to retain list'!H$25:$K66,1,0)</f>
        <v>#N/A</v>
      </c>
    </row>
    <row r="67" spans="1:11">
      <c r="A67" t="str">
        <f t="shared" si="2"/>
        <v>76252740</v>
      </c>
      <c r="B67" t="s">
        <v>712</v>
      </c>
      <c r="C67">
        <v>76252740</v>
      </c>
      <c r="D67">
        <v>3002948</v>
      </c>
      <c r="E67" t="s">
        <v>39</v>
      </c>
      <c r="F67">
        <v>30</v>
      </c>
      <c r="G67" t="e">
        <f>VLOOKUP(A67,'SV Child INS Apr'!$A:$J,1,0)</f>
        <v>#N/A</v>
      </c>
      <c r="H67" t="e">
        <f>VLOOKUP(B67,'SV Child INS Apr'!$D:$J,1,0)</f>
        <v>#N/A</v>
      </c>
      <c r="I67" t="str">
        <f>VLOOKUP(A67,'SV Child BLG Apr'!A:J,1,0)</f>
        <v>76252740</v>
      </c>
      <c r="K67" t="e">
        <f>VLOOKUP(A67,'CDK asked to retain list'!H$25:$K67,1,0)</f>
        <v>#N/A</v>
      </c>
    </row>
    <row r="68" spans="1:11" hidden="1">
      <c r="A68" t="str">
        <f t="shared" si="2"/>
        <v>76257049</v>
      </c>
      <c r="B68" t="s">
        <v>4603</v>
      </c>
      <c r="C68">
        <v>76257049</v>
      </c>
      <c r="D68">
        <v>2002855</v>
      </c>
      <c r="E68" t="s">
        <v>39</v>
      </c>
      <c r="F68">
        <v>150</v>
      </c>
      <c r="G68" t="str">
        <f>VLOOKUP(A68,'SV Child INS Apr'!$A:$J,1,0)</f>
        <v>76257049</v>
      </c>
      <c r="K68" t="e">
        <f>VLOOKUP(A68,'CDK asked to retain list'!H$25:$K68,1,0)</f>
        <v>#N/A</v>
      </c>
    </row>
    <row r="69" spans="1:11">
      <c r="A69" t="str">
        <f t="shared" si="2"/>
        <v>76257108</v>
      </c>
      <c r="B69" t="s">
        <v>718</v>
      </c>
      <c r="C69">
        <v>76257108</v>
      </c>
      <c r="D69">
        <v>3000642</v>
      </c>
      <c r="E69" t="s">
        <v>39</v>
      </c>
      <c r="F69">
        <v>30</v>
      </c>
      <c r="G69" t="e">
        <f>VLOOKUP(A69,'SV Child INS Apr'!$A:$J,1,0)</f>
        <v>#N/A</v>
      </c>
      <c r="H69" t="e">
        <f>VLOOKUP(B69,'SV Child INS Apr'!$D:$J,1,0)</f>
        <v>#N/A</v>
      </c>
      <c r="I69" t="str">
        <f>VLOOKUP(A69,'SV Child BLG Apr'!A:J,1,0)</f>
        <v>76257108</v>
      </c>
      <c r="K69" t="e">
        <f>VLOOKUP(A69,'CDK asked to retain list'!H$25:$K69,1,0)</f>
        <v>#N/A</v>
      </c>
    </row>
    <row r="70" spans="1:11">
      <c r="A70" t="str">
        <f t="shared" si="2"/>
        <v>97000001</v>
      </c>
      <c r="B70" t="s">
        <v>727</v>
      </c>
      <c r="C70">
        <v>97000001</v>
      </c>
      <c r="D70">
        <v>2500664</v>
      </c>
      <c r="E70" t="s">
        <v>39</v>
      </c>
      <c r="F70">
        <v>30</v>
      </c>
      <c r="G70" t="e">
        <f>VLOOKUP(A70,'SV Child INS Apr'!$A:$J,1,0)</f>
        <v>#N/A</v>
      </c>
      <c r="H70" t="e">
        <f>VLOOKUP(B70,'SV Child INS Apr'!$D:$J,1,0)</f>
        <v>#N/A</v>
      </c>
      <c r="I70" t="str">
        <f>VLOOKUP(A70,'SV Child BLG Apr'!A:J,1,0)</f>
        <v>97000001</v>
      </c>
      <c r="K70" t="e">
        <f>VLOOKUP(A70,'CDK asked to retain list'!H$25:$K70,1,0)</f>
        <v>#N/A</v>
      </c>
    </row>
  </sheetData>
  <autoFilter ref="A1:J70" xr:uid="{B0B5BA84-3E21-4B7E-9ABC-A026928E3A61}">
    <filterColumn colId="6">
      <filters>
        <filter val="#N/A"/>
      </filters>
    </filterColumn>
  </autoFilter>
  <sortState xmlns:xlrd2="http://schemas.microsoft.com/office/spreadsheetml/2017/richdata2" ref="A2:F70">
    <sortCondition ref="A2:A70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83209-3894-4658-A7F8-F23D8F0DC56F}">
  <dimension ref="A1:G215"/>
  <sheetViews>
    <sheetView workbookViewId="0">
      <pane ySplit="1" topLeftCell="A2" activePane="bottomLeft" state="frozen"/>
      <selection pane="bottomLeft" activeCell="B2" sqref="B2:B4"/>
      <selection activeCell="F1" sqref="A1:F1048576"/>
    </sheetView>
  </sheetViews>
  <sheetFormatPr defaultRowHeight="15"/>
  <cols>
    <col min="1" max="1" width="49.140625" bestFit="1" customWidth="1"/>
    <col min="2" max="2" width="12.28515625" bestFit="1" customWidth="1"/>
    <col min="3" max="3" width="12.28515625" customWidth="1"/>
    <col min="4" max="4" width="22.28515625" bestFit="1" customWidth="1"/>
    <col min="5" max="5" width="14.28515625" style="5" bestFit="1" customWidth="1"/>
    <col min="6" max="6" width="6.28515625" bestFit="1" customWidth="1"/>
  </cols>
  <sheetData>
    <row r="1" spans="1:7">
      <c r="A1" s="1" t="s">
        <v>23</v>
      </c>
      <c r="B1" s="1" t="s">
        <v>25</v>
      </c>
      <c r="C1" s="1" t="s">
        <v>26</v>
      </c>
      <c r="D1" s="1" t="s">
        <v>27</v>
      </c>
      <c r="E1" s="2" t="s">
        <v>376</v>
      </c>
      <c r="F1" s="1" t="s">
        <v>1364</v>
      </c>
      <c r="G1" s="1" t="s">
        <v>4653</v>
      </c>
    </row>
    <row r="2" spans="1:7">
      <c r="A2" s="3" t="s">
        <v>509</v>
      </c>
      <c r="B2">
        <v>76074791</v>
      </c>
      <c r="C2">
        <v>3002489</v>
      </c>
      <c r="D2" s="4" t="s">
        <v>4654</v>
      </c>
      <c r="E2" s="5">
        <v>499</v>
      </c>
    </row>
    <row r="3" spans="1:7">
      <c r="A3" s="3" t="s">
        <v>4603</v>
      </c>
      <c r="B3">
        <v>76257049</v>
      </c>
      <c r="C3">
        <v>2002855</v>
      </c>
      <c r="D3" s="4" t="s">
        <v>4654</v>
      </c>
      <c r="E3" s="5">
        <v>499</v>
      </c>
    </row>
    <row r="4" spans="1:7">
      <c r="A4" s="3" t="s">
        <v>2372</v>
      </c>
      <c r="B4">
        <v>76026176</v>
      </c>
      <c r="C4">
        <v>10011</v>
      </c>
      <c r="D4" s="4" t="s">
        <v>4654</v>
      </c>
      <c r="E4" s="5">
        <v>499</v>
      </c>
    </row>
    <row r="5" spans="1:7">
      <c r="A5" s="3" t="s">
        <v>3443</v>
      </c>
      <c r="B5">
        <v>76206439</v>
      </c>
      <c r="C5">
        <v>2000748</v>
      </c>
      <c r="D5" s="4" t="s">
        <v>4654</v>
      </c>
      <c r="E5" s="5">
        <v>499</v>
      </c>
    </row>
    <row r="6" spans="1:7">
      <c r="A6" s="3" t="s">
        <v>3445</v>
      </c>
      <c r="B6">
        <v>76206447</v>
      </c>
      <c r="C6">
        <v>2000755</v>
      </c>
      <c r="D6" s="4" t="s">
        <v>4654</v>
      </c>
      <c r="E6" s="5">
        <v>499</v>
      </c>
    </row>
    <row r="7" spans="1:7">
      <c r="A7" s="3" t="s">
        <v>427</v>
      </c>
      <c r="B7">
        <v>44780001</v>
      </c>
      <c r="C7">
        <v>2502046</v>
      </c>
      <c r="D7" s="4" t="s">
        <v>4654</v>
      </c>
      <c r="E7" s="5">
        <v>499</v>
      </c>
    </row>
    <row r="8" spans="1:7">
      <c r="A8" s="3" t="s">
        <v>500</v>
      </c>
      <c r="B8">
        <v>76072064</v>
      </c>
      <c r="C8">
        <v>2503103</v>
      </c>
      <c r="D8" s="4" t="s">
        <v>4654</v>
      </c>
      <c r="E8" s="5">
        <v>499</v>
      </c>
    </row>
    <row r="9" spans="1:7">
      <c r="A9" s="3" t="s">
        <v>403</v>
      </c>
      <c r="B9">
        <v>9025902</v>
      </c>
      <c r="C9">
        <v>2002697</v>
      </c>
      <c r="D9" s="4" t="s">
        <v>4654</v>
      </c>
      <c r="E9" s="5">
        <v>499</v>
      </c>
    </row>
    <row r="10" spans="1:7">
      <c r="A10" s="3" t="s">
        <v>4158</v>
      </c>
      <c r="B10">
        <v>76233199</v>
      </c>
      <c r="C10">
        <v>3002934</v>
      </c>
      <c r="D10" s="4" t="s">
        <v>4654</v>
      </c>
      <c r="E10" s="5">
        <v>499</v>
      </c>
    </row>
    <row r="11" spans="1:7">
      <c r="A11" s="3" t="s">
        <v>667</v>
      </c>
      <c r="B11">
        <v>76233198</v>
      </c>
      <c r="C11">
        <v>3002958</v>
      </c>
      <c r="D11" s="4" t="s">
        <v>4654</v>
      </c>
      <c r="E11" s="5">
        <v>499</v>
      </c>
    </row>
    <row r="12" spans="1:7">
      <c r="A12" s="3" t="s">
        <v>449</v>
      </c>
      <c r="B12">
        <v>71061453</v>
      </c>
      <c r="C12">
        <v>3002947</v>
      </c>
      <c r="D12" s="4" t="s">
        <v>4654</v>
      </c>
      <c r="E12" s="5">
        <v>499</v>
      </c>
    </row>
    <row r="13" spans="1:7">
      <c r="A13" s="3" t="s">
        <v>602</v>
      </c>
      <c r="B13">
        <v>76216633</v>
      </c>
      <c r="C13">
        <v>2503124</v>
      </c>
      <c r="D13" s="4" t="s">
        <v>4654</v>
      </c>
      <c r="E13" s="5">
        <v>499</v>
      </c>
    </row>
    <row r="14" spans="1:7">
      <c r="A14" s="3" t="s">
        <v>430</v>
      </c>
      <c r="B14">
        <v>45602701</v>
      </c>
      <c r="C14">
        <v>2501852</v>
      </c>
      <c r="D14" s="4" t="s">
        <v>4654</v>
      </c>
      <c r="E14" s="5">
        <v>499</v>
      </c>
    </row>
    <row r="15" spans="1:7">
      <c r="A15" s="3" t="s">
        <v>3545</v>
      </c>
      <c r="B15">
        <v>76209808</v>
      </c>
      <c r="C15">
        <v>2503569</v>
      </c>
      <c r="D15" s="4" t="s">
        <v>4654</v>
      </c>
      <c r="E15" s="5">
        <v>499</v>
      </c>
    </row>
    <row r="16" spans="1:7">
      <c r="A16" s="3" t="s">
        <v>2805</v>
      </c>
      <c r="B16">
        <v>76078918</v>
      </c>
      <c r="C16">
        <v>2500456</v>
      </c>
      <c r="D16" s="4" t="s">
        <v>4654</v>
      </c>
      <c r="E16" s="5">
        <v>499</v>
      </c>
    </row>
    <row r="17" spans="1:5">
      <c r="A17" s="3" t="s">
        <v>2426</v>
      </c>
      <c r="B17">
        <v>76034396</v>
      </c>
      <c r="C17">
        <v>2503573</v>
      </c>
      <c r="D17" s="4" t="s">
        <v>4654</v>
      </c>
      <c r="E17" s="5">
        <v>499</v>
      </c>
    </row>
    <row r="18" spans="1:5">
      <c r="A18" s="3" t="s">
        <v>2779</v>
      </c>
      <c r="B18">
        <v>76075567</v>
      </c>
      <c r="C18">
        <v>3131</v>
      </c>
      <c r="D18" s="4" t="s">
        <v>4654</v>
      </c>
      <c r="E18" s="5">
        <v>499</v>
      </c>
    </row>
    <row r="19" spans="1:5">
      <c r="A19" s="3" t="s">
        <v>611</v>
      </c>
      <c r="B19">
        <v>76217262</v>
      </c>
      <c r="C19">
        <v>2501434</v>
      </c>
      <c r="D19" s="4" t="s">
        <v>4654</v>
      </c>
      <c r="E19" s="5">
        <v>499</v>
      </c>
    </row>
    <row r="20" spans="1:5">
      <c r="A20" s="3" t="s">
        <v>4140</v>
      </c>
      <c r="B20">
        <v>76232056</v>
      </c>
      <c r="C20">
        <v>2502589</v>
      </c>
      <c r="D20" s="4" t="s">
        <v>4654</v>
      </c>
      <c r="E20" s="5">
        <v>499</v>
      </c>
    </row>
    <row r="21" spans="1:5">
      <c r="A21" s="3" t="s">
        <v>515</v>
      </c>
      <c r="B21">
        <v>76135790</v>
      </c>
      <c r="C21">
        <v>2503496</v>
      </c>
      <c r="D21" s="4" t="s">
        <v>4654</v>
      </c>
      <c r="E21" s="5">
        <v>499</v>
      </c>
    </row>
    <row r="22" spans="1:5">
      <c r="A22" s="3" t="s">
        <v>524</v>
      </c>
      <c r="B22">
        <v>76144136</v>
      </c>
      <c r="C22">
        <v>3002895</v>
      </c>
      <c r="D22" s="4" t="s">
        <v>4654</v>
      </c>
      <c r="E22" s="5">
        <v>499</v>
      </c>
    </row>
    <row r="23" spans="1:5">
      <c r="A23" s="3" t="s">
        <v>2649</v>
      </c>
      <c r="B23">
        <v>76063135</v>
      </c>
      <c r="C23">
        <v>2001667</v>
      </c>
      <c r="D23" s="4" t="s">
        <v>4654</v>
      </c>
      <c r="E23" s="5">
        <v>499</v>
      </c>
    </row>
    <row r="24" spans="1:5">
      <c r="A24" s="3" t="s">
        <v>470</v>
      </c>
      <c r="B24">
        <v>76036160</v>
      </c>
      <c r="C24">
        <v>9014</v>
      </c>
      <c r="D24" s="4" t="s">
        <v>4654</v>
      </c>
      <c r="E24" s="5">
        <v>499</v>
      </c>
    </row>
    <row r="25" spans="1:5">
      <c r="A25" s="3" t="s">
        <v>536</v>
      </c>
      <c r="B25">
        <v>76159913</v>
      </c>
      <c r="C25">
        <v>2500592</v>
      </c>
      <c r="D25" s="4" t="s">
        <v>4654</v>
      </c>
      <c r="E25" s="5">
        <v>499</v>
      </c>
    </row>
    <row r="26" spans="1:5">
      <c r="A26" s="3" t="s">
        <v>397</v>
      </c>
      <c r="B26">
        <v>1326145</v>
      </c>
      <c r="C26">
        <v>2500576</v>
      </c>
      <c r="D26" s="4" t="s">
        <v>4654</v>
      </c>
      <c r="E26" s="5">
        <v>499</v>
      </c>
    </row>
    <row r="27" spans="1:5">
      <c r="A27" s="3" t="s">
        <v>560</v>
      </c>
      <c r="B27">
        <v>76180102</v>
      </c>
      <c r="C27">
        <v>2502528</v>
      </c>
      <c r="D27" s="4" t="s">
        <v>4654</v>
      </c>
      <c r="E27" s="5">
        <v>499</v>
      </c>
    </row>
    <row r="28" spans="1:5">
      <c r="A28" s="3" t="s">
        <v>4240</v>
      </c>
      <c r="B28">
        <v>76235265</v>
      </c>
      <c r="C28">
        <v>2002561</v>
      </c>
      <c r="D28" s="4" t="s">
        <v>4654</v>
      </c>
      <c r="E28" s="5">
        <v>499</v>
      </c>
    </row>
    <row r="29" spans="1:5">
      <c r="A29" s="3" t="s">
        <v>590</v>
      </c>
      <c r="B29">
        <v>76210834</v>
      </c>
      <c r="C29">
        <v>3002830</v>
      </c>
      <c r="D29" s="4" t="s">
        <v>4654</v>
      </c>
      <c r="E29" s="5">
        <v>499</v>
      </c>
    </row>
    <row r="30" spans="1:5">
      <c r="A30" s="3" t="s">
        <v>2116</v>
      </c>
      <c r="B30">
        <v>71048539</v>
      </c>
      <c r="C30">
        <v>3001338</v>
      </c>
      <c r="D30" s="4" t="s">
        <v>4654</v>
      </c>
      <c r="E30" s="5">
        <v>499</v>
      </c>
    </row>
    <row r="31" spans="1:5">
      <c r="A31" s="3" t="s">
        <v>2142</v>
      </c>
      <c r="B31">
        <v>71052266</v>
      </c>
      <c r="C31">
        <v>2503552</v>
      </c>
      <c r="D31" s="4" t="s">
        <v>4654</v>
      </c>
      <c r="E31" s="5">
        <v>499</v>
      </c>
    </row>
    <row r="32" spans="1:5">
      <c r="A32" s="3" t="s">
        <v>3905</v>
      </c>
      <c r="B32">
        <v>76226228</v>
      </c>
      <c r="C32">
        <v>2001934</v>
      </c>
      <c r="D32" s="4" t="s">
        <v>4654</v>
      </c>
      <c r="E32" s="5">
        <v>499</v>
      </c>
    </row>
    <row r="33" spans="1:5">
      <c r="A33" s="3" t="s">
        <v>3041</v>
      </c>
      <c r="B33">
        <v>76162825</v>
      </c>
      <c r="C33">
        <v>2002165</v>
      </c>
      <c r="D33" s="4" t="s">
        <v>4654</v>
      </c>
      <c r="E33" s="5">
        <v>499</v>
      </c>
    </row>
    <row r="34" spans="1:5">
      <c r="A34" s="3" t="s">
        <v>718</v>
      </c>
      <c r="B34">
        <v>76257108</v>
      </c>
      <c r="C34">
        <v>3000642</v>
      </c>
      <c r="D34" s="4" t="s">
        <v>4654</v>
      </c>
      <c r="E34" s="5">
        <v>499</v>
      </c>
    </row>
    <row r="35" spans="1:5">
      <c r="A35" s="3" t="s">
        <v>727</v>
      </c>
      <c r="B35">
        <v>97000001</v>
      </c>
      <c r="C35">
        <v>2500664</v>
      </c>
      <c r="D35" s="4" t="s">
        <v>4654</v>
      </c>
      <c r="E35" s="5">
        <v>499</v>
      </c>
    </row>
    <row r="36" spans="1:5">
      <c r="A36" s="3" t="s">
        <v>464</v>
      </c>
      <c r="B36">
        <v>76032748</v>
      </c>
      <c r="C36">
        <v>3002949</v>
      </c>
      <c r="D36" s="4" t="s">
        <v>4654</v>
      </c>
      <c r="E36" s="5">
        <v>499</v>
      </c>
    </row>
    <row r="37" spans="1:5">
      <c r="A37" s="3" t="s">
        <v>2643</v>
      </c>
      <c r="B37">
        <v>76061499</v>
      </c>
      <c r="C37">
        <v>12028</v>
      </c>
      <c r="D37" s="4" t="s">
        <v>4654</v>
      </c>
      <c r="E37" s="5">
        <v>499</v>
      </c>
    </row>
    <row r="38" spans="1:5">
      <c r="A38" s="3" t="s">
        <v>473</v>
      </c>
      <c r="B38">
        <v>76037591</v>
      </c>
      <c r="C38">
        <v>6091</v>
      </c>
      <c r="D38" s="4" t="s">
        <v>4654</v>
      </c>
      <c r="E38" s="5">
        <v>499</v>
      </c>
    </row>
    <row r="39" spans="1:5">
      <c r="A39" s="3" t="s">
        <v>682</v>
      </c>
      <c r="B39">
        <v>76241159</v>
      </c>
      <c r="C39">
        <v>3001147</v>
      </c>
      <c r="D39" s="4" t="s">
        <v>4654</v>
      </c>
      <c r="E39" s="5">
        <v>499</v>
      </c>
    </row>
    <row r="40" spans="1:5">
      <c r="A40" s="3" t="s">
        <v>3785</v>
      </c>
      <c r="B40">
        <v>76221166</v>
      </c>
      <c r="C40">
        <v>2002176</v>
      </c>
      <c r="D40" s="4" t="s">
        <v>4654</v>
      </c>
      <c r="E40" s="5">
        <v>499</v>
      </c>
    </row>
    <row r="41" spans="1:5">
      <c r="A41" s="3" t="s">
        <v>382</v>
      </c>
      <c r="B41">
        <v>1012202</v>
      </c>
      <c r="C41">
        <v>3001510</v>
      </c>
      <c r="D41" s="4" t="s">
        <v>4654</v>
      </c>
      <c r="E41" s="5">
        <v>499</v>
      </c>
    </row>
    <row r="42" spans="1:5">
      <c r="A42" s="3" t="s">
        <v>379</v>
      </c>
      <c r="B42">
        <v>1012201</v>
      </c>
      <c r="C42">
        <v>3001502</v>
      </c>
      <c r="D42" s="4" t="s">
        <v>4654</v>
      </c>
      <c r="E42" s="5">
        <v>499</v>
      </c>
    </row>
    <row r="43" spans="1:5">
      <c r="A43" s="3" t="s">
        <v>494</v>
      </c>
      <c r="B43">
        <v>76043468</v>
      </c>
      <c r="C43">
        <v>2001550</v>
      </c>
      <c r="D43" s="4" t="s">
        <v>4654</v>
      </c>
      <c r="E43" s="5">
        <v>499</v>
      </c>
    </row>
    <row r="44" spans="1:5">
      <c r="A44" s="3" t="s">
        <v>521</v>
      </c>
      <c r="B44">
        <v>76143376</v>
      </c>
      <c r="C44">
        <v>3001863</v>
      </c>
      <c r="D44" s="4" t="s">
        <v>4654</v>
      </c>
      <c r="E44" s="5">
        <v>499</v>
      </c>
    </row>
    <row r="45" spans="1:5">
      <c r="A45" s="3" t="s">
        <v>569</v>
      </c>
      <c r="B45">
        <v>76187537</v>
      </c>
      <c r="C45">
        <v>10143</v>
      </c>
      <c r="D45" s="4" t="s">
        <v>4654</v>
      </c>
      <c r="E45" s="5">
        <v>499</v>
      </c>
    </row>
    <row r="46" spans="1:5">
      <c r="A46" s="3" t="s">
        <v>2026</v>
      </c>
      <c r="B46">
        <v>71040312</v>
      </c>
      <c r="C46">
        <v>4150</v>
      </c>
      <c r="D46" s="4" t="s">
        <v>4654</v>
      </c>
      <c r="E46" s="5">
        <v>499</v>
      </c>
    </row>
    <row r="47" spans="1:5">
      <c r="A47" s="3" t="s">
        <v>700</v>
      </c>
      <c r="B47">
        <v>76251423</v>
      </c>
      <c r="C47">
        <v>3002946</v>
      </c>
      <c r="D47" s="4" t="s">
        <v>4654</v>
      </c>
      <c r="E47" s="5">
        <v>499</v>
      </c>
    </row>
    <row r="48" spans="1:5">
      <c r="A48" s="3" t="s">
        <v>709</v>
      </c>
      <c r="B48">
        <v>76252738</v>
      </c>
      <c r="C48">
        <v>3002944</v>
      </c>
      <c r="D48" s="4" t="s">
        <v>4654</v>
      </c>
      <c r="E48" s="5">
        <v>499</v>
      </c>
    </row>
    <row r="49" spans="1:5">
      <c r="A49" s="3" t="s">
        <v>712</v>
      </c>
      <c r="B49">
        <v>76252740</v>
      </c>
      <c r="C49">
        <v>3002948</v>
      </c>
      <c r="D49" s="4" t="s">
        <v>4654</v>
      </c>
      <c r="E49" s="5">
        <v>499</v>
      </c>
    </row>
    <row r="50" spans="1:5">
      <c r="A50" s="3" t="s">
        <v>406</v>
      </c>
      <c r="B50">
        <v>13498058</v>
      </c>
      <c r="C50">
        <v>3365</v>
      </c>
      <c r="D50" s="4" t="s">
        <v>4654</v>
      </c>
      <c r="E50" s="5">
        <v>499</v>
      </c>
    </row>
    <row r="51" spans="1:5">
      <c r="A51" s="3" t="s">
        <v>2340</v>
      </c>
      <c r="B51">
        <v>76023577</v>
      </c>
      <c r="C51">
        <v>3001713</v>
      </c>
      <c r="D51" s="4" t="s">
        <v>4654</v>
      </c>
      <c r="E51" s="5">
        <v>499</v>
      </c>
    </row>
    <row r="52" spans="1:5">
      <c r="A52" s="3" t="s">
        <v>688</v>
      </c>
      <c r="B52">
        <v>76241605</v>
      </c>
      <c r="C52">
        <v>2001100</v>
      </c>
      <c r="D52" s="4" t="s">
        <v>4654</v>
      </c>
      <c r="E52" s="5">
        <v>499</v>
      </c>
    </row>
    <row r="53" spans="1:5">
      <c r="A53" s="3" t="s">
        <v>593</v>
      </c>
      <c r="B53">
        <v>76211772</v>
      </c>
      <c r="C53">
        <v>3002899</v>
      </c>
      <c r="D53" s="4" t="s">
        <v>4654</v>
      </c>
      <c r="E53" s="5">
        <v>499</v>
      </c>
    </row>
    <row r="54" spans="1:5">
      <c r="A54" s="3" t="s">
        <v>476</v>
      </c>
      <c r="B54">
        <v>76038422</v>
      </c>
      <c r="C54">
        <v>2500295</v>
      </c>
      <c r="D54" s="4" t="s">
        <v>4654</v>
      </c>
      <c r="E54" s="5">
        <v>499</v>
      </c>
    </row>
    <row r="55" spans="1:5">
      <c r="A55" s="3" t="s">
        <v>3125</v>
      </c>
      <c r="B55">
        <v>76171174</v>
      </c>
      <c r="C55">
        <v>2000092</v>
      </c>
      <c r="D55" s="4" t="s">
        <v>4654</v>
      </c>
      <c r="E55" s="5">
        <v>499</v>
      </c>
    </row>
    <row r="56" spans="1:5">
      <c r="A56" s="3" t="s">
        <v>467</v>
      </c>
      <c r="B56">
        <v>76036137</v>
      </c>
      <c r="C56">
        <v>2501825</v>
      </c>
      <c r="D56" s="4" t="s">
        <v>4654</v>
      </c>
      <c r="E56" s="5">
        <v>499</v>
      </c>
    </row>
    <row r="57" spans="1:5">
      <c r="A57" s="3" t="s">
        <v>424</v>
      </c>
      <c r="B57">
        <v>25300610</v>
      </c>
      <c r="C57">
        <v>3002945</v>
      </c>
      <c r="D57" s="4" t="s">
        <v>4654</v>
      </c>
      <c r="E57" s="5">
        <v>499</v>
      </c>
    </row>
    <row r="58" spans="1:5">
      <c r="A58" s="3" t="s">
        <v>503</v>
      </c>
      <c r="B58">
        <v>76073131</v>
      </c>
      <c r="C58">
        <v>143062</v>
      </c>
      <c r="D58" s="4" t="s">
        <v>4654</v>
      </c>
      <c r="E58" s="5">
        <v>499</v>
      </c>
    </row>
    <row r="59" spans="1:5">
      <c r="A59" s="3" t="s">
        <v>575</v>
      </c>
      <c r="B59">
        <v>76204394</v>
      </c>
      <c r="C59">
        <v>2503164</v>
      </c>
      <c r="D59" s="4" t="s">
        <v>4654</v>
      </c>
      <c r="E59" s="5">
        <v>499</v>
      </c>
    </row>
    <row r="60" spans="1:5">
      <c r="A60" s="3" t="s">
        <v>2703</v>
      </c>
      <c r="B60">
        <v>76066680</v>
      </c>
      <c r="C60">
        <v>2503609</v>
      </c>
      <c r="D60" s="4" t="s">
        <v>4654</v>
      </c>
      <c r="E60" s="5">
        <v>499</v>
      </c>
    </row>
    <row r="61" spans="1:5">
      <c r="A61" s="3" t="s">
        <v>539</v>
      </c>
      <c r="B61">
        <v>76164480</v>
      </c>
      <c r="C61">
        <v>2000978</v>
      </c>
      <c r="D61" s="4" t="s">
        <v>4654</v>
      </c>
      <c r="E61" s="5">
        <v>499</v>
      </c>
    </row>
    <row r="62" spans="1:5">
      <c r="A62" s="3" t="s">
        <v>2787</v>
      </c>
      <c r="B62">
        <v>76076543</v>
      </c>
      <c r="C62">
        <v>1500222</v>
      </c>
      <c r="D62" s="4" t="s">
        <v>4654</v>
      </c>
      <c r="E62" s="5">
        <v>499</v>
      </c>
    </row>
    <row r="63" spans="1:5">
      <c r="A63" s="3" t="s">
        <v>572</v>
      </c>
      <c r="B63">
        <v>76188296</v>
      </c>
      <c r="C63">
        <v>3001076</v>
      </c>
      <c r="D63" s="4" t="s">
        <v>4654</v>
      </c>
      <c r="E63" s="5">
        <v>499</v>
      </c>
    </row>
    <row r="64" spans="1:5">
      <c r="A64" s="3" t="s">
        <v>566</v>
      </c>
      <c r="B64">
        <v>76181513</v>
      </c>
      <c r="C64">
        <v>3001083</v>
      </c>
      <c r="D64" s="4" t="s">
        <v>4654</v>
      </c>
      <c r="E64" s="5">
        <v>499</v>
      </c>
    </row>
    <row r="65" spans="1:5">
      <c r="A65" s="3" t="s">
        <v>2741</v>
      </c>
      <c r="B65">
        <v>76072230</v>
      </c>
      <c r="C65">
        <v>2000509</v>
      </c>
      <c r="D65" s="4" t="s">
        <v>4654</v>
      </c>
      <c r="E65" s="5">
        <v>499</v>
      </c>
    </row>
    <row r="66" spans="1:5">
      <c r="A66" s="3" t="s">
        <v>533</v>
      </c>
      <c r="B66">
        <v>76159225</v>
      </c>
      <c r="C66">
        <v>2502115</v>
      </c>
      <c r="D66" s="4" t="s">
        <v>4654</v>
      </c>
      <c r="E66" s="5">
        <v>499</v>
      </c>
    </row>
    <row r="67" spans="1:5">
      <c r="A67" s="3" t="s">
        <v>3151</v>
      </c>
      <c r="B67">
        <v>76172751</v>
      </c>
      <c r="C67">
        <v>3000979</v>
      </c>
      <c r="D67" s="4" t="s">
        <v>4654</v>
      </c>
      <c r="E67" s="5">
        <v>499</v>
      </c>
    </row>
    <row r="68" spans="1:5">
      <c r="A68" s="3" t="s">
        <v>418</v>
      </c>
      <c r="B68">
        <v>25212501</v>
      </c>
      <c r="C68">
        <v>6024</v>
      </c>
      <c r="D68" s="4" t="s">
        <v>4654</v>
      </c>
      <c r="E68" s="5">
        <v>499</v>
      </c>
    </row>
    <row r="69" spans="1:5">
      <c r="A69" s="3" t="s">
        <v>2586</v>
      </c>
      <c r="B69">
        <v>76055894</v>
      </c>
      <c r="C69">
        <v>2502435</v>
      </c>
      <c r="D69" s="4" t="s">
        <v>4654</v>
      </c>
      <c r="E69" s="5">
        <v>499</v>
      </c>
    </row>
    <row r="70" spans="1:5">
      <c r="A70" s="3" t="s">
        <v>676</v>
      </c>
      <c r="B70">
        <v>76236503</v>
      </c>
      <c r="C70">
        <v>3002961</v>
      </c>
      <c r="D70" s="4" t="s">
        <v>4654</v>
      </c>
      <c r="E70" s="5">
        <v>499</v>
      </c>
    </row>
    <row r="71" spans="1:5">
      <c r="D71" s="4"/>
      <c r="E71" s="6">
        <f>SUM(E2:E70)</f>
        <v>34431</v>
      </c>
    </row>
    <row r="72" spans="1:5">
      <c r="D72" s="4"/>
    </row>
    <row r="73" spans="1:5">
      <c r="A73" s="3" t="s">
        <v>509</v>
      </c>
      <c r="B73">
        <v>76074791</v>
      </c>
      <c r="C73">
        <v>3002489</v>
      </c>
      <c r="D73" s="7" t="s">
        <v>39</v>
      </c>
      <c r="E73" s="5">
        <v>300</v>
      </c>
    </row>
    <row r="74" spans="1:5">
      <c r="A74" s="3" t="s">
        <v>4603</v>
      </c>
      <c r="B74">
        <v>76257049</v>
      </c>
      <c r="C74">
        <v>2002855</v>
      </c>
      <c r="D74" s="7" t="s">
        <v>39</v>
      </c>
      <c r="E74" s="5">
        <v>150</v>
      </c>
    </row>
    <row r="75" spans="1:5">
      <c r="A75" s="3" t="s">
        <v>2372</v>
      </c>
      <c r="B75">
        <v>76026176</v>
      </c>
      <c r="C75">
        <v>10011</v>
      </c>
      <c r="D75" s="7" t="s">
        <v>39</v>
      </c>
      <c r="E75" s="5">
        <v>280</v>
      </c>
    </row>
    <row r="76" spans="1:5">
      <c r="A76" s="3" t="s">
        <v>3443</v>
      </c>
      <c r="B76">
        <v>76206439</v>
      </c>
      <c r="C76">
        <v>2000748</v>
      </c>
      <c r="D76" s="7" t="s">
        <v>39</v>
      </c>
      <c r="E76" s="5">
        <v>160</v>
      </c>
    </row>
    <row r="77" spans="1:5">
      <c r="A77" s="3" t="s">
        <v>3445</v>
      </c>
      <c r="B77">
        <v>76206447</v>
      </c>
      <c r="C77">
        <v>2000755</v>
      </c>
      <c r="D77" s="7" t="s">
        <v>39</v>
      </c>
      <c r="E77" s="5">
        <v>160</v>
      </c>
    </row>
    <row r="78" spans="1:5">
      <c r="A78" s="3" t="s">
        <v>427</v>
      </c>
      <c r="B78">
        <v>44780001</v>
      </c>
      <c r="C78">
        <v>2502046</v>
      </c>
      <c r="D78" s="7" t="s">
        <v>39</v>
      </c>
      <c r="E78" s="5">
        <v>90</v>
      </c>
    </row>
    <row r="79" spans="1:5">
      <c r="A79" s="3" t="s">
        <v>500</v>
      </c>
      <c r="B79">
        <v>76072064</v>
      </c>
      <c r="C79">
        <v>2503103</v>
      </c>
      <c r="D79" s="7" t="s">
        <v>39</v>
      </c>
      <c r="E79" s="5">
        <v>110</v>
      </c>
    </row>
    <row r="80" spans="1:5">
      <c r="A80" s="3" t="s">
        <v>403</v>
      </c>
      <c r="B80">
        <v>9025902</v>
      </c>
      <c r="C80">
        <v>2002697</v>
      </c>
      <c r="D80" s="7" t="s">
        <v>39</v>
      </c>
      <c r="E80" s="5">
        <v>160</v>
      </c>
    </row>
    <row r="81" spans="1:5">
      <c r="A81" s="3" t="s">
        <v>4158</v>
      </c>
      <c r="B81">
        <v>76233199</v>
      </c>
      <c r="C81">
        <v>3002934</v>
      </c>
      <c r="D81" s="7" t="s">
        <v>39</v>
      </c>
      <c r="E81" s="5">
        <v>100</v>
      </c>
    </row>
    <row r="82" spans="1:5">
      <c r="A82" s="3" t="s">
        <v>667</v>
      </c>
      <c r="B82">
        <v>76233198</v>
      </c>
      <c r="C82">
        <v>3002958</v>
      </c>
      <c r="D82" s="7" t="s">
        <v>39</v>
      </c>
      <c r="E82" s="5">
        <v>40</v>
      </c>
    </row>
    <row r="83" spans="1:5">
      <c r="A83" s="3" t="s">
        <v>449</v>
      </c>
      <c r="B83">
        <v>71061453</v>
      </c>
      <c r="C83">
        <v>3002947</v>
      </c>
      <c r="D83" s="7" t="s">
        <v>39</v>
      </c>
      <c r="E83" s="5">
        <v>110</v>
      </c>
    </row>
    <row r="84" spans="1:5">
      <c r="A84" s="3" t="s">
        <v>602</v>
      </c>
      <c r="B84">
        <v>76216633</v>
      </c>
      <c r="C84">
        <v>2503124</v>
      </c>
      <c r="D84" s="7" t="s">
        <v>39</v>
      </c>
      <c r="E84" s="5">
        <v>90</v>
      </c>
    </row>
    <row r="85" spans="1:5">
      <c r="A85" s="3" t="s">
        <v>430</v>
      </c>
      <c r="B85">
        <v>45602701</v>
      </c>
      <c r="C85">
        <v>2501852</v>
      </c>
      <c r="D85" s="7" t="s">
        <v>39</v>
      </c>
      <c r="E85" s="5">
        <v>30</v>
      </c>
    </row>
    <row r="86" spans="1:5">
      <c r="A86" s="3" t="s">
        <v>3545</v>
      </c>
      <c r="B86">
        <v>76209808</v>
      </c>
      <c r="C86">
        <v>2503569</v>
      </c>
      <c r="D86" s="7" t="s">
        <v>39</v>
      </c>
      <c r="E86" s="5">
        <v>240</v>
      </c>
    </row>
    <row r="87" spans="1:5">
      <c r="A87" s="3" t="s">
        <v>2805</v>
      </c>
      <c r="B87">
        <v>76078918</v>
      </c>
      <c r="C87">
        <v>2500456</v>
      </c>
      <c r="D87" s="7" t="s">
        <v>39</v>
      </c>
      <c r="E87" s="5">
        <v>300</v>
      </c>
    </row>
    <row r="88" spans="1:5">
      <c r="A88" s="3" t="s">
        <v>2426</v>
      </c>
      <c r="B88">
        <v>76034396</v>
      </c>
      <c r="C88">
        <v>2503573</v>
      </c>
      <c r="D88" s="7" t="s">
        <v>39</v>
      </c>
      <c r="E88" s="5">
        <v>100</v>
      </c>
    </row>
    <row r="89" spans="1:5">
      <c r="A89" s="3" t="s">
        <v>2779</v>
      </c>
      <c r="B89">
        <v>76075567</v>
      </c>
      <c r="C89">
        <v>3131</v>
      </c>
      <c r="D89" s="7" t="s">
        <v>39</v>
      </c>
      <c r="E89" s="5">
        <v>300</v>
      </c>
    </row>
    <row r="90" spans="1:5">
      <c r="A90" s="3" t="s">
        <v>611</v>
      </c>
      <c r="B90">
        <v>76217262</v>
      </c>
      <c r="C90">
        <v>2501434</v>
      </c>
      <c r="D90" s="7" t="s">
        <v>39</v>
      </c>
      <c r="E90" s="5">
        <v>100</v>
      </c>
    </row>
    <row r="91" spans="1:5">
      <c r="A91" s="3" t="s">
        <v>4140</v>
      </c>
      <c r="B91">
        <v>76232056</v>
      </c>
      <c r="C91">
        <v>2502589</v>
      </c>
      <c r="D91" s="7" t="s">
        <v>39</v>
      </c>
      <c r="E91" s="5">
        <v>180</v>
      </c>
    </row>
    <row r="92" spans="1:5">
      <c r="A92" s="3" t="s">
        <v>515</v>
      </c>
      <c r="B92">
        <v>76135790</v>
      </c>
      <c r="C92">
        <v>2503496</v>
      </c>
      <c r="D92" s="7" t="s">
        <v>39</v>
      </c>
      <c r="E92" s="5">
        <v>100</v>
      </c>
    </row>
    <row r="93" spans="1:5">
      <c r="A93" s="3" t="s">
        <v>524</v>
      </c>
      <c r="B93">
        <v>76144136</v>
      </c>
      <c r="C93">
        <v>3002895</v>
      </c>
      <c r="D93" s="7" t="s">
        <v>39</v>
      </c>
      <c r="E93" s="5">
        <v>150</v>
      </c>
    </row>
    <row r="94" spans="1:5">
      <c r="A94" s="3" t="s">
        <v>2649</v>
      </c>
      <c r="B94">
        <v>76063135</v>
      </c>
      <c r="C94">
        <v>2001667</v>
      </c>
      <c r="D94" s="7" t="s">
        <v>39</v>
      </c>
      <c r="E94" s="5">
        <v>300</v>
      </c>
    </row>
    <row r="95" spans="1:5">
      <c r="A95" s="3" t="s">
        <v>470</v>
      </c>
      <c r="B95">
        <v>76036160</v>
      </c>
      <c r="C95">
        <v>9014</v>
      </c>
      <c r="D95" s="7" t="s">
        <v>39</v>
      </c>
      <c r="E95" s="5">
        <v>170</v>
      </c>
    </row>
    <row r="96" spans="1:5">
      <c r="A96" s="3" t="s">
        <v>536</v>
      </c>
      <c r="B96">
        <v>76159913</v>
      </c>
      <c r="C96">
        <v>2500592</v>
      </c>
      <c r="D96" s="7" t="s">
        <v>39</v>
      </c>
      <c r="E96" s="5">
        <v>100</v>
      </c>
    </row>
    <row r="97" spans="1:5">
      <c r="A97" s="3" t="s">
        <v>397</v>
      </c>
      <c r="B97">
        <v>1326145</v>
      </c>
      <c r="C97">
        <v>2500576</v>
      </c>
      <c r="D97" s="7" t="s">
        <v>39</v>
      </c>
      <c r="E97" s="5">
        <v>290</v>
      </c>
    </row>
    <row r="98" spans="1:5">
      <c r="A98" s="3" t="s">
        <v>560</v>
      </c>
      <c r="B98">
        <v>76180102</v>
      </c>
      <c r="C98">
        <v>2502528</v>
      </c>
      <c r="D98" s="7" t="s">
        <v>39</v>
      </c>
      <c r="E98" s="5">
        <v>110</v>
      </c>
    </row>
    <row r="99" spans="1:5">
      <c r="A99" s="3" t="s">
        <v>4240</v>
      </c>
      <c r="B99">
        <v>76235265</v>
      </c>
      <c r="C99">
        <v>2002561</v>
      </c>
      <c r="D99" s="7" t="s">
        <v>39</v>
      </c>
      <c r="E99" s="5">
        <v>230</v>
      </c>
    </row>
    <row r="100" spans="1:5">
      <c r="A100" s="3" t="s">
        <v>590</v>
      </c>
      <c r="B100">
        <v>76210834</v>
      </c>
      <c r="C100">
        <v>3002830</v>
      </c>
      <c r="D100" s="7" t="s">
        <v>39</v>
      </c>
      <c r="E100" s="5">
        <v>240</v>
      </c>
    </row>
    <row r="101" spans="1:5">
      <c r="A101" s="3" t="s">
        <v>2116</v>
      </c>
      <c r="B101">
        <v>71048539</v>
      </c>
      <c r="C101">
        <v>3001338</v>
      </c>
      <c r="D101" s="7" t="s">
        <v>39</v>
      </c>
      <c r="E101" s="5">
        <v>290</v>
      </c>
    </row>
    <row r="102" spans="1:5">
      <c r="A102" s="3" t="s">
        <v>2142</v>
      </c>
      <c r="B102">
        <v>71052266</v>
      </c>
      <c r="C102">
        <v>2503552</v>
      </c>
      <c r="D102" s="7" t="s">
        <v>39</v>
      </c>
      <c r="E102" s="5">
        <v>290</v>
      </c>
    </row>
    <row r="103" spans="1:5">
      <c r="A103" s="3" t="s">
        <v>3905</v>
      </c>
      <c r="B103">
        <v>76226228</v>
      </c>
      <c r="C103">
        <v>2001934</v>
      </c>
      <c r="D103" s="7" t="s">
        <v>39</v>
      </c>
      <c r="E103" s="5">
        <v>220</v>
      </c>
    </row>
    <row r="104" spans="1:5">
      <c r="A104" s="3" t="s">
        <v>3041</v>
      </c>
      <c r="B104">
        <v>76162825</v>
      </c>
      <c r="C104">
        <v>2002165</v>
      </c>
      <c r="D104" s="7" t="s">
        <v>39</v>
      </c>
      <c r="E104" s="5">
        <v>150</v>
      </c>
    </row>
    <row r="105" spans="1:5">
      <c r="A105" s="3" t="s">
        <v>718</v>
      </c>
      <c r="B105">
        <v>76257108</v>
      </c>
      <c r="C105">
        <v>3000642</v>
      </c>
      <c r="D105" s="7" t="s">
        <v>39</v>
      </c>
      <c r="E105" s="5">
        <v>30</v>
      </c>
    </row>
    <row r="106" spans="1:5">
      <c r="A106" s="3" t="s">
        <v>727</v>
      </c>
      <c r="B106">
        <v>97000001</v>
      </c>
      <c r="C106">
        <v>2500664</v>
      </c>
      <c r="D106" s="7" t="s">
        <v>39</v>
      </c>
      <c r="E106" s="5">
        <v>30</v>
      </c>
    </row>
    <row r="107" spans="1:5">
      <c r="A107" s="3" t="s">
        <v>464</v>
      </c>
      <c r="B107">
        <v>76032748</v>
      </c>
      <c r="C107">
        <v>3002949</v>
      </c>
      <c r="D107" s="7" t="s">
        <v>39</v>
      </c>
      <c r="E107" s="5">
        <v>30</v>
      </c>
    </row>
    <row r="108" spans="1:5">
      <c r="A108" s="3" t="s">
        <v>2643</v>
      </c>
      <c r="B108">
        <v>76061499</v>
      </c>
      <c r="C108">
        <v>12028</v>
      </c>
      <c r="D108" s="7" t="s">
        <v>39</v>
      </c>
      <c r="E108" s="5">
        <v>300</v>
      </c>
    </row>
    <row r="109" spans="1:5">
      <c r="A109" s="3" t="s">
        <v>473</v>
      </c>
      <c r="B109">
        <v>76037591</v>
      </c>
      <c r="C109">
        <v>6091</v>
      </c>
      <c r="D109" s="7" t="s">
        <v>39</v>
      </c>
      <c r="E109" s="5">
        <v>160</v>
      </c>
    </row>
    <row r="110" spans="1:5">
      <c r="A110" s="3" t="s">
        <v>682</v>
      </c>
      <c r="B110">
        <v>76241159</v>
      </c>
      <c r="C110">
        <v>3001147</v>
      </c>
      <c r="D110" s="7" t="s">
        <v>39</v>
      </c>
      <c r="E110" s="5">
        <v>100</v>
      </c>
    </row>
    <row r="111" spans="1:5">
      <c r="A111" s="3" t="s">
        <v>3785</v>
      </c>
      <c r="B111">
        <v>76221166</v>
      </c>
      <c r="C111">
        <v>2002176</v>
      </c>
      <c r="D111" s="7" t="s">
        <v>39</v>
      </c>
      <c r="E111" s="5">
        <v>150</v>
      </c>
    </row>
    <row r="112" spans="1:5">
      <c r="A112" s="3" t="s">
        <v>382</v>
      </c>
      <c r="B112">
        <v>1012202</v>
      </c>
      <c r="C112">
        <v>3001510</v>
      </c>
      <c r="D112" s="7" t="s">
        <v>39</v>
      </c>
      <c r="E112" s="5">
        <v>100</v>
      </c>
    </row>
    <row r="113" spans="1:5">
      <c r="A113" s="3" t="s">
        <v>379</v>
      </c>
      <c r="B113">
        <v>1012201</v>
      </c>
      <c r="C113">
        <v>3001502</v>
      </c>
      <c r="D113" s="7" t="s">
        <v>39</v>
      </c>
      <c r="E113" s="5">
        <v>40</v>
      </c>
    </row>
    <row r="114" spans="1:5">
      <c r="A114" s="3" t="s">
        <v>494</v>
      </c>
      <c r="B114">
        <v>76043468</v>
      </c>
      <c r="C114">
        <v>2001550</v>
      </c>
      <c r="D114" s="7" t="s">
        <v>39</v>
      </c>
      <c r="E114" s="5">
        <v>280</v>
      </c>
    </row>
    <row r="115" spans="1:5">
      <c r="A115" s="3" t="s">
        <v>521</v>
      </c>
      <c r="B115">
        <v>76143376</v>
      </c>
      <c r="C115">
        <v>3001863</v>
      </c>
      <c r="D115" s="7" t="s">
        <v>39</v>
      </c>
      <c r="E115" s="5">
        <v>280</v>
      </c>
    </row>
    <row r="116" spans="1:5">
      <c r="A116" s="3" t="s">
        <v>569</v>
      </c>
      <c r="B116">
        <v>76187537</v>
      </c>
      <c r="C116">
        <v>10143</v>
      </c>
      <c r="D116" s="7" t="s">
        <v>39</v>
      </c>
      <c r="E116" s="5">
        <v>280</v>
      </c>
    </row>
    <row r="117" spans="1:5">
      <c r="A117" s="3" t="s">
        <v>2026</v>
      </c>
      <c r="B117">
        <v>71040312</v>
      </c>
      <c r="C117">
        <v>4150</v>
      </c>
      <c r="D117" s="7" t="s">
        <v>39</v>
      </c>
      <c r="E117" s="5">
        <v>180</v>
      </c>
    </row>
    <row r="118" spans="1:5">
      <c r="A118" s="3" t="s">
        <v>700</v>
      </c>
      <c r="B118">
        <v>76251423</v>
      </c>
      <c r="C118">
        <v>3002946</v>
      </c>
      <c r="D118" s="7" t="s">
        <v>39</v>
      </c>
      <c r="E118" s="5">
        <v>30</v>
      </c>
    </row>
    <row r="119" spans="1:5">
      <c r="A119" s="3" t="s">
        <v>709</v>
      </c>
      <c r="B119">
        <v>76252738</v>
      </c>
      <c r="C119">
        <v>3002944</v>
      </c>
      <c r="D119" s="7" t="s">
        <v>39</v>
      </c>
      <c r="E119" s="5">
        <v>90</v>
      </c>
    </row>
    <row r="120" spans="1:5">
      <c r="A120" s="3" t="s">
        <v>712</v>
      </c>
      <c r="B120">
        <v>76252740</v>
      </c>
      <c r="C120">
        <v>3002948</v>
      </c>
      <c r="D120" s="7" t="s">
        <v>39</v>
      </c>
      <c r="E120" s="5">
        <v>30</v>
      </c>
    </row>
    <row r="121" spans="1:5">
      <c r="A121" s="3" t="s">
        <v>406</v>
      </c>
      <c r="B121">
        <v>13498058</v>
      </c>
      <c r="C121">
        <v>3365</v>
      </c>
      <c r="D121" s="7" t="s">
        <v>39</v>
      </c>
      <c r="E121" s="5">
        <v>210</v>
      </c>
    </row>
    <row r="122" spans="1:5">
      <c r="A122" s="3" t="s">
        <v>2340</v>
      </c>
      <c r="B122">
        <v>76023577</v>
      </c>
      <c r="C122">
        <v>3001713</v>
      </c>
      <c r="D122" s="7" t="s">
        <v>39</v>
      </c>
      <c r="E122" s="5">
        <v>170</v>
      </c>
    </row>
    <row r="123" spans="1:5">
      <c r="A123" s="3" t="s">
        <v>688</v>
      </c>
      <c r="B123">
        <v>76241605</v>
      </c>
      <c r="C123">
        <v>2001100</v>
      </c>
      <c r="D123" s="7" t="s">
        <v>39</v>
      </c>
      <c r="E123" s="5">
        <v>90</v>
      </c>
    </row>
    <row r="124" spans="1:5">
      <c r="A124" s="3" t="s">
        <v>593</v>
      </c>
      <c r="B124">
        <v>76211772</v>
      </c>
      <c r="C124">
        <v>3002899</v>
      </c>
      <c r="D124" s="7" t="s">
        <v>39</v>
      </c>
      <c r="E124" s="5">
        <v>30</v>
      </c>
    </row>
    <row r="125" spans="1:5">
      <c r="A125" s="3" t="s">
        <v>476</v>
      </c>
      <c r="B125">
        <v>76038422</v>
      </c>
      <c r="C125">
        <v>2500295</v>
      </c>
      <c r="D125" s="7" t="s">
        <v>39</v>
      </c>
      <c r="E125" s="5">
        <v>300</v>
      </c>
    </row>
    <row r="126" spans="1:5">
      <c r="A126" s="3" t="s">
        <v>3125</v>
      </c>
      <c r="B126">
        <v>76171174</v>
      </c>
      <c r="C126">
        <v>2000092</v>
      </c>
      <c r="D126" s="7" t="s">
        <v>39</v>
      </c>
      <c r="E126" s="5">
        <v>160</v>
      </c>
    </row>
    <row r="127" spans="1:5">
      <c r="A127" s="3" t="s">
        <v>467</v>
      </c>
      <c r="B127">
        <v>76036137</v>
      </c>
      <c r="C127">
        <v>2501825</v>
      </c>
      <c r="D127" s="7" t="s">
        <v>39</v>
      </c>
      <c r="E127" s="5">
        <v>90</v>
      </c>
    </row>
    <row r="128" spans="1:5">
      <c r="A128" s="3" t="s">
        <v>424</v>
      </c>
      <c r="B128">
        <v>25300610</v>
      </c>
      <c r="C128">
        <v>3002945</v>
      </c>
      <c r="D128" s="7" t="s">
        <v>39</v>
      </c>
      <c r="E128" s="5">
        <v>40</v>
      </c>
    </row>
    <row r="129" spans="1:7">
      <c r="A129" s="3" t="s">
        <v>503</v>
      </c>
      <c r="B129">
        <v>76073131</v>
      </c>
      <c r="C129">
        <v>143062</v>
      </c>
      <c r="D129" s="7" t="s">
        <v>39</v>
      </c>
      <c r="E129" s="5">
        <v>160</v>
      </c>
    </row>
    <row r="130" spans="1:7">
      <c r="A130" s="3" t="s">
        <v>575</v>
      </c>
      <c r="B130">
        <v>76204394</v>
      </c>
      <c r="C130">
        <v>2503164</v>
      </c>
      <c r="D130" s="7" t="s">
        <v>39</v>
      </c>
      <c r="E130" s="5">
        <v>160</v>
      </c>
    </row>
    <row r="131" spans="1:7">
      <c r="A131" s="3" t="s">
        <v>2703</v>
      </c>
      <c r="B131">
        <v>76066680</v>
      </c>
      <c r="C131">
        <v>2503609</v>
      </c>
      <c r="D131" s="7" t="s">
        <v>39</v>
      </c>
      <c r="E131" s="5">
        <v>230</v>
      </c>
    </row>
    <row r="132" spans="1:7">
      <c r="A132" s="3" t="s">
        <v>539</v>
      </c>
      <c r="B132">
        <v>76164480</v>
      </c>
      <c r="C132">
        <v>2000978</v>
      </c>
      <c r="D132" s="7" t="s">
        <v>39</v>
      </c>
      <c r="E132" s="5">
        <v>210</v>
      </c>
    </row>
    <row r="133" spans="1:7">
      <c r="A133" s="3" t="s">
        <v>2787</v>
      </c>
      <c r="B133">
        <v>76076543</v>
      </c>
      <c r="C133">
        <v>1500222</v>
      </c>
      <c r="D133" s="7" t="s">
        <v>39</v>
      </c>
      <c r="E133" s="5">
        <v>30</v>
      </c>
    </row>
    <row r="134" spans="1:7">
      <c r="A134" s="3" t="s">
        <v>572</v>
      </c>
      <c r="B134">
        <v>76188296</v>
      </c>
      <c r="C134">
        <v>3001076</v>
      </c>
      <c r="D134" s="7" t="s">
        <v>39</v>
      </c>
      <c r="E134" s="5">
        <v>170</v>
      </c>
    </row>
    <row r="135" spans="1:7">
      <c r="A135" s="3" t="s">
        <v>566</v>
      </c>
      <c r="B135">
        <v>76181513</v>
      </c>
      <c r="C135">
        <v>3001083</v>
      </c>
      <c r="D135" s="7" t="s">
        <v>39</v>
      </c>
      <c r="E135" s="5">
        <v>40</v>
      </c>
    </row>
    <row r="136" spans="1:7">
      <c r="A136" s="3" t="s">
        <v>2741</v>
      </c>
      <c r="B136">
        <v>76072230</v>
      </c>
      <c r="C136">
        <v>2000509</v>
      </c>
      <c r="D136" s="7" t="s">
        <v>39</v>
      </c>
      <c r="E136" s="5">
        <v>210</v>
      </c>
    </row>
    <row r="137" spans="1:7">
      <c r="A137" s="3" t="s">
        <v>533</v>
      </c>
      <c r="B137">
        <v>76159225</v>
      </c>
      <c r="C137">
        <v>2502115</v>
      </c>
      <c r="D137" s="7" t="s">
        <v>39</v>
      </c>
      <c r="E137" s="5">
        <v>90</v>
      </c>
    </row>
    <row r="138" spans="1:7">
      <c r="A138" s="3" t="s">
        <v>3151</v>
      </c>
      <c r="B138">
        <v>76172751</v>
      </c>
      <c r="C138">
        <v>3000979</v>
      </c>
      <c r="D138" s="7" t="s">
        <v>39</v>
      </c>
      <c r="E138" s="5">
        <v>280</v>
      </c>
    </row>
    <row r="139" spans="1:7">
      <c r="A139" s="3" t="s">
        <v>418</v>
      </c>
      <c r="B139">
        <v>25212501</v>
      </c>
      <c r="C139">
        <v>6024</v>
      </c>
      <c r="D139" s="7" t="s">
        <v>39</v>
      </c>
      <c r="E139" s="5">
        <v>170</v>
      </c>
    </row>
    <row r="140" spans="1:7">
      <c r="A140" s="3" t="s">
        <v>2586</v>
      </c>
      <c r="B140">
        <v>76055894</v>
      </c>
      <c r="C140">
        <v>2502435</v>
      </c>
      <c r="D140" s="7" t="s">
        <v>39</v>
      </c>
      <c r="E140" s="5">
        <v>210</v>
      </c>
    </row>
    <row r="141" spans="1:7">
      <c r="A141" s="3" t="s">
        <v>676</v>
      </c>
      <c r="B141">
        <v>76236503</v>
      </c>
      <c r="C141">
        <v>3002961</v>
      </c>
      <c r="D141" s="7" t="s">
        <v>39</v>
      </c>
      <c r="E141" s="5">
        <v>30</v>
      </c>
    </row>
    <row r="142" spans="1:7">
      <c r="D142" s="7"/>
      <c r="E142" s="6">
        <f>SUM(E73:E141)</f>
        <v>10830</v>
      </c>
    </row>
    <row r="143" spans="1:7">
      <c r="D143" s="7"/>
    </row>
    <row r="144" spans="1:7">
      <c r="A144" s="3" t="s">
        <v>509</v>
      </c>
      <c r="B144">
        <v>76074791</v>
      </c>
      <c r="C144">
        <v>3002489</v>
      </c>
      <c r="D144" s="7" t="s">
        <v>729</v>
      </c>
      <c r="E144" s="5">
        <v>200</v>
      </c>
      <c r="G144">
        <f>VLOOKUP(B144,'April Prorated Invoice-BLG Site'!$C:$F,1,0)</f>
        <v>76074791</v>
      </c>
    </row>
    <row r="145" spans="1:7">
      <c r="A145" s="3" t="s">
        <v>4603</v>
      </c>
      <c r="B145">
        <v>76257049</v>
      </c>
      <c r="C145">
        <v>2002855</v>
      </c>
      <c r="D145" s="7" t="s">
        <v>729</v>
      </c>
      <c r="E145" s="5">
        <v>100</v>
      </c>
      <c r="G145" t="e">
        <f>VLOOKUP(B145,'April Prorated Invoice-BLG Site'!$C:$F,1,0)</f>
        <v>#N/A</v>
      </c>
    </row>
    <row r="146" spans="1:7">
      <c r="A146" s="3" t="s">
        <v>2372</v>
      </c>
      <c r="B146">
        <v>76026176</v>
      </c>
      <c r="C146">
        <v>10011</v>
      </c>
      <c r="D146" s="7" t="s">
        <v>729</v>
      </c>
      <c r="E146" s="5">
        <v>186.67</v>
      </c>
      <c r="G146" t="e">
        <f>VLOOKUP(B146,'April Prorated Invoice-BLG Site'!$C:$F,1,0)</f>
        <v>#N/A</v>
      </c>
    </row>
    <row r="147" spans="1:7">
      <c r="A147" s="3" t="s">
        <v>3443</v>
      </c>
      <c r="B147">
        <v>76206439</v>
      </c>
      <c r="C147">
        <v>2000748</v>
      </c>
      <c r="D147" s="7" t="s">
        <v>729</v>
      </c>
      <c r="E147" s="5">
        <v>106.67</v>
      </c>
      <c r="G147" t="e">
        <f>VLOOKUP(B147,'April Prorated Invoice-BLG Site'!$C:$F,1,0)</f>
        <v>#N/A</v>
      </c>
    </row>
    <row r="148" spans="1:7">
      <c r="A148" s="3" t="s">
        <v>3445</v>
      </c>
      <c r="B148">
        <v>76206447</v>
      </c>
      <c r="C148">
        <v>2000755</v>
      </c>
      <c r="D148" s="7" t="s">
        <v>729</v>
      </c>
      <c r="E148" s="5">
        <v>106.67</v>
      </c>
      <c r="G148" t="e">
        <f>VLOOKUP(B148,'April Prorated Invoice-BLG Site'!$C:$F,1,0)</f>
        <v>#N/A</v>
      </c>
    </row>
    <row r="149" spans="1:7">
      <c r="A149" s="3" t="s">
        <v>427</v>
      </c>
      <c r="B149">
        <v>44780001</v>
      </c>
      <c r="C149">
        <v>2502046</v>
      </c>
      <c r="D149" s="7" t="s">
        <v>729</v>
      </c>
      <c r="E149" s="5">
        <v>60</v>
      </c>
      <c r="G149">
        <f>VLOOKUP(B149,'April Prorated Invoice-BLG Site'!$C:$F,1,0)</f>
        <v>44780001</v>
      </c>
    </row>
    <row r="150" spans="1:7">
      <c r="A150" s="3" t="s">
        <v>500</v>
      </c>
      <c r="B150">
        <v>76072064</v>
      </c>
      <c r="C150">
        <v>2503103</v>
      </c>
      <c r="D150" s="7" t="s">
        <v>729</v>
      </c>
      <c r="E150" s="5">
        <v>73.33</v>
      </c>
      <c r="G150">
        <f>VLOOKUP(B150,'April Prorated Invoice-BLG Site'!$C:$F,1,0)</f>
        <v>76072064</v>
      </c>
    </row>
    <row r="151" spans="1:7">
      <c r="A151" s="3" t="s">
        <v>403</v>
      </c>
      <c r="B151">
        <v>9025902</v>
      </c>
      <c r="C151">
        <v>2002697</v>
      </c>
      <c r="D151" s="7" t="s">
        <v>729</v>
      </c>
      <c r="E151" s="5">
        <v>106.67</v>
      </c>
      <c r="G151">
        <f>VLOOKUP(B151,'April Prorated Invoice-BLG Site'!$C:$F,1,0)</f>
        <v>9025902</v>
      </c>
    </row>
    <row r="152" spans="1:7">
      <c r="A152" s="3" t="s">
        <v>4158</v>
      </c>
      <c r="B152">
        <v>76233199</v>
      </c>
      <c r="C152">
        <v>3002934</v>
      </c>
      <c r="D152" s="7" t="s">
        <v>729</v>
      </c>
      <c r="E152" s="5">
        <v>66.67</v>
      </c>
      <c r="G152" t="e">
        <f>VLOOKUP(B152,'April Prorated Invoice-BLG Site'!$C:$F,1,0)</f>
        <v>#N/A</v>
      </c>
    </row>
    <row r="153" spans="1:7">
      <c r="A153" s="3" t="s">
        <v>667</v>
      </c>
      <c r="B153">
        <v>76233198</v>
      </c>
      <c r="C153">
        <v>3002958</v>
      </c>
      <c r="D153" s="7" t="s">
        <v>729</v>
      </c>
      <c r="E153" s="5">
        <v>26.67</v>
      </c>
      <c r="G153">
        <f>VLOOKUP(B153,'April Prorated Invoice-BLG Site'!$C:$F,1,0)</f>
        <v>76233198</v>
      </c>
    </row>
    <row r="154" spans="1:7">
      <c r="A154" s="3" t="s">
        <v>449</v>
      </c>
      <c r="B154">
        <v>71061453</v>
      </c>
      <c r="C154">
        <v>3002947</v>
      </c>
      <c r="D154" s="7" t="s">
        <v>729</v>
      </c>
      <c r="E154" s="5">
        <v>73.33</v>
      </c>
      <c r="G154">
        <f>VLOOKUP(B154,'April Prorated Invoice-BLG Site'!$C:$F,1,0)</f>
        <v>71061453</v>
      </c>
    </row>
    <row r="155" spans="1:7">
      <c r="A155" s="3" t="s">
        <v>602</v>
      </c>
      <c r="B155">
        <v>76216633</v>
      </c>
      <c r="C155">
        <v>2503124</v>
      </c>
      <c r="D155" s="7" t="s">
        <v>729</v>
      </c>
      <c r="E155" s="5">
        <v>60</v>
      </c>
      <c r="G155">
        <f>VLOOKUP(B155,'April Prorated Invoice-BLG Site'!$C:$F,1,0)</f>
        <v>76216633</v>
      </c>
    </row>
    <row r="156" spans="1:7">
      <c r="A156" s="3" t="s">
        <v>430</v>
      </c>
      <c r="B156">
        <v>45602701</v>
      </c>
      <c r="C156">
        <v>2501852</v>
      </c>
      <c r="D156" s="7" t="s">
        <v>729</v>
      </c>
      <c r="E156" s="5">
        <v>20</v>
      </c>
      <c r="G156">
        <f>VLOOKUP(B156,'April Prorated Invoice-BLG Site'!$C:$F,1,0)</f>
        <v>45602701</v>
      </c>
    </row>
    <row r="157" spans="1:7">
      <c r="A157" s="3" t="s">
        <v>3545</v>
      </c>
      <c r="B157">
        <v>76209808</v>
      </c>
      <c r="C157">
        <v>2503569</v>
      </c>
      <c r="D157" s="7" t="s">
        <v>729</v>
      </c>
      <c r="E157" s="5">
        <v>160</v>
      </c>
      <c r="G157" t="e">
        <f>VLOOKUP(B157,'April Prorated Invoice-BLG Site'!$C:$F,1,0)</f>
        <v>#N/A</v>
      </c>
    </row>
    <row r="158" spans="1:7">
      <c r="A158" s="3" t="s">
        <v>2805</v>
      </c>
      <c r="B158">
        <v>76078918</v>
      </c>
      <c r="C158">
        <v>2500456</v>
      </c>
      <c r="D158" s="7" t="s">
        <v>729</v>
      </c>
      <c r="E158" s="5">
        <v>200</v>
      </c>
      <c r="G158" t="e">
        <f>VLOOKUP(B158,'April Prorated Invoice-BLG Site'!$C:$F,1,0)</f>
        <v>#N/A</v>
      </c>
    </row>
    <row r="159" spans="1:7">
      <c r="A159" s="3" t="s">
        <v>2426</v>
      </c>
      <c r="B159">
        <v>76034396</v>
      </c>
      <c r="C159">
        <v>2503573</v>
      </c>
      <c r="D159" s="7" t="s">
        <v>729</v>
      </c>
      <c r="E159" s="5">
        <v>66.67</v>
      </c>
      <c r="G159" t="e">
        <f>VLOOKUP(B159,'April Prorated Invoice-BLG Site'!$C:$F,1,0)</f>
        <v>#N/A</v>
      </c>
    </row>
    <row r="160" spans="1:7">
      <c r="A160" s="3" t="s">
        <v>2779</v>
      </c>
      <c r="B160">
        <v>76075567</v>
      </c>
      <c r="C160">
        <v>3131</v>
      </c>
      <c r="D160" s="7" t="s">
        <v>729</v>
      </c>
      <c r="E160" s="5">
        <v>200</v>
      </c>
      <c r="G160" t="e">
        <f>VLOOKUP(B160,'April Prorated Invoice-BLG Site'!$C:$F,1,0)</f>
        <v>#N/A</v>
      </c>
    </row>
    <row r="161" spans="1:7">
      <c r="A161" s="3" t="s">
        <v>611</v>
      </c>
      <c r="B161">
        <v>76217262</v>
      </c>
      <c r="C161">
        <v>2501434</v>
      </c>
      <c r="D161" s="7" t="s">
        <v>729</v>
      </c>
      <c r="E161" s="5">
        <v>66.67</v>
      </c>
      <c r="G161">
        <f>VLOOKUP(B161,'April Prorated Invoice-BLG Site'!$C:$F,1,0)</f>
        <v>76217262</v>
      </c>
    </row>
    <row r="162" spans="1:7">
      <c r="A162" s="3" t="s">
        <v>4140</v>
      </c>
      <c r="B162">
        <v>76232056</v>
      </c>
      <c r="C162">
        <v>2502589</v>
      </c>
      <c r="D162" s="7" t="s">
        <v>729</v>
      </c>
      <c r="E162" s="5">
        <v>120</v>
      </c>
      <c r="G162" t="e">
        <f>VLOOKUP(B162,'April Prorated Invoice-BLG Site'!$C:$F,1,0)</f>
        <v>#N/A</v>
      </c>
    </row>
    <row r="163" spans="1:7">
      <c r="A163" s="3" t="s">
        <v>515</v>
      </c>
      <c r="B163">
        <v>76135790</v>
      </c>
      <c r="C163">
        <v>2503496</v>
      </c>
      <c r="D163" s="7" t="s">
        <v>729</v>
      </c>
      <c r="E163" s="5">
        <v>66.67</v>
      </c>
      <c r="G163">
        <f>VLOOKUP(B163,'April Prorated Invoice-BLG Site'!$C:$F,1,0)</f>
        <v>76135790</v>
      </c>
    </row>
    <row r="164" spans="1:7">
      <c r="A164" s="3" t="s">
        <v>524</v>
      </c>
      <c r="B164">
        <v>76144136</v>
      </c>
      <c r="C164">
        <v>3002895</v>
      </c>
      <c r="D164" s="7" t="s">
        <v>729</v>
      </c>
      <c r="E164" s="5">
        <v>100</v>
      </c>
      <c r="G164">
        <f>VLOOKUP(B164,'April Prorated Invoice-BLG Site'!$C:$F,1,0)</f>
        <v>76144136</v>
      </c>
    </row>
    <row r="165" spans="1:7">
      <c r="A165" s="3" t="s">
        <v>2649</v>
      </c>
      <c r="B165">
        <v>76063135</v>
      </c>
      <c r="C165">
        <v>2001667</v>
      </c>
      <c r="D165" s="7" t="s">
        <v>729</v>
      </c>
      <c r="E165" s="5">
        <v>200</v>
      </c>
      <c r="G165" t="e">
        <f>VLOOKUP(B165,'April Prorated Invoice-BLG Site'!$C:$F,1,0)</f>
        <v>#N/A</v>
      </c>
    </row>
    <row r="166" spans="1:7">
      <c r="A166" s="3" t="s">
        <v>470</v>
      </c>
      <c r="B166">
        <v>76036160</v>
      </c>
      <c r="C166">
        <v>9014</v>
      </c>
      <c r="D166" s="7" t="s">
        <v>729</v>
      </c>
      <c r="E166" s="5">
        <v>113.33</v>
      </c>
      <c r="G166">
        <f>VLOOKUP(B166,'April Prorated Invoice-BLG Site'!$C:$F,1,0)</f>
        <v>76036160</v>
      </c>
    </row>
    <row r="167" spans="1:7">
      <c r="A167" s="3" t="s">
        <v>536</v>
      </c>
      <c r="B167">
        <v>76159913</v>
      </c>
      <c r="C167">
        <v>2500592</v>
      </c>
      <c r="D167" s="7" t="s">
        <v>729</v>
      </c>
      <c r="E167" s="5">
        <v>66.67</v>
      </c>
      <c r="G167">
        <f>VLOOKUP(B167,'April Prorated Invoice-BLG Site'!$C:$F,1,0)</f>
        <v>76159913</v>
      </c>
    </row>
    <row r="168" spans="1:7">
      <c r="A168" s="3" t="s">
        <v>397</v>
      </c>
      <c r="B168">
        <v>1326145</v>
      </c>
      <c r="C168">
        <v>2500576</v>
      </c>
      <c r="D168" s="7" t="s">
        <v>729</v>
      </c>
      <c r="E168" s="5">
        <v>193.33</v>
      </c>
      <c r="G168">
        <f>VLOOKUP(B168,'April Prorated Invoice-BLG Site'!$C:$F,1,0)</f>
        <v>1326145</v>
      </c>
    </row>
    <row r="169" spans="1:7">
      <c r="A169" s="3" t="s">
        <v>560</v>
      </c>
      <c r="B169">
        <v>76180102</v>
      </c>
      <c r="C169">
        <v>2502528</v>
      </c>
      <c r="D169" s="7" t="s">
        <v>729</v>
      </c>
      <c r="E169" s="5">
        <v>73.33</v>
      </c>
      <c r="G169">
        <f>VLOOKUP(B169,'April Prorated Invoice-BLG Site'!$C:$F,1,0)</f>
        <v>76180102</v>
      </c>
    </row>
    <row r="170" spans="1:7">
      <c r="A170" s="3" t="s">
        <v>4240</v>
      </c>
      <c r="B170">
        <v>76235265</v>
      </c>
      <c r="C170">
        <v>2002561</v>
      </c>
      <c r="D170" s="7" t="s">
        <v>729</v>
      </c>
      <c r="E170" s="5">
        <v>153.33000000000001</v>
      </c>
      <c r="G170" t="e">
        <f>VLOOKUP(B170,'April Prorated Invoice-BLG Site'!$C:$F,1,0)</f>
        <v>#N/A</v>
      </c>
    </row>
    <row r="171" spans="1:7">
      <c r="A171" s="3" t="s">
        <v>590</v>
      </c>
      <c r="B171">
        <v>76210834</v>
      </c>
      <c r="C171">
        <v>3002830</v>
      </c>
      <c r="D171" s="7" t="s">
        <v>729</v>
      </c>
      <c r="E171" s="5">
        <v>160</v>
      </c>
      <c r="G171">
        <f>VLOOKUP(B171,'April Prorated Invoice-BLG Site'!$C:$F,1,0)</f>
        <v>76210834</v>
      </c>
    </row>
    <row r="172" spans="1:7">
      <c r="A172" s="3" t="s">
        <v>2116</v>
      </c>
      <c r="B172">
        <v>71048539</v>
      </c>
      <c r="C172">
        <v>3001338</v>
      </c>
      <c r="D172" s="7" t="s">
        <v>729</v>
      </c>
      <c r="E172" s="5">
        <v>193.33</v>
      </c>
      <c r="G172" t="e">
        <f>VLOOKUP(B172,'April Prorated Invoice-BLG Site'!$C:$F,1,0)</f>
        <v>#N/A</v>
      </c>
    </row>
    <row r="173" spans="1:7">
      <c r="A173" s="3" t="s">
        <v>2142</v>
      </c>
      <c r="B173">
        <v>71052266</v>
      </c>
      <c r="C173">
        <v>2503552</v>
      </c>
      <c r="D173" s="7" t="s">
        <v>729</v>
      </c>
      <c r="E173" s="5">
        <v>193.33</v>
      </c>
      <c r="G173" t="e">
        <f>VLOOKUP(B173,'April Prorated Invoice-BLG Site'!$C:$F,1,0)</f>
        <v>#N/A</v>
      </c>
    </row>
    <row r="174" spans="1:7">
      <c r="A174" s="3" t="s">
        <v>3905</v>
      </c>
      <c r="B174">
        <v>76226228</v>
      </c>
      <c r="C174">
        <v>2001934</v>
      </c>
      <c r="D174" s="7" t="s">
        <v>729</v>
      </c>
      <c r="E174" s="5">
        <v>146.66999999999999</v>
      </c>
      <c r="G174" t="e">
        <f>VLOOKUP(B174,'April Prorated Invoice-BLG Site'!$C:$F,1,0)</f>
        <v>#N/A</v>
      </c>
    </row>
    <row r="175" spans="1:7">
      <c r="A175" s="3" t="s">
        <v>3041</v>
      </c>
      <c r="B175">
        <v>76162825</v>
      </c>
      <c r="C175">
        <v>2002165</v>
      </c>
      <c r="D175" s="7" t="s">
        <v>729</v>
      </c>
      <c r="E175" s="5">
        <v>100</v>
      </c>
      <c r="G175" t="e">
        <f>VLOOKUP(B175,'April Prorated Invoice-BLG Site'!$C:$F,1,0)</f>
        <v>#N/A</v>
      </c>
    </row>
    <row r="176" spans="1:7">
      <c r="A176" s="3" t="s">
        <v>718</v>
      </c>
      <c r="B176">
        <v>76257108</v>
      </c>
      <c r="C176">
        <v>3000642</v>
      </c>
      <c r="D176" s="7" t="s">
        <v>729</v>
      </c>
      <c r="E176" s="5">
        <v>20</v>
      </c>
      <c r="G176">
        <f>VLOOKUP(B176,'April Prorated Invoice-BLG Site'!$C:$F,1,0)</f>
        <v>76257108</v>
      </c>
    </row>
    <row r="177" spans="1:7">
      <c r="A177" s="3" t="s">
        <v>727</v>
      </c>
      <c r="B177">
        <v>97000001</v>
      </c>
      <c r="C177">
        <v>2500664</v>
      </c>
      <c r="D177" s="7" t="s">
        <v>729</v>
      </c>
      <c r="E177" s="5">
        <v>20</v>
      </c>
      <c r="G177">
        <f>VLOOKUP(B177,'April Prorated Invoice-BLG Site'!$C:$F,1,0)</f>
        <v>97000001</v>
      </c>
    </row>
    <row r="178" spans="1:7">
      <c r="A178" s="3" t="s">
        <v>464</v>
      </c>
      <c r="B178">
        <v>76032748</v>
      </c>
      <c r="C178">
        <v>3002949</v>
      </c>
      <c r="D178" s="7" t="s">
        <v>729</v>
      </c>
      <c r="E178" s="5">
        <v>20</v>
      </c>
      <c r="G178">
        <f>VLOOKUP(B178,'April Prorated Invoice-BLG Site'!$C:$F,1,0)</f>
        <v>76032748</v>
      </c>
    </row>
    <row r="179" spans="1:7">
      <c r="A179" s="3" t="s">
        <v>2643</v>
      </c>
      <c r="B179">
        <v>76061499</v>
      </c>
      <c r="C179">
        <v>12028</v>
      </c>
      <c r="D179" s="7" t="s">
        <v>729</v>
      </c>
      <c r="E179" s="5">
        <v>200</v>
      </c>
      <c r="G179" t="e">
        <f>VLOOKUP(B179,'April Prorated Invoice-BLG Site'!$C:$F,1,0)</f>
        <v>#N/A</v>
      </c>
    </row>
    <row r="180" spans="1:7">
      <c r="A180" s="3" t="s">
        <v>473</v>
      </c>
      <c r="B180">
        <v>76037591</v>
      </c>
      <c r="C180">
        <v>6091</v>
      </c>
      <c r="D180" s="7" t="s">
        <v>729</v>
      </c>
      <c r="E180" s="5">
        <v>106.67</v>
      </c>
      <c r="G180">
        <f>VLOOKUP(B180,'April Prorated Invoice-BLG Site'!$C:$F,1,0)</f>
        <v>76037591</v>
      </c>
    </row>
    <row r="181" spans="1:7">
      <c r="A181" s="3" t="s">
        <v>682</v>
      </c>
      <c r="B181">
        <v>76241159</v>
      </c>
      <c r="C181">
        <v>3001147</v>
      </c>
      <c r="D181" s="7" t="s">
        <v>729</v>
      </c>
      <c r="E181" s="5">
        <v>66.67</v>
      </c>
      <c r="G181">
        <f>VLOOKUP(B181,'April Prorated Invoice-BLG Site'!$C:$F,1,0)</f>
        <v>76241159</v>
      </c>
    </row>
    <row r="182" spans="1:7">
      <c r="A182" s="3" t="s">
        <v>3785</v>
      </c>
      <c r="B182">
        <v>76221166</v>
      </c>
      <c r="C182">
        <v>2002176</v>
      </c>
      <c r="D182" s="7" t="s">
        <v>729</v>
      </c>
      <c r="E182" s="5">
        <v>100</v>
      </c>
      <c r="G182" t="e">
        <f>VLOOKUP(B182,'April Prorated Invoice-BLG Site'!$C:$F,1,0)</f>
        <v>#N/A</v>
      </c>
    </row>
    <row r="183" spans="1:7">
      <c r="A183" s="3" t="s">
        <v>382</v>
      </c>
      <c r="B183">
        <v>1012202</v>
      </c>
      <c r="C183">
        <v>3001510</v>
      </c>
      <c r="D183" s="7" t="s">
        <v>729</v>
      </c>
      <c r="E183" s="5">
        <v>66.67</v>
      </c>
      <c r="G183">
        <f>VLOOKUP(B183,'April Prorated Invoice-BLG Site'!$C:$F,1,0)</f>
        <v>1012202</v>
      </c>
    </row>
    <row r="184" spans="1:7">
      <c r="A184" s="3" t="s">
        <v>379</v>
      </c>
      <c r="B184">
        <v>1012201</v>
      </c>
      <c r="C184">
        <v>3001502</v>
      </c>
      <c r="D184" s="7" t="s">
        <v>729</v>
      </c>
      <c r="E184" s="5">
        <v>26.67</v>
      </c>
      <c r="G184">
        <f>VLOOKUP(B184,'April Prorated Invoice-BLG Site'!$C:$F,1,0)</f>
        <v>1012201</v>
      </c>
    </row>
    <row r="185" spans="1:7">
      <c r="A185" s="3" t="s">
        <v>494</v>
      </c>
      <c r="B185">
        <v>76043468</v>
      </c>
      <c r="C185">
        <v>2001550</v>
      </c>
      <c r="D185" s="7" t="s">
        <v>729</v>
      </c>
      <c r="E185" s="5">
        <v>186.67</v>
      </c>
      <c r="G185">
        <f>VLOOKUP(B185,'April Prorated Invoice-BLG Site'!$C:$F,1,0)</f>
        <v>76043468</v>
      </c>
    </row>
    <row r="186" spans="1:7">
      <c r="A186" s="3" t="s">
        <v>521</v>
      </c>
      <c r="B186">
        <v>76143376</v>
      </c>
      <c r="C186">
        <v>3001863</v>
      </c>
      <c r="D186" s="7" t="s">
        <v>729</v>
      </c>
      <c r="E186" s="5">
        <v>186.67</v>
      </c>
      <c r="G186">
        <f>VLOOKUP(B186,'April Prorated Invoice-BLG Site'!$C:$F,1,0)</f>
        <v>76143376</v>
      </c>
    </row>
    <row r="187" spans="1:7">
      <c r="A187" s="3" t="s">
        <v>569</v>
      </c>
      <c r="B187">
        <v>76187537</v>
      </c>
      <c r="C187">
        <v>10143</v>
      </c>
      <c r="D187" s="7" t="s">
        <v>729</v>
      </c>
      <c r="E187" s="5">
        <v>186.67</v>
      </c>
      <c r="G187">
        <f>VLOOKUP(B187,'April Prorated Invoice-BLG Site'!$C:$F,1,0)</f>
        <v>76187537</v>
      </c>
    </row>
    <row r="188" spans="1:7">
      <c r="A188" s="3" t="s">
        <v>2026</v>
      </c>
      <c r="B188">
        <v>71040312</v>
      </c>
      <c r="C188">
        <v>4150</v>
      </c>
      <c r="D188" s="7" t="s">
        <v>729</v>
      </c>
      <c r="E188" s="5">
        <v>120</v>
      </c>
      <c r="G188" t="e">
        <f>VLOOKUP(B188,'April Prorated Invoice-BLG Site'!$C:$F,1,0)</f>
        <v>#N/A</v>
      </c>
    </row>
    <row r="189" spans="1:7">
      <c r="A189" s="3" t="s">
        <v>700</v>
      </c>
      <c r="B189">
        <v>76251423</v>
      </c>
      <c r="C189">
        <v>3002946</v>
      </c>
      <c r="D189" s="7" t="s">
        <v>729</v>
      </c>
      <c r="E189" s="5">
        <v>20</v>
      </c>
      <c r="G189">
        <f>VLOOKUP(B189,'April Prorated Invoice-BLG Site'!$C:$F,1,0)</f>
        <v>76251423</v>
      </c>
    </row>
    <row r="190" spans="1:7">
      <c r="A190" s="3" t="s">
        <v>709</v>
      </c>
      <c r="B190">
        <v>76252738</v>
      </c>
      <c r="C190">
        <v>3002944</v>
      </c>
      <c r="D190" s="7" t="s">
        <v>729</v>
      </c>
      <c r="E190" s="5">
        <v>60</v>
      </c>
      <c r="G190">
        <f>VLOOKUP(B190,'April Prorated Invoice-BLG Site'!$C:$F,1,0)</f>
        <v>76252738</v>
      </c>
    </row>
    <row r="191" spans="1:7">
      <c r="A191" s="3" t="s">
        <v>712</v>
      </c>
      <c r="B191">
        <v>76252740</v>
      </c>
      <c r="C191">
        <v>3002948</v>
      </c>
      <c r="D191" s="7" t="s">
        <v>729</v>
      </c>
      <c r="E191" s="5">
        <v>20</v>
      </c>
      <c r="G191">
        <f>VLOOKUP(B191,'April Prorated Invoice-BLG Site'!$C:$F,1,0)</f>
        <v>76252740</v>
      </c>
    </row>
    <row r="192" spans="1:7">
      <c r="A192" s="3" t="s">
        <v>406</v>
      </c>
      <c r="B192">
        <v>13498058</v>
      </c>
      <c r="C192">
        <v>3365</v>
      </c>
      <c r="D192" s="7" t="s">
        <v>729</v>
      </c>
      <c r="E192" s="5">
        <v>140</v>
      </c>
      <c r="G192">
        <f>VLOOKUP(B192,'April Prorated Invoice-BLG Site'!$C:$F,1,0)</f>
        <v>13498058</v>
      </c>
    </row>
    <row r="193" spans="1:7">
      <c r="A193" s="3" t="s">
        <v>2340</v>
      </c>
      <c r="B193">
        <v>76023577</v>
      </c>
      <c r="C193">
        <v>3001713</v>
      </c>
      <c r="D193" s="7" t="s">
        <v>729</v>
      </c>
      <c r="E193" s="5">
        <v>113.33</v>
      </c>
      <c r="G193" t="e">
        <f>VLOOKUP(B193,'April Prorated Invoice-BLG Site'!$C:$F,1,0)</f>
        <v>#N/A</v>
      </c>
    </row>
    <row r="194" spans="1:7">
      <c r="A194" s="3" t="s">
        <v>688</v>
      </c>
      <c r="B194">
        <v>76241605</v>
      </c>
      <c r="C194">
        <v>2001100</v>
      </c>
      <c r="D194" s="7" t="s">
        <v>729</v>
      </c>
      <c r="E194" s="5">
        <v>60</v>
      </c>
      <c r="G194">
        <f>VLOOKUP(B194,'April Prorated Invoice-BLG Site'!$C:$F,1,0)</f>
        <v>76241605</v>
      </c>
    </row>
    <row r="195" spans="1:7">
      <c r="A195" s="3" t="s">
        <v>593</v>
      </c>
      <c r="B195">
        <v>76211772</v>
      </c>
      <c r="C195">
        <v>3002899</v>
      </c>
      <c r="D195" s="7" t="s">
        <v>729</v>
      </c>
      <c r="E195" s="5">
        <v>20</v>
      </c>
      <c r="G195">
        <f>VLOOKUP(B195,'April Prorated Invoice-BLG Site'!$C:$F,1,0)</f>
        <v>76211772</v>
      </c>
    </row>
    <row r="196" spans="1:7">
      <c r="A196" s="3" t="s">
        <v>476</v>
      </c>
      <c r="B196">
        <v>76038422</v>
      </c>
      <c r="C196">
        <v>2500295</v>
      </c>
      <c r="D196" s="7" t="s">
        <v>729</v>
      </c>
      <c r="E196" s="5">
        <v>200</v>
      </c>
      <c r="G196">
        <f>VLOOKUP(B196,'April Prorated Invoice-BLG Site'!$C:$F,1,0)</f>
        <v>76038422</v>
      </c>
    </row>
    <row r="197" spans="1:7">
      <c r="A197" s="3" t="s">
        <v>3125</v>
      </c>
      <c r="B197">
        <v>76171174</v>
      </c>
      <c r="C197">
        <v>2000092</v>
      </c>
      <c r="D197" s="7" t="s">
        <v>729</v>
      </c>
      <c r="E197" s="5">
        <v>106.67</v>
      </c>
      <c r="G197" t="e">
        <f>VLOOKUP(B197,'April Prorated Invoice-BLG Site'!$C:$F,1,0)</f>
        <v>#N/A</v>
      </c>
    </row>
    <row r="198" spans="1:7">
      <c r="A198" s="3" t="s">
        <v>467</v>
      </c>
      <c r="B198">
        <v>76036137</v>
      </c>
      <c r="C198">
        <v>2501825</v>
      </c>
      <c r="D198" s="7" t="s">
        <v>729</v>
      </c>
      <c r="E198" s="5">
        <v>60</v>
      </c>
      <c r="G198">
        <f>VLOOKUP(B198,'April Prorated Invoice-BLG Site'!$C:$F,1,0)</f>
        <v>76036137</v>
      </c>
    </row>
    <row r="199" spans="1:7">
      <c r="A199" s="3" t="s">
        <v>424</v>
      </c>
      <c r="B199">
        <v>25300610</v>
      </c>
      <c r="C199">
        <v>3002945</v>
      </c>
      <c r="D199" s="7" t="s">
        <v>729</v>
      </c>
      <c r="E199" s="5">
        <v>26.67</v>
      </c>
      <c r="G199">
        <f>VLOOKUP(B199,'April Prorated Invoice-BLG Site'!$C:$F,1,0)</f>
        <v>25300610</v>
      </c>
    </row>
    <row r="200" spans="1:7">
      <c r="A200" s="3" t="s">
        <v>503</v>
      </c>
      <c r="B200">
        <v>76073131</v>
      </c>
      <c r="C200">
        <v>143062</v>
      </c>
      <c r="D200" s="7" t="s">
        <v>729</v>
      </c>
      <c r="E200" s="5">
        <v>106.67</v>
      </c>
      <c r="G200">
        <f>VLOOKUP(B200,'April Prorated Invoice-BLG Site'!$C:$F,1,0)</f>
        <v>76073131</v>
      </c>
    </row>
    <row r="201" spans="1:7">
      <c r="A201" s="3" t="s">
        <v>575</v>
      </c>
      <c r="B201">
        <v>76204394</v>
      </c>
      <c r="C201">
        <v>2503164</v>
      </c>
      <c r="D201" s="7" t="s">
        <v>729</v>
      </c>
      <c r="E201" s="5">
        <v>106.67</v>
      </c>
      <c r="G201">
        <f>VLOOKUP(B201,'April Prorated Invoice-BLG Site'!$C:$F,1,0)</f>
        <v>76204394</v>
      </c>
    </row>
    <row r="202" spans="1:7">
      <c r="A202" s="3" t="s">
        <v>2703</v>
      </c>
      <c r="B202">
        <v>76066680</v>
      </c>
      <c r="C202">
        <v>2503609</v>
      </c>
      <c r="D202" s="7" t="s">
        <v>729</v>
      </c>
      <c r="E202" s="5">
        <v>153.33000000000001</v>
      </c>
      <c r="G202" t="e">
        <f>VLOOKUP(B202,'April Prorated Invoice-BLG Site'!$C:$F,1,0)</f>
        <v>#N/A</v>
      </c>
    </row>
    <row r="203" spans="1:7">
      <c r="A203" s="3" t="s">
        <v>539</v>
      </c>
      <c r="B203">
        <v>76164480</v>
      </c>
      <c r="C203">
        <v>2000978</v>
      </c>
      <c r="D203" s="7" t="s">
        <v>729</v>
      </c>
      <c r="E203" s="5">
        <v>140</v>
      </c>
      <c r="G203">
        <f>VLOOKUP(B203,'April Prorated Invoice-BLG Site'!$C:$F,1,0)</f>
        <v>76164480</v>
      </c>
    </row>
    <row r="204" spans="1:7">
      <c r="A204" s="3" t="s">
        <v>2787</v>
      </c>
      <c r="B204">
        <v>76076543</v>
      </c>
      <c r="C204">
        <v>1500222</v>
      </c>
      <c r="D204" s="7" t="s">
        <v>729</v>
      </c>
      <c r="E204" s="5">
        <v>20</v>
      </c>
      <c r="G204" t="e">
        <f>VLOOKUP(B204,'April Prorated Invoice-BLG Site'!$C:$F,1,0)</f>
        <v>#N/A</v>
      </c>
    </row>
    <row r="205" spans="1:7">
      <c r="A205" s="3" t="s">
        <v>572</v>
      </c>
      <c r="B205">
        <v>76188296</v>
      </c>
      <c r="C205">
        <v>3001076</v>
      </c>
      <c r="D205" s="7" t="s">
        <v>729</v>
      </c>
      <c r="E205" s="5">
        <v>113.33</v>
      </c>
      <c r="G205">
        <f>VLOOKUP(B205,'April Prorated Invoice-BLG Site'!$C:$F,1,0)</f>
        <v>76188296</v>
      </c>
    </row>
    <row r="206" spans="1:7">
      <c r="A206" s="3" t="s">
        <v>566</v>
      </c>
      <c r="B206">
        <v>76181513</v>
      </c>
      <c r="C206">
        <v>3001083</v>
      </c>
      <c r="D206" s="7" t="s">
        <v>729</v>
      </c>
      <c r="E206" s="5">
        <v>26.67</v>
      </c>
      <c r="G206">
        <f>VLOOKUP(B206,'April Prorated Invoice-BLG Site'!$C:$F,1,0)</f>
        <v>76181513</v>
      </c>
    </row>
    <row r="207" spans="1:7">
      <c r="A207" s="3" t="s">
        <v>2741</v>
      </c>
      <c r="B207">
        <v>76072230</v>
      </c>
      <c r="C207">
        <v>2000509</v>
      </c>
      <c r="D207" s="7" t="s">
        <v>729</v>
      </c>
      <c r="E207" s="5">
        <v>140</v>
      </c>
      <c r="G207" t="e">
        <f>VLOOKUP(B207,'April Prorated Invoice-BLG Site'!$C:$F,1,0)</f>
        <v>#N/A</v>
      </c>
    </row>
    <row r="208" spans="1:7">
      <c r="A208" s="3" t="s">
        <v>533</v>
      </c>
      <c r="B208">
        <v>76159225</v>
      </c>
      <c r="C208">
        <v>2502115</v>
      </c>
      <c r="D208" s="7" t="s">
        <v>729</v>
      </c>
      <c r="E208" s="5">
        <v>60</v>
      </c>
      <c r="G208">
        <f>VLOOKUP(B208,'April Prorated Invoice-BLG Site'!$C:$F,1,0)</f>
        <v>76159225</v>
      </c>
    </row>
    <row r="209" spans="1:7">
      <c r="A209" s="3" t="s">
        <v>3151</v>
      </c>
      <c r="B209">
        <v>76172751</v>
      </c>
      <c r="C209">
        <v>3000979</v>
      </c>
      <c r="D209" s="7" t="s">
        <v>729</v>
      </c>
      <c r="E209" s="5">
        <v>186.67</v>
      </c>
      <c r="G209" t="e">
        <f>VLOOKUP(B209,'April Prorated Invoice-BLG Site'!$C:$F,1,0)</f>
        <v>#N/A</v>
      </c>
    </row>
    <row r="210" spans="1:7">
      <c r="A210" s="3" t="s">
        <v>418</v>
      </c>
      <c r="B210">
        <v>25212501</v>
      </c>
      <c r="C210">
        <v>6024</v>
      </c>
      <c r="D210" s="7" t="s">
        <v>729</v>
      </c>
      <c r="E210" s="5">
        <v>113.33</v>
      </c>
      <c r="G210">
        <f>VLOOKUP(B210,'April Prorated Invoice-BLG Site'!$C:$F,1,0)</f>
        <v>25212501</v>
      </c>
    </row>
    <row r="211" spans="1:7">
      <c r="A211" s="3" t="s">
        <v>2586</v>
      </c>
      <c r="B211">
        <v>76055894</v>
      </c>
      <c r="C211">
        <v>2502435</v>
      </c>
      <c r="D211" s="7" t="s">
        <v>729</v>
      </c>
      <c r="E211" s="5">
        <v>140</v>
      </c>
      <c r="G211" t="e">
        <f>VLOOKUP(B211,'April Prorated Invoice-BLG Site'!$C:$F,1,0)</f>
        <v>#N/A</v>
      </c>
    </row>
    <row r="212" spans="1:7">
      <c r="A212" s="3" t="s">
        <v>676</v>
      </c>
      <c r="B212">
        <v>76236503</v>
      </c>
      <c r="C212">
        <v>3002961</v>
      </c>
      <c r="D212" s="7" t="s">
        <v>729</v>
      </c>
      <c r="E212" s="5">
        <v>20</v>
      </c>
      <c r="G212">
        <f>VLOOKUP(B212,'April Prorated Invoice-BLG Site'!$C:$F,1,0)</f>
        <v>76236503</v>
      </c>
    </row>
    <row r="213" spans="1:7">
      <c r="E213" s="6">
        <f>SUM(E144:E212)</f>
        <v>7220.04</v>
      </c>
    </row>
    <row r="215" spans="1:7">
      <c r="A215" s="8" t="s">
        <v>4655</v>
      </c>
      <c r="B215" s="8"/>
      <c r="C215" s="8"/>
      <c r="D215" s="8"/>
      <c r="E215" s="9">
        <f>E71+E142+E213</f>
        <v>52481.04</v>
      </c>
    </row>
  </sheetData>
  <autoFilter ref="A1:G1" xr:uid="{B2283209-3894-4658-A7F8-F23D8F0DC56F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A0AC0-A813-4490-BF85-E57B13D80620}">
  <sheetPr filterMode="1"/>
  <dimension ref="A1:F3577"/>
  <sheetViews>
    <sheetView workbookViewId="0">
      <pane ySplit="1" topLeftCell="A3" activePane="bottomLeft" state="frozen"/>
      <selection pane="bottomLeft" activeCell="A853" sqref="A853"/>
      <selection activeCell="F1" sqref="A1:F1048576"/>
    </sheetView>
  </sheetViews>
  <sheetFormatPr defaultRowHeight="15"/>
  <cols>
    <col min="1" max="1" width="61.28515625" bestFit="1" customWidth="1"/>
    <col min="2" max="2" width="19.7109375" customWidth="1"/>
    <col min="3" max="3" width="14.5703125" bestFit="1" customWidth="1"/>
    <col min="4" max="4" width="14" bestFit="1" customWidth="1"/>
    <col min="5" max="5" width="21.140625" bestFit="1" customWidth="1"/>
    <col min="6" max="6" width="14.28515625" style="5" bestFit="1" customWidth="1"/>
  </cols>
  <sheetData>
    <row r="1" spans="1:6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2" t="s">
        <v>376</v>
      </c>
    </row>
    <row r="2" spans="1:6" hidden="1">
      <c r="A2" t="s">
        <v>4292</v>
      </c>
      <c r="B2" t="s">
        <v>4293</v>
      </c>
      <c r="C2">
        <v>76237899</v>
      </c>
      <c r="D2">
        <v>2503083</v>
      </c>
      <c r="E2" t="s">
        <v>39</v>
      </c>
      <c r="F2" s="5">
        <v>400</v>
      </c>
    </row>
    <row r="3" spans="1:6">
      <c r="A3" t="s">
        <v>4292</v>
      </c>
      <c r="B3" t="s">
        <v>4293</v>
      </c>
      <c r="C3">
        <v>76237899</v>
      </c>
      <c r="D3">
        <v>2503083</v>
      </c>
      <c r="E3" t="s">
        <v>729</v>
      </c>
      <c r="F3" s="5">
        <v>200</v>
      </c>
    </row>
    <row r="4" spans="1:6" hidden="1">
      <c r="A4" t="s">
        <v>2286</v>
      </c>
      <c r="B4" t="s">
        <v>2287</v>
      </c>
      <c r="C4">
        <v>76012107</v>
      </c>
      <c r="D4">
        <v>2502638</v>
      </c>
      <c r="E4" t="s">
        <v>39</v>
      </c>
      <c r="F4" s="5">
        <v>300</v>
      </c>
    </row>
    <row r="5" spans="1:6">
      <c r="A5" t="s">
        <v>2286</v>
      </c>
      <c r="B5" t="s">
        <v>2287</v>
      </c>
      <c r="C5">
        <v>76012107</v>
      </c>
      <c r="D5">
        <v>2502638</v>
      </c>
      <c r="E5" t="s">
        <v>729</v>
      </c>
      <c r="F5" s="5">
        <v>200</v>
      </c>
    </row>
    <row r="6" spans="1:6" hidden="1">
      <c r="A6" t="s">
        <v>1725</v>
      </c>
      <c r="B6" t="s">
        <v>1726</v>
      </c>
      <c r="C6">
        <v>13494907</v>
      </c>
      <c r="D6">
        <v>3000753</v>
      </c>
      <c r="E6" t="s">
        <v>39</v>
      </c>
      <c r="F6" s="5">
        <v>300</v>
      </c>
    </row>
    <row r="7" spans="1:6">
      <c r="A7" t="s">
        <v>1725</v>
      </c>
      <c r="B7" t="s">
        <v>1726</v>
      </c>
      <c r="C7">
        <v>13494907</v>
      </c>
      <c r="D7">
        <v>3000753</v>
      </c>
      <c r="E7" t="s">
        <v>729</v>
      </c>
      <c r="F7" s="5">
        <v>200</v>
      </c>
    </row>
    <row r="8" spans="1:6" hidden="1">
      <c r="A8" t="s">
        <v>509</v>
      </c>
      <c r="B8" t="s">
        <v>510</v>
      </c>
      <c r="C8">
        <v>76074791</v>
      </c>
      <c r="D8">
        <v>3002489</v>
      </c>
      <c r="E8" t="s">
        <v>39</v>
      </c>
      <c r="F8" s="5">
        <v>300</v>
      </c>
    </row>
    <row r="9" spans="1:6">
      <c r="A9" t="s">
        <v>509</v>
      </c>
      <c r="B9" t="s">
        <v>510</v>
      </c>
      <c r="C9">
        <v>76074791</v>
      </c>
      <c r="D9">
        <v>3002489</v>
      </c>
      <c r="E9" t="s">
        <v>729</v>
      </c>
      <c r="F9" s="5">
        <v>200</v>
      </c>
    </row>
    <row r="10" spans="1:6" hidden="1">
      <c r="A10" t="s">
        <v>2777</v>
      </c>
      <c r="B10" t="s">
        <v>2778</v>
      </c>
      <c r="C10">
        <v>76074827</v>
      </c>
      <c r="D10">
        <v>3000599</v>
      </c>
      <c r="E10" t="s">
        <v>39</v>
      </c>
      <c r="F10" s="5">
        <v>300</v>
      </c>
    </row>
    <row r="11" spans="1:6">
      <c r="A11" t="s">
        <v>2777</v>
      </c>
      <c r="B11" t="s">
        <v>2778</v>
      </c>
      <c r="C11">
        <v>76074827</v>
      </c>
      <c r="D11">
        <v>3000599</v>
      </c>
      <c r="E11" t="s">
        <v>729</v>
      </c>
      <c r="F11" s="5">
        <v>200</v>
      </c>
    </row>
    <row r="12" spans="1:6" hidden="1">
      <c r="A12" t="s">
        <v>1697</v>
      </c>
      <c r="B12" t="s">
        <v>1698</v>
      </c>
      <c r="C12">
        <v>13337904</v>
      </c>
      <c r="D12">
        <v>2502347</v>
      </c>
      <c r="E12" t="s">
        <v>39</v>
      </c>
      <c r="F12" s="5">
        <v>450</v>
      </c>
    </row>
    <row r="13" spans="1:6">
      <c r="A13" t="s">
        <v>1697</v>
      </c>
      <c r="B13" t="s">
        <v>1698</v>
      </c>
      <c r="C13">
        <v>13337904</v>
      </c>
      <c r="D13">
        <v>2502347</v>
      </c>
      <c r="E13" t="s">
        <v>729</v>
      </c>
      <c r="F13" s="5">
        <v>200</v>
      </c>
    </row>
    <row r="14" spans="1:6" hidden="1">
      <c r="A14" t="s">
        <v>1799</v>
      </c>
      <c r="B14" t="s">
        <v>1800</v>
      </c>
      <c r="C14">
        <v>25024901</v>
      </c>
      <c r="D14">
        <v>12055</v>
      </c>
      <c r="E14" t="s">
        <v>39</v>
      </c>
      <c r="F14" s="5">
        <v>300</v>
      </c>
    </row>
    <row r="15" spans="1:6">
      <c r="A15" t="s">
        <v>1799</v>
      </c>
      <c r="B15" t="s">
        <v>1800</v>
      </c>
      <c r="C15">
        <v>25024901</v>
      </c>
      <c r="D15">
        <v>12055</v>
      </c>
      <c r="E15" t="s">
        <v>729</v>
      </c>
      <c r="F15" s="5">
        <v>200</v>
      </c>
    </row>
    <row r="16" spans="1:6" hidden="1">
      <c r="A16" t="s">
        <v>4350</v>
      </c>
      <c r="B16" t="s">
        <v>4351</v>
      </c>
      <c r="C16">
        <v>76241294</v>
      </c>
      <c r="D16">
        <v>2503187</v>
      </c>
      <c r="E16" t="s">
        <v>39</v>
      </c>
      <c r="F16" s="5">
        <v>300</v>
      </c>
    </row>
    <row r="17" spans="1:6">
      <c r="A17" t="s">
        <v>4350</v>
      </c>
      <c r="B17" t="s">
        <v>4351</v>
      </c>
      <c r="C17">
        <v>76241294</v>
      </c>
      <c r="D17">
        <v>2503187</v>
      </c>
      <c r="E17" t="s">
        <v>729</v>
      </c>
      <c r="F17" s="5">
        <v>200</v>
      </c>
    </row>
    <row r="18" spans="1:6" hidden="1">
      <c r="A18" t="s">
        <v>2935</v>
      </c>
      <c r="B18" t="s">
        <v>2936</v>
      </c>
      <c r="C18">
        <v>76150627</v>
      </c>
      <c r="D18">
        <v>2503585</v>
      </c>
      <c r="E18" t="s">
        <v>39</v>
      </c>
      <c r="F18" s="5">
        <v>300</v>
      </c>
    </row>
    <row r="19" spans="1:6">
      <c r="A19" t="s">
        <v>2935</v>
      </c>
      <c r="B19" t="s">
        <v>2936</v>
      </c>
      <c r="C19">
        <v>76150627</v>
      </c>
      <c r="D19">
        <v>2503585</v>
      </c>
      <c r="E19" t="s">
        <v>729</v>
      </c>
      <c r="F19" s="5">
        <v>200</v>
      </c>
    </row>
    <row r="20" spans="1:6" hidden="1">
      <c r="A20" t="s">
        <v>3389</v>
      </c>
      <c r="B20" t="s">
        <v>3390</v>
      </c>
      <c r="C20">
        <v>76204178</v>
      </c>
      <c r="D20">
        <v>2003110</v>
      </c>
      <c r="E20" t="s">
        <v>39</v>
      </c>
      <c r="F20" s="5">
        <v>300</v>
      </c>
    </row>
    <row r="21" spans="1:6">
      <c r="A21" t="s">
        <v>3389</v>
      </c>
      <c r="B21" t="s">
        <v>3390</v>
      </c>
      <c r="C21">
        <v>76204178</v>
      </c>
      <c r="D21">
        <v>2003110</v>
      </c>
      <c r="E21" t="s">
        <v>729</v>
      </c>
      <c r="F21" s="5">
        <v>200</v>
      </c>
    </row>
    <row r="22" spans="1:6" hidden="1">
      <c r="A22" t="s">
        <v>4603</v>
      </c>
      <c r="B22" t="s">
        <v>4604</v>
      </c>
      <c r="C22">
        <v>76257049</v>
      </c>
      <c r="D22">
        <v>2002855</v>
      </c>
      <c r="E22" t="s">
        <v>39</v>
      </c>
      <c r="F22" s="5">
        <v>300</v>
      </c>
    </row>
    <row r="23" spans="1:6">
      <c r="A23" t="s">
        <v>4603</v>
      </c>
      <c r="B23" t="s">
        <v>4604</v>
      </c>
      <c r="C23">
        <v>76257049</v>
      </c>
      <c r="D23">
        <v>2002855</v>
      </c>
      <c r="E23" t="s">
        <v>729</v>
      </c>
      <c r="F23" s="5">
        <v>200</v>
      </c>
    </row>
    <row r="24" spans="1:6" hidden="1">
      <c r="A24" t="s">
        <v>1819</v>
      </c>
      <c r="B24" t="s">
        <v>1820</v>
      </c>
      <c r="C24">
        <v>25149304</v>
      </c>
      <c r="D24">
        <v>2501315</v>
      </c>
      <c r="E24" t="s">
        <v>39</v>
      </c>
      <c r="F24" s="5">
        <v>300</v>
      </c>
    </row>
    <row r="25" spans="1:6">
      <c r="A25" t="s">
        <v>1819</v>
      </c>
      <c r="B25" t="s">
        <v>1820</v>
      </c>
      <c r="C25">
        <v>25149304</v>
      </c>
      <c r="D25">
        <v>2501315</v>
      </c>
      <c r="E25" t="s">
        <v>729</v>
      </c>
      <c r="F25" s="5">
        <v>200</v>
      </c>
    </row>
    <row r="26" spans="1:6" hidden="1">
      <c r="A26" t="s">
        <v>1579</v>
      </c>
      <c r="B26" t="s">
        <v>1580</v>
      </c>
      <c r="C26">
        <v>5120806</v>
      </c>
      <c r="D26">
        <v>2002171</v>
      </c>
      <c r="E26" t="s">
        <v>39</v>
      </c>
      <c r="F26" s="5">
        <v>450</v>
      </c>
    </row>
    <row r="27" spans="1:6">
      <c r="A27" t="s">
        <v>1579</v>
      </c>
      <c r="B27" t="s">
        <v>1580</v>
      </c>
      <c r="C27">
        <v>5120806</v>
      </c>
      <c r="D27">
        <v>2002171</v>
      </c>
      <c r="E27" t="s">
        <v>729</v>
      </c>
      <c r="F27" s="5">
        <v>200</v>
      </c>
    </row>
    <row r="28" spans="1:6" hidden="1">
      <c r="A28" t="s">
        <v>3277</v>
      </c>
      <c r="B28" t="s">
        <v>3278</v>
      </c>
      <c r="C28">
        <v>76190518</v>
      </c>
      <c r="D28">
        <v>2002194</v>
      </c>
      <c r="E28" t="s">
        <v>39</v>
      </c>
      <c r="F28" s="5">
        <v>450</v>
      </c>
    </row>
    <row r="29" spans="1:6">
      <c r="A29" t="s">
        <v>3277</v>
      </c>
      <c r="B29" t="s">
        <v>3278</v>
      </c>
      <c r="C29">
        <v>76190518</v>
      </c>
      <c r="D29">
        <v>2002194</v>
      </c>
      <c r="E29" t="s">
        <v>729</v>
      </c>
      <c r="F29" s="5">
        <v>200</v>
      </c>
    </row>
    <row r="30" spans="1:6" hidden="1">
      <c r="A30" t="s">
        <v>3983</v>
      </c>
      <c r="B30" t="s">
        <v>3984</v>
      </c>
      <c r="C30">
        <v>76228626</v>
      </c>
      <c r="D30">
        <v>2001984</v>
      </c>
      <c r="E30" t="s">
        <v>39</v>
      </c>
      <c r="F30" s="5">
        <v>400</v>
      </c>
    </row>
    <row r="31" spans="1:6">
      <c r="A31" t="s">
        <v>3983</v>
      </c>
      <c r="B31" t="s">
        <v>3984</v>
      </c>
      <c r="C31">
        <v>76228626</v>
      </c>
      <c r="D31">
        <v>2001984</v>
      </c>
      <c r="E31" t="s">
        <v>729</v>
      </c>
      <c r="F31" s="5">
        <v>200</v>
      </c>
    </row>
    <row r="32" spans="1:6" hidden="1">
      <c r="A32" t="s">
        <v>2194</v>
      </c>
      <c r="B32" t="s">
        <v>2195</v>
      </c>
      <c r="C32">
        <v>71057834</v>
      </c>
      <c r="D32">
        <v>10126</v>
      </c>
      <c r="E32" t="s">
        <v>39</v>
      </c>
      <c r="F32" s="5">
        <v>300</v>
      </c>
    </row>
    <row r="33" spans="1:6">
      <c r="A33" t="s">
        <v>2194</v>
      </c>
      <c r="B33" t="s">
        <v>2195</v>
      </c>
      <c r="C33">
        <v>71057834</v>
      </c>
      <c r="D33">
        <v>10126</v>
      </c>
      <c r="E33" t="s">
        <v>729</v>
      </c>
      <c r="F33" s="5">
        <v>200</v>
      </c>
    </row>
    <row r="34" spans="1:6" hidden="1">
      <c r="A34" t="s">
        <v>2989</v>
      </c>
      <c r="B34" t="s">
        <v>2990</v>
      </c>
      <c r="C34">
        <v>76157326</v>
      </c>
      <c r="D34">
        <v>10189</v>
      </c>
      <c r="E34" t="s">
        <v>39</v>
      </c>
      <c r="F34" s="5">
        <v>400</v>
      </c>
    </row>
    <row r="35" spans="1:6">
      <c r="A35" t="s">
        <v>2989</v>
      </c>
      <c r="B35" t="s">
        <v>2990</v>
      </c>
      <c r="C35">
        <v>76157326</v>
      </c>
      <c r="D35">
        <v>10189</v>
      </c>
      <c r="E35" t="s">
        <v>729</v>
      </c>
      <c r="F35" s="5">
        <v>200</v>
      </c>
    </row>
    <row r="36" spans="1:6" hidden="1">
      <c r="A36" t="s">
        <v>3271</v>
      </c>
      <c r="B36" t="s">
        <v>3272</v>
      </c>
      <c r="C36">
        <v>76190250</v>
      </c>
      <c r="D36" t="s">
        <v>438</v>
      </c>
      <c r="E36" t="s">
        <v>39</v>
      </c>
      <c r="F36" s="5">
        <v>400</v>
      </c>
    </row>
    <row r="37" spans="1:6">
      <c r="A37" t="s">
        <v>3271</v>
      </c>
      <c r="B37" t="s">
        <v>3272</v>
      </c>
      <c r="C37">
        <v>76190250</v>
      </c>
      <c r="D37" t="s">
        <v>438</v>
      </c>
      <c r="E37" t="s">
        <v>729</v>
      </c>
      <c r="F37" s="5">
        <v>200</v>
      </c>
    </row>
    <row r="38" spans="1:6" hidden="1">
      <c r="A38" t="s">
        <v>3311</v>
      </c>
      <c r="B38" t="s">
        <v>3312</v>
      </c>
      <c r="C38">
        <v>76195274</v>
      </c>
      <c r="D38" t="s">
        <v>438</v>
      </c>
      <c r="E38" t="s">
        <v>39</v>
      </c>
      <c r="F38" s="5">
        <v>400</v>
      </c>
    </row>
    <row r="39" spans="1:6">
      <c r="A39" t="s">
        <v>3311</v>
      </c>
      <c r="B39" t="s">
        <v>3312</v>
      </c>
      <c r="C39">
        <v>76195274</v>
      </c>
      <c r="D39" t="s">
        <v>438</v>
      </c>
      <c r="E39" t="s">
        <v>729</v>
      </c>
      <c r="F39" s="5">
        <v>200</v>
      </c>
    </row>
    <row r="40" spans="1:6" hidden="1">
      <c r="A40" t="s">
        <v>2995</v>
      </c>
      <c r="B40" t="s">
        <v>2996</v>
      </c>
      <c r="C40">
        <v>76157682</v>
      </c>
      <c r="D40" t="s">
        <v>438</v>
      </c>
      <c r="E40" t="s">
        <v>39</v>
      </c>
      <c r="F40" s="5">
        <v>400</v>
      </c>
    </row>
    <row r="41" spans="1:6">
      <c r="A41" t="s">
        <v>2995</v>
      </c>
      <c r="B41" t="s">
        <v>2996</v>
      </c>
      <c r="C41">
        <v>76157682</v>
      </c>
      <c r="D41" t="s">
        <v>438</v>
      </c>
      <c r="E41" t="s">
        <v>729</v>
      </c>
      <c r="F41" s="5">
        <v>200</v>
      </c>
    </row>
    <row r="42" spans="1:6" hidden="1">
      <c r="A42" t="s">
        <v>3021</v>
      </c>
      <c r="B42" t="s">
        <v>3022</v>
      </c>
      <c r="C42">
        <v>76159809</v>
      </c>
      <c r="D42" t="s">
        <v>438</v>
      </c>
      <c r="E42" t="s">
        <v>39</v>
      </c>
      <c r="F42" s="5">
        <v>400</v>
      </c>
    </row>
    <row r="43" spans="1:6">
      <c r="A43" t="s">
        <v>3021</v>
      </c>
      <c r="B43" t="s">
        <v>3022</v>
      </c>
      <c r="C43">
        <v>76159809</v>
      </c>
      <c r="D43" t="s">
        <v>438</v>
      </c>
      <c r="E43" t="s">
        <v>729</v>
      </c>
      <c r="F43" s="5">
        <v>200</v>
      </c>
    </row>
    <row r="44" spans="1:6" hidden="1">
      <c r="A44" t="s">
        <v>3497</v>
      </c>
      <c r="B44" t="s">
        <v>3498</v>
      </c>
      <c r="C44">
        <v>76208845</v>
      </c>
      <c r="D44">
        <v>2500855</v>
      </c>
      <c r="E44" t="s">
        <v>39</v>
      </c>
      <c r="F44" s="5">
        <v>300</v>
      </c>
    </row>
    <row r="45" spans="1:6">
      <c r="A45" t="s">
        <v>3497</v>
      </c>
      <c r="B45" t="s">
        <v>3498</v>
      </c>
      <c r="C45">
        <v>76208845</v>
      </c>
      <c r="D45">
        <v>2500855</v>
      </c>
      <c r="E45" t="s">
        <v>729</v>
      </c>
      <c r="F45" s="5">
        <v>200</v>
      </c>
    </row>
    <row r="46" spans="1:6" hidden="1">
      <c r="A46" t="s">
        <v>385</v>
      </c>
      <c r="B46" t="s">
        <v>386</v>
      </c>
      <c r="C46">
        <v>1013501</v>
      </c>
      <c r="D46">
        <v>10027</v>
      </c>
      <c r="E46" t="s">
        <v>39</v>
      </c>
      <c r="F46" s="5">
        <v>300</v>
      </c>
    </row>
    <row r="47" spans="1:6">
      <c r="A47" t="s">
        <v>385</v>
      </c>
      <c r="B47" t="s">
        <v>386</v>
      </c>
      <c r="C47">
        <v>1013501</v>
      </c>
      <c r="D47">
        <v>10027</v>
      </c>
      <c r="E47" t="s">
        <v>729</v>
      </c>
      <c r="F47" s="5">
        <v>200</v>
      </c>
    </row>
    <row r="48" spans="1:6" hidden="1">
      <c r="A48" t="s">
        <v>388</v>
      </c>
      <c r="B48" t="s">
        <v>389</v>
      </c>
      <c r="C48">
        <v>1013502</v>
      </c>
      <c r="D48">
        <v>10028</v>
      </c>
      <c r="E48" t="s">
        <v>39</v>
      </c>
      <c r="F48" s="5">
        <v>300</v>
      </c>
    </row>
    <row r="49" spans="1:6">
      <c r="A49" t="s">
        <v>388</v>
      </c>
      <c r="B49" t="s">
        <v>389</v>
      </c>
      <c r="C49">
        <v>1013502</v>
      </c>
      <c r="D49">
        <v>10028</v>
      </c>
      <c r="E49" t="s">
        <v>729</v>
      </c>
      <c r="F49" s="5">
        <v>200</v>
      </c>
    </row>
    <row r="50" spans="1:6" hidden="1">
      <c r="A50" t="s">
        <v>433</v>
      </c>
      <c r="B50" t="s">
        <v>434</v>
      </c>
      <c r="C50">
        <v>71034933</v>
      </c>
      <c r="D50">
        <v>10038</v>
      </c>
      <c r="E50" t="s">
        <v>39</v>
      </c>
      <c r="F50" s="5">
        <v>300</v>
      </c>
    </row>
    <row r="51" spans="1:6">
      <c r="A51" t="s">
        <v>433</v>
      </c>
      <c r="B51" t="s">
        <v>434</v>
      </c>
      <c r="C51">
        <v>71034933</v>
      </c>
      <c r="D51">
        <v>10038</v>
      </c>
      <c r="E51" t="s">
        <v>729</v>
      </c>
      <c r="F51" s="5">
        <v>200</v>
      </c>
    </row>
    <row r="52" spans="1:6" hidden="1">
      <c r="A52" t="s">
        <v>1687</v>
      </c>
      <c r="B52" t="s">
        <v>1688</v>
      </c>
      <c r="C52">
        <v>13104901</v>
      </c>
      <c r="D52">
        <v>1500085</v>
      </c>
      <c r="E52" t="s">
        <v>39</v>
      </c>
      <c r="F52" s="5">
        <v>300</v>
      </c>
    </row>
    <row r="53" spans="1:6">
      <c r="A53" t="s">
        <v>1687</v>
      </c>
      <c r="B53" t="s">
        <v>1688</v>
      </c>
      <c r="C53">
        <v>13104901</v>
      </c>
      <c r="D53">
        <v>1500085</v>
      </c>
      <c r="E53" t="s">
        <v>729</v>
      </c>
      <c r="F53" s="5">
        <v>200</v>
      </c>
    </row>
    <row r="54" spans="1:6" hidden="1">
      <c r="A54" t="s">
        <v>1549</v>
      </c>
      <c r="B54" t="s">
        <v>1550</v>
      </c>
      <c r="C54">
        <v>1325654</v>
      </c>
      <c r="D54">
        <v>3000691</v>
      </c>
      <c r="E54" t="s">
        <v>39</v>
      </c>
      <c r="F54" s="5">
        <v>300</v>
      </c>
    </row>
    <row r="55" spans="1:6">
      <c r="A55" t="s">
        <v>1549</v>
      </c>
      <c r="B55" t="s">
        <v>1550</v>
      </c>
      <c r="C55">
        <v>1325654</v>
      </c>
      <c r="D55">
        <v>3000691</v>
      </c>
      <c r="E55" t="s">
        <v>729</v>
      </c>
      <c r="F55" s="5">
        <v>200</v>
      </c>
    </row>
    <row r="56" spans="1:6" hidden="1">
      <c r="A56" t="s">
        <v>2422</v>
      </c>
      <c r="B56" t="s">
        <v>2423</v>
      </c>
      <c r="C56">
        <v>76034154</v>
      </c>
      <c r="D56">
        <v>2001622</v>
      </c>
      <c r="E56" t="s">
        <v>39</v>
      </c>
      <c r="F56" s="5">
        <v>300</v>
      </c>
    </row>
    <row r="57" spans="1:6">
      <c r="A57" t="s">
        <v>2422</v>
      </c>
      <c r="B57" t="s">
        <v>2423</v>
      </c>
      <c r="C57">
        <v>76034154</v>
      </c>
      <c r="D57">
        <v>2001622</v>
      </c>
      <c r="E57" t="s">
        <v>729</v>
      </c>
      <c r="F57" s="5">
        <v>200</v>
      </c>
    </row>
    <row r="58" spans="1:6" hidden="1">
      <c r="A58" t="s">
        <v>1994</v>
      </c>
      <c r="B58" t="s">
        <v>1995</v>
      </c>
      <c r="C58">
        <v>61000389</v>
      </c>
      <c r="D58">
        <v>2001471</v>
      </c>
      <c r="E58" t="s">
        <v>39</v>
      </c>
      <c r="F58" s="5">
        <v>450</v>
      </c>
    </row>
    <row r="59" spans="1:6">
      <c r="A59" t="s">
        <v>1994</v>
      </c>
      <c r="B59" t="s">
        <v>1995</v>
      </c>
      <c r="C59">
        <v>61000389</v>
      </c>
      <c r="D59">
        <v>2001471</v>
      </c>
      <c r="E59" t="s">
        <v>729</v>
      </c>
      <c r="F59" s="5">
        <v>200</v>
      </c>
    </row>
    <row r="60" spans="1:6" hidden="1">
      <c r="A60" t="s">
        <v>282</v>
      </c>
      <c r="B60" t="s">
        <v>283</v>
      </c>
      <c r="C60">
        <v>76252046</v>
      </c>
      <c r="D60">
        <v>2503503</v>
      </c>
      <c r="E60" t="s">
        <v>39</v>
      </c>
      <c r="F60" s="5">
        <v>300</v>
      </c>
    </row>
    <row r="61" spans="1:6">
      <c r="A61" t="s">
        <v>282</v>
      </c>
      <c r="B61" t="s">
        <v>283</v>
      </c>
      <c r="C61">
        <v>76252046</v>
      </c>
      <c r="D61">
        <v>2503503</v>
      </c>
      <c r="E61" t="s">
        <v>729</v>
      </c>
      <c r="F61" s="5">
        <v>200</v>
      </c>
    </row>
    <row r="62" spans="1:6" hidden="1">
      <c r="A62" t="s">
        <v>1643</v>
      </c>
      <c r="B62" t="s">
        <v>1644</v>
      </c>
      <c r="C62">
        <v>8300034</v>
      </c>
      <c r="D62">
        <v>6136</v>
      </c>
      <c r="E62" t="s">
        <v>39</v>
      </c>
      <c r="F62" s="5">
        <v>300</v>
      </c>
    </row>
    <row r="63" spans="1:6">
      <c r="A63" t="s">
        <v>1643</v>
      </c>
      <c r="B63" t="s">
        <v>1644</v>
      </c>
      <c r="C63">
        <v>8300034</v>
      </c>
      <c r="D63">
        <v>6136</v>
      </c>
      <c r="E63" t="s">
        <v>729</v>
      </c>
      <c r="F63" s="5">
        <v>200</v>
      </c>
    </row>
    <row r="64" spans="1:6" hidden="1">
      <c r="A64" t="s">
        <v>3169</v>
      </c>
      <c r="B64" t="s">
        <v>3170</v>
      </c>
      <c r="C64">
        <v>76177578</v>
      </c>
      <c r="D64">
        <v>13100</v>
      </c>
      <c r="E64" t="s">
        <v>39</v>
      </c>
      <c r="F64" s="5">
        <v>300</v>
      </c>
    </row>
    <row r="65" spans="1:6">
      <c r="A65" t="s">
        <v>3169</v>
      </c>
      <c r="B65" t="s">
        <v>3170</v>
      </c>
      <c r="C65">
        <v>76177578</v>
      </c>
      <c r="D65">
        <v>13100</v>
      </c>
      <c r="E65" t="s">
        <v>729</v>
      </c>
      <c r="F65" s="5">
        <v>200</v>
      </c>
    </row>
    <row r="66" spans="1:6" hidden="1">
      <c r="A66" t="s">
        <v>2372</v>
      </c>
      <c r="B66" t="s">
        <v>2373</v>
      </c>
      <c r="C66">
        <v>76026176</v>
      </c>
      <c r="D66">
        <v>10011</v>
      </c>
      <c r="E66" t="s">
        <v>39</v>
      </c>
      <c r="F66" s="5">
        <v>300</v>
      </c>
    </row>
    <row r="67" spans="1:6">
      <c r="A67" t="s">
        <v>2372</v>
      </c>
      <c r="B67" t="s">
        <v>2373</v>
      </c>
      <c r="C67">
        <v>76026176</v>
      </c>
      <c r="D67">
        <v>10011</v>
      </c>
      <c r="E67" t="s">
        <v>729</v>
      </c>
      <c r="F67" s="5">
        <v>200</v>
      </c>
    </row>
    <row r="68" spans="1:6" hidden="1">
      <c r="A68" t="s">
        <v>2597</v>
      </c>
      <c r="B68" t="s">
        <v>2598</v>
      </c>
      <c r="C68">
        <v>76057680</v>
      </c>
      <c r="D68">
        <v>3110</v>
      </c>
      <c r="E68" t="s">
        <v>39</v>
      </c>
      <c r="F68" s="5">
        <v>300</v>
      </c>
    </row>
    <row r="69" spans="1:6">
      <c r="A69" t="s">
        <v>2597</v>
      </c>
      <c r="B69" t="s">
        <v>2598</v>
      </c>
      <c r="C69">
        <v>76057680</v>
      </c>
      <c r="D69">
        <v>3110</v>
      </c>
      <c r="E69" t="s">
        <v>729</v>
      </c>
      <c r="F69" s="5">
        <v>200</v>
      </c>
    </row>
    <row r="70" spans="1:6" hidden="1">
      <c r="A70" t="s">
        <v>4418</v>
      </c>
      <c r="B70" t="s">
        <v>4419</v>
      </c>
      <c r="C70">
        <v>76246007</v>
      </c>
      <c r="D70">
        <v>3000757</v>
      </c>
      <c r="E70" t="s">
        <v>39</v>
      </c>
      <c r="F70" s="5">
        <v>300</v>
      </c>
    </row>
    <row r="71" spans="1:6">
      <c r="A71" t="s">
        <v>4418</v>
      </c>
      <c r="B71" t="s">
        <v>4419</v>
      </c>
      <c r="C71">
        <v>76246007</v>
      </c>
      <c r="D71">
        <v>3000757</v>
      </c>
      <c r="E71" t="s">
        <v>729</v>
      </c>
      <c r="F71" s="5">
        <v>200</v>
      </c>
    </row>
    <row r="72" spans="1:6" hidden="1">
      <c r="A72" t="s">
        <v>4018</v>
      </c>
      <c r="B72" t="s">
        <v>4019</v>
      </c>
      <c r="C72">
        <v>76229451</v>
      </c>
      <c r="D72">
        <v>2502476</v>
      </c>
      <c r="E72" t="s">
        <v>39</v>
      </c>
      <c r="F72" s="5">
        <v>450</v>
      </c>
    </row>
    <row r="73" spans="1:6">
      <c r="A73" t="s">
        <v>4018</v>
      </c>
      <c r="B73" t="s">
        <v>4019</v>
      </c>
      <c r="C73">
        <v>76229451</v>
      </c>
      <c r="D73">
        <v>2502476</v>
      </c>
      <c r="E73" t="s">
        <v>729</v>
      </c>
      <c r="F73" s="5">
        <v>200</v>
      </c>
    </row>
    <row r="74" spans="1:6" hidden="1">
      <c r="A74" t="s">
        <v>3195</v>
      </c>
      <c r="B74" t="s">
        <v>3196</v>
      </c>
      <c r="C74">
        <v>76179851</v>
      </c>
      <c r="D74">
        <v>2500857</v>
      </c>
      <c r="E74" t="s">
        <v>39</v>
      </c>
      <c r="F74" s="5">
        <v>450</v>
      </c>
    </row>
    <row r="75" spans="1:6">
      <c r="A75" t="s">
        <v>3195</v>
      </c>
      <c r="B75" t="s">
        <v>3196</v>
      </c>
      <c r="C75">
        <v>76179851</v>
      </c>
      <c r="D75">
        <v>2500857</v>
      </c>
      <c r="E75" t="s">
        <v>729</v>
      </c>
      <c r="F75" s="5">
        <v>200</v>
      </c>
    </row>
    <row r="76" spans="1:6" hidden="1">
      <c r="A76" t="s">
        <v>4577</v>
      </c>
      <c r="B76" t="s">
        <v>4578</v>
      </c>
      <c r="C76">
        <v>76255929</v>
      </c>
      <c r="D76">
        <v>3000545</v>
      </c>
      <c r="E76" t="s">
        <v>39</v>
      </c>
      <c r="F76" s="5">
        <v>300</v>
      </c>
    </row>
    <row r="77" spans="1:6">
      <c r="A77" t="s">
        <v>4577</v>
      </c>
      <c r="B77" t="s">
        <v>4578</v>
      </c>
      <c r="C77">
        <v>76255929</v>
      </c>
      <c r="D77">
        <v>3000545</v>
      </c>
      <c r="E77" t="s">
        <v>729</v>
      </c>
      <c r="F77" s="5">
        <v>200</v>
      </c>
    </row>
    <row r="78" spans="1:6" hidden="1">
      <c r="A78" t="s">
        <v>3443</v>
      </c>
      <c r="B78" t="s">
        <v>3444</v>
      </c>
      <c r="C78">
        <v>76206439</v>
      </c>
      <c r="D78">
        <v>2000748</v>
      </c>
      <c r="E78" t="s">
        <v>39</v>
      </c>
      <c r="F78" s="5">
        <v>300</v>
      </c>
    </row>
    <row r="79" spans="1:6">
      <c r="A79" t="s">
        <v>3443</v>
      </c>
      <c r="B79" t="s">
        <v>3444</v>
      </c>
      <c r="C79">
        <v>76206439</v>
      </c>
      <c r="D79">
        <v>2000748</v>
      </c>
      <c r="E79" t="s">
        <v>729</v>
      </c>
      <c r="F79" s="5">
        <v>200</v>
      </c>
    </row>
    <row r="80" spans="1:6" hidden="1">
      <c r="A80" t="s">
        <v>3445</v>
      </c>
      <c r="B80" t="s">
        <v>3446</v>
      </c>
      <c r="C80">
        <v>76206447</v>
      </c>
      <c r="D80">
        <v>2000755</v>
      </c>
      <c r="E80" t="s">
        <v>39</v>
      </c>
      <c r="F80" s="5">
        <v>300</v>
      </c>
    </row>
    <row r="81" spans="1:6">
      <c r="A81" t="s">
        <v>3445</v>
      </c>
      <c r="B81" t="s">
        <v>3446</v>
      </c>
      <c r="C81">
        <v>76206447</v>
      </c>
      <c r="D81">
        <v>2000755</v>
      </c>
      <c r="E81" t="s">
        <v>729</v>
      </c>
      <c r="F81" s="5">
        <v>200</v>
      </c>
    </row>
    <row r="82" spans="1:6" hidden="1">
      <c r="A82" t="s">
        <v>2831</v>
      </c>
      <c r="B82" t="s">
        <v>2832</v>
      </c>
      <c r="C82">
        <v>76098118</v>
      </c>
      <c r="D82">
        <v>2001945</v>
      </c>
      <c r="E82" t="s">
        <v>39</v>
      </c>
      <c r="F82" s="5">
        <v>450</v>
      </c>
    </row>
    <row r="83" spans="1:6">
      <c r="A83" t="s">
        <v>2831</v>
      </c>
      <c r="B83" t="s">
        <v>2832</v>
      </c>
      <c r="C83">
        <v>76098118</v>
      </c>
      <c r="D83">
        <v>2001945</v>
      </c>
      <c r="E83" t="s">
        <v>729</v>
      </c>
      <c r="F83" s="5">
        <v>200</v>
      </c>
    </row>
    <row r="84" spans="1:6" hidden="1">
      <c r="A84" t="s">
        <v>4593</v>
      </c>
      <c r="B84" t="s">
        <v>4594</v>
      </c>
      <c r="C84">
        <v>76256754</v>
      </c>
      <c r="D84">
        <v>2502493</v>
      </c>
      <c r="E84" t="s">
        <v>39</v>
      </c>
      <c r="F84" s="5">
        <v>300</v>
      </c>
    </row>
    <row r="85" spans="1:6">
      <c r="A85" t="s">
        <v>4593</v>
      </c>
      <c r="B85" t="s">
        <v>4594</v>
      </c>
      <c r="C85">
        <v>76256754</v>
      </c>
      <c r="D85">
        <v>2502493</v>
      </c>
      <c r="E85" t="s">
        <v>729</v>
      </c>
      <c r="F85" s="5">
        <v>200</v>
      </c>
    </row>
    <row r="86" spans="1:6" hidden="1">
      <c r="A86" t="s">
        <v>2869</v>
      </c>
      <c r="B86" t="s">
        <v>2870</v>
      </c>
      <c r="C86">
        <v>76139444</v>
      </c>
      <c r="D86">
        <v>2503185</v>
      </c>
      <c r="E86" t="s">
        <v>39</v>
      </c>
      <c r="F86" s="5">
        <v>300</v>
      </c>
    </row>
    <row r="87" spans="1:6">
      <c r="A87" t="s">
        <v>2869</v>
      </c>
      <c r="B87" t="s">
        <v>2870</v>
      </c>
      <c r="C87">
        <v>76139444</v>
      </c>
      <c r="D87">
        <v>2503185</v>
      </c>
      <c r="E87" t="s">
        <v>729</v>
      </c>
      <c r="F87" s="5">
        <v>200</v>
      </c>
    </row>
    <row r="88" spans="1:6" hidden="1">
      <c r="A88" t="s">
        <v>2360</v>
      </c>
      <c r="B88" t="s">
        <v>2361</v>
      </c>
      <c r="C88">
        <v>76025294</v>
      </c>
      <c r="D88">
        <v>6002</v>
      </c>
      <c r="E88" t="s">
        <v>39</v>
      </c>
      <c r="F88" s="5">
        <v>300</v>
      </c>
    </row>
    <row r="89" spans="1:6">
      <c r="A89" t="s">
        <v>2360</v>
      </c>
      <c r="B89" t="s">
        <v>2361</v>
      </c>
      <c r="C89">
        <v>76025294</v>
      </c>
      <c r="D89">
        <v>6002</v>
      </c>
      <c r="E89" t="s">
        <v>729</v>
      </c>
      <c r="F89" s="5">
        <v>200</v>
      </c>
    </row>
    <row r="90" spans="1:6" hidden="1">
      <c r="A90" t="s">
        <v>4615</v>
      </c>
      <c r="B90" t="s">
        <v>4616</v>
      </c>
      <c r="C90">
        <v>76257461</v>
      </c>
      <c r="D90">
        <v>3000867</v>
      </c>
      <c r="E90" t="s">
        <v>39</v>
      </c>
      <c r="F90" s="5">
        <v>300</v>
      </c>
    </row>
    <row r="91" spans="1:6">
      <c r="A91" t="s">
        <v>4615</v>
      </c>
      <c r="B91" t="s">
        <v>4616</v>
      </c>
      <c r="C91">
        <v>76257461</v>
      </c>
      <c r="D91">
        <v>3000867</v>
      </c>
      <c r="E91" t="s">
        <v>729</v>
      </c>
      <c r="F91" s="5">
        <v>200</v>
      </c>
    </row>
    <row r="92" spans="1:6" hidden="1">
      <c r="A92" t="s">
        <v>2665</v>
      </c>
      <c r="B92" t="s">
        <v>2666</v>
      </c>
      <c r="C92">
        <v>76064145</v>
      </c>
      <c r="D92">
        <v>2003057</v>
      </c>
      <c r="E92" t="s">
        <v>39</v>
      </c>
      <c r="F92" s="5">
        <v>300</v>
      </c>
    </row>
    <row r="93" spans="1:6">
      <c r="A93" t="s">
        <v>2665</v>
      </c>
      <c r="B93" t="s">
        <v>2666</v>
      </c>
      <c r="C93">
        <v>76064145</v>
      </c>
      <c r="D93">
        <v>2003057</v>
      </c>
      <c r="E93" t="s">
        <v>729</v>
      </c>
      <c r="F93" s="5">
        <v>200</v>
      </c>
    </row>
    <row r="94" spans="1:6" hidden="1">
      <c r="A94" t="s">
        <v>4050</v>
      </c>
      <c r="B94" t="s">
        <v>4051</v>
      </c>
      <c r="C94">
        <v>76229774</v>
      </c>
      <c r="D94">
        <v>2500345</v>
      </c>
      <c r="E94" t="s">
        <v>39</v>
      </c>
      <c r="F94" s="5">
        <v>300</v>
      </c>
    </row>
    <row r="95" spans="1:6">
      <c r="A95" t="s">
        <v>4050</v>
      </c>
      <c r="B95" t="s">
        <v>4051</v>
      </c>
      <c r="C95">
        <v>76229774</v>
      </c>
      <c r="D95">
        <v>2500345</v>
      </c>
      <c r="E95" t="s">
        <v>729</v>
      </c>
      <c r="F95" s="5">
        <v>200</v>
      </c>
    </row>
    <row r="96" spans="1:6" hidden="1">
      <c r="A96" t="s">
        <v>72</v>
      </c>
      <c r="B96" t="s">
        <v>73</v>
      </c>
      <c r="C96">
        <v>76025293</v>
      </c>
      <c r="D96">
        <v>2502775</v>
      </c>
      <c r="E96" t="s">
        <v>39</v>
      </c>
      <c r="F96" s="5">
        <v>300</v>
      </c>
    </row>
    <row r="97" spans="1:6">
      <c r="A97" t="s">
        <v>72</v>
      </c>
      <c r="B97" t="s">
        <v>73</v>
      </c>
      <c r="C97">
        <v>76025293</v>
      </c>
      <c r="D97">
        <v>2502775</v>
      </c>
      <c r="E97" t="s">
        <v>729</v>
      </c>
      <c r="F97" s="5">
        <v>200</v>
      </c>
    </row>
    <row r="98" spans="1:6" hidden="1">
      <c r="A98" t="s">
        <v>4042</v>
      </c>
      <c r="B98" t="s">
        <v>4043</v>
      </c>
      <c r="C98">
        <v>76229725</v>
      </c>
      <c r="D98">
        <v>2502878</v>
      </c>
      <c r="E98" t="s">
        <v>39</v>
      </c>
      <c r="F98" s="5">
        <v>300</v>
      </c>
    </row>
    <row r="99" spans="1:6">
      <c r="A99" t="s">
        <v>4042</v>
      </c>
      <c r="B99" t="s">
        <v>4043</v>
      </c>
      <c r="C99">
        <v>76229725</v>
      </c>
      <c r="D99">
        <v>2502878</v>
      </c>
      <c r="E99" t="s">
        <v>729</v>
      </c>
      <c r="F99" s="5">
        <v>200</v>
      </c>
    </row>
    <row r="100" spans="1:6" hidden="1">
      <c r="A100" t="s">
        <v>4545</v>
      </c>
      <c r="B100" t="s">
        <v>4546</v>
      </c>
      <c r="C100">
        <v>76254233</v>
      </c>
      <c r="D100">
        <v>2503620</v>
      </c>
      <c r="E100" t="s">
        <v>39</v>
      </c>
      <c r="F100" s="5">
        <v>300</v>
      </c>
    </row>
    <row r="101" spans="1:6">
      <c r="A101" t="s">
        <v>4545</v>
      </c>
      <c r="B101" t="s">
        <v>4546</v>
      </c>
      <c r="C101">
        <v>76254233</v>
      </c>
      <c r="D101">
        <v>2503620</v>
      </c>
      <c r="E101" t="s">
        <v>729</v>
      </c>
      <c r="F101" s="5">
        <v>200</v>
      </c>
    </row>
    <row r="102" spans="1:6" hidden="1">
      <c r="A102" t="s">
        <v>3165</v>
      </c>
      <c r="B102" t="s">
        <v>3166</v>
      </c>
      <c r="C102">
        <v>76176659</v>
      </c>
      <c r="D102">
        <v>2501316</v>
      </c>
      <c r="E102" t="s">
        <v>39</v>
      </c>
      <c r="F102" s="5">
        <v>400</v>
      </c>
    </row>
    <row r="103" spans="1:6">
      <c r="A103" t="s">
        <v>3165</v>
      </c>
      <c r="B103" t="s">
        <v>3166</v>
      </c>
      <c r="C103">
        <v>76176659</v>
      </c>
      <c r="D103">
        <v>2501316</v>
      </c>
      <c r="E103" t="s">
        <v>729</v>
      </c>
      <c r="F103" s="5">
        <v>200</v>
      </c>
    </row>
    <row r="104" spans="1:6" hidden="1">
      <c r="A104" t="s">
        <v>3731</v>
      </c>
      <c r="B104" t="s">
        <v>3732</v>
      </c>
      <c r="C104">
        <v>76219394</v>
      </c>
      <c r="D104">
        <v>2502210</v>
      </c>
      <c r="E104" t="s">
        <v>39</v>
      </c>
      <c r="F104" s="5">
        <v>450</v>
      </c>
    </row>
    <row r="105" spans="1:6">
      <c r="A105" t="s">
        <v>3731</v>
      </c>
      <c r="B105" t="s">
        <v>3732</v>
      </c>
      <c r="C105">
        <v>76219394</v>
      </c>
      <c r="D105">
        <v>2502210</v>
      </c>
      <c r="E105" t="s">
        <v>729</v>
      </c>
      <c r="F105" s="5">
        <v>200</v>
      </c>
    </row>
    <row r="106" spans="1:6" hidden="1">
      <c r="A106" t="s">
        <v>3045</v>
      </c>
      <c r="B106" t="s">
        <v>3046</v>
      </c>
      <c r="C106">
        <v>76163363</v>
      </c>
      <c r="D106">
        <v>9012</v>
      </c>
      <c r="E106" t="s">
        <v>39</v>
      </c>
      <c r="F106" s="5">
        <v>450</v>
      </c>
    </row>
    <row r="107" spans="1:6">
      <c r="A107" t="s">
        <v>3045</v>
      </c>
      <c r="B107" t="s">
        <v>3046</v>
      </c>
      <c r="C107">
        <v>76163363</v>
      </c>
      <c r="D107">
        <v>9012</v>
      </c>
      <c r="E107" t="s">
        <v>729</v>
      </c>
      <c r="F107" s="5">
        <v>200</v>
      </c>
    </row>
    <row r="108" spans="1:6" hidden="1">
      <c r="A108" t="s">
        <v>3907</v>
      </c>
      <c r="B108" t="s">
        <v>3908</v>
      </c>
      <c r="C108">
        <v>76226237</v>
      </c>
      <c r="D108">
        <v>2001794</v>
      </c>
      <c r="E108" t="s">
        <v>39</v>
      </c>
      <c r="F108" s="5">
        <v>300</v>
      </c>
    </row>
    <row r="109" spans="1:6">
      <c r="A109" t="s">
        <v>3907</v>
      </c>
      <c r="B109" t="s">
        <v>3908</v>
      </c>
      <c r="C109">
        <v>76226237</v>
      </c>
      <c r="D109">
        <v>2001794</v>
      </c>
      <c r="E109" t="s">
        <v>729</v>
      </c>
      <c r="F109" s="5">
        <v>200</v>
      </c>
    </row>
    <row r="110" spans="1:6" hidden="1">
      <c r="A110" t="s">
        <v>3227</v>
      </c>
      <c r="B110" t="s">
        <v>3228</v>
      </c>
      <c r="C110">
        <v>76186861</v>
      </c>
      <c r="D110">
        <v>2500152</v>
      </c>
      <c r="E110" t="s">
        <v>39</v>
      </c>
      <c r="F110" s="5">
        <v>300</v>
      </c>
    </row>
    <row r="111" spans="1:6">
      <c r="A111" t="s">
        <v>3227</v>
      </c>
      <c r="B111" t="s">
        <v>3228</v>
      </c>
      <c r="C111">
        <v>76186861</v>
      </c>
      <c r="D111">
        <v>2500152</v>
      </c>
      <c r="E111" t="s">
        <v>729</v>
      </c>
      <c r="F111" s="5">
        <v>200</v>
      </c>
    </row>
    <row r="112" spans="1:6" hidden="1">
      <c r="A112" t="s">
        <v>2699</v>
      </c>
      <c r="B112" t="s">
        <v>2700</v>
      </c>
      <c r="C112">
        <v>76066350</v>
      </c>
      <c r="D112">
        <v>2000806</v>
      </c>
      <c r="E112" t="s">
        <v>39</v>
      </c>
      <c r="F112" s="5">
        <v>300</v>
      </c>
    </row>
    <row r="113" spans="1:6">
      <c r="A113" t="s">
        <v>2699</v>
      </c>
      <c r="B113" t="s">
        <v>2700</v>
      </c>
      <c r="C113">
        <v>76066350</v>
      </c>
      <c r="D113">
        <v>2000806</v>
      </c>
      <c r="E113" t="s">
        <v>729</v>
      </c>
      <c r="F113" s="5">
        <v>200</v>
      </c>
    </row>
    <row r="114" spans="1:6" hidden="1">
      <c r="A114" t="s">
        <v>204</v>
      </c>
      <c r="B114" t="s">
        <v>205</v>
      </c>
      <c r="C114">
        <v>76233048</v>
      </c>
      <c r="D114">
        <v>2002132</v>
      </c>
      <c r="E114" t="s">
        <v>39</v>
      </c>
      <c r="F114" s="5">
        <v>450</v>
      </c>
    </row>
    <row r="115" spans="1:6">
      <c r="A115" t="s">
        <v>204</v>
      </c>
      <c r="B115" t="s">
        <v>205</v>
      </c>
      <c r="C115">
        <v>76233048</v>
      </c>
      <c r="D115">
        <v>2002132</v>
      </c>
      <c r="E115" t="s">
        <v>729</v>
      </c>
      <c r="F115" s="5">
        <v>200</v>
      </c>
    </row>
    <row r="116" spans="1:6" hidden="1">
      <c r="A116" t="s">
        <v>4320</v>
      </c>
      <c r="B116" t="s">
        <v>4321</v>
      </c>
      <c r="C116">
        <v>76240202</v>
      </c>
      <c r="D116">
        <v>2002702</v>
      </c>
      <c r="E116" t="s">
        <v>39</v>
      </c>
      <c r="F116" s="5">
        <v>300</v>
      </c>
    </row>
    <row r="117" spans="1:6">
      <c r="A117" t="s">
        <v>4320</v>
      </c>
      <c r="B117" t="s">
        <v>4321</v>
      </c>
      <c r="C117">
        <v>76240202</v>
      </c>
      <c r="D117">
        <v>2002702</v>
      </c>
      <c r="E117" t="s">
        <v>729</v>
      </c>
      <c r="F117" s="5">
        <v>200</v>
      </c>
    </row>
    <row r="118" spans="1:6" hidden="1">
      <c r="A118" t="s">
        <v>3755</v>
      </c>
      <c r="B118" t="s">
        <v>3756</v>
      </c>
      <c r="C118">
        <v>76220263</v>
      </c>
      <c r="D118">
        <v>2001543</v>
      </c>
      <c r="E118" t="s">
        <v>39</v>
      </c>
      <c r="F118" s="5">
        <v>300</v>
      </c>
    </row>
    <row r="119" spans="1:6">
      <c r="A119" t="s">
        <v>3755</v>
      </c>
      <c r="B119" t="s">
        <v>3756</v>
      </c>
      <c r="C119">
        <v>76220263</v>
      </c>
      <c r="D119">
        <v>2001543</v>
      </c>
      <c r="E119" t="s">
        <v>729</v>
      </c>
      <c r="F119" s="5">
        <v>200</v>
      </c>
    </row>
    <row r="120" spans="1:6" hidden="1">
      <c r="A120" t="s">
        <v>581</v>
      </c>
      <c r="B120" t="s">
        <v>582</v>
      </c>
      <c r="C120">
        <v>76206543</v>
      </c>
      <c r="D120">
        <v>3000651</v>
      </c>
      <c r="E120" t="s">
        <v>39</v>
      </c>
      <c r="F120" s="5">
        <v>300</v>
      </c>
    </row>
    <row r="121" spans="1:6">
      <c r="A121" t="s">
        <v>581</v>
      </c>
      <c r="B121" t="s">
        <v>582</v>
      </c>
      <c r="C121">
        <v>76206543</v>
      </c>
      <c r="D121">
        <v>3000651</v>
      </c>
      <c r="E121" t="s">
        <v>729</v>
      </c>
      <c r="F121" s="5">
        <v>200</v>
      </c>
    </row>
    <row r="122" spans="1:6" hidden="1">
      <c r="A122" t="s">
        <v>3099</v>
      </c>
      <c r="B122" t="s">
        <v>3100</v>
      </c>
      <c r="C122">
        <v>76168735</v>
      </c>
      <c r="D122">
        <v>2001533</v>
      </c>
      <c r="E122" t="s">
        <v>39</v>
      </c>
      <c r="F122" s="5">
        <v>300</v>
      </c>
    </row>
    <row r="123" spans="1:6">
      <c r="A123" t="s">
        <v>3099</v>
      </c>
      <c r="B123" t="s">
        <v>3100</v>
      </c>
      <c r="C123">
        <v>76168735</v>
      </c>
      <c r="D123">
        <v>2001533</v>
      </c>
      <c r="E123" t="s">
        <v>729</v>
      </c>
      <c r="F123" s="5">
        <v>200</v>
      </c>
    </row>
    <row r="124" spans="1:6" hidden="1">
      <c r="A124" t="s">
        <v>4472</v>
      </c>
      <c r="B124" t="s">
        <v>4473</v>
      </c>
      <c r="C124">
        <v>76251177</v>
      </c>
      <c r="D124">
        <v>2003006</v>
      </c>
      <c r="E124" t="s">
        <v>39</v>
      </c>
      <c r="F124" s="5">
        <v>300</v>
      </c>
    </row>
    <row r="125" spans="1:6">
      <c r="A125" t="s">
        <v>4472</v>
      </c>
      <c r="B125" t="s">
        <v>4473</v>
      </c>
      <c r="C125">
        <v>76251177</v>
      </c>
      <c r="D125">
        <v>2003006</v>
      </c>
      <c r="E125" t="s">
        <v>729</v>
      </c>
      <c r="F125" s="5">
        <v>200</v>
      </c>
    </row>
    <row r="126" spans="1:6" hidden="1">
      <c r="A126" t="s">
        <v>1659</v>
      </c>
      <c r="B126" t="s">
        <v>1660</v>
      </c>
      <c r="C126">
        <v>8310108</v>
      </c>
      <c r="D126">
        <v>2001531</v>
      </c>
      <c r="E126" t="s">
        <v>39</v>
      </c>
      <c r="F126" s="5">
        <v>300</v>
      </c>
    </row>
    <row r="127" spans="1:6">
      <c r="A127" t="s">
        <v>1659</v>
      </c>
      <c r="B127" t="s">
        <v>1660</v>
      </c>
      <c r="C127">
        <v>8310108</v>
      </c>
      <c r="D127">
        <v>2001531</v>
      </c>
      <c r="E127" t="s">
        <v>729</v>
      </c>
      <c r="F127" s="5">
        <v>200</v>
      </c>
    </row>
    <row r="128" spans="1:6" hidden="1">
      <c r="A128" t="s">
        <v>3917</v>
      </c>
      <c r="B128" t="s">
        <v>3918</v>
      </c>
      <c r="C128">
        <v>76226579</v>
      </c>
      <c r="D128">
        <v>2502319</v>
      </c>
      <c r="E128" t="s">
        <v>39</v>
      </c>
      <c r="F128" s="5">
        <v>450</v>
      </c>
    </row>
    <row r="129" spans="1:6">
      <c r="A129" t="s">
        <v>3917</v>
      </c>
      <c r="B129" t="s">
        <v>3918</v>
      </c>
      <c r="C129">
        <v>76226579</v>
      </c>
      <c r="D129">
        <v>2502319</v>
      </c>
      <c r="E129" t="s">
        <v>729</v>
      </c>
      <c r="F129" s="5">
        <v>200</v>
      </c>
    </row>
    <row r="130" spans="1:6" hidden="1">
      <c r="A130" t="s">
        <v>3323</v>
      </c>
      <c r="B130" t="s">
        <v>3324</v>
      </c>
      <c r="C130">
        <v>76196537</v>
      </c>
      <c r="D130">
        <v>2500280</v>
      </c>
      <c r="E130" t="s">
        <v>39</v>
      </c>
      <c r="F130" s="5">
        <v>300</v>
      </c>
    </row>
    <row r="131" spans="1:6">
      <c r="A131" t="s">
        <v>3323</v>
      </c>
      <c r="B131" t="s">
        <v>3324</v>
      </c>
      <c r="C131">
        <v>76196537</v>
      </c>
      <c r="D131">
        <v>2500280</v>
      </c>
      <c r="E131" t="s">
        <v>729</v>
      </c>
      <c r="F131" s="5">
        <v>200</v>
      </c>
    </row>
    <row r="132" spans="1:6" hidden="1">
      <c r="A132" t="s">
        <v>3337</v>
      </c>
      <c r="B132" t="s">
        <v>3338</v>
      </c>
      <c r="C132">
        <v>76200454</v>
      </c>
      <c r="D132">
        <v>5057</v>
      </c>
      <c r="E132" t="s">
        <v>39</v>
      </c>
      <c r="F132" s="5">
        <v>450</v>
      </c>
    </row>
    <row r="133" spans="1:6">
      <c r="A133" t="s">
        <v>3337</v>
      </c>
      <c r="B133" t="s">
        <v>3338</v>
      </c>
      <c r="C133">
        <v>76200454</v>
      </c>
      <c r="D133">
        <v>5057</v>
      </c>
      <c r="E133" t="s">
        <v>729</v>
      </c>
      <c r="F133" s="5">
        <v>200</v>
      </c>
    </row>
    <row r="134" spans="1:6" hidden="1">
      <c r="A134" t="s">
        <v>3935</v>
      </c>
      <c r="B134" t="s">
        <v>3936</v>
      </c>
      <c r="C134">
        <v>76226911</v>
      </c>
      <c r="D134">
        <v>2002181</v>
      </c>
      <c r="E134" t="s">
        <v>39</v>
      </c>
      <c r="F134" s="5">
        <v>450</v>
      </c>
    </row>
    <row r="135" spans="1:6">
      <c r="A135" t="s">
        <v>3935</v>
      </c>
      <c r="B135" t="s">
        <v>3936</v>
      </c>
      <c r="C135">
        <v>76226911</v>
      </c>
      <c r="D135">
        <v>2002181</v>
      </c>
      <c r="E135" t="s">
        <v>729</v>
      </c>
      <c r="F135" s="5">
        <v>200</v>
      </c>
    </row>
    <row r="136" spans="1:6" hidden="1">
      <c r="A136" t="s">
        <v>2801</v>
      </c>
      <c r="B136" t="s">
        <v>2802</v>
      </c>
      <c r="C136">
        <v>76078798</v>
      </c>
      <c r="D136">
        <v>2000430</v>
      </c>
      <c r="E136" t="s">
        <v>39</v>
      </c>
      <c r="F136" s="5">
        <v>300</v>
      </c>
    </row>
    <row r="137" spans="1:6">
      <c r="A137" t="s">
        <v>2801</v>
      </c>
      <c r="B137" t="s">
        <v>2802</v>
      </c>
      <c r="C137">
        <v>76078798</v>
      </c>
      <c r="D137">
        <v>2000430</v>
      </c>
      <c r="E137" t="s">
        <v>729</v>
      </c>
      <c r="F137" s="5">
        <v>200</v>
      </c>
    </row>
    <row r="138" spans="1:6" hidden="1">
      <c r="A138" t="s">
        <v>3325</v>
      </c>
      <c r="B138" t="s">
        <v>3326</v>
      </c>
      <c r="C138">
        <v>76197076</v>
      </c>
      <c r="D138">
        <v>2501997</v>
      </c>
      <c r="E138" t="s">
        <v>39</v>
      </c>
      <c r="F138" s="5">
        <v>450</v>
      </c>
    </row>
    <row r="139" spans="1:6">
      <c r="A139" t="s">
        <v>3325</v>
      </c>
      <c r="B139" t="s">
        <v>3326</v>
      </c>
      <c r="C139">
        <v>76197076</v>
      </c>
      <c r="D139">
        <v>2501997</v>
      </c>
      <c r="E139" t="s">
        <v>729</v>
      </c>
      <c r="F139" s="5">
        <v>200</v>
      </c>
    </row>
    <row r="140" spans="1:6" hidden="1">
      <c r="A140" t="s">
        <v>3919</v>
      </c>
      <c r="B140" t="s">
        <v>3920</v>
      </c>
      <c r="C140">
        <v>76226580</v>
      </c>
      <c r="D140">
        <v>2502311</v>
      </c>
      <c r="E140" t="s">
        <v>39</v>
      </c>
      <c r="F140" s="5">
        <v>450</v>
      </c>
    </row>
    <row r="141" spans="1:6">
      <c r="A141" t="s">
        <v>3919</v>
      </c>
      <c r="B141" t="s">
        <v>3920</v>
      </c>
      <c r="C141">
        <v>76226580</v>
      </c>
      <c r="D141">
        <v>2502311</v>
      </c>
      <c r="E141" t="s">
        <v>729</v>
      </c>
      <c r="F141" s="5">
        <v>200</v>
      </c>
    </row>
    <row r="142" spans="1:6" hidden="1">
      <c r="A142" t="s">
        <v>3901</v>
      </c>
      <c r="B142" t="s">
        <v>3902</v>
      </c>
      <c r="C142">
        <v>76226063</v>
      </c>
      <c r="D142">
        <v>2000813</v>
      </c>
      <c r="E142" t="s">
        <v>39</v>
      </c>
      <c r="F142" s="5">
        <v>300</v>
      </c>
    </row>
    <row r="143" spans="1:6">
      <c r="A143" t="s">
        <v>3901</v>
      </c>
      <c r="B143" t="s">
        <v>3902</v>
      </c>
      <c r="C143">
        <v>76226063</v>
      </c>
      <c r="D143">
        <v>2000813</v>
      </c>
      <c r="E143" t="s">
        <v>729</v>
      </c>
      <c r="F143" s="5">
        <v>200</v>
      </c>
    </row>
    <row r="144" spans="1:6" hidden="1">
      <c r="A144" t="s">
        <v>2458</v>
      </c>
      <c r="B144" t="s">
        <v>2459</v>
      </c>
      <c r="C144">
        <v>76037963</v>
      </c>
      <c r="D144">
        <v>2002512</v>
      </c>
      <c r="E144" t="s">
        <v>39</v>
      </c>
      <c r="F144" s="5">
        <v>300</v>
      </c>
    </row>
    <row r="145" spans="1:6">
      <c r="A145" t="s">
        <v>2458</v>
      </c>
      <c r="B145" t="s">
        <v>2459</v>
      </c>
      <c r="C145">
        <v>76037963</v>
      </c>
      <c r="D145">
        <v>2002512</v>
      </c>
      <c r="E145" t="s">
        <v>729</v>
      </c>
      <c r="F145" s="5">
        <v>200</v>
      </c>
    </row>
    <row r="146" spans="1:6" hidden="1">
      <c r="A146" t="s">
        <v>530</v>
      </c>
      <c r="B146" t="s">
        <v>531</v>
      </c>
      <c r="C146">
        <v>76157694</v>
      </c>
      <c r="D146">
        <v>2002138</v>
      </c>
      <c r="E146" t="s">
        <v>39</v>
      </c>
      <c r="F146" s="5">
        <v>300</v>
      </c>
    </row>
    <row r="147" spans="1:6">
      <c r="A147" t="s">
        <v>530</v>
      </c>
      <c r="B147" t="s">
        <v>531</v>
      </c>
      <c r="C147">
        <v>76157694</v>
      </c>
      <c r="D147">
        <v>2002138</v>
      </c>
      <c r="E147" t="s">
        <v>729</v>
      </c>
      <c r="F147" s="5">
        <v>200</v>
      </c>
    </row>
    <row r="148" spans="1:6" hidden="1">
      <c r="A148" t="s">
        <v>4076</v>
      </c>
      <c r="B148" t="s">
        <v>4077</v>
      </c>
      <c r="C148">
        <v>76230300</v>
      </c>
      <c r="D148">
        <v>2002860</v>
      </c>
      <c r="E148" t="s">
        <v>39</v>
      </c>
      <c r="F148" s="5">
        <v>300</v>
      </c>
    </row>
    <row r="149" spans="1:6">
      <c r="A149" t="s">
        <v>4076</v>
      </c>
      <c r="B149" t="s">
        <v>4077</v>
      </c>
      <c r="C149">
        <v>76230300</v>
      </c>
      <c r="D149">
        <v>2002860</v>
      </c>
      <c r="E149" t="s">
        <v>729</v>
      </c>
      <c r="F149" s="5">
        <v>200</v>
      </c>
    </row>
    <row r="150" spans="1:6" hidden="1">
      <c r="A150" t="s">
        <v>3705</v>
      </c>
      <c r="B150" t="s">
        <v>3706</v>
      </c>
      <c r="C150">
        <v>76218986</v>
      </c>
      <c r="D150">
        <v>2501685</v>
      </c>
      <c r="E150" t="s">
        <v>39</v>
      </c>
      <c r="F150" s="5">
        <v>300</v>
      </c>
    </row>
    <row r="151" spans="1:6">
      <c r="A151" t="s">
        <v>3705</v>
      </c>
      <c r="B151" t="s">
        <v>3706</v>
      </c>
      <c r="C151">
        <v>76218986</v>
      </c>
      <c r="D151">
        <v>2501685</v>
      </c>
      <c r="E151" t="s">
        <v>729</v>
      </c>
      <c r="F151" s="5">
        <v>200</v>
      </c>
    </row>
    <row r="152" spans="1:6" hidden="1">
      <c r="A152" t="s">
        <v>4535</v>
      </c>
      <c r="B152" t="s">
        <v>4536</v>
      </c>
      <c r="C152">
        <v>76253535</v>
      </c>
      <c r="D152">
        <v>2003093</v>
      </c>
      <c r="E152" t="s">
        <v>39</v>
      </c>
      <c r="F152" s="5">
        <v>300</v>
      </c>
    </row>
    <row r="153" spans="1:6">
      <c r="A153" t="s">
        <v>4535</v>
      </c>
      <c r="B153" t="s">
        <v>4536</v>
      </c>
      <c r="C153">
        <v>76253535</v>
      </c>
      <c r="D153">
        <v>2003093</v>
      </c>
      <c r="E153" t="s">
        <v>729</v>
      </c>
      <c r="F153" s="5">
        <v>200</v>
      </c>
    </row>
    <row r="154" spans="1:6" hidden="1">
      <c r="A154" t="s">
        <v>4276</v>
      </c>
      <c r="B154" t="s">
        <v>4277</v>
      </c>
      <c r="C154">
        <v>76236919</v>
      </c>
      <c r="D154">
        <v>2002587</v>
      </c>
      <c r="E154" t="s">
        <v>39</v>
      </c>
      <c r="F154" s="5">
        <v>400</v>
      </c>
    </row>
    <row r="155" spans="1:6">
      <c r="A155" t="s">
        <v>4276</v>
      </c>
      <c r="B155" t="s">
        <v>4277</v>
      </c>
      <c r="C155">
        <v>76236919</v>
      </c>
      <c r="D155">
        <v>2002587</v>
      </c>
      <c r="E155" t="s">
        <v>729</v>
      </c>
      <c r="F155" s="5">
        <v>200</v>
      </c>
    </row>
    <row r="156" spans="1:6" hidden="1">
      <c r="A156" t="s">
        <v>1535</v>
      </c>
      <c r="B156" t="s">
        <v>1536</v>
      </c>
      <c r="C156">
        <v>1214101</v>
      </c>
      <c r="D156">
        <v>2500137</v>
      </c>
      <c r="E156" t="s">
        <v>39</v>
      </c>
      <c r="F156" s="5">
        <v>300</v>
      </c>
    </row>
    <row r="157" spans="1:6">
      <c r="A157" t="s">
        <v>1535</v>
      </c>
      <c r="B157" t="s">
        <v>1536</v>
      </c>
      <c r="C157">
        <v>1214101</v>
      </c>
      <c r="D157">
        <v>2500137</v>
      </c>
      <c r="E157" t="s">
        <v>729</v>
      </c>
      <c r="F157" s="5">
        <v>200</v>
      </c>
    </row>
    <row r="158" spans="1:6" hidden="1">
      <c r="A158" t="s">
        <v>3735</v>
      </c>
      <c r="B158" t="s">
        <v>3736</v>
      </c>
      <c r="C158">
        <v>76219462</v>
      </c>
      <c r="D158">
        <v>2503521</v>
      </c>
      <c r="E158" t="s">
        <v>39</v>
      </c>
      <c r="F158" s="5">
        <v>300</v>
      </c>
    </row>
    <row r="159" spans="1:6">
      <c r="A159" t="s">
        <v>3735</v>
      </c>
      <c r="B159" t="s">
        <v>3736</v>
      </c>
      <c r="C159">
        <v>76219462</v>
      </c>
      <c r="D159">
        <v>2503521</v>
      </c>
      <c r="E159" t="s">
        <v>729</v>
      </c>
      <c r="F159" s="5">
        <v>200</v>
      </c>
    </row>
    <row r="160" spans="1:6" hidden="1">
      <c r="A160" t="s">
        <v>400</v>
      </c>
      <c r="B160" t="s">
        <v>401</v>
      </c>
      <c r="C160">
        <v>8320081</v>
      </c>
      <c r="D160">
        <v>2002071</v>
      </c>
      <c r="E160" t="s">
        <v>39</v>
      </c>
      <c r="F160" s="5">
        <v>300</v>
      </c>
    </row>
    <row r="161" spans="1:6">
      <c r="A161" t="s">
        <v>400</v>
      </c>
      <c r="B161" t="s">
        <v>401</v>
      </c>
      <c r="C161">
        <v>8320081</v>
      </c>
      <c r="D161">
        <v>2002071</v>
      </c>
      <c r="E161" t="s">
        <v>729</v>
      </c>
      <c r="F161" s="5">
        <v>200</v>
      </c>
    </row>
    <row r="162" spans="1:6" hidden="1">
      <c r="A162" t="s">
        <v>3293</v>
      </c>
      <c r="B162" t="s">
        <v>3294</v>
      </c>
      <c r="C162">
        <v>76193713</v>
      </c>
      <c r="D162">
        <v>143042</v>
      </c>
      <c r="E162" t="s">
        <v>39</v>
      </c>
      <c r="F162" s="5">
        <v>300</v>
      </c>
    </row>
    <row r="163" spans="1:6">
      <c r="A163" t="s">
        <v>3293</v>
      </c>
      <c r="B163" t="s">
        <v>3294</v>
      </c>
      <c r="C163">
        <v>76193713</v>
      </c>
      <c r="D163">
        <v>143042</v>
      </c>
      <c r="E163" t="s">
        <v>729</v>
      </c>
      <c r="F163" s="5">
        <v>200</v>
      </c>
    </row>
    <row r="164" spans="1:6" hidden="1">
      <c r="A164" t="s">
        <v>3205</v>
      </c>
      <c r="B164" t="s">
        <v>3206</v>
      </c>
      <c r="C164">
        <v>76180931</v>
      </c>
      <c r="D164">
        <v>2503527</v>
      </c>
      <c r="E164" t="s">
        <v>39</v>
      </c>
      <c r="F164" s="5">
        <v>300</v>
      </c>
    </row>
    <row r="165" spans="1:6">
      <c r="A165" t="s">
        <v>3205</v>
      </c>
      <c r="B165" t="s">
        <v>3206</v>
      </c>
      <c r="C165">
        <v>76180931</v>
      </c>
      <c r="D165">
        <v>2503527</v>
      </c>
      <c r="E165" t="s">
        <v>729</v>
      </c>
      <c r="F165" s="5">
        <v>200</v>
      </c>
    </row>
    <row r="166" spans="1:6" hidden="1">
      <c r="A166" t="s">
        <v>1811</v>
      </c>
      <c r="B166" t="s">
        <v>1812</v>
      </c>
      <c r="C166">
        <v>25139702</v>
      </c>
      <c r="D166">
        <v>9039</v>
      </c>
      <c r="E166" t="s">
        <v>39</v>
      </c>
      <c r="F166" s="5">
        <v>300</v>
      </c>
    </row>
    <row r="167" spans="1:6">
      <c r="A167" t="s">
        <v>1811</v>
      </c>
      <c r="B167" t="s">
        <v>1812</v>
      </c>
      <c r="C167">
        <v>25139702</v>
      </c>
      <c r="D167">
        <v>9039</v>
      </c>
      <c r="E167" t="s">
        <v>729</v>
      </c>
      <c r="F167" s="5">
        <v>200</v>
      </c>
    </row>
    <row r="168" spans="1:6" hidden="1">
      <c r="A168" t="s">
        <v>2012</v>
      </c>
      <c r="B168" t="s">
        <v>2013</v>
      </c>
      <c r="C168">
        <v>71038239</v>
      </c>
      <c r="D168">
        <v>2500002</v>
      </c>
      <c r="E168" t="s">
        <v>39</v>
      </c>
      <c r="F168" s="5">
        <v>300</v>
      </c>
    </row>
    <row r="169" spans="1:6">
      <c r="A169" t="s">
        <v>2012</v>
      </c>
      <c r="B169" t="s">
        <v>2013</v>
      </c>
      <c r="C169">
        <v>71038239</v>
      </c>
      <c r="D169">
        <v>2500002</v>
      </c>
      <c r="E169" t="s">
        <v>729</v>
      </c>
      <c r="F169" s="5">
        <v>200</v>
      </c>
    </row>
    <row r="170" spans="1:6" hidden="1">
      <c r="A170" t="s">
        <v>2619</v>
      </c>
      <c r="B170" t="s">
        <v>2620</v>
      </c>
      <c r="C170">
        <v>76059984</v>
      </c>
      <c r="D170">
        <v>2500150</v>
      </c>
      <c r="E170" t="s">
        <v>39</v>
      </c>
      <c r="F170" s="5">
        <v>300</v>
      </c>
    </row>
    <row r="171" spans="1:6">
      <c r="A171" t="s">
        <v>2619</v>
      </c>
      <c r="B171" t="s">
        <v>2620</v>
      </c>
      <c r="C171">
        <v>76059984</v>
      </c>
      <c r="D171">
        <v>2500150</v>
      </c>
      <c r="E171" t="s">
        <v>729</v>
      </c>
      <c r="F171" s="5">
        <v>200</v>
      </c>
    </row>
    <row r="172" spans="1:6" hidden="1">
      <c r="A172" t="s">
        <v>1773</v>
      </c>
      <c r="B172" t="s">
        <v>1774</v>
      </c>
      <c r="C172">
        <v>17215201</v>
      </c>
      <c r="D172">
        <v>2503034</v>
      </c>
      <c r="E172" t="s">
        <v>39</v>
      </c>
      <c r="F172" s="5">
        <v>450</v>
      </c>
    </row>
    <row r="173" spans="1:6">
      <c r="A173" t="s">
        <v>1773</v>
      </c>
      <c r="B173" t="s">
        <v>1774</v>
      </c>
      <c r="C173">
        <v>17215201</v>
      </c>
      <c r="D173">
        <v>2503034</v>
      </c>
      <c r="E173" t="s">
        <v>729</v>
      </c>
      <c r="F173" s="5">
        <v>200</v>
      </c>
    </row>
    <row r="174" spans="1:6" hidden="1">
      <c r="A174" t="s">
        <v>2150</v>
      </c>
      <c r="B174" t="s">
        <v>2151</v>
      </c>
      <c r="C174">
        <v>71053412</v>
      </c>
      <c r="D174">
        <v>2500913</v>
      </c>
      <c r="E174" t="s">
        <v>39</v>
      </c>
      <c r="F174" s="5">
        <v>450</v>
      </c>
    </row>
    <row r="175" spans="1:6">
      <c r="A175" t="s">
        <v>2150</v>
      </c>
      <c r="B175" t="s">
        <v>2151</v>
      </c>
      <c r="C175">
        <v>71053412</v>
      </c>
      <c r="D175">
        <v>2500913</v>
      </c>
      <c r="E175" t="s">
        <v>729</v>
      </c>
      <c r="F175" s="5">
        <v>200</v>
      </c>
    </row>
    <row r="176" spans="1:6" hidden="1">
      <c r="A176" t="s">
        <v>3481</v>
      </c>
      <c r="B176" t="s">
        <v>3482</v>
      </c>
      <c r="C176">
        <v>76208110</v>
      </c>
      <c r="D176">
        <v>2501186</v>
      </c>
      <c r="E176" t="s">
        <v>39</v>
      </c>
      <c r="F176" s="5">
        <v>450</v>
      </c>
    </row>
    <row r="177" spans="1:6">
      <c r="A177" t="s">
        <v>3481</v>
      </c>
      <c r="B177" t="s">
        <v>3482</v>
      </c>
      <c r="C177">
        <v>76208110</v>
      </c>
      <c r="D177">
        <v>2501186</v>
      </c>
      <c r="E177" t="s">
        <v>729</v>
      </c>
      <c r="F177" s="5">
        <v>200</v>
      </c>
    </row>
    <row r="178" spans="1:6" hidden="1">
      <c r="A178" t="s">
        <v>3657</v>
      </c>
      <c r="B178" t="s">
        <v>3658</v>
      </c>
      <c r="C178">
        <v>76215842</v>
      </c>
      <c r="D178">
        <v>2001566</v>
      </c>
      <c r="E178" t="s">
        <v>39</v>
      </c>
      <c r="F178" s="5">
        <v>300</v>
      </c>
    </row>
    <row r="179" spans="1:6">
      <c r="A179" t="s">
        <v>3657</v>
      </c>
      <c r="B179" t="s">
        <v>3658</v>
      </c>
      <c r="C179">
        <v>76215842</v>
      </c>
      <c r="D179">
        <v>2001566</v>
      </c>
      <c r="E179" t="s">
        <v>729</v>
      </c>
      <c r="F179" s="5">
        <v>200</v>
      </c>
    </row>
    <row r="180" spans="1:6" hidden="1">
      <c r="A180" t="s">
        <v>3655</v>
      </c>
      <c r="B180" t="s">
        <v>3656</v>
      </c>
      <c r="C180">
        <v>76215835</v>
      </c>
      <c r="D180">
        <v>2002656</v>
      </c>
      <c r="E180" t="s">
        <v>39</v>
      </c>
      <c r="F180" s="5">
        <v>300</v>
      </c>
    </row>
    <row r="181" spans="1:6">
      <c r="A181" t="s">
        <v>3655</v>
      </c>
      <c r="B181" t="s">
        <v>3656</v>
      </c>
      <c r="C181">
        <v>76215835</v>
      </c>
      <c r="D181">
        <v>2002656</v>
      </c>
      <c r="E181" t="s">
        <v>729</v>
      </c>
      <c r="F181" s="5">
        <v>200</v>
      </c>
    </row>
    <row r="182" spans="1:6" hidden="1">
      <c r="A182" t="s">
        <v>3653</v>
      </c>
      <c r="B182" t="s">
        <v>3654</v>
      </c>
      <c r="C182">
        <v>76215831</v>
      </c>
      <c r="D182">
        <v>2002183</v>
      </c>
      <c r="E182" t="s">
        <v>39</v>
      </c>
      <c r="F182" s="5">
        <v>300</v>
      </c>
    </row>
    <row r="183" spans="1:6">
      <c r="A183" t="s">
        <v>3653</v>
      </c>
      <c r="B183" t="s">
        <v>3654</v>
      </c>
      <c r="C183">
        <v>76215831</v>
      </c>
      <c r="D183">
        <v>2002183</v>
      </c>
      <c r="E183" t="s">
        <v>729</v>
      </c>
      <c r="F183" s="5">
        <v>200</v>
      </c>
    </row>
    <row r="184" spans="1:6" hidden="1">
      <c r="A184" t="s">
        <v>1761</v>
      </c>
      <c r="B184" t="s">
        <v>1762</v>
      </c>
      <c r="C184">
        <v>17003603</v>
      </c>
      <c r="D184">
        <v>2503400</v>
      </c>
      <c r="E184" t="s">
        <v>39</v>
      </c>
      <c r="F184" s="5">
        <v>300</v>
      </c>
    </row>
    <row r="185" spans="1:6">
      <c r="A185" t="s">
        <v>1761</v>
      </c>
      <c r="B185" t="s">
        <v>1762</v>
      </c>
      <c r="C185">
        <v>17003603</v>
      </c>
      <c r="D185">
        <v>2503400</v>
      </c>
      <c r="E185" t="s">
        <v>729</v>
      </c>
      <c r="F185" s="5">
        <v>200</v>
      </c>
    </row>
    <row r="186" spans="1:6" hidden="1">
      <c r="A186" t="s">
        <v>2823</v>
      </c>
      <c r="B186" t="s">
        <v>2824</v>
      </c>
      <c r="C186">
        <v>76097060</v>
      </c>
      <c r="D186">
        <v>3000944</v>
      </c>
      <c r="E186" t="s">
        <v>39</v>
      </c>
      <c r="F186" s="5">
        <v>300</v>
      </c>
    </row>
    <row r="187" spans="1:6">
      <c r="A187" t="s">
        <v>2823</v>
      </c>
      <c r="B187" t="s">
        <v>2824</v>
      </c>
      <c r="C187">
        <v>76097060</v>
      </c>
      <c r="D187">
        <v>3000944</v>
      </c>
      <c r="E187" t="s">
        <v>729</v>
      </c>
      <c r="F187" s="5">
        <v>200</v>
      </c>
    </row>
    <row r="188" spans="1:6" hidden="1">
      <c r="A188" t="s">
        <v>2130</v>
      </c>
      <c r="B188" t="s">
        <v>2131</v>
      </c>
      <c r="C188">
        <v>71050665</v>
      </c>
      <c r="D188">
        <v>3000959</v>
      </c>
      <c r="E188" t="s">
        <v>39</v>
      </c>
      <c r="F188" s="5">
        <v>300</v>
      </c>
    </row>
    <row r="189" spans="1:6">
      <c r="A189" t="s">
        <v>2130</v>
      </c>
      <c r="B189" t="s">
        <v>2131</v>
      </c>
      <c r="C189">
        <v>71050665</v>
      </c>
      <c r="D189">
        <v>3000959</v>
      </c>
      <c r="E189" t="s">
        <v>729</v>
      </c>
      <c r="F189" s="5">
        <v>200</v>
      </c>
    </row>
    <row r="190" spans="1:6" hidden="1">
      <c r="A190" t="s">
        <v>1815</v>
      </c>
      <c r="B190" t="s">
        <v>1816</v>
      </c>
      <c r="C190">
        <v>25140301</v>
      </c>
      <c r="D190">
        <v>2001960</v>
      </c>
      <c r="E190" t="s">
        <v>39</v>
      </c>
      <c r="F190" s="5">
        <v>300</v>
      </c>
    </row>
    <row r="191" spans="1:6">
      <c r="A191" t="s">
        <v>1815</v>
      </c>
      <c r="B191" t="s">
        <v>1816</v>
      </c>
      <c r="C191">
        <v>25140301</v>
      </c>
      <c r="D191">
        <v>2001960</v>
      </c>
      <c r="E191" t="s">
        <v>729</v>
      </c>
      <c r="F191" s="5">
        <v>200</v>
      </c>
    </row>
    <row r="192" spans="1:6" hidden="1">
      <c r="A192" t="s">
        <v>2066</v>
      </c>
      <c r="B192" t="s">
        <v>2067</v>
      </c>
      <c r="C192">
        <v>71044508</v>
      </c>
      <c r="D192">
        <v>2503041</v>
      </c>
      <c r="E192" t="s">
        <v>39</v>
      </c>
      <c r="F192" s="5">
        <v>300</v>
      </c>
    </row>
    <row r="193" spans="1:6">
      <c r="A193" t="s">
        <v>2066</v>
      </c>
      <c r="B193" t="s">
        <v>2067</v>
      </c>
      <c r="C193">
        <v>71044508</v>
      </c>
      <c r="D193">
        <v>2503041</v>
      </c>
      <c r="E193" t="s">
        <v>729</v>
      </c>
      <c r="F193" s="5">
        <v>200</v>
      </c>
    </row>
    <row r="194" spans="1:6" hidden="1">
      <c r="A194" t="s">
        <v>2631</v>
      </c>
      <c r="B194" t="s">
        <v>2632</v>
      </c>
      <c r="C194">
        <v>76060491</v>
      </c>
      <c r="D194">
        <v>2502933</v>
      </c>
      <c r="E194" t="s">
        <v>39</v>
      </c>
      <c r="F194" s="5">
        <v>400</v>
      </c>
    </row>
    <row r="195" spans="1:6">
      <c r="A195" t="s">
        <v>2631</v>
      </c>
      <c r="B195" t="s">
        <v>2632</v>
      </c>
      <c r="C195">
        <v>76060491</v>
      </c>
      <c r="D195">
        <v>2502933</v>
      </c>
      <c r="E195" t="s">
        <v>729</v>
      </c>
      <c r="F195" s="5">
        <v>200</v>
      </c>
    </row>
    <row r="196" spans="1:6" hidden="1">
      <c r="A196" t="s">
        <v>2176</v>
      </c>
      <c r="B196" t="s">
        <v>2177</v>
      </c>
      <c r="C196">
        <v>71055681</v>
      </c>
      <c r="D196">
        <v>2503020</v>
      </c>
      <c r="E196" t="s">
        <v>39</v>
      </c>
      <c r="F196" s="5">
        <v>300</v>
      </c>
    </row>
    <row r="197" spans="1:6">
      <c r="A197" t="s">
        <v>2176</v>
      </c>
      <c r="B197" t="s">
        <v>2177</v>
      </c>
      <c r="C197">
        <v>71055681</v>
      </c>
      <c r="D197">
        <v>2503020</v>
      </c>
      <c r="E197" t="s">
        <v>729</v>
      </c>
      <c r="F197" s="5">
        <v>200</v>
      </c>
    </row>
    <row r="198" spans="1:6" hidden="1">
      <c r="A198" t="s">
        <v>3013</v>
      </c>
      <c r="B198" t="s">
        <v>3014</v>
      </c>
      <c r="C198">
        <v>76159093</v>
      </c>
      <c r="D198">
        <v>2503026</v>
      </c>
      <c r="E198" t="s">
        <v>39</v>
      </c>
      <c r="F198" s="5">
        <v>300</v>
      </c>
    </row>
    <row r="199" spans="1:6">
      <c r="A199" t="s">
        <v>3013</v>
      </c>
      <c r="B199" t="s">
        <v>3014</v>
      </c>
      <c r="C199">
        <v>76159093</v>
      </c>
      <c r="D199">
        <v>2503026</v>
      </c>
      <c r="E199" t="s">
        <v>729</v>
      </c>
      <c r="F199" s="5">
        <v>200</v>
      </c>
    </row>
    <row r="200" spans="1:6" hidden="1">
      <c r="A200" t="s">
        <v>1771</v>
      </c>
      <c r="B200" t="s">
        <v>1772</v>
      </c>
      <c r="C200">
        <v>17136501</v>
      </c>
      <c r="D200">
        <v>2001069</v>
      </c>
      <c r="E200" t="s">
        <v>39</v>
      </c>
      <c r="F200" s="5">
        <v>450</v>
      </c>
    </row>
    <row r="201" spans="1:6">
      <c r="A201" t="s">
        <v>1771</v>
      </c>
      <c r="B201" t="s">
        <v>1772</v>
      </c>
      <c r="C201">
        <v>17136501</v>
      </c>
      <c r="D201">
        <v>2001069</v>
      </c>
      <c r="E201" t="s">
        <v>729</v>
      </c>
      <c r="F201" s="5">
        <v>200</v>
      </c>
    </row>
    <row r="202" spans="1:6" hidden="1">
      <c r="A202" t="s">
        <v>2771</v>
      </c>
      <c r="B202" t="s">
        <v>2772</v>
      </c>
      <c r="C202">
        <v>76074486</v>
      </c>
      <c r="D202">
        <v>2003103</v>
      </c>
      <c r="E202" t="s">
        <v>39</v>
      </c>
      <c r="F202" s="5">
        <v>400</v>
      </c>
    </row>
    <row r="203" spans="1:6">
      <c r="A203" t="s">
        <v>2771</v>
      </c>
      <c r="B203" t="s">
        <v>2772</v>
      </c>
      <c r="C203">
        <v>76074486</v>
      </c>
      <c r="D203">
        <v>2003103</v>
      </c>
      <c r="E203" t="s">
        <v>729</v>
      </c>
      <c r="F203" s="5">
        <v>200</v>
      </c>
    </row>
    <row r="204" spans="1:6" hidden="1">
      <c r="A204" t="s">
        <v>3855</v>
      </c>
      <c r="B204" t="s">
        <v>3856</v>
      </c>
      <c r="C204">
        <v>76224009</v>
      </c>
      <c r="D204">
        <v>2502179</v>
      </c>
      <c r="E204" t="s">
        <v>39</v>
      </c>
      <c r="F204" s="5">
        <v>300</v>
      </c>
    </row>
    <row r="205" spans="1:6">
      <c r="A205" t="s">
        <v>3855</v>
      </c>
      <c r="B205" t="s">
        <v>3856</v>
      </c>
      <c r="C205">
        <v>76224009</v>
      </c>
      <c r="D205">
        <v>2502179</v>
      </c>
      <c r="E205" t="s">
        <v>729</v>
      </c>
      <c r="F205" s="5">
        <v>200</v>
      </c>
    </row>
    <row r="206" spans="1:6" hidden="1">
      <c r="A206" t="s">
        <v>4282</v>
      </c>
      <c r="B206" t="s">
        <v>4283</v>
      </c>
      <c r="C206">
        <v>76237495</v>
      </c>
      <c r="D206">
        <v>2700015</v>
      </c>
      <c r="E206" t="s">
        <v>39</v>
      </c>
      <c r="F206" s="5">
        <v>300</v>
      </c>
    </row>
    <row r="207" spans="1:6">
      <c r="A207" t="s">
        <v>4282</v>
      </c>
      <c r="B207" t="s">
        <v>4283</v>
      </c>
      <c r="C207">
        <v>76237495</v>
      </c>
      <c r="D207">
        <v>2700015</v>
      </c>
      <c r="E207" t="s">
        <v>729</v>
      </c>
      <c r="F207" s="5">
        <v>200</v>
      </c>
    </row>
    <row r="208" spans="1:6" hidden="1">
      <c r="A208" t="s">
        <v>427</v>
      </c>
      <c r="B208" t="s">
        <v>428</v>
      </c>
      <c r="C208">
        <v>44780001</v>
      </c>
      <c r="D208">
        <v>2502046</v>
      </c>
      <c r="E208" t="s">
        <v>39</v>
      </c>
      <c r="F208" s="5">
        <v>300</v>
      </c>
    </row>
    <row r="209" spans="1:6">
      <c r="A209" t="s">
        <v>427</v>
      </c>
      <c r="B209" t="s">
        <v>428</v>
      </c>
      <c r="C209">
        <v>44780001</v>
      </c>
      <c r="D209">
        <v>2502046</v>
      </c>
      <c r="E209" t="s">
        <v>729</v>
      </c>
      <c r="F209" s="5">
        <v>200</v>
      </c>
    </row>
    <row r="210" spans="1:6" hidden="1">
      <c r="A210" t="s">
        <v>1571</v>
      </c>
      <c r="B210" t="s">
        <v>1572</v>
      </c>
      <c r="C210">
        <v>1327435</v>
      </c>
      <c r="D210">
        <v>2500588</v>
      </c>
      <c r="E210" t="s">
        <v>39</v>
      </c>
      <c r="F210" s="5">
        <v>300</v>
      </c>
    </row>
    <row r="211" spans="1:6">
      <c r="A211" t="s">
        <v>1571</v>
      </c>
      <c r="B211" t="s">
        <v>1572</v>
      </c>
      <c r="C211">
        <v>1327435</v>
      </c>
      <c r="D211">
        <v>2500588</v>
      </c>
      <c r="E211" t="s">
        <v>729</v>
      </c>
      <c r="F211" s="5">
        <v>200</v>
      </c>
    </row>
    <row r="212" spans="1:6" hidden="1">
      <c r="A212" t="s">
        <v>3437</v>
      </c>
      <c r="B212" t="s">
        <v>3438</v>
      </c>
      <c r="C212">
        <v>76206272</v>
      </c>
      <c r="D212">
        <v>8084</v>
      </c>
      <c r="E212" t="s">
        <v>39</v>
      </c>
      <c r="F212" s="5">
        <v>300</v>
      </c>
    </row>
    <row r="213" spans="1:6">
      <c r="A213" t="s">
        <v>3437</v>
      </c>
      <c r="B213" t="s">
        <v>3438</v>
      </c>
      <c r="C213">
        <v>76206272</v>
      </c>
      <c r="D213">
        <v>8084</v>
      </c>
      <c r="E213" t="s">
        <v>729</v>
      </c>
      <c r="F213" s="5">
        <v>200</v>
      </c>
    </row>
    <row r="214" spans="1:6" hidden="1">
      <c r="A214" t="s">
        <v>3431</v>
      </c>
      <c r="B214" t="s">
        <v>3432</v>
      </c>
      <c r="C214">
        <v>76205917</v>
      </c>
      <c r="D214">
        <v>2500209</v>
      </c>
      <c r="E214" t="s">
        <v>39</v>
      </c>
      <c r="F214" s="5">
        <v>300</v>
      </c>
    </row>
    <row r="215" spans="1:6">
      <c r="A215" t="s">
        <v>3431</v>
      </c>
      <c r="B215" t="s">
        <v>3432</v>
      </c>
      <c r="C215">
        <v>76205917</v>
      </c>
      <c r="D215">
        <v>2500209</v>
      </c>
      <c r="E215" t="s">
        <v>729</v>
      </c>
      <c r="F215" s="5">
        <v>200</v>
      </c>
    </row>
    <row r="216" spans="1:6" hidden="1">
      <c r="A216" t="s">
        <v>4118</v>
      </c>
      <c r="B216" t="s">
        <v>4119</v>
      </c>
      <c r="C216">
        <v>76231767</v>
      </c>
      <c r="D216">
        <v>2002260</v>
      </c>
      <c r="E216" t="s">
        <v>39</v>
      </c>
      <c r="F216" s="5">
        <v>300</v>
      </c>
    </row>
    <row r="217" spans="1:6">
      <c r="A217" t="s">
        <v>4118</v>
      </c>
      <c r="B217" t="s">
        <v>4119</v>
      </c>
      <c r="C217">
        <v>76231767</v>
      </c>
      <c r="D217">
        <v>2002260</v>
      </c>
      <c r="E217" t="s">
        <v>729</v>
      </c>
      <c r="F217" s="5">
        <v>200</v>
      </c>
    </row>
    <row r="218" spans="1:6" hidden="1">
      <c r="A218" t="s">
        <v>1801</v>
      </c>
      <c r="B218" t="s">
        <v>1802</v>
      </c>
      <c r="C218">
        <v>25045501</v>
      </c>
      <c r="D218">
        <v>2502825</v>
      </c>
      <c r="E218" t="s">
        <v>39</v>
      </c>
      <c r="F218" s="5">
        <v>300</v>
      </c>
    </row>
    <row r="219" spans="1:6">
      <c r="A219" t="s">
        <v>1801</v>
      </c>
      <c r="B219" t="s">
        <v>1802</v>
      </c>
      <c r="C219">
        <v>25045501</v>
      </c>
      <c r="D219">
        <v>2502825</v>
      </c>
      <c r="E219" t="s">
        <v>729</v>
      </c>
      <c r="F219" s="5">
        <v>200</v>
      </c>
    </row>
    <row r="220" spans="1:6" hidden="1">
      <c r="A220" t="s">
        <v>1743</v>
      </c>
      <c r="B220" t="s">
        <v>1744</v>
      </c>
      <c r="C220">
        <v>13496303</v>
      </c>
      <c r="D220">
        <v>9072</v>
      </c>
      <c r="E220" t="s">
        <v>39</v>
      </c>
      <c r="F220" s="5">
        <v>300</v>
      </c>
    </row>
    <row r="221" spans="1:6">
      <c r="A221" t="s">
        <v>1743</v>
      </c>
      <c r="B221" t="s">
        <v>1744</v>
      </c>
      <c r="C221">
        <v>13496303</v>
      </c>
      <c r="D221">
        <v>9072</v>
      </c>
      <c r="E221" t="s">
        <v>729</v>
      </c>
      <c r="F221" s="5">
        <v>200</v>
      </c>
    </row>
    <row r="222" spans="1:6" hidden="1">
      <c r="A222" t="s">
        <v>1513</v>
      </c>
      <c r="B222" t="s">
        <v>1514</v>
      </c>
      <c r="C222">
        <v>1028106</v>
      </c>
      <c r="D222">
        <v>3378</v>
      </c>
      <c r="E222" t="s">
        <v>39</v>
      </c>
      <c r="F222" s="5">
        <v>450</v>
      </c>
    </row>
    <row r="223" spans="1:6">
      <c r="A223" t="s">
        <v>1513</v>
      </c>
      <c r="B223" t="s">
        <v>1514</v>
      </c>
      <c r="C223">
        <v>1028106</v>
      </c>
      <c r="D223">
        <v>3378</v>
      </c>
      <c r="E223" t="s">
        <v>729</v>
      </c>
      <c r="F223" s="5">
        <v>200</v>
      </c>
    </row>
    <row r="224" spans="1:6" hidden="1">
      <c r="A224" t="s">
        <v>3015</v>
      </c>
      <c r="B224" t="s">
        <v>3016</v>
      </c>
      <c r="C224">
        <v>76159110</v>
      </c>
      <c r="D224">
        <v>2501568</v>
      </c>
      <c r="E224" t="s">
        <v>39</v>
      </c>
      <c r="F224" s="5">
        <v>300</v>
      </c>
    </row>
    <row r="225" spans="1:6">
      <c r="A225" t="s">
        <v>3015</v>
      </c>
      <c r="B225" t="s">
        <v>3016</v>
      </c>
      <c r="C225">
        <v>76159110</v>
      </c>
      <c r="D225">
        <v>2501568</v>
      </c>
      <c r="E225" t="s">
        <v>729</v>
      </c>
      <c r="F225" s="5">
        <v>200</v>
      </c>
    </row>
    <row r="226" spans="1:6" hidden="1">
      <c r="A226" t="s">
        <v>3031</v>
      </c>
      <c r="B226" t="s">
        <v>3032</v>
      </c>
      <c r="C226">
        <v>76160927</v>
      </c>
      <c r="D226">
        <v>2502763</v>
      </c>
      <c r="E226" t="s">
        <v>39</v>
      </c>
      <c r="F226" s="5">
        <v>300</v>
      </c>
    </row>
    <row r="227" spans="1:6">
      <c r="A227" t="s">
        <v>3031</v>
      </c>
      <c r="B227" t="s">
        <v>3032</v>
      </c>
      <c r="C227">
        <v>76160927</v>
      </c>
      <c r="D227">
        <v>2502763</v>
      </c>
      <c r="E227" t="s">
        <v>729</v>
      </c>
      <c r="F227" s="5">
        <v>200</v>
      </c>
    </row>
    <row r="228" spans="1:6" hidden="1">
      <c r="A228" t="s">
        <v>3189</v>
      </c>
      <c r="B228" t="s">
        <v>3190</v>
      </c>
      <c r="C228">
        <v>76179594</v>
      </c>
      <c r="D228">
        <v>2003079</v>
      </c>
      <c r="E228" t="s">
        <v>39</v>
      </c>
      <c r="F228" s="5">
        <v>300</v>
      </c>
    </row>
    <row r="229" spans="1:6">
      <c r="A229" t="s">
        <v>3189</v>
      </c>
      <c r="B229" t="s">
        <v>3190</v>
      </c>
      <c r="C229">
        <v>76179594</v>
      </c>
      <c r="D229">
        <v>2003079</v>
      </c>
      <c r="E229" t="s">
        <v>729</v>
      </c>
      <c r="F229" s="5">
        <v>200</v>
      </c>
    </row>
    <row r="230" spans="1:6" hidden="1">
      <c r="A230" t="s">
        <v>3191</v>
      </c>
      <c r="B230" t="s">
        <v>3192</v>
      </c>
      <c r="C230">
        <v>76179599</v>
      </c>
      <c r="D230">
        <v>2003078</v>
      </c>
      <c r="E230" t="s">
        <v>39</v>
      </c>
      <c r="F230" s="5">
        <v>300</v>
      </c>
    </row>
    <row r="231" spans="1:6">
      <c r="A231" t="s">
        <v>3191</v>
      </c>
      <c r="B231" t="s">
        <v>3192</v>
      </c>
      <c r="C231">
        <v>76179599</v>
      </c>
      <c r="D231">
        <v>2003078</v>
      </c>
      <c r="E231" t="s">
        <v>729</v>
      </c>
      <c r="F231" s="5">
        <v>200</v>
      </c>
    </row>
    <row r="232" spans="1:6" hidden="1">
      <c r="A232" t="s">
        <v>1883</v>
      </c>
      <c r="B232" t="s">
        <v>1884</v>
      </c>
      <c r="C232">
        <v>33001801</v>
      </c>
      <c r="D232">
        <v>3001828</v>
      </c>
      <c r="E232" t="s">
        <v>39</v>
      </c>
      <c r="F232" s="5">
        <v>300</v>
      </c>
    </row>
    <row r="233" spans="1:6">
      <c r="A233" t="s">
        <v>1883</v>
      </c>
      <c r="B233" t="s">
        <v>1884</v>
      </c>
      <c r="C233">
        <v>33001801</v>
      </c>
      <c r="D233">
        <v>3001828</v>
      </c>
      <c r="E233" t="s">
        <v>729</v>
      </c>
      <c r="F233" s="5">
        <v>200</v>
      </c>
    </row>
    <row r="234" spans="1:6" hidden="1">
      <c r="A234" t="s">
        <v>2040</v>
      </c>
      <c r="B234" t="s">
        <v>2041</v>
      </c>
      <c r="C234">
        <v>71042001</v>
      </c>
      <c r="D234">
        <v>2001964</v>
      </c>
      <c r="E234" t="s">
        <v>39</v>
      </c>
      <c r="F234" s="5">
        <v>450</v>
      </c>
    </row>
    <row r="235" spans="1:6">
      <c r="A235" t="s">
        <v>2040</v>
      </c>
      <c r="B235" t="s">
        <v>2041</v>
      </c>
      <c r="C235">
        <v>71042001</v>
      </c>
      <c r="D235">
        <v>2001964</v>
      </c>
      <c r="E235" t="s">
        <v>729</v>
      </c>
      <c r="F235" s="5">
        <v>200</v>
      </c>
    </row>
    <row r="236" spans="1:6" hidden="1">
      <c r="A236" t="s">
        <v>3049</v>
      </c>
      <c r="B236" t="s">
        <v>3050</v>
      </c>
      <c r="C236">
        <v>76164316</v>
      </c>
      <c r="D236">
        <v>2001838</v>
      </c>
      <c r="E236" t="s">
        <v>39</v>
      </c>
      <c r="F236" s="5">
        <v>450</v>
      </c>
    </row>
    <row r="237" spans="1:6">
      <c r="A237" t="s">
        <v>3049</v>
      </c>
      <c r="B237" t="s">
        <v>3050</v>
      </c>
      <c r="C237">
        <v>76164316</v>
      </c>
      <c r="D237">
        <v>2001838</v>
      </c>
      <c r="E237" t="s">
        <v>729</v>
      </c>
      <c r="F237" s="5">
        <v>200</v>
      </c>
    </row>
    <row r="238" spans="1:6" hidden="1">
      <c r="A238" t="s">
        <v>2412</v>
      </c>
      <c r="B238" t="s">
        <v>2413</v>
      </c>
      <c r="C238">
        <v>76032591</v>
      </c>
      <c r="D238">
        <v>3144</v>
      </c>
      <c r="E238" t="s">
        <v>39</v>
      </c>
      <c r="F238" s="5">
        <v>300</v>
      </c>
    </row>
    <row r="239" spans="1:6">
      <c r="A239" t="s">
        <v>2412</v>
      </c>
      <c r="B239" t="s">
        <v>2413</v>
      </c>
      <c r="C239">
        <v>76032591</v>
      </c>
      <c r="D239">
        <v>3144</v>
      </c>
      <c r="E239" t="s">
        <v>729</v>
      </c>
      <c r="F239" s="5">
        <v>200</v>
      </c>
    </row>
    <row r="240" spans="1:6" hidden="1">
      <c r="A240" t="s">
        <v>3199</v>
      </c>
      <c r="B240" t="s">
        <v>3200</v>
      </c>
      <c r="C240">
        <v>76180057</v>
      </c>
      <c r="D240">
        <v>2002806</v>
      </c>
      <c r="E240" t="s">
        <v>39</v>
      </c>
      <c r="F240" s="5">
        <v>300</v>
      </c>
    </row>
    <row r="241" spans="1:6">
      <c r="A241" t="s">
        <v>3199</v>
      </c>
      <c r="B241" t="s">
        <v>3200</v>
      </c>
      <c r="C241">
        <v>76180057</v>
      </c>
      <c r="D241">
        <v>2002806</v>
      </c>
      <c r="E241" t="s">
        <v>729</v>
      </c>
      <c r="F241" s="5">
        <v>200</v>
      </c>
    </row>
    <row r="242" spans="1:6" hidden="1">
      <c r="A242" t="s">
        <v>4501</v>
      </c>
      <c r="B242" t="s">
        <v>4502</v>
      </c>
      <c r="C242">
        <v>76252135</v>
      </c>
      <c r="D242">
        <v>2503520</v>
      </c>
      <c r="E242" t="s">
        <v>39</v>
      </c>
      <c r="F242" s="5">
        <v>300</v>
      </c>
    </row>
    <row r="243" spans="1:6">
      <c r="A243" t="s">
        <v>4501</v>
      </c>
      <c r="B243" t="s">
        <v>4502</v>
      </c>
      <c r="C243">
        <v>76252135</v>
      </c>
      <c r="D243">
        <v>2503520</v>
      </c>
      <c r="E243" t="s">
        <v>729</v>
      </c>
      <c r="F243" s="5">
        <v>200</v>
      </c>
    </row>
    <row r="244" spans="1:6" hidden="1">
      <c r="A244" t="s">
        <v>3611</v>
      </c>
      <c r="B244" t="s">
        <v>3612</v>
      </c>
      <c r="C244">
        <v>76213505</v>
      </c>
      <c r="D244">
        <v>2501195</v>
      </c>
      <c r="E244" t="s">
        <v>39</v>
      </c>
      <c r="F244" s="5">
        <v>300</v>
      </c>
    </row>
    <row r="245" spans="1:6">
      <c r="A245" t="s">
        <v>3611</v>
      </c>
      <c r="B245" t="s">
        <v>3612</v>
      </c>
      <c r="C245">
        <v>76213505</v>
      </c>
      <c r="D245">
        <v>2501195</v>
      </c>
      <c r="E245" t="s">
        <v>729</v>
      </c>
      <c r="F245" s="5">
        <v>200</v>
      </c>
    </row>
    <row r="246" spans="1:6" hidden="1">
      <c r="A246" t="s">
        <v>3955</v>
      </c>
      <c r="B246" t="s">
        <v>3956</v>
      </c>
      <c r="C246">
        <v>76227882</v>
      </c>
      <c r="D246">
        <v>3000330</v>
      </c>
      <c r="E246" t="s">
        <v>39</v>
      </c>
      <c r="F246" s="5">
        <v>300</v>
      </c>
    </row>
    <row r="247" spans="1:6">
      <c r="A247" t="s">
        <v>3955</v>
      </c>
      <c r="B247" t="s">
        <v>3956</v>
      </c>
      <c r="C247">
        <v>76227882</v>
      </c>
      <c r="D247">
        <v>3000330</v>
      </c>
      <c r="E247" t="s">
        <v>729</v>
      </c>
      <c r="F247" s="5">
        <v>200</v>
      </c>
    </row>
    <row r="248" spans="1:6" hidden="1">
      <c r="A248" t="s">
        <v>1689</v>
      </c>
      <c r="B248" t="s">
        <v>1690</v>
      </c>
      <c r="C248">
        <v>13115401</v>
      </c>
      <c r="D248">
        <v>2500146</v>
      </c>
      <c r="E248" t="s">
        <v>39</v>
      </c>
      <c r="F248" s="5">
        <v>300</v>
      </c>
    </row>
    <row r="249" spans="1:6">
      <c r="A249" t="s">
        <v>1689</v>
      </c>
      <c r="B249" t="s">
        <v>1690</v>
      </c>
      <c r="C249">
        <v>13115401</v>
      </c>
      <c r="D249">
        <v>2500146</v>
      </c>
      <c r="E249" t="s">
        <v>729</v>
      </c>
      <c r="F249" s="5">
        <v>200</v>
      </c>
    </row>
    <row r="250" spans="1:6" hidden="1">
      <c r="A250" t="s">
        <v>2927</v>
      </c>
      <c r="B250" t="s">
        <v>2928</v>
      </c>
      <c r="C250">
        <v>76149528</v>
      </c>
      <c r="D250">
        <v>2500163</v>
      </c>
      <c r="E250" t="s">
        <v>39</v>
      </c>
      <c r="F250" s="5">
        <v>300</v>
      </c>
    </row>
    <row r="251" spans="1:6">
      <c r="A251" t="s">
        <v>2927</v>
      </c>
      <c r="B251" t="s">
        <v>2928</v>
      </c>
      <c r="C251">
        <v>76149528</v>
      </c>
      <c r="D251">
        <v>2500163</v>
      </c>
      <c r="E251" t="s">
        <v>729</v>
      </c>
      <c r="F251" s="5">
        <v>200</v>
      </c>
    </row>
    <row r="252" spans="1:6" hidden="1">
      <c r="A252" t="s">
        <v>4060</v>
      </c>
      <c r="B252" t="s">
        <v>4061</v>
      </c>
      <c r="C252">
        <v>76230026</v>
      </c>
      <c r="D252">
        <v>2502489</v>
      </c>
      <c r="E252" t="s">
        <v>39</v>
      </c>
      <c r="F252" s="5">
        <v>300</v>
      </c>
    </row>
    <row r="253" spans="1:6">
      <c r="A253" t="s">
        <v>4060</v>
      </c>
      <c r="B253" t="s">
        <v>4061</v>
      </c>
      <c r="C253">
        <v>76230026</v>
      </c>
      <c r="D253">
        <v>2502489</v>
      </c>
      <c r="E253" t="s">
        <v>729</v>
      </c>
      <c r="F253" s="5">
        <v>200</v>
      </c>
    </row>
    <row r="254" spans="1:6" hidden="1">
      <c r="A254" t="s">
        <v>2210</v>
      </c>
      <c r="B254" t="s">
        <v>2211</v>
      </c>
      <c r="C254">
        <v>71061428</v>
      </c>
      <c r="D254">
        <v>2500168</v>
      </c>
      <c r="E254" t="s">
        <v>39</v>
      </c>
      <c r="F254" s="5">
        <v>300</v>
      </c>
    </row>
    <row r="255" spans="1:6">
      <c r="A255" t="s">
        <v>2210</v>
      </c>
      <c r="B255" t="s">
        <v>2211</v>
      </c>
      <c r="C255">
        <v>71061428</v>
      </c>
      <c r="D255">
        <v>2500168</v>
      </c>
      <c r="E255" t="s">
        <v>729</v>
      </c>
      <c r="F255" s="5">
        <v>200</v>
      </c>
    </row>
    <row r="256" spans="1:6" hidden="1">
      <c r="A256" t="s">
        <v>3257</v>
      </c>
      <c r="B256" t="s">
        <v>3258</v>
      </c>
      <c r="C256">
        <v>76189267</v>
      </c>
      <c r="D256">
        <v>2500181</v>
      </c>
      <c r="E256" t="s">
        <v>39</v>
      </c>
      <c r="F256" s="5">
        <v>300</v>
      </c>
    </row>
    <row r="257" spans="1:6">
      <c r="A257" t="s">
        <v>3257</v>
      </c>
      <c r="B257" t="s">
        <v>3258</v>
      </c>
      <c r="C257">
        <v>76189267</v>
      </c>
      <c r="D257">
        <v>2500181</v>
      </c>
      <c r="E257" t="s">
        <v>729</v>
      </c>
      <c r="F257" s="5">
        <v>200</v>
      </c>
    </row>
    <row r="258" spans="1:6" hidden="1">
      <c r="A258" t="s">
        <v>2599</v>
      </c>
      <c r="B258" t="s">
        <v>2600</v>
      </c>
      <c r="C258">
        <v>76057683</v>
      </c>
      <c r="D258">
        <v>2500189</v>
      </c>
      <c r="E258" t="s">
        <v>39</v>
      </c>
      <c r="F258" s="5">
        <v>300</v>
      </c>
    </row>
    <row r="259" spans="1:6">
      <c r="A259" t="s">
        <v>2599</v>
      </c>
      <c r="B259" t="s">
        <v>2600</v>
      </c>
      <c r="C259">
        <v>76057683</v>
      </c>
      <c r="D259">
        <v>2500189</v>
      </c>
      <c r="E259" t="s">
        <v>729</v>
      </c>
      <c r="F259" s="5">
        <v>200</v>
      </c>
    </row>
    <row r="260" spans="1:6" hidden="1">
      <c r="A260" t="s">
        <v>4058</v>
      </c>
      <c r="B260" t="s">
        <v>4059</v>
      </c>
      <c r="C260">
        <v>76230023</v>
      </c>
      <c r="D260">
        <v>2502546</v>
      </c>
      <c r="E260" t="s">
        <v>39</v>
      </c>
      <c r="F260" s="5">
        <v>400</v>
      </c>
    </row>
    <row r="261" spans="1:6">
      <c r="A261" t="s">
        <v>4058</v>
      </c>
      <c r="B261" t="s">
        <v>4059</v>
      </c>
      <c r="C261">
        <v>76230023</v>
      </c>
      <c r="D261">
        <v>2502546</v>
      </c>
      <c r="E261" t="s">
        <v>729</v>
      </c>
      <c r="F261" s="5">
        <v>200</v>
      </c>
    </row>
    <row r="262" spans="1:6" hidden="1">
      <c r="A262" t="s">
        <v>2745</v>
      </c>
      <c r="B262" t="s">
        <v>2746</v>
      </c>
      <c r="C262">
        <v>76072436</v>
      </c>
      <c r="D262">
        <v>2500175</v>
      </c>
      <c r="E262" t="s">
        <v>39</v>
      </c>
      <c r="F262" s="5">
        <v>300</v>
      </c>
    </row>
    <row r="263" spans="1:6">
      <c r="A263" t="s">
        <v>2745</v>
      </c>
      <c r="B263" t="s">
        <v>2746</v>
      </c>
      <c r="C263">
        <v>76072436</v>
      </c>
      <c r="D263">
        <v>2500175</v>
      </c>
      <c r="E263" t="s">
        <v>729</v>
      </c>
      <c r="F263" s="5">
        <v>200</v>
      </c>
    </row>
    <row r="264" spans="1:6" hidden="1">
      <c r="A264" t="s">
        <v>2917</v>
      </c>
      <c r="B264" t="s">
        <v>2918</v>
      </c>
      <c r="C264">
        <v>76148275</v>
      </c>
      <c r="D264">
        <v>2502258</v>
      </c>
      <c r="E264" t="s">
        <v>39</v>
      </c>
      <c r="F264" s="5">
        <v>450</v>
      </c>
    </row>
    <row r="265" spans="1:6">
      <c r="A265" t="s">
        <v>2917</v>
      </c>
      <c r="B265" t="s">
        <v>2918</v>
      </c>
      <c r="C265">
        <v>76148275</v>
      </c>
      <c r="D265">
        <v>2502258</v>
      </c>
      <c r="E265" t="s">
        <v>729</v>
      </c>
      <c r="F265" s="5">
        <v>200</v>
      </c>
    </row>
    <row r="266" spans="1:6" hidden="1">
      <c r="A266" t="s">
        <v>2448</v>
      </c>
      <c r="B266" t="s">
        <v>2449</v>
      </c>
      <c r="C266">
        <v>76037250</v>
      </c>
      <c r="D266">
        <v>2500183</v>
      </c>
      <c r="E266" t="s">
        <v>39</v>
      </c>
      <c r="F266" s="5">
        <v>300</v>
      </c>
    </row>
    <row r="267" spans="1:6">
      <c r="A267" t="s">
        <v>2448</v>
      </c>
      <c r="B267" t="s">
        <v>2449</v>
      </c>
      <c r="C267">
        <v>76037250</v>
      </c>
      <c r="D267">
        <v>2500183</v>
      </c>
      <c r="E267" t="s">
        <v>729</v>
      </c>
      <c r="F267" s="5">
        <v>200</v>
      </c>
    </row>
    <row r="268" spans="1:6" hidden="1">
      <c r="A268" t="s">
        <v>2743</v>
      </c>
      <c r="B268" t="s">
        <v>2744</v>
      </c>
      <c r="C268">
        <v>76072430</v>
      </c>
      <c r="D268">
        <v>2502259</v>
      </c>
      <c r="E268" t="s">
        <v>39</v>
      </c>
      <c r="F268" s="5">
        <v>450</v>
      </c>
    </row>
    <row r="269" spans="1:6">
      <c r="A269" t="s">
        <v>2743</v>
      </c>
      <c r="B269" t="s">
        <v>2744</v>
      </c>
      <c r="C269">
        <v>76072430</v>
      </c>
      <c r="D269">
        <v>2502259</v>
      </c>
      <c r="E269" t="s">
        <v>729</v>
      </c>
      <c r="F269" s="5">
        <v>200</v>
      </c>
    </row>
    <row r="270" spans="1:6" hidden="1">
      <c r="A270" t="s">
        <v>3137</v>
      </c>
      <c r="B270" t="s">
        <v>3138</v>
      </c>
      <c r="C270">
        <v>76171651</v>
      </c>
      <c r="D270">
        <v>2502257</v>
      </c>
      <c r="E270" t="s">
        <v>39</v>
      </c>
      <c r="F270" s="5">
        <v>450</v>
      </c>
    </row>
    <row r="271" spans="1:6">
      <c r="A271" t="s">
        <v>3137</v>
      </c>
      <c r="B271" t="s">
        <v>3138</v>
      </c>
      <c r="C271">
        <v>76171651</v>
      </c>
      <c r="D271">
        <v>2502257</v>
      </c>
      <c r="E271" t="s">
        <v>729</v>
      </c>
      <c r="F271" s="5">
        <v>200</v>
      </c>
    </row>
    <row r="272" spans="1:6" hidden="1">
      <c r="A272" t="s">
        <v>2490</v>
      </c>
      <c r="B272" t="s">
        <v>2491</v>
      </c>
      <c r="C272">
        <v>76041382</v>
      </c>
      <c r="D272">
        <v>2500182</v>
      </c>
      <c r="E272" t="s">
        <v>39</v>
      </c>
      <c r="F272" s="5">
        <v>300</v>
      </c>
    </row>
    <row r="273" spans="1:6">
      <c r="A273" t="s">
        <v>2490</v>
      </c>
      <c r="B273" t="s">
        <v>2491</v>
      </c>
      <c r="C273">
        <v>76041382</v>
      </c>
      <c r="D273">
        <v>2500182</v>
      </c>
      <c r="E273" t="s">
        <v>729</v>
      </c>
      <c r="F273" s="5">
        <v>200</v>
      </c>
    </row>
    <row r="274" spans="1:6" hidden="1">
      <c r="A274" t="s">
        <v>2308</v>
      </c>
      <c r="B274" t="s">
        <v>2309</v>
      </c>
      <c r="C274">
        <v>76020610</v>
      </c>
      <c r="D274">
        <v>2502260</v>
      </c>
      <c r="E274" t="s">
        <v>39</v>
      </c>
      <c r="F274" s="5">
        <v>450</v>
      </c>
    </row>
    <row r="275" spans="1:6">
      <c r="A275" t="s">
        <v>2308</v>
      </c>
      <c r="B275" t="s">
        <v>2309</v>
      </c>
      <c r="C275">
        <v>76020610</v>
      </c>
      <c r="D275">
        <v>2502260</v>
      </c>
      <c r="E275" t="s">
        <v>729</v>
      </c>
      <c r="F275" s="5">
        <v>200</v>
      </c>
    </row>
    <row r="276" spans="1:6" hidden="1">
      <c r="A276" t="s">
        <v>1721</v>
      </c>
      <c r="B276" t="s">
        <v>1722</v>
      </c>
      <c r="C276">
        <v>13494436</v>
      </c>
      <c r="D276">
        <v>2500393</v>
      </c>
      <c r="E276" t="s">
        <v>39</v>
      </c>
      <c r="F276" s="5">
        <v>300</v>
      </c>
    </row>
    <row r="277" spans="1:6">
      <c r="A277" t="s">
        <v>1721</v>
      </c>
      <c r="B277" t="s">
        <v>1722</v>
      </c>
      <c r="C277">
        <v>13494436</v>
      </c>
      <c r="D277">
        <v>2500393</v>
      </c>
      <c r="E277" t="s">
        <v>729</v>
      </c>
      <c r="F277" s="5">
        <v>200</v>
      </c>
    </row>
    <row r="278" spans="1:6" hidden="1">
      <c r="A278" t="s">
        <v>4054</v>
      </c>
      <c r="B278" t="s">
        <v>4055</v>
      </c>
      <c r="C278">
        <v>76230012</v>
      </c>
      <c r="D278">
        <v>2502487</v>
      </c>
      <c r="E278" t="s">
        <v>39</v>
      </c>
      <c r="F278" s="5">
        <v>300</v>
      </c>
    </row>
    <row r="279" spans="1:6">
      <c r="A279" t="s">
        <v>4054</v>
      </c>
      <c r="B279" t="s">
        <v>4055</v>
      </c>
      <c r="C279">
        <v>76230012</v>
      </c>
      <c r="D279">
        <v>2502487</v>
      </c>
      <c r="E279" t="s">
        <v>729</v>
      </c>
      <c r="F279" s="5">
        <v>200</v>
      </c>
    </row>
    <row r="280" spans="1:6" hidden="1">
      <c r="A280" t="s">
        <v>2328</v>
      </c>
      <c r="B280" t="s">
        <v>2329</v>
      </c>
      <c r="C280">
        <v>76022550</v>
      </c>
      <c r="D280">
        <v>8085</v>
      </c>
      <c r="E280" t="s">
        <v>39</v>
      </c>
      <c r="F280" s="5">
        <v>300</v>
      </c>
    </row>
    <row r="281" spans="1:6">
      <c r="A281" t="s">
        <v>2328</v>
      </c>
      <c r="B281" t="s">
        <v>2329</v>
      </c>
      <c r="C281">
        <v>76022550</v>
      </c>
      <c r="D281">
        <v>8085</v>
      </c>
      <c r="E281" t="s">
        <v>729</v>
      </c>
      <c r="F281" s="5">
        <v>200</v>
      </c>
    </row>
    <row r="282" spans="1:6" hidden="1">
      <c r="A282" t="s">
        <v>4478</v>
      </c>
      <c r="B282" t="s">
        <v>4479</v>
      </c>
      <c r="C282">
        <v>76251465</v>
      </c>
      <c r="D282">
        <v>2503471</v>
      </c>
      <c r="E282" t="s">
        <v>39</v>
      </c>
      <c r="F282" s="5">
        <v>300</v>
      </c>
    </row>
    <row r="283" spans="1:6">
      <c r="A283" t="s">
        <v>4478</v>
      </c>
      <c r="B283" t="s">
        <v>4479</v>
      </c>
      <c r="C283">
        <v>76251465</v>
      </c>
      <c r="D283">
        <v>2503471</v>
      </c>
      <c r="E283" t="s">
        <v>729</v>
      </c>
      <c r="F283" s="5">
        <v>200</v>
      </c>
    </row>
    <row r="284" spans="1:6" hidden="1">
      <c r="A284" t="s">
        <v>2250</v>
      </c>
      <c r="B284" t="s">
        <v>2251</v>
      </c>
      <c r="C284">
        <v>71065076</v>
      </c>
      <c r="D284">
        <v>2502935</v>
      </c>
      <c r="E284" t="s">
        <v>39</v>
      </c>
      <c r="F284" s="5">
        <v>300</v>
      </c>
    </row>
    <row r="285" spans="1:6">
      <c r="A285" t="s">
        <v>2250</v>
      </c>
      <c r="B285" t="s">
        <v>2251</v>
      </c>
      <c r="C285">
        <v>71065076</v>
      </c>
      <c r="D285">
        <v>2502935</v>
      </c>
      <c r="E285" t="s">
        <v>729</v>
      </c>
      <c r="F285" s="5">
        <v>200</v>
      </c>
    </row>
    <row r="286" spans="1:6" hidden="1">
      <c r="A286" t="s">
        <v>4529</v>
      </c>
      <c r="B286" t="s">
        <v>4530</v>
      </c>
      <c r="C286">
        <v>76253389</v>
      </c>
      <c r="D286">
        <v>2503568</v>
      </c>
      <c r="E286" t="s">
        <v>39</v>
      </c>
      <c r="F286" s="5">
        <v>300</v>
      </c>
    </row>
    <row r="287" spans="1:6">
      <c r="A287" t="s">
        <v>4529</v>
      </c>
      <c r="B287" t="s">
        <v>4530</v>
      </c>
      <c r="C287">
        <v>76253389</v>
      </c>
      <c r="D287">
        <v>2503568</v>
      </c>
      <c r="E287" t="s">
        <v>729</v>
      </c>
      <c r="F287" s="5">
        <v>200</v>
      </c>
    </row>
    <row r="288" spans="1:6" hidden="1">
      <c r="A288" t="s">
        <v>4256</v>
      </c>
      <c r="B288" t="s">
        <v>4257</v>
      </c>
      <c r="C288">
        <v>76235776</v>
      </c>
      <c r="D288">
        <v>2503100</v>
      </c>
      <c r="E288" t="s">
        <v>39</v>
      </c>
      <c r="F288" s="5">
        <v>300</v>
      </c>
    </row>
    <row r="289" spans="1:6">
      <c r="A289" t="s">
        <v>4256</v>
      </c>
      <c r="B289" t="s">
        <v>4257</v>
      </c>
      <c r="C289">
        <v>76235776</v>
      </c>
      <c r="D289">
        <v>2503100</v>
      </c>
      <c r="E289" t="s">
        <v>729</v>
      </c>
      <c r="F289" s="5">
        <v>200</v>
      </c>
    </row>
    <row r="290" spans="1:6" hidden="1">
      <c r="A290" t="s">
        <v>3781</v>
      </c>
      <c r="B290" t="s">
        <v>3782</v>
      </c>
      <c r="C290">
        <v>76220894</v>
      </c>
      <c r="D290">
        <v>2503559</v>
      </c>
      <c r="E290" t="s">
        <v>39</v>
      </c>
      <c r="F290" s="5">
        <v>300</v>
      </c>
    </row>
    <row r="291" spans="1:6">
      <c r="A291" t="s">
        <v>3781</v>
      </c>
      <c r="B291" t="s">
        <v>3782</v>
      </c>
      <c r="C291">
        <v>76220894</v>
      </c>
      <c r="D291">
        <v>2503559</v>
      </c>
      <c r="E291" t="s">
        <v>729</v>
      </c>
      <c r="F291" s="5">
        <v>200</v>
      </c>
    </row>
    <row r="292" spans="1:6" hidden="1">
      <c r="A292" t="s">
        <v>4070</v>
      </c>
      <c r="B292" t="s">
        <v>4071</v>
      </c>
      <c r="C292">
        <v>76230146</v>
      </c>
      <c r="D292">
        <v>2002986</v>
      </c>
      <c r="E292" t="s">
        <v>39</v>
      </c>
      <c r="F292" s="5">
        <v>300</v>
      </c>
    </row>
    <row r="293" spans="1:6">
      <c r="A293" t="s">
        <v>4070</v>
      </c>
      <c r="B293" t="s">
        <v>4071</v>
      </c>
      <c r="C293">
        <v>76230146</v>
      </c>
      <c r="D293">
        <v>2002986</v>
      </c>
      <c r="E293" t="s">
        <v>729</v>
      </c>
      <c r="F293" s="5">
        <v>200</v>
      </c>
    </row>
    <row r="294" spans="1:6" hidden="1">
      <c r="A294" t="s">
        <v>3077</v>
      </c>
      <c r="B294" t="s">
        <v>3078</v>
      </c>
      <c r="C294">
        <v>76165465</v>
      </c>
      <c r="D294">
        <v>3000429</v>
      </c>
      <c r="E294" t="s">
        <v>39</v>
      </c>
      <c r="F294" s="5">
        <v>300</v>
      </c>
    </row>
    <row r="295" spans="1:6">
      <c r="A295" t="s">
        <v>3077</v>
      </c>
      <c r="B295" t="s">
        <v>3078</v>
      </c>
      <c r="C295">
        <v>76165465</v>
      </c>
      <c r="D295">
        <v>3000429</v>
      </c>
      <c r="E295" t="s">
        <v>729</v>
      </c>
      <c r="F295" s="5">
        <v>200</v>
      </c>
    </row>
    <row r="296" spans="1:6" hidden="1">
      <c r="A296" t="s">
        <v>3601</v>
      </c>
      <c r="B296" t="s">
        <v>3602</v>
      </c>
      <c r="C296">
        <v>76213169</v>
      </c>
      <c r="D296">
        <v>2502255</v>
      </c>
      <c r="E296" t="s">
        <v>39</v>
      </c>
      <c r="F296" s="5">
        <v>450</v>
      </c>
    </row>
    <row r="297" spans="1:6">
      <c r="A297" t="s">
        <v>3601</v>
      </c>
      <c r="B297" t="s">
        <v>3602</v>
      </c>
      <c r="C297">
        <v>76213169</v>
      </c>
      <c r="D297">
        <v>2502255</v>
      </c>
      <c r="E297" t="s">
        <v>729</v>
      </c>
      <c r="F297" s="5">
        <v>200</v>
      </c>
    </row>
    <row r="298" spans="1:6" hidden="1">
      <c r="A298" t="s">
        <v>3729</v>
      </c>
      <c r="B298" t="s">
        <v>3730</v>
      </c>
      <c r="C298">
        <v>76219393</v>
      </c>
      <c r="D298">
        <v>2502023</v>
      </c>
      <c r="E298" t="s">
        <v>39</v>
      </c>
      <c r="F298" s="5">
        <v>450</v>
      </c>
    </row>
    <row r="299" spans="1:6">
      <c r="A299" t="s">
        <v>3729</v>
      </c>
      <c r="B299" t="s">
        <v>3730</v>
      </c>
      <c r="C299">
        <v>76219393</v>
      </c>
      <c r="D299">
        <v>2502023</v>
      </c>
      <c r="E299" t="s">
        <v>729</v>
      </c>
      <c r="F299" s="5">
        <v>200</v>
      </c>
    </row>
    <row r="300" spans="1:6" hidden="1">
      <c r="A300" t="s">
        <v>3513</v>
      </c>
      <c r="B300" t="s">
        <v>3514</v>
      </c>
      <c r="C300">
        <v>76209215</v>
      </c>
      <c r="D300">
        <v>2000817</v>
      </c>
      <c r="E300" t="s">
        <v>39</v>
      </c>
      <c r="F300" s="5">
        <v>300</v>
      </c>
    </row>
    <row r="301" spans="1:6">
      <c r="A301" t="s">
        <v>3513</v>
      </c>
      <c r="B301" t="s">
        <v>3514</v>
      </c>
      <c r="C301">
        <v>76209215</v>
      </c>
      <c r="D301">
        <v>2000817</v>
      </c>
      <c r="E301" t="s">
        <v>729</v>
      </c>
      <c r="F301" s="5">
        <v>200</v>
      </c>
    </row>
    <row r="302" spans="1:6" hidden="1">
      <c r="A302" t="s">
        <v>4452</v>
      </c>
      <c r="B302" t="s">
        <v>4453</v>
      </c>
      <c r="C302">
        <v>76247108</v>
      </c>
      <c r="D302">
        <v>2503454</v>
      </c>
      <c r="E302" t="s">
        <v>39</v>
      </c>
      <c r="F302" s="5">
        <v>300</v>
      </c>
    </row>
    <row r="303" spans="1:6">
      <c r="A303" t="s">
        <v>4452</v>
      </c>
      <c r="B303" t="s">
        <v>4453</v>
      </c>
      <c r="C303">
        <v>76247108</v>
      </c>
      <c r="D303">
        <v>2503454</v>
      </c>
      <c r="E303" t="s">
        <v>729</v>
      </c>
      <c r="F303" s="5">
        <v>200</v>
      </c>
    </row>
    <row r="304" spans="1:6" hidden="1">
      <c r="A304" t="s">
        <v>4607</v>
      </c>
      <c r="B304" t="s">
        <v>4608</v>
      </c>
      <c r="C304">
        <v>76257216</v>
      </c>
      <c r="D304">
        <v>3000822</v>
      </c>
      <c r="E304" t="s">
        <v>39</v>
      </c>
      <c r="F304" s="5">
        <v>300</v>
      </c>
    </row>
    <row r="305" spans="1:6">
      <c r="A305" t="s">
        <v>4607</v>
      </c>
      <c r="B305" t="s">
        <v>4608</v>
      </c>
      <c r="C305">
        <v>76257216</v>
      </c>
      <c r="D305">
        <v>3000822</v>
      </c>
      <c r="E305" t="s">
        <v>729</v>
      </c>
      <c r="F305" s="5">
        <v>200</v>
      </c>
    </row>
    <row r="306" spans="1:6" hidden="1">
      <c r="A306" t="s">
        <v>3135</v>
      </c>
      <c r="B306" t="s">
        <v>3136</v>
      </c>
      <c r="C306">
        <v>76171631</v>
      </c>
      <c r="D306">
        <v>143016</v>
      </c>
      <c r="E306" t="s">
        <v>39</v>
      </c>
      <c r="F306" s="5">
        <v>300</v>
      </c>
    </row>
    <row r="307" spans="1:6">
      <c r="A307" t="s">
        <v>3135</v>
      </c>
      <c r="B307" t="s">
        <v>3136</v>
      </c>
      <c r="C307">
        <v>76171631</v>
      </c>
      <c r="D307">
        <v>143016</v>
      </c>
      <c r="E307" t="s">
        <v>729</v>
      </c>
      <c r="F307" s="5">
        <v>200</v>
      </c>
    </row>
    <row r="308" spans="1:6" hidden="1">
      <c r="A308" t="s">
        <v>3345</v>
      </c>
      <c r="B308" t="s">
        <v>3346</v>
      </c>
      <c r="C308">
        <v>76200980</v>
      </c>
      <c r="D308">
        <v>123006</v>
      </c>
      <c r="E308" t="s">
        <v>39</v>
      </c>
      <c r="F308" s="5">
        <v>300</v>
      </c>
    </row>
    <row r="309" spans="1:6">
      <c r="A309" t="s">
        <v>3345</v>
      </c>
      <c r="B309" t="s">
        <v>3346</v>
      </c>
      <c r="C309">
        <v>76200980</v>
      </c>
      <c r="D309">
        <v>123006</v>
      </c>
      <c r="E309" t="s">
        <v>729</v>
      </c>
      <c r="F309" s="5">
        <v>200</v>
      </c>
    </row>
    <row r="310" spans="1:6" hidden="1">
      <c r="A310" t="s">
        <v>2679</v>
      </c>
      <c r="B310" t="s">
        <v>2680</v>
      </c>
      <c r="C310">
        <v>76065970</v>
      </c>
      <c r="D310">
        <v>12095</v>
      </c>
      <c r="E310" t="s">
        <v>39</v>
      </c>
      <c r="F310" s="5">
        <v>300</v>
      </c>
    </row>
    <row r="311" spans="1:6">
      <c r="A311" t="s">
        <v>2679</v>
      </c>
      <c r="B311" t="s">
        <v>2680</v>
      </c>
      <c r="C311">
        <v>76065970</v>
      </c>
      <c r="D311">
        <v>12095</v>
      </c>
      <c r="E311" t="s">
        <v>729</v>
      </c>
      <c r="F311" s="5">
        <v>200</v>
      </c>
    </row>
    <row r="312" spans="1:6" hidden="1">
      <c r="A312" t="s">
        <v>500</v>
      </c>
      <c r="B312" t="s">
        <v>501</v>
      </c>
      <c r="C312">
        <v>76072064</v>
      </c>
      <c r="D312">
        <v>2503103</v>
      </c>
      <c r="E312" t="s">
        <v>39</v>
      </c>
      <c r="F312" s="5">
        <v>300</v>
      </c>
    </row>
    <row r="313" spans="1:6">
      <c r="A313" t="s">
        <v>500</v>
      </c>
      <c r="B313" t="s">
        <v>501</v>
      </c>
      <c r="C313">
        <v>76072064</v>
      </c>
      <c r="D313">
        <v>2503103</v>
      </c>
      <c r="E313" t="s">
        <v>729</v>
      </c>
      <c r="F313" s="5">
        <v>200</v>
      </c>
    </row>
    <row r="314" spans="1:6" hidden="1">
      <c r="A314" t="s">
        <v>3799</v>
      </c>
      <c r="B314" t="s">
        <v>3800</v>
      </c>
      <c r="C314">
        <v>76221409</v>
      </c>
      <c r="D314">
        <v>3000408</v>
      </c>
      <c r="E314" t="s">
        <v>39</v>
      </c>
      <c r="F314" s="5">
        <v>300</v>
      </c>
    </row>
    <row r="315" spans="1:6">
      <c r="A315" t="s">
        <v>3799</v>
      </c>
      <c r="B315" t="s">
        <v>3800</v>
      </c>
      <c r="C315">
        <v>76221409</v>
      </c>
      <c r="D315">
        <v>3000408</v>
      </c>
      <c r="E315" t="s">
        <v>729</v>
      </c>
      <c r="F315" s="5">
        <v>200</v>
      </c>
    </row>
    <row r="316" spans="1:6" hidden="1">
      <c r="A316" t="s">
        <v>2174</v>
      </c>
      <c r="B316" t="s">
        <v>2175</v>
      </c>
      <c r="C316">
        <v>71055645</v>
      </c>
      <c r="D316">
        <v>2500658</v>
      </c>
      <c r="E316" t="s">
        <v>39</v>
      </c>
      <c r="F316" s="5">
        <v>400</v>
      </c>
    </row>
    <row r="317" spans="1:6">
      <c r="A317" t="s">
        <v>2174</v>
      </c>
      <c r="B317" t="s">
        <v>2175</v>
      </c>
      <c r="C317">
        <v>71055645</v>
      </c>
      <c r="D317">
        <v>2500658</v>
      </c>
      <c r="E317" t="s">
        <v>729</v>
      </c>
      <c r="F317" s="5">
        <v>200</v>
      </c>
    </row>
    <row r="318" spans="1:6" hidden="1">
      <c r="A318" t="s">
        <v>2252</v>
      </c>
      <c r="B318" t="s">
        <v>2253</v>
      </c>
      <c r="C318">
        <v>71065125</v>
      </c>
      <c r="D318">
        <v>2502958</v>
      </c>
      <c r="E318" t="s">
        <v>39</v>
      </c>
      <c r="F318" s="5">
        <v>300</v>
      </c>
    </row>
    <row r="319" spans="1:6">
      <c r="A319" t="s">
        <v>2252</v>
      </c>
      <c r="B319" t="s">
        <v>2253</v>
      </c>
      <c r="C319">
        <v>71065125</v>
      </c>
      <c r="D319">
        <v>2502958</v>
      </c>
      <c r="E319" t="s">
        <v>729</v>
      </c>
      <c r="F319" s="5">
        <v>200</v>
      </c>
    </row>
    <row r="320" spans="1:6" hidden="1">
      <c r="A320" t="s">
        <v>1827</v>
      </c>
      <c r="B320" t="s">
        <v>1828</v>
      </c>
      <c r="C320">
        <v>25187901</v>
      </c>
      <c r="D320">
        <v>2502958</v>
      </c>
      <c r="E320" t="s">
        <v>39</v>
      </c>
      <c r="F320" s="5">
        <v>300</v>
      </c>
    </row>
    <row r="321" spans="1:6">
      <c r="A321" t="s">
        <v>1827</v>
      </c>
      <c r="B321" t="s">
        <v>1828</v>
      </c>
      <c r="C321">
        <v>25187901</v>
      </c>
      <c r="D321">
        <v>2502958</v>
      </c>
      <c r="E321" t="s">
        <v>729</v>
      </c>
      <c r="F321" s="5">
        <v>200</v>
      </c>
    </row>
    <row r="322" spans="1:6" hidden="1">
      <c r="A322" t="s">
        <v>2330</v>
      </c>
      <c r="B322" t="s">
        <v>2331</v>
      </c>
      <c r="C322">
        <v>76022772</v>
      </c>
      <c r="D322">
        <v>2002951</v>
      </c>
      <c r="E322" t="s">
        <v>39</v>
      </c>
      <c r="F322" s="5">
        <v>300</v>
      </c>
    </row>
    <row r="323" spans="1:6">
      <c r="A323" t="s">
        <v>2330</v>
      </c>
      <c r="B323" t="s">
        <v>2331</v>
      </c>
      <c r="C323">
        <v>76022772</v>
      </c>
      <c r="D323">
        <v>2002951</v>
      </c>
      <c r="E323" t="s">
        <v>729</v>
      </c>
      <c r="F323" s="5">
        <v>200</v>
      </c>
    </row>
    <row r="324" spans="1:6" hidden="1">
      <c r="A324" t="s">
        <v>3157</v>
      </c>
      <c r="B324" t="s">
        <v>3158</v>
      </c>
      <c r="C324">
        <v>76174833</v>
      </c>
      <c r="D324">
        <v>2002951</v>
      </c>
      <c r="E324" t="s">
        <v>39</v>
      </c>
      <c r="F324" s="5">
        <v>300</v>
      </c>
    </row>
    <row r="325" spans="1:6">
      <c r="A325" t="s">
        <v>3157</v>
      </c>
      <c r="B325" t="s">
        <v>3158</v>
      </c>
      <c r="C325">
        <v>76174833</v>
      </c>
      <c r="D325">
        <v>2002951</v>
      </c>
      <c r="E325" t="s">
        <v>729</v>
      </c>
      <c r="F325" s="5">
        <v>200</v>
      </c>
    </row>
    <row r="326" spans="1:6" hidden="1">
      <c r="A326" t="s">
        <v>2366</v>
      </c>
      <c r="B326" t="s">
        <v>2367</v>
      </c>
      <c r="C326">
        <v>76025960</v>
      </c>
      <c r="D326">
        <v>3404</v>
      </c>
      <c r="E326" t="s">
        <v>39</v>
      </c>
      <c r="F326" s="5">
        <v>300</v>
      </c>
    </row>
    <row r="327" spans="1:6">
      <c r="A327" t="s">
        <v>2366</v>
      </c>
      <c r="B327" t="s">
        <v>2367</v>
      </c>
      <c r="C327">
        <v>76025960</v>
      </c>
      <c r="D327">
        <v>3404</v>
      </c>
      <c r="E327" t="s">
        <v>729</v>
      </c>
      <c r="F327" s="5">
        <v>200</v>
      </c>
    </row>
    <row r="328" spans="1:6" hidden="1">
      <c r="A328" t="s">
        <v>2719</v>
      </c>
      <c r="B328" t="s">
        <v>2720</v>
      </c>
      <c r="C328">
        <v>76067624</v>
      </c>
      <c r="D328">
        <v>3405</v>
      </c>
      <c r="E328" t="s">
        <v>39</v>
      </c>
      <c r="F328" s="5">
        <v>300</v>
      </c>
    </row>
    <row r="329" spans="1:6">
      <c r="A329" t="s">
        <v>2719</v>
      </c>
      <c r="B329" t="s">
        <v>2720</v>
      </c>
      <c r="C329">
        <v>76067624</v>
      </c>
      <c r="D329">
        <v>3405</v>
      </c>
      <c r="E329" t="s">
        <v>729</v>
      </c>
      <c r="F329" s="5">
        <v>200</v>
      </c>
    </row>
    <row r="330" spans="1:6" hidden="1">
      <c r="A330" t="s">
        <v>2749</v>
      </c>
      <c r="B330" t="s">
        <v>2750</v>
      </c>
      <c r="C330">
        <v>76072714</v>
      </c>
      <c r="D330">
        <v>3002346</v>
      </c>
      <c r="E330" t="s">
        <v>39</v>
      </c>
      <c r="F330" s="5">
        <v>300</v>
      </c>
    </row>
    <row r="331" spans="1:6">
      <c r="A331" t="s">
        <v>2749</v>
      </c>
      <c r="B331" t="s">
        <v>2750</v>
      </c>
      <c r="C331">
        <v>76072714</v>
      </c>
      <c r="D331">
        <v>3002346</v>
      </c>
      <c r="E331" t="s">
        <v>729</v>
      </c>
      <c r="F331" s="5">
        <v>200</v>
      </c>
    </row>
    <row r="332" spans="1:6" hidden="1">
      <c r="A332" t="s">
        <v>2348</v>
      </c>
      <c r="B332" t="s">
        <v>2349</v>
      </c>
      <c r="C332">
        <v>76023809</v>
      </c>
      <c r="D332">
        <v>2503224</v>
      </c>
      <c r="E332" t="s">
        <v>39</v>
      </c>
      <c r="F332" s="5">
        <v>300</v>
      </c>
    </row>
    <row r="333" spans="1:6">
      <c r="A333" t="s">
        <v>2348</v>
      </c>
      <c r="B333" t="s">
        <v>2349</v>
      </c>
      <c r="C333">
        <v>76023809</v>
      </c>
      <c r="D333">
        <v>2503224</v>
      </c>
      <c r="E333" t="s">
        <v>729</v>
      </c>
      <c r="F333" s="5">
        <v>200</v>
      </c>
    </row>
    <row r="334" spans="1:6" hidden="1">
      <c r="A334" t="s">
        <v>3839</v>
      </c>
      <c r="B334" t="s">
        <v>3840</v>
      </c>
      <c r="C334">
        <v>76223518</v>
      </c>
      <c r="D334">
        <v>3001803</v>
      </c>
      <c r="E334" t="s">
        <v>39</v>
      </c>
      <c r="F334" s="5">
        <v>300</v>
      </c>
    </row>
    <row r="335" spans="1:6">
      <c r="A335" t="s">
        <v>3839</v>
      </c>
      <c r="B335" t="s">
        <v>3840</v>
      </c>
      <c r="C335">
        <v>76223518</v>
      </c>
      <c r="D335">
        <v>3001803</v>
      </c>
      <c r="E335" t="s">
        <v>729</v>
      </c>
      <c r="F335" s="5">
        <v>200</v>
      </c>
    </row>
    <row r="336" spans="1:6" hidden="1">
      <c r="A336" t="s">
        <v>1609</v>
      </c>
      <c r="B336" t="s">
        <v>1610</v>
      </c>
      <c r="C336">
        <v>5237164</v>
      </c>
      <c r="D336">
        <v>2001818</v>
      </c>
      <c r="E336" t="s">
        <v>39</v>
      </c>
      <c r="F336" s="5">
        <v>300</v>
      </c>
    </row>
    <row r="337" spans="1:6">
      <c r="A337" t="s">
        <v>1609</v>
      </c>
      <c r="B337" t="s">
        <v>1610</v>
      </c>
      <c r="C337">
        <v>5237164</v>
      </c>
      <c r="D337">
        <v>2001818</v>
      </c>
      <c r="E337" t="s">
        <v>729</v>
      </c>
      <c r="F337" s="5">
        <v>200</v>
      </c>
    </row>
    <row r="338" spans="1:6" hidden="1">
      <c r="A338" t="s">
        <v>3035</v>
      </c>
      <c r="B338" t="s">
        <v>3036</v>
      </c>
      <c r="C338">
        <v>76162198</v>
      </c>
      <c r="D338">
        <v>2500060</v>
      </c>
      <c r="E338" t="s">
        <v>39</v>
      </c>
      <c r="F338" s="5">
        <v>300</v>
      </c>
    </row>
    <row r="339" spans="1:6">
      <c r="A339" t="s">
        <v>3035</v>
      </c>
      <c r="B339" t="s">
        <v>3036</v>
      </c>
      <c r="C339">
        <v>76162198</v>
      </c>
      <c r="D339">
        <v>2500060</v>
      </c>
      <c r="E339" t="s">
        <v>729</v>
      </c>
      <c r="F339" s="5">
        <v>200</v>
      </c>
    </row>
    <row r="340" spans="1:6" hidden="1">
      <c r="A340" t="s">
        <v>2795</v>
      </c>
      <c r="B340" t="s">
        <v>2796</v>
      </c>
      <c r="C340">
        <v>76077258</v>
      </c>
      <c r="D340">
        <v>2500070</v>
      </c>
      <c r="E340" t="s">
        <v>39</v>
      </c>
      <c r="F340" s="5">
        <v>300</v>
      </c>
    </row>
    <row r="341" spans="1:6">
      <c r="A341" t="s">
        <v>2795</v>
      </c>
      <c r="B341" t="s">
        <v>2796</v>
      </c>
      <c r="C341">
        <v>76077258</v>
      </c>
      <c r="D341">
        <v>2500070</v>
      </c>
      <c r="E341" t="s">
        <v>729</v>
      </c>
      <c r="F341" s="5">
        <v>200</v>
      </c>
    </row>
    <row r="342" spans="1:6" hidden="1">
      <c r="A342" t="s">
        <v>3163</v>
      </c>
      <c r="B342" t="s">
        <v>3164</v>
      </c>
      <c r="C342">
        <v>76176478</v>
      </c>
      <c r="D342">
        <v>2500571</v>
      </c>
      <c r="E342" t="s">
        <v>39</v>
      </c>
      <c r="F342" s="5">
        <v>300</v>
      </c>
    </row>
    <row r="343" spans="1:6">
      <c r="A343" t="s">
        <v>3163</v>
      </c>
      <c r="B343" t="s">
        <v>3164</v>
      </c>
      <c r="C343">
        <v>76176478</v>
      </c>
      <c r="D343">
        <v>2500571</v>
      </c>
      <c r="E343" t="s">
        <v>729</v>
      </c>
      <c r="F343" s="5">
        <v>200</v>
      </c>
    </row>
    <row r="344" spans="1:6" hidden="1">
      <c r="A344" t="s">
        <v>2733</v>
      </c>
      <c r="B344" t="s">
        <v>2734</v>
      </c>
      <c r="C344">
        <v>76070762</v>
      </c>
      <c r="D344">
        <v>2500555</v>
      </c>
      <c r="E344" t="s">
        <v>39</v>
      </c>
      <c r="F344" s="5">
        <v>300</v>
      </c>
    </row>
    <row r="345" spans="1:6">
      <c r="A345" t="s">
        <v>2733</v>
      </c>
      <c r="B345" t="s">
        <v>2734</v>
      </c>
      <c r="C345">
        <v>76070762</v>
      </c>
      <c r="D345">
        <v>2500555</v>
      </c>
      <c r="E345" t="s">
        <v>729</v>
      </c>
      <c r="F345" s="5">
        <v>200</v>
      </c>
    </row>
    <row r="346" spans="1:6" hidden="1">
      <c r="A346" t="s">
        <v>2398</v>
      </c>
      <c r="B346" t="s">
        <v>2399</v>
      </c>
      <c r="C346">
        <v>76031048</v>
      </c>
      <c r="D346">
        <v>2500503</v>
      </c>
      <c r="E346" t="s">
        <v>39</v>
      </c>
      <c r="F346" s="5">
        <v>300</v>
      </c>
    </row>
    <row r="347" spans="1:6">
      <c r="A347" t="s">
        <v>2398</v>
      </c>
      <c r="B347" t="s">
        <v>2399</v>
      </c>
      <c r="C347">
        <v>76031048</v>
      </c>
      <c r="D347">
        <v>2500503</v>
      </c>
      <c r="E347" t="s">
        <v>729</v>
      </c>
      <c r="F347" s="5">
        <v>200</v>
      </c>
    </row>
    <row r="348" spans="1:6" hidden="1">
      <c r="A348" t="s">
        <v>2110</v>
      </c>
      <c r="B348" t="s">
        <v>2111</v>
      </c>
      <c r="C348">
        <v>71048102</v>
      </c>
      <c r="D348">
        <v>2501593</v>
      </c>
      <c r="E348" t="s">
        <v>39</v>
      </c>
      <c r="F348" s="5">
        <v>300</v>
      </c>
    </row>
    <row r="349" spans="1:6">
      <c r="A349" t="s">
        <v>2110</v>
      </c>
      <c r="B349" t="s">
        <v>2111</v>
      </c>
      <c r="C349">
        <v>71048102</v>
      </c>
      <c r="D349">
        <v>2501593</v>
      </c>
      <c r="E349" t="s">
        <v>729</v>
      </c>
      <c r="F349" s="5">
        <v>200</v>
      </c>
    </row>
    <row r="350" spans="1:6" hidden="1">
      <c r="A350" t="s">
        <v>3503</v>
      </c>
      <c r="B350" t="s">
        <v>3504</v>
      </c>
      <c r="C350">
        <v>76209029</v>
      </c>
      <c r="D350">
        <v>2002099</v>
      </c>
      <c r="E350" t="s">
        <v>39</v>
      </c>
      <c r="F350" s="5">
        <v>300</v>
      </c>
    </row>
    <row r="351" spans="1:6">
      <c r="A351" t="s">
        <v>3503</v>
      </c>
      <c r="B351" t="s">
        <v>3504</v>
      </c>
      <c r="C351">
        <v>76209029</v>
      </c>
      <c r="D351">
        <v>2002099</v>
      </c>
      <c r="E351" t="s">
        <v>729</v>
      </c>
      <c r="F351" s="5">
        <v>200</v>
      </c>
    </row>
    <row r="352" spans="1:6" hidden="1">
      <c r="A352" t="s">
        <v>3479</v>
      </c>
      <c r="B352" t="s">
        <v>3480</v>
      </c>
      <c r="C352">
        <v>76208085</v>
      </c>
      <c r="D352">
        <v>2003138</v>
      </c>
      <c r="E352" t="s">
        <v>39</v>
      </c>
      <c r="F352" s="5">
        <v>300</v>
      </c>
    </row>
    <row r="353" spans="1:6">
      <c r="A353" t="s">
        <v>3479</v>
      </c>
      <c r="B353" t="s">
        <v>3480</v>
      </c>
      <c r="C353">
        <v>76208085</v>
      </c>
      <c r="D353">
        <v>2003138</v>
      </c>
      <c r="E353" t="s">
        <v>729</v>
      </c>
      <c r="F353" s="5">
        <v>200</v>
      </c>
    </row>
    <row r="354" spans="1:6" hidden="1">
      <c r="A354" t="s">
        <v>3509</v>
      </c>
      <c r="B354" t="s">
        <v>3510</v>
      </c>
      <c r="C354">
        <v>76209129</v>
      </c>
      <c r="D354">
        <v>2003134</v>
      </c>
      <c r="E354" t="s">
        <v>39</v>
      </c>
      <c r="F354" s="5">
        <v>300</v>
      </c>
    </row>
    <row r="355" spans="1:6">
      <c r="A355" t="s">
        <v>3509</v>
      </c>
      <c r="B355" t="s">
        <v>3510</v>
      </c>
      <c r="C355">
        <v>76209129</v>
      </c>
      <c r="D355">
        <v>2003134</v>
      </c>
      <c r="E355" t="s">
        <v>729</v>
      </c>
      <c r="F355" s="5">
        <v>200</v>
      </c>
    </row>
    <row r="356" spans="1:6" hidden="1">
      <c r="A356" t="s">
        <v>4338</v>
      </c>
      <c r="B356" t="s">
        <v>4339</v>
      </c>
      <c r="C356">
        <v>76240969</v>
      </c>
      <c r="D356">
        <v>2002793</v>
      </c>
      <c r="E356" t="s">
        <v>39</v>
      </c>
      <c r="F356" s="5">
        <v>300</v>
      </c>
    </row>
    <row r="357" spans="1:6">
      <c r="A357" t="s">
        <v>4338</v>
      </c>
      <c r="B357" t="s">
        <v>4339</v>
      </c>
      <c r="C357">
        <v>76240969</v>
      </c>
      <c r="D357">
        <v>2002793</v>
      </c>
      <c r="E357" t="s">
        <v>729</v>
      </c>
      <c r="F357" s="5">
        <v>200</v>
      </c>
    </row>
    <row r="358" spans="1:6" hidden="1">
      <c r="A358" t="s">
        <v>1905</v>
      </c>
      <c r="B358" t="s">
        <v>1906</v>
      </c>
      <c r="C358">
        <v>33201001</v>
      </c>
      <c r="D358">
        <v>2001904</v>
      </c>
      <c r="E358" t="s">
        <v>39</v>
      </c>
      <c r="F358" s="5">
        <v>300</v>
      </c>
    </row>
    <row r="359" spans="1:6">
      <c r="A359" t="s">
        <v>1905</v>
      </c>
      <c r="B359" t="s">
        <v>1906</v>
      </c>
      <c r="C359">
        <v>33201001</v>
      </c>
      <c r="D359">
        <v>2001904</v>
      </c>
      <c r="E359" t="s">
        <v>729</v>
      </c>
      <c r="F359" s="5">
        <v>200</v>
      </c>
    </row>
    <row r="360" spans="1:6" hidden="1">
      <c r="A360" t="s">
        <v>3231</v>
      </c>
      <c r="B360" t="s">
        <v>3232</v>
      </c>
      <c r="C360">
        <v>76186877</v>
      </c>
      <c r="D360">
        <v>2002478</v>
      </c>
      <c r="E360" t="s">
        <v>39</v>
      </c>
      <c r="F360" s="5">
        <v>300</v>
      </c>
    </row>
    <row r="361" spans="1:6">
      <c r="A361" t="s">
        <v>3231</v>
      </c>
      <c r="B361" t="s">
        <v>3232</v>
      </c>
      <c r="C361">
        <v>76186877</v>
      </c>
      <c r="D361">
        <v>2002478</v>
      </c>
      <c r="E361" t="s">
        <v>729</v>
      </c>
      <c r="F361" s="5">
        <v>200</v>
      </c>
    </row>
    <row r="362" spans="1:6" hidden="1">
      <c r="A362" t="s">
        <v>2378</v>
      </c>
      <c r="B362" t="s">
        <v>2379</v>
      </c>
      <c r="C362">
        <v>76026375</v>
      </c>
      <c r="D362">
        <v>2001894</v>
      </c>
      <c r="E362" t="s">
        <v>39</v>
      </c>
      <c r="F362" s="5">
        <v>300</v>
      </c>
    </row>
    <row r="363" spans="1:6">
      <c r="A363" t="s">
        <v>2378</v>
      </c>
      <c r="B363" t="s">
        <v>2379</v>
      </c>
      <c r="C363">
        <v>76026375</v>
      </c>
      <c r="D363">
        <v>2001894</v>
      </c>
      <c r="E363" t="s">
        <v>729</v>
      </c>
      <c r="F363" s="5">
        <v>200</v>
      </c>
    </row>
    <row r="364" spans="1:6" hidden="1">
      <c r="A364" t="s">
        <v>2522</v>
      </c>
      <c r="B364" t="s">
        <v>2523</v>
      </c>
      <c r="C364">
        <v>76043771</v>
      </c>
      <c r="D364">
        <v>2002456</v>
      </c>
      <c r="E364" t="s">
        <v>39</v>
      </c>
      <c r="F364" s="5">
        <v>300</v>
      </c>
    </row>
    <row r="365" spans="1:6">
      <c r="A365" t="s">
        <v>2522</v>
      </c>
      <c r="B365" t="s">
        <v>2523</v>
      </c>
      <c r="C365">
        <v>76043771</v>
      </c>
      <c r="D365">
        <v>2002456</v>
      </c>
      <c r="E365" t="s">
        <v>729</v>
      </c>
      <c r="F365" s="5">
        <v>200</v>
      </c>
    </row>
    <row r="366" spans="1:6" hidden="1">
      <c r="A366" t="s">
        <v>2843</v>
      </c>
      <c r="B366" t="s">
        <v>2844</v>
      </c>
      <c r="C366">
        <v>76122958</v>
      </c>
      <c r="D366">
        <v>12031</v>
      </c>
      <c r="E366" t="s">
        <v>39</v>
      </c>
      <c r="F366" s="5">
        <v>300</v>
      </c>
    </row>
    <row r="367" spans="1:6">
      <c r="A367" t="s">
        <v>2843</v>
      </c>
      <c r="B367" t="s">
        <v>2844</v>
      </c>
      <c r="C367">
        <v>76122958</v>
      </c>
      <c r="D367">
        <v>12031</v>
      </c>
      <c r="E367" t="s">
        <v>729</v>
      </c>
      <c r="F367" s="5">
        <v>200</v>
      </c>
    </row>
    <row r="368" spans="1:6" hidden="1">
      <c r="A368" t="s">
        <v>403</v>
      </c>
      <c r="B368" t="s">
        <v>404</v>
      </c>
      <c r="C368">
        <v>9025902</v>
      </c>
      <c r="D368">
        <v>2002697</v>
      </c>
      <c r="E368" t="s">
        <v>39</v>
      </c>
      <c r="F368" s="5">
        <v>300</v>
      </c>
    </row>
    <row r="369" spans="1:6">
      <c r="A369" t="s">
        <v>403</v>
      </c>
      <c r="B369" t="s">
        <v>404</v>
      </c>
      <c r="C369">
        <v>9025902</v>
      </c>
      <c r="D369">
        <v>2002697</v>
      </c>
      <c r="E369" t="s">
        <v>729</v>
      </c>
      <c r="F369" s="5">
        <v>200</v>
      </c>
    </row>
    <row r="370" spans="1:6" hidden="1">
      <c r="A370" t="s">
        <v>4286</v>
      </c>
      <c r="B370" t="s">
        <v>4287</v>
      </c>
      <c r="C370">
        <v>76237709</v>
      </c>
      <c r="D370">
        <v>2002736</v>
      </c>
      <c r="E370" t="s">
        <v>39</v>
      </c>
      <c r="F370" s="5">
        <v>300</v>
      </c>
    </row>
    <row r="371" spans="1:6">
      <c r="A371" t="s">
        <v>4286</v>
      </c>
      <c r="B371" t="s">
        <v>4287</v>
      </c>
      <c r="C371">
        <v>76237709</v>
      </c>
      <c r="D371">
        <v>2002736</v>
      </c>
      <c r="E371" t="s">
        <v>729</v>
      </c>
      <c r="F371" s="5">
        <v>200</v>
      </c>
    </row>
    <row r="372" spans="1:6" hidden="1">
      <c r="A372" t="s">
        <v>4288</v>
      </c>
      <c r="B372" t="s">
        <v>4289</v>
      </c>
      <c r="C372">
        <v>76237710</v>
      </c>
      <c r="D372">
        <v>2002737</v>
      </c>
      <c r="E372" t="s">
        <v>39</v>
      </c>
      <c r="F372" s="5">
        <v>300</v>
      </c>
    </row>
    <row r="373" spans="1:6">
      <c r="A373" t="s">
        <v>4288</v>
      </c>
      <c r="B373" t="s">
        <v>4289</v>
      </c>
      <c r="C373">
        <v>76237710</v>
      </c>
      <c r="D373">
        <v>2002737</v>
      </c>
      <c r="E373" t="s">
        <v>729</v>
      </c>
      <c r="F373" s="5">
        <v>200</v>
      </c>
    </row>
    <row r="374" spans="1:6" hidden="1">
      <c r="A374" t="s">
        <v>3971</v>
      </c>
      <c r="B374" t="s">
        <v>3972</v>
      </c>
      <c r="C374">
        <v>76228362</v>
      </c>
      <c r="D374">
        <v>3002130</v>
      </c>
      <c r="E374" t="s">
        <v>39</v>
      </c>
      <c r="F374" s="5">
        <v>300</v>
      </c>
    </row>
    <row r="375" spans="1:6">
      <c r="A375" t="s">
        <v>3971</v>
      </c>
      <c r="B375" t="s">
        <v>3972</v>
      </c>
      <c r="C375">
        <v>76228362</v>
      </c>
      <c r="D375">
        <v>3002130</v>
      </c>
      <c r="E375" t="s">
        <v>729</v>
      </c>
      <c r="F375" s="5">
        <v>200</v>
      </c>
    </row>
    <row r="376" spans="1:6" hidden="1">
      <c r="A376" t="s">
        <v>4009</v>
      </c>
      <c r="B376" t="s">
        <v>4010</v>
      </c>
      <c r="C376">
        <v>76229254</v>
      </c>
      <c r="D376">
        <v>2002747</v>
      </c>
      <c r="E376" t="s">
        <v>39</v>
      </c>
      <c r="F376" s="5">
        <v>300</v>
      </c>
    </row>
    <row r="377" spans="1:6">
      <c r="A377" t="s">
        <v>4009</v>
      </c>
      <c r="B377" t="s">
        <v>4010</v>
      </c>
      <c r="C377">
        <v>76229254</v>
      </c>
      <c r="D377">
        <v>2002747</v>
      </c>
      <c r="E377" t="s">
        <v>729</v>
      </c>
      <c r="F377" s="5">
        <v>200</v>
      </c>
    </row>
    <row r="378" spans="1:6" hidden="1">
      <c r="A378" t="s">
        <v>171</v>
      </c>
      <c r="B378" t="s">
        <v>172</v>
      </c>
      <c r="C378">
        <v>76229253</v>
      </c>
      <c r="D378">
        <v>2002721</v>
      </c>
      <c r="E378" t="s">
        <v>39</v>
      </c>
      <c r="F378" s="5">
        <v>300</v>
      </c>
    </row>
    <row r="379" spans="1:6">
      <c r="A379" t="s">
        <v>171</v>
      </c>
      <c r="B379" t="s">
        <v>172</v>
      </c>
      <c r="C379">
        <v>76229253</v>
      </c>
      <c r="D379">
        <v>2002721</v>
      </c>
      <c r="E379" t="s">
        <v>729</v>
      </c>
      <c r="F379" s="5">
        <v>200</v>
      </c>
    </row>
    <row r="380" spans="1:6" hidden="1">
      <c r="A380" t="s">
        <v>2168</v>
      </c>
      <c r="B380" t="s">
        <v>2169</v>
      </c>
      <c r="C380">
        <v>71054582</v>
      </c>
      <c r="D380">
        <v>10033</v>
      </c>
      <c r="E380" t="s">
        <v>39</v>
      </c>
      <c r="F380" s="5">
        <v>400</v>
      </c>
    </row>
    <row r="381" spans="1:6">
      <c r="A381" t="s">
        <v>2168</v>
      </c>
      <c r="B381" t="s">
        <v>2169</v>
      </c>
      <c r="C381">
        <v>71054582</v>
      </c>
      <c r="D381">
        <v>10033</v>
      </c>
      <c r="E381" t="s">
        <v>729</v>
      </c>
      <c r="F381" s="5">
        <v>200</v>
      </c>
    </row>
    <row r="382" spans="1:6" hidden="1">
      <c r="A382" t="s">
        <v>4080</v>
      </c>
      <c r="B382" t="s">
        <v>4081</v>
      </c>
      <c r="C382">
        <v>76230335</v>
      </c>
      <c r="D382">
        <v>9081</v>
      </c>
      <c r="E382" t="s">
        <v>39</v>
      </c>
      <c r="F382" s="5">
        <v>300</v>
      </c>
    </row>
    <row r="383" spans="1:6">
      <c r="A383" t="s">
        <v>4080</v>
      </c>
      <c r="B383" t="s">
        <v>4081</v>
      </c>
      <c r="C383">
        <v>76230335</v>
      </c>
      <c r="D383">
        <v>9081</v>
      </c>
      <c r="E383" t="s">
        <v>729</v>
      </c>
      <c r="F383" s="5">
        <v>200</v>
      </c>
    </row>
    <row r="384" spans="1:6" hidden="1">
      <c r="A384" t="s">
        <v>2272</v>
      </c>
      <c r="B384" t="s">
        <v>2273</v>
      </c>
      <c r="C384">
        <v>76003398</v>
      </c>
      <c r="D384">
        <v>10139</v>
      </c>
      <c r="E384" t="s">
        <v>39</v>
      </c>
      <c r="F384" s="5">
        <v>300</v>
      </c>
    </row>
    <row r="385" spans="1:6">
      <c r="A385" t="s">
        <v>2272</v>
      </c>
      <c r="B385" t="s">
        <v>2273</v>
      </c>
      <c r="C385">
        <v>76003398</v>
      </c>
      <c r="D385">
        <v>10139</v>
      </c>
      <c r="E385" t="s">
        <v>729</v>
      </c>
      <c r="F385" s="5">
        <v>200</v>
      </c>
    </row>
    <row r="386" spans="1:6" hidden="1">
      <c r="A386" t="s">
        <v>2484</v>
      </c>
      <c r="B386" t="s">
        <v>2485</v>
      </c>
      <c r="C386">
        <v>76040691</v>
      </c>
      <c r="D386">
        <v>375</v>
      </c>
      <c r="E386" t="s">
        <v>39</v>
      </c>
      <c r="F386" s="5">
        <v>300</v>
      </c>
    </row>
    <row r="387" spans="1:6">
      <c r="A387" t="s">
        <v>2484</v>
      </c>
      <c r="B387" t="s">
        <v>2485</v>
      </c>
      <c r="C387">
        <v>76040691</v>
      </c>
      <c r="D387">
        <v>375</v>
      </c>
      <c r="E387" t="s">
        <v>729</v>
      </c>
      <c r="F387" s="5">
        <v>200</v>
      </c>
    </row>
    <row r="388" spans="1:6" hidden="1">
      <c r="A388" t="s">
        <v>3661</v>
      </c>
      <c r="B388" t="s">
        <v>3662</v>
      </c>
      <c r="C388">
        <v>76216354</v>
      </c>
      <c r="D388">
        <v>8058</v>
      </c>
      <c r="E388" t="s">
        <v>39</v>
      </c>
      <c r="F388" s="5">
        <v>300</v>
      </c>
    </row>
    <row r="389" spans="1:6">
      <c r="A389" t="s">
        <v>3661</v>
      </c>
      <c r="B389" t="s">
        <v>3662</v>
      </c>
      <c r="C389">
        <v>76216354</v>
      </c>
      <c r="D389">
        <v>8058</v>
      </c>
      <c r="E389" t="s">
        <v>729</v>
      </c>
      <c r="F389" s="5">
        <v>200</v>
      </c>
    </row>
    <row r="390" spans="1:6" hidden="1">
      <c r="A390" t="s">
        <v>3663</v>
      </c>
      <c r="B390" t="s">
        <v>3664</v>
      </c>
      <c r="C390">
        <v>76216401</v>
      </c>
      <c r="D390">
        <v>8039</v>
      </c>
      <c r="E390" t="s">
        <v>39</v>
      </c>
      <c r="F390" s="5">
        <v>300</v>
      </c>
    </row>
    <row r="391" spans="1:6">
      <c r="A391" t="s">
        <v>3663</v>
      </c>
      <c r="B391" t="s">
        <v>3664</v>
      </c>
      <c r="C391">
        <v>76216401</v>
      </c>
      <c r="D391">
        <v>8039</v>
      </c>
      <c r="E391" t="s">
        <v>729</v>
      </c>
      <c r="F391" s="5">
        <v>200</v>
      </c>
    </row>
    <row r="392" spans="1:6" hidden="1">
      <c r="A392" t="s">
        <v>3849</v>
      </c>
      <c r="B392" t="s">
        <v>3850</v>
      </c>
      <c r="C392">
        <v>76223632</v>
      </c>
      <c r="D392">
        <v>2002874</v>
      </c>
      <c r="E392" t="s">
        <v>39</v>
      </c>
      <c r="F392" s="5">
        <v>300</v>
      </c>
    </row>
    <row r="393" spans="1:6">
      <c r="A393" t="s">
        <v>3849</v>
      </c>
      <c r="B393" t="s">
        <v>3850</v>
      </c>
      <c r="C393">
        <v>76223632</v>
      </c>
      <c r="D393">
        <v>2002874</v>
      </c>
      <c r="E393" t="s">
        <v>729</v>
      </c>
      <c r="F393" s="5">
        <v>200</v>
      </c>
    </row>
    <row r="394" spans="1:6" hidden="1">
      <c r="A394" t="s">
        <v>3981</v>
      </c>
      <c r="B394" t="s">
        <v>3982</v>
      </c>
      <c r="C394">
        <v>76228578</v>
      </c>
      <c r="D394">
        <v>2503179</v>
      </c>
      <c r="E394" t="s">
        <v>39</v>
      </c>
      <c r="F394" s="5">
        <v>300</v>
      </c>
    </row>
    <row r="395" spans="1:6">
      <c r="A395" t="s">
        <v>3981</v>
      </c>
      <c r="B395" t="s">
        <v>3982</v>
      </c>
      <c r="C395">
        <v>76228578</v>
      </c>
      <c r="D395">
        <v>2503179</v>
      </c>
      <c r="E395" t="s">
        <v>729</v>
      </c>
      <c r="F395" s="5">
        <v>200</v>
      </c>
    </row>
    <row r="396" spans="1:6" hidden="1">
      <c r="A396" t="s">
        <v>1787</v>
      </c>
      <c r="B396" t="s">
        <v>1788</v>
      </c>
      <c r="C396">
        <v>21004601</v>
      </c>
      <c r="D396">
        <v>2002830</v>
      </c>
      <c r="E396" t="s">
        <v>39</v>
      </c>
      <c r="F396" s="5">
        <v>300</v>
      </c>
    </row>
    <row r="397" spans="1:6">
      <c r="A397" t="s">
        <v>1787</v>
      </c>
      <c r="B397" t="s">
        <v>1788</v>
      </c>
      <c r="C397">
        <v>21004601</v>
      </c>
      <c r="D397">
        <v>2002830</v>
      </c>
      <c r="E397" t="s">
        <v>729</v>
      </c>
      <c r="F397" s="5">
        <v>200</v>
      </c>
    </row>
    <row r="398" spans="1:6" hidden="1">
      <c r="A398" t="s">
        <v>2542</v>
      </c>
      <c r="B398" t="s">
        <v>2543</v>
      </c>
      <c r="C398">
        <v>76045326</v>
      </c>
      <c r="D398">
        <v>2501781</v>
      </c>
      <c r="E398" t="s">
        <v>39</v>
      </c>
      <c r="F398" s="5">
        <v>300</v>
      </c>
    </row>
    <row r="399" spans="1:6">
      <c r="A399" t="s">
        <v>2542</v>
      </c>
      <c r="B399" t="s">
        <v>2543</v>
      </c>
      <c r="C399">
        <v>76045326</v>
      </c>
      <c r="D399">
        <v>2501781</v>
      </c>
      <c r="E399" t="s">
        <v>729</v>
      </c>
      <c r="F399" s="5">
        <v>200</v>
      </c>
    </row>
    <row r="400" spans="1:6" hidden="1">
      <c r="A400" t="s">
        <v>2713</v>
      </c>
      <c r="B400" t="s">
        <v>2714</v>
      </c>
      <c r="C400">
        <v>76067320</v>
      </c>
      <c r="D400">
        <v>2502813</v>
      </c>
      <c r="E400" t="s">
        <v>39</v>
      </c>
      <c r="F400" s="5">
        <v>300</v>
      </c>
    </row>
    <row r="401" spans="1:6">
      <c r="A401" t="s">
        <v>2713</v>
      </c>
      <c r="B401" t="s">
        <v>2714</v>
      </c>
      <c r="C401">
        <v>76067320</v>
      </c>
      <c r="D401">
        <v>2502813</v>
      </c>
      <c r="E401" t="s">
        <v>729</v>
      </c>
      <c r="F401" s="5">
        <v>200</v>
      </c>
    </row>
    <row r="402" spans="1:6" hidden="1">
      <c r="A402" t="s">
        <v>4599</v>
      </c>
      <c r="B402" t="s">
        <v>4600</v>
      </c>
      <c r="C402">
        <v>76256842</v>
      </c>
      <c r="D402">
        <v>3000713</v>
      </c>
      <c r="E402" t="s">
        <v>39</v>
      </c>
      <c r="F402" s="5">
        <v>300</v>
      </c>
    </row>
    <row r="403" spans="1:6">
      <c r="A403" t="s">
        <v>4599</v>
      </c>
      <c r="B403" t="s">
        <v>4600</v>
      </c>
      <c r="C403">
        <v>76256842</v>
      </c>
      <c r="D403">
        <v>3000713</v>
      </c>
      <c r="E403" t="s">
        <v>729</v>
      </c>
      <c r="F403" s="5">
        <v>200</v>
      </c>
    </row>
    <row r="404" spans="1:6" hidden="1">
      <c r="A404" t="s">
        <v>2370</v>
      </c>
      <c r="B404" t="s">
        <v>2371</v>
      </c>
      <c r="C404">
        <v>76026142</v>
      </c>
      <c r="D404">
        <v>1500152</v>
      </c>
      <c r="E404" t="s">
        <v>39</v>
      </c>
      <c r="F404" s="5">
        <v>300</v>
      </c>
    </row>
    <row r="405" spans="1:6">
      <c r="A405" t="s">
        <v>2370</v>
      </c>
      <c r="B405" t="s">
        <v>2371</v>
      </c>
      <c r="C405">
        <v>76026142</v>
      </c>
      <c r="D405">
        <v>1500152</v>
      </c>
      <c r="E405" t="s">
        <v>729</v>
      </c>
      <c r="F405" s="5">
        <v>200</v>
      </c>
    </row>
    <row r="406" spans="1:6" hidden="1">
      <c r="A406" t="s">
        <v>1717</v>
      </c>
      <c r="B406" t="s">
        <v>1718</v>
      </c>
      <c r="C406">
        <v>13436001</v>
      </c>
      <c r="D406">
        <v>3000586</v>
      </c>
      <c r="E406" t="s">
        <v>39</v>
      </c>
      <c r="F406" s="5">
        <v>400</v>
      </c>
    </row>
    <row r="407" spans="1:6">
      <c r="A407" t="s">
        <v>1717</v>
      </c>
      <c r="B407" t="s">
        <v>1718</v>
      </c>
      <c r="C407">
        <v>13436001</v>
      </c>
      <c r="D407">
        <v>3000586</v>
      </c>
      <c r="E407" t="s">
        <v>729</v>
      </c>
      <c r="F407" s="5">
        <v>200</v>
      </c>
    </row>
    <row r="408" spans="1:6" hidden="1">
      <c r="A408" t="s">
        <v>1543</v>
      </c>
      <c r="B408" t="s">
        <v>1544</v>
      </c>
      <c r="C408">
        <v>1275801</v>
      </c>
      <c r="D408">
        <v>2001574</v>
      </c>
      <c r="E408" t="s">
        <v>39</v>
      </c>
      <c r="F408" s="5">
        <v>300</v>
      </c>
    </row>
    <row r="409" spans="1:6">
      <c r="A409" t="s">
        <v>1543</v>
      </c>
      <c r="B409" t="s">
        <v>1544</v>
      </c>
      <c r="C409">
        <v>1275801</v>
      </c>
      <c r="D409">
        <v>2001574</v>
      </c>
      <c r="E409" t="s">
        <v>729</v>
      </c>
      <c r="F409" s="5">
        <v>200</v>
      </c>
    </row>
    <row r="410" spans="1:6" hidden="1">
      <c r="A410" t="s">
        <v>1809</v>
      </c>
      <c r="B410" t="s">
        <v>1810</v>
      </c>
      <c r="C410">
        <v>25134501</v>
      </c>
      <c r="D410">
        <v>2500219</v>
      </c>
      <c r="E410" t="s">
        <v>39</v>
      </c>
      <c r="F410" s="5">
        <v>400</v>
      </c>
    </row>
    <row r="411" spans="1:6">
      <c r="A411" t="s">
        <v>1809</v>
      </c>
      <c r="B411" t="s">
        <v>1810</v>
      </c>
      <c r="C411">
        <v>25134501</v>
      </c>
      <c r="D411">
        <v>2500219</v>
      </c>
      <c r="E411" t="s">
        <v>729</v>
      </c>
      <c r="F411" s="5">
        <v>200</v>
      </c>
    </row>
    <row r="412" spans="1:6" hidden="1">
      <c r="A412" t="s">
        <v>2196</v>
      </c>
      <c r="B412" t="s">
        <v>2197</v>
      </c>
      <c r="C412">
        <v>71058782</v>
      </c>
      <c r="D412">
        <v>496</v>
      </c>
      <c r="E412" t="s">
        <v>39</v>
      </c>
      <c r="F412" s="5">
        <v>450</v>
      </c>
    </row>
    <row r="413" spans="1:6">
      <c r="A413" t="s">
        <v>2196</v>
      </c>
      <c r="B413" t="s">
        <v>2197</v>
      </c>
      <c r="C413">
        <v>71058782</v>
      </c>
      <c r="D413">
        <v>496</v>
      </c>
      <c r="E413" t="s">
        <v>729</v>
      </c>
      <c r="F413" s="5">
        <v>200</v>
      </c>
    </row>
    <row r="414" spans="1:6" hidden="1">
      <c r="A414" t="s">
        <v>2494</v>
      </c>
      <c r="B414" t="s">
        <v>2495</v>
      </c>
      <c r="C414">
        <v>76041555</v>
      </c>
      <c r="D414">
        <v>498</v>
      </c>
      <c r="E414" t="s">
        <v>39</v>
      </c>
      <c r="F414" s="5">
        <v>300</v>
      </c>
    </row>
    <row r="415" spans="1:6">
      <c r="A415" t="s">
        <v>2494</v>
      </c>
      <c r="B415" t="s">
        <v>2495</v>
      </c>
      <c r="C415">
        <v>76041555</v>
      </c>
      <c r="D415">
        <v>498</v>
      </c>
      <c r="E415" t="s">
        <v>729</v>
      </c>
      <c r="F415" s="5">
        <v>200</v>
      </c>
    </row>
    <row r="416" spans="1:6" hidden="1">
      <c r="A416" t="s">
        <v>4264</v>
      </c>
      <c r="B416" t="s">
        <v>4265</v>
      </c>
      <c r="C416">
        <v>76236040</v>
      </c>
      <c r="D416">
        <v>2502864</v>
      </c>
      <c r="E416" t="s">
        <v>39</v>
      </c>
      <c r="F416" s="5">
        <v>300</v>
      </c>
    </row>
    <row r="417" spans="1:6">
      <c r="A417" t="s">
        <v>4264</v>
      </c>
      <c r="B417" t="s">
        <v>4265</v>
      </c>
      <c r="C417">
        <v>76236040</v>
      </c>
      <c r="D417">
        <v>2502864</v>
      </c>
      <c r="E417" t="s">
        <v>729</v>
      </c>
      <c r="F417" s="5">
        <v>200</v>
      </c>
    </row>
    <row r="418" spans="1:6" hidden="1">
      <c r="A418" t="s">
        <v>2504</v>
      </c>
      <c r="B418" t="s">
        <v>2505</v>
      </c>
      <c r="C418">
        <v>76042552</v>
      </c>
      <c r="D418">
        <v>2503570</v>
      </c>
      <c r="E418" t="s">
        <v>39</v>
      </c>
      <c r="F418" s="5">
        <v>300</v>
      </c>
    </row>
    <row r="419" spans="1:6">
      <c r="A419" t="s">
        <v>2504</v>
      </c>
      <c r="B419" t="s">
        <v>2505</v>
      </c>
      <c r="C419">
        <v>76042552</v>
      </c>
      <c r="D419">
        <v>2503570</v>
      </c>
      <c r="E419" t="s">
        <v>729</v>
      </c>
      <c r="F419" s="5">
        <v>200</v>
      </c>
    </row>
    <row r="420" spans="1:6" hidden="1">
      <c r="A420" t="s">
        <v>4158</v>
      </c>
      <c r="B420" t="s">
        <v>4159</v>
      </c>
      <c r="C420">
        <v>76233199</v>
      </c>
      <c r="D420">
        <v>3002934</v>
      </c>
      <c r="E420" t="s">
        <v>39</v>
      </c>
      <c r="F420" s="5">
        <v>300</v>
      </c>
    </row>
    <row r="421" spans="1:6">
      <c r="A421" t="s">
        <v>4158</v>
      </c>
      <c r="B421" t="s">
        <v>4159</v>
      </c>
      <c r="C421">
        <v>76233199</v>
      </c>
      <c r="D421">
        <v>3002934</v>
      </c>
      <c r="E421" t="s">
        <v>729</v>
      </c>
      <c r="F421" s="5">
        <v>200</v>
      </c>
    </row>
    <row r="422" spans="1:6" hidden="1">
      <c r="A422" t="s">
        <v>667</v>
      </c>
      <c r="B422" t="s">
        <v>668</v>
      </c>
      <c r="C422">
        <v>76233198</v>
      </c>
      <c r="D422">
        <v>3002958</v>
      </c>
      <c r="E422" t="s">
        <v>39</v>
      </c>
      <c r="F422" s="5">
        <v>300</v>
      </c>
    </row>
    <row r="423" spans="1:6">
      <c r="A423" t="s">
        <v>667</v>
      </c>
      <c r="B423" t="s">
        <v>668</v>
      </c>
      <c r="C423">
        <v>76233198</v>
      </c>
      <c r="D423">
        <v>3002958</v>
      </c>
      <c r="E423" t="s">
        <v>729</v>
      </c>
      <c r="F423" s="5">
        <v>200</v>
      </c>
    </row>
    <row r="424" spans="1:6" hidden="1">
      <c r="A424" t="s">
        <v>449</v>
      </c>
      <c r="B424" t="s">
        <v>450</v>
      </c>
      <c r="C424">
        <v>71061453</v>
      </c>
      <c r="D424">
        <v>3002947</v>
      </c>
      <c r="E424" t="s">
        <v>39</v>
      </c>
      <c r="F424" s="5">
        <v>300</v>
      </c>
    </row>
    <row r="425" spans="1:6">
      <c r="A425" t="s">
        <v>449</v>
      </c>
      <c r="B425" t="s">
        <v>450</v>
      </c>
      <c r="C425">
        <v>71061453</v>
      </c>
      <c r="D425">
        <v>3002947</v>
      </c>
      <c r="E425" t="s">
        <v>729</v>
      </c>
      <c r="F425" s="5">
        <v>200</v>
      </c>
    </row>
    <row r="426" spans="1:6" hidden="1">
      <c r="A426" t="s">
        <v>1865</v>
      </c>
      <c r="B426" t="s">
        <v>1866</v>
      </c>
      <c r="C426">
        <v>25300229</v>
      </c>
      <c r="D426">
        <v>3000630</v>
      </c>
      <c r="E426" t="s">
        <v>39</v>
      </c>
      <c r="F426" s="5">
        <v>300</v>
      </c>
    </row>
    <row r="427" spans="1:6">
      <c r="A427" t="s">
        <v>1865</v>
      </c>
      <c r="B427" t="s">
        <v>1866</v>
      </c>
      <c r="C427">
        <v>25300229</v>
      </c>
      <c r="D427">
        <v>3000630</v>
      </c>
      <c r="E427" t="s">
        <v>729</v>
      </c>
      <c r="F427" s="5">
        <v>200</v>
      </c>
    </row>
    <row r="428" spans="1:6" hidden="1">
      <c r="A428" t="s">
        <v>1901</v>
      </c>
      <c r="B428" t="s">
        <v>1902</v>
      </c>
      <c r="C428">
        <v>33114901</v>
      </c>
      <c r="D428">
        <v>2000621</v>
      </c>
      <c r="E428" t="s">
        <v>39</v>
      </c>
      <c r="F428" s="5">
        <v>300</v>
      </c>
    </row>
    <row r="429" spans="1:6">
      <c r="A429" t="s">
        <v>1901</v>
      </c>
      <c r="B429" t="s">
        <v>1902</v>
      </c>
      <c r="C429">
        <v>33114901</v>
      </c>
      <c r="D429">
        <v>2000621</v>
      </c>
      <c r="E429" t="s">
        <v>729</v>
      </c>
      <c r="F429" s="5">
        <v>200</v>
      </c>
    </row>
    <row r="430" spans="1:6" hidden="1">
      <c r="A430" t="s">
        <v>2404</v>
      </c>
      <c r="B430" t="s">
        <v>2405</v>
      </c>
      <c r="C430">
        <v>76031932</v>
      </c>
      <c r="D430">
        <v>2000624</v>
      </c>
      <c r="E430" t="s">
        <v>39</v>
      </c>
      <c r="F430" s="5">
        <v>300</v>
      </c>
    </row>
    <row r="431" spans="1:6">
      <c r="A431" t="s">
        <v>2404</v>
      </c>
      <c r="B431" t="s">
        <v>2405</v>
      </c>
      <c r="C431">
        <v>76031932</v>
      </c>
      <c r="D431">
        <v>2000624</v>
      </c>
      <c r="E431" t="s">
        <v>729</v>
      </c>
      <c r="F431" s="5">
        <v>200</v>
      </c>
    </row>
    <row r="432" spans="1:6" hidden="1">
      <c r="A432" t="s">
        <v>3647</v>
      </c>
      <c r="B432" t="s">
        <v>3648</v>
      </c>
      <c r="C432">
        <v>76215463</v>
      </c>
      <c r="D432">
        <v>2002135</v>
      </c>
      <c r="E432" t="s">
        <v>39</v>
      </c>
      <c r="F432" s="5">
        <v>300</v>
      </c>
    </row>
    <row r="433" spans="1:6">
      <c r="A433" t="s">
        <v>3647</v>
      </c>
      <c r="B433" t="s">
        <v>3648</v>
      </c>
      <c r="C433">
        <v>76215463</v>
      </c>
      <c r="D433">
        <v>2002135</v>
      </c>
      <c r="E433" t="s">
        <v>729</v>
      </c>
      <c r="F433" s="5">
        <v>200</v>
      </c>
    </row>
    <row r="434" spans="1:6" hidden="1">
      <c r="A434" t="s">
        <v>3377</v>
      </c>
      <c r="B434" t="s">
        <v>3378</v>
      </c>
      <c r="C434">
        <v>76203392</v>
      </c>
      <c r="D434">
        <v>2002055</v>
      </c>
      <c r="E434" t="s">
        <v>39</v>
      </c>
      <c r="F434" s="5">
        <v>300</v>
      </c>
    </row>
    <row r="435" spans="1:6">
      <c r="A435" t="s">
        <v>3377</v>
      </c>
      <c r="B435" t="s">
        <v>3378</v>
      </c>
      <c r="C435">
        <v>76203392</v>
      </c>
      <c r="D435">
        <v>2002055</v>
      </c>
      <c r="E435" t="s">
        <v>729</v>
      </c>
      <c r="F435" s="5">
        <v>200</v>
      </c>
    </row>
    <row r="436" spans="1:6" hidden="1">
      <c r="A436" t="s">
        <v>3299</v>
      </c>
      <c r="B436" t="s">
        <v>3300</v>
      </c>
      <c r="C436">
        <v>76194352</v>
      </c>
      <c r="D436">
        <v>2002082</v>
      </c>
      <c r="E436" t="s">
        <v>39</v>
      </c>
      <c r="F436" s="5">
        <v>300</v>
      </c>
    </row>
    <row r="437" spans="1:6">
      <c r="A437" t="s">
        <v>3299</v>
      </c>
      <c r="B437" t="s">
        <v>3300</v>
      </c>
      <c r="C437">
        <v>76194352</v>
      </c>
      <c r="D437">
        <v>2002082</v>
      </c>
      <c r="E437" t="s">
        <v>729</v>
      </c>
      <c r="F437" s="5">
        <v>200</v>
      </c>
    </row>
    <row r="438" spans="1:6" hidden="1">
      <c r="A438" t="s">
        <v>2368</v>
      </c>
      <c r="B438" t="s">
        <v>2369</v>
      </c>
      <c r="C438">
        <v>76025961</v>
      </c>
      <c r="D438">
        <v>2503337</v>
      </c>
      <c r="E438" t="s">
        <v>39</v>
      </c>
      <c r="F438" s="5">
        <v>300</v>
      </c>
    </row>
    <row r="439" spans="1:6">
      <c r="A439" t="s">
        <v>2368</v>
      </c>
      <c r="B439" t="s">
        <v>2369</v>
      </c>
      <c r="C439">
        <v>76025961</v>
      </c>
      <c r="D439">
        <v>2503337</v>
      </c>
      <c r="E439" t="s">
        <v>729</v>
      </c>
      <c r="F439" s="5">
        <v>200</v>
      </c>
    </row>
    <row r="440" spans="1:6" hidden="1">
      <c r="A440" t="s">
        <v>3329</v>
      </c>
      <c r="B440" t="s">
        <v>3330</v>
      </c>
      <c r="C440">
        <v>76199198</v>
      </c>
      <c r="D440">
        <v>2002996</v>
      </c>
      <c r="E440" t="s">
        <v>39</v>
      </c>
      <c r="F440" s="5">
        <v>300</v>
      </c>
    </row>
    <row r="441" spans="1:6">
      <c r="A441" t="s">
        <v>3329</v>
      </c>
      <c r="B441" t="s">
        <v>3330</v>
      </c>
      <c r="C441">
        <v>76199198</v>
      </c>
      <c r="D441">
        <v>2002996</v>
      </c>
      <c r="E441" t="s">
        <v>729</v>
      </c>
      <c r="F441" s="5">
        <v>200</v>
      </c>
    </row>
    <row r="442" spans="1:6" hidden="1">
      <c r="A442" t="s">
        <v>3685</v>
      </c>
      <c r="B442" t="s">
        <v>3686</v>
      </c>
      <c r="C442">
        <v>76217769</v>
      </c>
      <c r="D442">
        <v>2003007</v>
      </c>
      <c r="E442" t="s">
        <v>39</v>
      </c>
      <c r="F442" s="5">
        <v>300</v>
      </c>
    </row>
    <row r="443" spans="1:6">
      <c r="A443" t="s">
        <v>3685</v>
      </c>
      <c r="B443" t="s">
        <v>3686</v>
      </c>
      <c r="C443">
        <v>76217769</v>
      </c>
      <c r="D443">
        <v>2003007</v>
      </c>
      <c r="E443" t="s">
        <v>729</v>
      </c>
      <c r="F443" s="5">
        <v>200</v>
      </c>
    </row>
    <row r="444" spans="1:6" hidden="1">
      <c r="A444" t="s">
        <v>3335</v>
      </c>
      <c r="B444" t="s">
        <v>3336</v>
      </c>
      <c r="C444">
        <v>76200172</v>
      </c>
      <c r="D444">
        <v>2003002</v>
      </c>
      <c r="E444" t="s">
        <v>39</v>
      </c>
      <c r="F444" s="5">
        <v>300</v>
      </c>
    </row>
    <row r="445" spans="1:6">
      <c r="A445" t="s">
        <v>3335</v>
      </c>
      <c r="B445" t="s">
        <v>3336</v>
      </c>
      <c r="C445">
        <v>76200172</v>
      </c>
      <c r="D445">
        <v>2003002</v>
      </c>
      <c r="E445" t="s">
        <v>729</v>
      </c>
      <c r="F445" s="5">
        <v>200</v>
      </c>
    </row>
    <row r="446" spans="1:6" hidden="1">
      <c r="A446" t="s">
        <v>3835</v>
      </c>
      <c r="B446" t="s">
        <v>3836</v>
      </c>
      <c r="C446">
        <v>76223196</v>
      </c>
      <c r="D446">
        <v>2003004</v>
      </c>
      <c r="E446" t="s">
        <v>39</v>
      </c>
      <c r="F446" s="5">
        <v>300</v>
      </c>
    </row>
    <row r="447" spans="1:6">
      <c r="A447" t="s">
        <v>3835</v>
      </c>
      <c r="B447" t="s">
        <v>3836</v>
      </c>
      <c r="C447">
        <v>76223196</v>
      </c>
      <c r="D447">
        <v>2003004</v>
      </c>
      <c r="E447" t="s">
        <v>729</v>
      </c>
      <c r="F447" s="5">
        <v>200</v>
      </c>
    </row>
    <row r="448" spans="1:6" hidden="1">
      <c r="A448" t="s">
        <v>1849</v>
      </c>
      <c r="B448" t="s">
        <v>1850</v>
      </c>
      <c r="C448">
        <v>25298671</v>
      </c>
      <c r="D448">
        <v>2002999</v>
      </c>
      <c r="E448" t="s">
        <v>39</v>
      </c>
      <c r="F448" s="5">
        <v>300</v>
      </c>
    </row>
    <row r="449" spans="1:6">
      <c r="A449" t="s">
        <v>1849</v>
      </c>
      <c r="B449" t="s">
        <v>1850</v>
      </c>
      <c r="C449">
        <v>25298671</v>
      </c>
      <c r="D449">
        <v>2002999</v>
      </c>
      <c r="E449" t="s">
        <v>729</v>
      </c>
      <c r="F449" s="5">
        <v>200</v>
      </c>
    </row>
    <row r="450" spans="1:6" hidden="1">
      <c r="A450" t="s">
        <v>2911</v>
      </c>
      <c r="B450" t="s">
        <v>2912</v>
      </c>
      <c r="C450">
        <v>76145953</v>
      </c>
      <c r="D450">
        <v>2003010</v>
      </c>
      <c r="E450" t="s">
        <v>39</v>
      </c>
      <c r="F450" s="5">
        <v>300</v>
      </c>
    </row>
    <row r="451" spans="1:6">
      <c r="A451" t="s">
        <v>2911</v>
      </c>
      <c r="B451" t="s">
        <v>2912</v>
      </c>
      <c r="C451">
        <v>76145953</v>
      </c>
      <c r="D451">
        <v>2003010</v>
      </c>
      <c r="E451" t="s">
        <v>729</v>
      </c>
      <c r="F451" s="5">
        <v>200</v>
      </c>
    </row>
    <row r="452" spans="1:6" hidden="1">
      <c r="A452" t="s">
        <v>4074</v>
      </c>
      <c r="B452" t="s">
        <v>4075</v>
      </c>
      <c r="C452">
        <v>76230205</v>
      </c>
      <c r="D452">
        <v>2002032</v>
      </c>
      <c r="E452" t="s">
        <v>39</v>
      </c>
      <c r="F452" s="5">
        <v>300</v>
      </c>
    </row>
    <row r="453" spans="1:6">
      <c r="A453" t="s">
        <v>4074</v>
      </c>
      <c r="B453" t="s">
        <v>4075</v>
      </c>
      <c r="C453">
        <v>76230205</v>
      </c>
      <c r="D453">
        <v>2002032</v>
      </c>
      <c r="E453" t="s">
        <v>729</v>
      </c>
      <c r="F453" s="5">
        <v>200</v>
      </c>
    </row>
    <row r="454" spans="1:6" hidden="1">
      <c r="A454" t="s">
        <v>3167</v>
      </c>
      <c r="B454" t="s">
        <v>3168</v>
      </c>
      <c r="C454">
        <v>76177532</v>
      </c>
      <c r="D454">
        <v>2502696</v>
      </c>
      <c r="E454" t="s">
        <v>39</v>
      </c>
      <c r="F454" s="5">
        <v>300</v>
      </c>
    </row>
    <row r="455" spans="1:6">
      <c r="A455" t="s">
        <v>3167</v>
      </c>
      <c r="B455" t="s">
        <v>3168</v>
      </c>
      <c r="C455">
        <v>76177532</v>
      </c>
      <c r="D455">
        <v>2502696</v>
      </c>
      <c r="E455" t="s">
        <v>729</v>
      </c>
      <c r="F455" s="5">
        <v>200</v>
      </c>
    </row>
    <row r="456" spans="1:6" hidden="1">
      <c r="A456" t="s">
        <v>3851</v>
      </c>
      <c r="B456" t="s">
        <v>3852</v>
      </c>
      <c r="C456">
        <v>76223775</v>
      </c>
      <c r="D456">
        <v>2502316</v>
      </c>
      <c r="E456" t="s">
        <v>39</v>
      </c>
      <c r="F456" s="5">
        <v>300</v>
      </c>
    </row>
    <row r="457" spans="1:6">
      <c r="A457" t="s">
        <v>3851</v>
      </c>
      <c r="B457" t="s">
        <v>3852</v>
      </c>
      <c r="C457">
        <v>76223775</v>
      </c>
      <c r="D457">
        <v>2502316</v>
      </c>
      <c r="E457" t="s">
        <v>729</v>
      </c>
      <c r="F457" s="5">
        <v>200</v>
      </c>
    </row>
    <row r="458" spans="1:6" hidden="1">
      <c r="A458" t="s">
        <v>3305</v>
      </c>
      <c r="B458" t="s">
        <v>3306</v>
      </c>
      <c r="C458">
        <v>76195162</v>
      </c>
      <c r="D458">
        <v>2001815</v>
      </c>
      <c r="E458" t="s">
        <v>39</v>
      </c>
      <c r="F458" s="5">
        <v>300</v>
      </c>
    </row>
    <row r="459" spans="1:6">
      <c r="A459" t="s">
        <v>3305</v>
      </c>
      <c r="B459" t="s">
        <v>3306</v>
      </c>
      <c r="C459">
        <v>76195162</v>
      </c>
      <c r="D459">
        <v>2001815</v>
      </c>
      <c r="E459" t="s">
        <v>729</v>
      </c>
      <c r="F459" s="5">
        <v>200</v>
      </c>
    </row>
    <row r="460" spans="1:6" hidden="1">
      <c r="A460" t="s">
        <v>3019</v>
      </c>
      <c r="B460" t="s">
        <v>3020</v>
      </c>
      <c r="C460">
        <v>76159263</v>
      </c>
      <c r="D460">
        <v>2501176</v>
      </c>
      <c r="E460" t="s">
        <v>39</v>
      </c>
      <c r="F460" s="5">
        <v>300</v>
      </c>
    </row>
    <row r="461" spans="1:6">
      <c r="A461" t="s">
        <v>3019</v>
      </c>
      <c r="B461" t="s">
        <v>3020</v>
      </c>
      <c r="C461">
        <v>76159263</v>
      </c>
      <c r="D461">
        <v>2501176</v>
      </c>
      <c r="E461" t="s">
        <v>729</v>
      </c>
      <c r="F461" s="5">
        <v>200</v>
      </c>
    </row>
    <row r="462" spans="1:6" hidden="1">
      <c r="A462" t="s">
        <v>617</v>
      </c>
      <c r="B462" t="s">
        <v>618</v>
      </c>
      <c r="C462">
        <v>76219675</v>
      </c>
      <c r="D462">
        <v>210272</v>
      </c>
      <c r="E462" t="s">
        <v>39</v>
      </c>
      <c r="F462" s="5">
        <v>400</v>
      </c>
    </row>
    <row r="463" spans="1:6">
      <c r="A463" t="s">
        <v>617</v>
      </c>
      <c r="B463" t="s">
        <v>618</v>
      </c>
      <c r="C463">
        <v>76219675</v>
      </c>
      <c r="D463">
        <v>210272</v>
      </c>
      <c r="E463" t="s">
        <v>729</v>
      </c>
      <c r="F463" s="5">
        <v>200</v>
      </c>
    </row>
    <row r="464" spans="1:6" hidden="1">
      <c r="A464" t="s">
        <v>4533</v>
      </c>
      <c r="B464" t="s">
        <v>4534</v>
      </c>
      <c r="C464">
        <v>76253419</v>
      </c>
      <c r="D464">
        <v>3001957</v>
      </c>
      <c r="E464" t="s">
        <v>39</v>
      </c>
      <c r="F464" s="5">
        <v>400</v>
      </c>
    </row>
    <row r="465" spans="1:6">
      <c r="A465" t="s">
        <v>4533</v>
      </c>
      <c r="B465" t="s">
        <v>4534</v>
      </c>
      <c r="C465">
        <v>76253419</v>
      </c>
      <c r="D465">
        <v>3001957</v>
      </c>
      <c r="E465" t="s">
        <v>729</v>
      </c>
      <c r="F465" s="5">
        <v>200</v>
      </c>
    </row>
    <row r="466" spans="1:6" hidden="1">
      <c r="A466" t="s">
        <v>3185</v>
      </c>
      <c r="B466" t="s">
        <v>3186</v>
      </c>
      <c r="C466">
        <v>76179355</v>
      </c>
      <c r="D466">
        <v>3000151</v>
      </c>
      <c r="E466" t="s">
        <v>39</v>
      </c>
      <c r="F466" s="5">
        <v>300</v>
      </c>
    </row>
    <row r="467" spans="1:6">
      <c r="A467" t="s">
        <v>3185</v>
      </c>
      <c r="B467" t="s">
        <v>3186</v>
      </c>
      <c r="C467">
        <v>76179355</v>
      </c>
      <c r="D467">
        <v>3000151</v>
      </c>
      <c r="E467" t="s">
        <v>729</v>
      </c>
      <c r="F467" s="5">
        <v>200</v>
      </c>
    </row>
    <row r="468" spans="1:6" hidden="1">
      <c r="A468" t="s">
        <v>2420</v>
      </c>
      <c r="B468" t="s">
        <v>2421</v>
      </c>
      <c r="C468">
        <v>76034150</v>
      </c>
      <c r="D468">
        <v>3000181</v>
      </c>
      <c r="E468" t="s">
        <v>39</v>
      </c>
      <c r="F468" s="5">
        <v>300</v>
      </c>
    </row>
    <row r="469" spans="1:6">
      <c r="A469" t="s">
        <v>2420</v>
      </c>
      <c r="B469" t="s">
        <v>2421</v>
      </c>
      <c r="C469">
        <v>76034150</v>
      </c>
      <c r="D469">
        <v>3000181</v>
      </c>
      <c r="E469" t="s">
        <v>729</v>
      </c>
      <c r="F469" s="5">
        <v>200</v>
      </c>
    </row>
    <row r="470" spans="1:6" hidden="1">
      <c r="A470" t="s">
        <v>3217</v>
      </c>
      <c r="B470" t="s">
        <v>3218</v>
      </c>
      <c r="C470">
        <v>76184910</v>
      </c>
      <c r="D470">
        <v>2501204</v>
      </c>
      <c r="E470" t="s">
        <v>39</v>
      </c>
      <c r="F470" s="5">
        <v>300</v>
      </c>
    </row>
    <row r="471" spans="1:6">
      <c r="A471" t="s">
        <v>3217</v>
      </c>
      <c r="B471" t="s">
        <v>3218</v>
      </c>
      <c r="C471">
        <v>76184910</v>
      </c>
      <c r="D471">
        <v>2501204</v>
      </c>
      <c r="E471" t="s">
        <v>729</v>
      </c>
      <c r="F471" s="5">
        <v>200</v>
      </c>
    </row>
    <row r="472" spans="1:6" hidden="1">
      <c r="A472" t="s">
        <v>2464</v>
      </c>
      <c r="B472" t="s">
        <v>2465</v>
      </c>
      <c r="C472">
        <v>76038770</v>
      </c>
      <c r="D472">
        <v>0</v>
      </c>
      <c r="E472" t="s">
        <v>39</v>
      </c>
      <c r="F472" s="5">
        <v>400</v>
      </c>
    </row>
    <row r="473" spans="1:6">
      <c r="A473" t="s">
        <v>2464</v>
      </c>
      <c r="B473" t="s">
        <v>2465</v>
      </c>
      <c r="C473">
        <v>76038770</v>
      </c>
      <c r="D473">
        <v>0</v>
      </c>
      <c r="E473" t="s">
        <v>729</v>
      </c>
      <c r="F473" s="5">
        <v>200</v>
      </c>
    </row>
    <row r="474" spans="1:6" hidden="1">
      <c r="A474" t="s">
        <v>3609</v>
      </c>
      <c r="B474" t="s">
        <v>3610</v>
      </c>
      <c r="C474">
        <v>76213491</v>
      </c>
      <c r="D474">
        <v>0</v>
      </c>
      <c r="E474" t="s">
        <v>39</v>
      </c>
      <c r="F474" s="5">
        <v>450</v>
      </c>
    </row>
    <row r="475" spans="1:6">
      <c r="A475" t="s">
        <v>3609</v>
      </c>
      <c r="B475" t="s">
        <v>3610</v>
      </c>
      <c r="C475">
        <v>76213491</v>
      </c>
      <c r="D475">
        <v>0</v>
      </c>
      <c r="E475" t="s">
        <v>729</v>
      </c>
      <c r="F475" s="5">
        <v>200</v>
      </c>
    </row>
    <row r="476" spans="1:6" hidden="1">
      <c r="A476" t="s">
        <v>3643</v>
      </c>
      <c r="B476" t="s">
        <v>3644</v>
      </c>
      <c r="C476">
        <v>76215157</v>
      </c>
      <c r="D476">
        <v>2501429</v>
      </c>
      <c r="E476" t="s">
        <v>39</v>
      </c>
      <c r="F476" s="5">
        <v>300</v>
      </c>
    </row>
    <row r="477" spans="1:6">
      <c r="A477" t="s">
        <v>3643</v>
      </c>
      <c r="B477" t="s">
        <v>3644</v>
      </c>
      <c r="C477">
        <v>76215157</v>
      </c>
      <c r="D477">
        <v>2501429</v>
      </c>
      <c r="E477" t="s">
        <v>729</v>
      </c>
      <c r="F477" s="5">
        <v>200</v>
      </c>
    </row>
    <row r="478" spans="1:6" hidden="1">
      <c r="A478" t="s">
        <v>2092</v>
      </c>
      <c r="B478" t="s">
        <v>2093</v>
      </c>
      <c r="C478">
        <v>71046733</v>
      </c>
      <c r="D478">
        <v>2501588</v>
      </c>
      <c r="E478" t="s">
        <v>39</v>
      </c>
      <c r="F478" s="5">
        <v>300</v>
      </c>
    </row>
    <row r="479" spans="1:6">
      <c r="A479" t="s">
        <v>2092</v>
      </c>
      <c r="B479" t="s">
        <v>2093</v>
      </c>
      <c r="C479">
        <v>71046733</v>
      </c>
      <c r="D479">
        <v>2501588</v>
      </c>
      <c r="E479" t="s">
        <v>729</v>
      </c>
      <c r="F479" s="5">
        <v>200</v>
      </c>
    </row>
    <row r="480" spans="1:6" hidden="1">
      <c r="A480" t="s">
        <v>3737</v>
      </c>
      <c r="B480" t="s">
        <v>3738</v>
      </c>
      <c r="C480">
        <v>76219475</v>
      </c>
      <c r="D480">
        <v>2501785</v>
      </c>
      <c r="E480" t="s">
        <v>39</v>
      </c>
      <c r="F480" s="5">
        <v>300</v>
      </c>
    </row>
    <row r="481" spans="1:6">
      <c r="A481" t="s">
        <v>3737</v>
      </c>
      <c r="B481" t="s">
        <v>3738</v>
      </c>
      <c r="C481">
        <v>76219475</v>
      </c>
      <c r="D481">
        <v>2501785</v>
      </c>
      <c r="E481" t="s">
        <v>729</v>
      </c>
      <c r="F481" s="5">
        <v>200</v>
      </c>
    </row>
    <row r="482" spans="1:6" hidden="1">
      <c r="A482" t="s">
        <v>2773</v>
      </c>
      <c r="B482" t="s">
        <v>2774</v>
      </c>
      <c r="C482">
        <v>76074595</v>
      </c>
      <c r="D482">
        <v>2501581</v>
      </c>
      <c r="E482" t="s">
        <v>39</v>
      </c>
      <c r="F482" s="5">
        <v>300</v>
      </c>
    </row>
    <row r="483" spans="1:6">
      <c r="A483" t="s">
        <v>2773</v>
      </c>
      <c r="B483" t="s">
        <v>2774</v>
      </c>
      <c r="C483">
        <v>76074595</v>
      </c>
      <c r="D483">
        <v>2501581</v>
      </c>
      <c r="E483" t="s">
        <v>729</v>
      </c>
      <c r="F483" s="5">
        <v>200</v>
      </c>
    </row>
    <row r="484" spans="1:6" hidden="1">
      <c r="A484" t="s">
        <v>3375</v>
      </c>
      <c r="B484" t="s">
        <v>3376</v>
      </c>
      <c r="C484">
        <v>76203379</v>
      </c>
      <c r="D484">
        <v>2002876</v>
      </c>
      <c r="E484" t="s">
        <v>39</v>
      </c>
      <c r="F484" s="5">
        <v>400</v>
      </c>
    </row>
    <row r="485" spans="1:6">
      <c r="A485" t="s">
        <v>3375</v>
      </c>
      <c r="B485" t="s">
        <v>3376</v>
      </c>
      <c r="C485">
        <v>76203379</v>
      </c>
      <c r="D485">
        <v>2002876</v>
      </c>
      <c r="E485" t="s">
        <v>729</v>
      </c>
      <c r="F485" s="5">
        <v>200</v>
      </c>
    </row>
    <row r="486" spans="1:6" hidden="1">
      <c r="A486" t="s">
        <v>4541</v>
      </c>
      <c r="B486" t="s">
        <v>4542</v>
      </c>
      <c r="C486">
        <v>76253973</v>
      </c>
      <c r="D486">
        <v>2000800</v>
      </c>
      <c r="E486" t="s">
        <v>39</v>
      </c>
      <c r="F486" s="5">
        <v>300</v>
      </c>
    </row>
    <row r="487" spans="1:6">
      <c r="A487" t="s">
        <v>4541</v>
      </c>
      <c r="B487" t="s">
        <v>4542</v>
      </c>
      <c r="C487">
        <v>76253973</v>
      </c>
      <c r="D487">
        <v>2000800</v>
      </c>
      <c r="E487" t="s">
        <v>729</v>
      </c>
      <c r="F487" s="5">
        <v>200</v>
      </c>
    </row>
    <row r="488" spans="1:6" hidden="1">
      <c r="A488" t="s">
        <v>1617</v>
      </c>
      <c r="B488" t="s">
        <v>1618</v>
      </c>
      <c r="C488">
        <v>5700077</v>
      </c>
      <c r="D488">
        <v>2500687</v>
      </c>
      <c r="E488" t="s">
        <v>39</v>
      </c>
      <c r="F488" s="5">
        <v>300</v>
      </c>
    </row>
    <row r="489" spans="1:6">
      <c r="A489" t="s">
        <v>1617</v>
      </c>
      <c r="B489" t="s">
        <v>1618</v>
      </c>
      <c r="C489">
        <v>5700077</v>
      </c>
      <c r="D489">
        <v>2500687</v>
      </c>
      <c r="E489" t="s">
        <v>729</v>
      </c>
      <c r="F489" s="5">
        <v>200</v>
      </c>
    </row>
    <row r="490" spans="1:6" hidden="1">
      <c r="A490" t="s">
        <v>69</v>
      </c>
      <c r="B490" t="s">
        <v>70</v>
      </c>
      <c r="C490">
        <v>76018447</v>
      </c>
      <c r="D490">
        <v>2501591</v>
      </c>
      <c r="E490" t="s">
        <v>39</v>
      </c>
      <c r="F490" s="5">
        <v>300</v>
      </c>
    </row>
    <row r="491" spans="1:6">
      <c r="A491" t="s">
        <v>69</v>
      </c>
      <c r="B491" t="s">
        <v>70</v>
      </c>
      <c r="C491">
        <v>76018447</v>
      </c>
      <c r="D491">
        <v>2501591</v>
      </c>
      <c r="E491" t="s">
        <v>729</v>
      </c>
      <c r="F491" s="5">
        <v>200</v>
      </c>
    </row>
    <row r="492" spans="1:6" hidden="1">
      <c r="A492" t="s">
        <v>129</v>
      </c>
      <c r="B492" t="s">
        <v>130</v>
      </c>
      <c r="C492">
        <v>76217036</v>
      </c>
      <c r="D492">
        <v>2501508</v>
      </c>
      <c r="E492" t="s">
        <v>39</v>
      </c>
      <c r="F492" s="5">
        <v>300</v>
      </c>
    </row>
    <row r="493" spans="1:6">
      <c r="A493" t="s">
        <v>129</v>
      </c>
      <c r="B493" t="s">
        <v>130</v>
      </c>
      <c r="C493">
        <v>76217036</v>
      </c>
      <c r="D493">
        <v>2501508</v>
      </c>
      <c r="E493" t="s">
        <v>729</v>
      </c>
      <c r="F493" s="5">
        <v>200</v>
      </c>
    </row>
    <row r="494" spans="1:6" hidden="1">
      <c r="A494" t="s">
        <v>1633</v>
      </c>
      <c r="B494" t="s">
        <v>1634</v>
      </c>
      <c r="C494">
        <v>6600066</v>
      </c>
      <c r="D494">
        <v>325</v>
      </c>
      <c r="E494" t="s">
        <v>39</v>
      </c>
      <c r="F494" s="5">
        <v>450</v>
      </c>
    </row>
    <row r="495" spans="1:6">
      <c r="A495" t="s">
        <v>1633</v>
      </c>
      <c r="B495" t="s">
        <v>1634</v>
      </c>
      <c r="C495">
        <v>6600066</v>
      </c>
      <c r="D495">
        <v>325</v>
      </c>
      <c r="E495" t="s">
        <v>729</v>
      </c>
      <c r="F495" s="5">
        <v>200</v>
      </c>
    </row>
    <row r="496" spans="1:6" hidden="1">
      <c r="A496" t="s">
        <v>1917</v>
      </c>
      <c r="B496" t="s">
        <v>1918</v>
      </c>
      <c r="C496">
        <v>37028301</v>
      </c>
      <c r="D496">
        <v>2000635</v>
      </c>
      <c r="E496" t="s">
        <v>39</v>
      </c>
      <c r="F496" s="5">
        <v>400</v>
      </c>
    </row>
    <row r="497" spans="1:6">
      <c r="A497" t="s">
        <v>1917</v>
      </c>
      <c r="B497" t="s">
        <v>1918</v>
      </c>
      <c r="C497">
        <v>37028301</v>
      </c>
      <c r="D497">
        <v>2000635</v>
      </c>
      <c r="E497" t="s">
        <v>729</v>
      </c>
      <c r="F497" s="5">
        <v>200</v>
      </c>
    </row>
    <row r="498" spans="1:6" hidden="1">
      <c r="A498" t="s">
        <v>1919</v>
      </c>
      <c r="B498" t="s">
        <v>1920</v>
      </c>
      <c r="C498">
        <v>37028301</v>
      </c>
      <c r="D498">
        <v>2000635</v>
      </c>
      <c r="E498" t="s">
        <v>39</v>
      </c>
      <c r="F498" s="5">
        <v>400</v>
      </c>
    </row>
    <row r="499" spans="1:6">
      <c r="A499" t="s">
        <v>1919</v>
      </c>
      <c r="B499" t="s">
        <v>1920</v>
      </c>
      <c r="C499">
        <v>37028301</v>
      </c>
      <c r="D499">
        <v>2000635</v>
      </c>
      <c r="E499" t="s">
        <v>729</v>
      </c>
      <c r="F499" s="5">
        <v>200</v>
      </c>
    </row>
    <row r="500" spans="1:6" hidden="1">
      <c r="A500" t="s">
        <v>4174</v>
      </c>
      <c r="B500" t="s">
        <v>4175</v>
      </c>
      <c r="C500">
        <v>76233592</v>
      </c>
      <c r="D500">
        <v>3000122</v>
      </c>
      <c r="E500" t="s">
        <v>39</v>
      </c>
      <c r="F500" s="5">
        <v>300</v>
      </c>
    </row>
    <row r="501" spans="1:6">
      <c r="A501" t="s">
        <v>4174</v>
      </c>
      <c r="B501" t="s">
        <v>4175</v>
      </c>
      <c r="C501">
        <v>76233592</v>
      </c>
      <c r="D501">
        <v>3000122</v>
      </c>
      <c r="E501" t="s">
        <v>729</v>
      </c>
      <c r="F501" s="5">
        <v>200</v>
      </c>
    </row>
    <row r="502" spans="1:6" hidden="1">
      <c r="A502" t="s">
        <v>455</v>
      </c>
      <c r="B502" t="s">
        <v>456</v>
      </c>
      <c r="C502">
        <v>71064158</v>
      </c>
      <c r="D502">
        <v>2501853</v>
      </c>
      <c r="E502" t="s">
        <v>39</v>
      </c>
      <c r="F502" s="5">
        <v>300</v>
      </c>
    </row>
    <row r="503" spans="1:6">
      <c r="A503" t="s">
        <v>455</v>
      </c>
      <c r="B503" t="s">
        <v>456</v>
      </c>
      <c r="C503">
        <v>71064158</v>
      </c>
      <c r="D503">
        <v>2501853</v>
      </c>
      <c r="E503" t="s">
        <v>729</v>
      </c>
      <c r="F503" s="5">
        <v>200</v>
      </c>
    </row>
    <row r="504" spans="1:6" hidden="1">
      <c r="A504" t="s">
        <v>4511</v>
      </c>
      <c r="B504" t="s">
        <v>4512</v>
      </c>
      <c r="C504">
        <v>76252718</v>
      </c>
      <c r="D504">
        <v>3000696</v>
      </c>
      <c r="E504" t="s">
        <v>39</v>
      </c>
      <c r="F504" s="5">
        <v>300</v>
      </c>
    </row>
    <row r="505" spans="1:6">
      <c r="A505" t="s">
        <v>4511</v>
      </c>
      <c r="B505" t="s">
        <v>4512</v>
      </c>
      <c r="C505">
        <v>76252718</v>
      </c>
      <c r="D505">
        <v>3000696</v>
      </c>
      <c r="E505" t="s">
        <v>729</v>
      </c>
      <c r="F505" s="5">
        <v>200</v>
      </c>
    </row>
    <row r="506" spans="1:6" hidden="1">
      <c r="A506" t="s">
        <v>4172</v>
      </c>
      <c r="B506" t="s">
        <v>4173</v>
      </c>
      <c r="C506">
        <v>76233585</v>
      </c>
      <c r="D506">
        <v>3000123</v>
      </c>
      <c r="E506" t="s">
        <v>39</v>
      </c>
      <c r="F506" s="5">
        <v>300</v>
      </c>
    </row>
    <row r="507" spans="1:6">
      <c r="A507" t="s">
        <v>4172</v>
      </c>
      <c r="B507" t="s">
        <v>4173</v>
      </c>
      <c r="C507">
        <v>76233585</v>
      </c>
      <c r="D507">
        <v>3000123</v>
      </c>
      <c r="E507" t="s">
        <v>729</v>
      </c>
      <c r="F507" s="5">
        <v>200</v>
      </c>
    </row>
    <row r="508" spans="1:6" hidden="1">
      <c r="A508" t="s">
        <v>4583</v>
      </c>
      <c r="B508" t="s">
        <v>4584</v>
      </c>
      <c r="C508">
        <v>76256315</v>
      </c>
      <c r="D508">
        <v>3001972</v>
      </c>
      <c r="E508" t="s">
        <v>39</v>
      </c>
      <c r="F508" s="5">
        <v>300</v>
      </c>
    </row>
    <row r="509" spans="1:6">
      <c r="A509" t="s">
        <v>4583</v>
      </c>
      <c r="B509" t="s">
        <v>4584</v>
      </c>
      <c r="C509">
        <v>76256315</v>
      </c>
      <c r="D509">
        <v>3001972</v>
      </c>
      <c r="E509" t="s">
        <v>729</v>
      </c>
      <c r="F509" s="5">
        <v>200</v>
      </c>
    </row>
    <row r="510" spans="1:6" hidden="1">
      <c r="A510" t="s">
        <v>614</v>
      </c>
      <c r="B510" t="s">
        <v>615</v>
      </c>
      <c r="C510">
        <v>76218409</v>
      </c>
      <c r="D510">
        <v>2501971</v>
      </c>
      <c r="E510" t="s">
        <v>39</v>
      </c>
      <c r="F510" s="5">
        <v>300</v>
      </c>
    </row>
    <row r="511" spans="1:6">
      <c r="A511" t="s">
        <v>614</v>
      </c>
      <c r="B511" t="s">
        <v>615</v>
      </c>
      <c r="C511">
        <v>76218409</v>
      </c>
      <c r="D511">
        <v>2501971</v>
      </c>
      <c r="E511" t="s">
        <v>729</v>
      </c>
      <c r="F511" s="5">
        <v>200</v>
      </c>
    </row>
    <row r="512" spans="1:6" hidden="1">
      <c r="A512" t="s">
        <v>652</v>
      </c>
      <c r="B512" t="s">
        <v>653</v>
      </c>
      <c r="C512">
        <v>76229318</v>
      </c>
      <c r="D512">
        <v>2502328</v>
      </c>
      <c r="E512" t="s">
        <v>39</v>
      </c>
      <c r="F512" s="5">
        <v>300</v>
      </c>
    </row>
    <row r="513" spans="1:6">
      <c r="A513" t="s">
        <v>652</v>
      </c>
      <c r="B513" t="s">
        <v>653</v>
      </c>
      <c r="C513">
        <v>76229318</v>
      </c>
      <c r="D513">
        <v>2502328</v>
      </c>
      <c r="E513" t="s">
        <v>729</v>
      </c>
      <c r="F513" s="5">
        <v>200</v>
      </c>
    </row>
    <row r="514" spans="1:6" hidden="1">
      <c r="A514" t="s">
        <v>2254</v>
      </c>
      <c r="B514" t="s">
        <v>2255</v>
      </c>
      <c r="C514">
        <v>71065163</v>
      </c>
      <c r="D514">
        <v>2501060</v>
      </c>
      <c r="E514" t="s">
        <v>39</v>
      </c>
      <c r="F514" s="5">
        <v>400</v>
      </c>
    </row>
    <row r="515" spans="1:6">
      <c r="A515" t="s">
        <v>2254</v>
      </c>
      <c r="B515" t="s">
        <v>2255</v>
      </c>
      <c r="C515">
        <v>71065163</v>
      </c>
      <c r="D515">
        <v>2501060</v>
      </c>
      <c r="E515" t="s">
        <v>729</v>
      </c>
      <c r="F515" s="5">
        <v>200</v>
      </c>
    </row>
    <row r="516" spans="1:6" hidden="1">
      <c r="A516" t="s">
        <v>2548</v>
      </c>
      <c r="B516" t="s">
        <v>2549</v>
      </c>
      <c r="C516">
        <v>76050375</v>
      </c>
      <c r="D516">
        <v>2503372</v>
      </c>
      <c r="E516" t="s">
        <v>39</v>
      </c>
      <c r="F516" s="5">
        <v>300</v>
      </c>
    </row>
    <row r="517" spans="1:6">
      <c r="A517" t="s">
        <v>2548</v>
      </c>
      <c r="B517" t="s">
        <v>2549</v>
      </c>
      <c r="C517">
        <v>76050375</v>
      </c>
      <c r="D517">
        <v>2503372</v>
      </c>
      <c r="E517" t="s">
        <v>729</v>
      </c>
      <c r="F517" s="5">
        <v>200</v>
      </c>
    </row>
    <row r="518" spans="1:6" hidden="1">
      <c r="A518" t="s">
        <v>3265</v>
      </c>
      <c r="B518" t="s">
        <v>3266</v>
      </c>
      <c r="C518">
        <v>76190156</v>
      </c>
      <c r="D518">
        <v>2503371</v>
      </c>
      <c r="E518" t="s">
        <v>39</v>
      </c>
      <c r="F518" s="5">
        <v>300</v>
      </c>
    </row>
    <row r="519" spans="1:6">
      <c r="A519" t="s">
        <v>3265</v>
      </c>
      <c r="B519" t="s">
        <v>3266</v>
      </c>
      <c r="C519">
        <v>76190156</v>
      </c>
      <c r="D519">
        <v>2503371</v>
      </c>
      <c r="E519" t="s">
        <v>729</v>
      </c>
      <c r="F519" s="5">
        <v>200</v>
      </c>
    </row>
    <row r="520" spans="1:6" hidden="1">
      <c r="A520" t="s">
        <v>2550</v>
      </c>
      <c r="B520" t="s">
        <v>2551</v>
      </c>
      <c r="C520">
        <v>76050376</v>
      </c>
      <c r="D520">
        <v>2503376</v>
      </c>
      <c r="E520" t="s">
        <v>39</v>
      </c>
      <c r="F520" s="5">
        <v>300</v>
      </c>
    </row>
    <row r="521" spans="1:6">
      <c r="A521" t="s">
        <v>2550</v>
      </c>
      <c r="B521" t="s">
        <v>2551</v>
      </c>
      <c r="C521">
        <v>76050376</v>
      </c>
      <c r="D521">
        <v>2503376</v>
      </c>
      <c r="E521" t="s">
        <v>729</v>
      </c>
      <c r="F521" s="5">
        <v>200</v>
      </c>
    </row>
    <row r="522" spans="1:6" hidden="1">
      <c r="A522" t="s">
        <v>2538</v>
      </c>
      <c r="B522" t="s">
        <v>2539</v>
      </c>
      <c r="C522">
        <v>76045170</v>
      </c>
      <c r="D522">
        <v>3001292</v>
      </c>
      <c r="E522" t="s">
        <v>39</v>
      </c>
      <c r="F522" s="5">
        <v>450</v>
      </c>
    </row>
    <row r="523" spans="1:6">
      <c r="A523" t="s">
        <v>2538</v>
      </c>
      <c r="B523" t="s">
        <v>2539</v>
      </c>
      <c r="C523">
        <v>76045170</v>
      </c>
      <c r="D523">
        <v>3001292</v>
      </c>
      <c r="E523" t="s">
        <v>729</v>
      </c>
      <c r="F523" s="5">
        <v>200</v>
      </c>
    </row>
    <row r="524" spans="1:6" hidden="1">
      <c r="A524" t="s">
        <v>2102</v>
      </c>
      <c r="B524" t="s">
        <v>2103</v>
      </c>
      <c r="C524">
        <v>71047899</v>
      </c>
      <c r="D524">
        <v>2500375</v>
      </c>
      <c r="E524" t="s">
        <v>39</v>
      </c>
      <c r="F524" s="5">
        <v>300</v>
      </c>
    </row>
    <row r="525" spans="1:6">
      <c r="A525" t="s">
        <v>2102</v>
      </c>
      <c r="B525" t="s">
        <v>2103</v>
      </c>
      <c r="C525">
        <v>71047899</v>
      </c>
      <c r="D525">
        <v>2500375</v>
      </c>
      <c r="E525" t="s">
        <v>729</v>
      </c>
      <c r="F525" s="5">
        <v>200</v>
      </c>
    </row>
    <row r="526" spans="1:6" hidden="1">
      <c r="A526" t="s">
        <v>2104</v>
      </c>
      <c r="B526" t="s">
        <v>2105</v>
      </c>
      <c r="C526">
        <v>71047901</v>
      </c>
      <c r="D526">
        <v>3002001</v>
      </c>
      <c r="E526" t="s">
        <v>39</v>
      </c>
      <c r="F526" s="5">
        <v>300</v>
      </c>
    </row>
    <row r="527" spans="1:6">
      <c r="A527" t="s">
        <v>2104</v>
      </c>
      <c r="B527" t="s">
        <v>2105</v>
      </c>
      <c r="C527">
        <v>71047901</v>
      </c>
      <c r="D527">
        <v>3002001</v>
      </c>
      <c r="E527" t="s">
        <v>729</v>
      </c>
      <c r="F527" s="5">
        <v>200</v>
      </c>
    </row>
    <row r="528" spans="1:6" hidden="1">
      <c r="A528" t="s">
        <v>2100</v>
      </c>
      <c r="B528" t="s">
        <v>2101</v>
      </c>
      <c r="C528">
        <v>71047897</v>
      </c>
      <c r="D528">
        <v>2500351</v>
      </c>
      <c r="E528" t="s">
        <v>39</v>
      </c>
      <c r="F528" s="5">
        <v>300</v>
      </c>
    </row>
    <row r="529" spans="1:6">
      <c r="A529" t="s">
        <v>2100</v>
      </c>
      <c r="B529" t="s">
        <v>2101</v>
      </c>
      <c r="C529">
        <v>71047897</v>
      </c>
      <c r="D529">
        <v>2500351</v>
      </c>
      <c r="E529" t="s">
        <v>729</v>
      </c>
      <c r="F529" s="5">
        <v>200</v>
      </c>
    </row>
    <row r="530" spans="1:6" hidden="1">
      <c r="A530" t="s">
        <v>2234</v>
      </c>
      <c r="B530" t="s">
        <v>2235</v>
      </c>
      <c r="C530">
        <v>71063998</v>
      </c>
      <c r="D530">
        <v>2500353</v>
      </c>
      <c r="E530" t="s">
        <v>39</v>
      </c>
      <c r="F530" s="5">
        <v>300</v>
      </c>
    </row>
    <row r="531" spans="1:6">
      <c r="A531" t="s">
        <v>2234</v>
      </c>
      <c r="B531" t="s">
        <v>2235</v>
      </c>
      <c r="C531">
        <v>71063998</v>
      </c>
      <c r="D531">
        <v>2500353</v>
      </c>
      <c r="E531" t="s">
        <v>729</v>
      </c>
      <c r="F531" s="5">
        <v>200</v>
      </c>
    </row>
    <row r="532" spans="1:6" hidden="1">
      <c r="A532" t="s">
        <v>2324</v>
      </c>
      <c r="B532" t="s">
        <v>2325</v>
      </c>
      <c r="C532">
        <v>76021731</v>
      </c>
      <c r="D532">
        <v>3001970</v>
      </c>
      <c r="E532" t="s">
        <v>39</v>
      </c>
      <c r="F532" s="5">
        <v>300</v>
      </c>
    </row>
    <row r="533" spans="1:6">
      <c r="A533" t="s">
        <v>2324</v>
      </c>
      <c r="B533" t="s">
        <v>2325</v>
      </c>
      <c r="C533">
        <v>76021731</v>
      </c>
      <c r="D533">
        <v>3001970</v>
      </c>
      <c r="E533" t="s">
        <v>729</v>
      </c>
      <c r="F533" s="5">
        <v>200</v>
      </c>
    </row>
    <row r="534" spans="1:6" hidden="1">
      <c r="A534" t="s">
        <v>3639</v>
      </c>
      <c r="B534" t="s">
        <v>3640</v>
      </c>
      <c r="C534">
        <v>76214495</v>
      </c>
      <c r="D534">
        <v>2002817</v>
      </c>
      <c r="E534" t="s">
        <v>39</v>
      </c>
      <c r="F534" s="5">
        <v>450</v>
      </c>
    </row>
    <row r="535" spans="1:6">
      <c r="A535" t="s">
        <v>3639</v>
      </c>
      <c r="B535" t="s">
        <v>3640</v>
      </c>
      <c r="C535">
        <v>76214495</v>
      </c>
      <c r="D535">
        <v>2002817</v>
      </c>
      <c r="E535" t="s">
        <v>729</v>
      </c>
      <c r="F535" s="5">
        <v>200</v>
      </c>
    </row>
    <row r="536" spans="1:6" hidden="1">
      <c r="A536" t="s">
        <v>3613</v>
      </c>
      <c r="B536" t="s">
        <v>3614</v>
      </c>
      <c r="C536">
        <v>76213515</v>
      </c>
      <c r="D536">
        <v>2002065</v>
      </c>
      <c r="E536" t="s">
        <v>39</v>
      </c>
      <c r="F536" s="5">
        <v>450</v>
      </c>
    </row>
    <row r="537" spans="1:6">
      <c r="A537" t="s">
        <v>3613</v>
      </c>
      <c r="B537" t="s">
        <v>3614</v>
      </c>
      <c r="C537">
        <v>76213515</v>
      </c>
      <c r="D537">
        <v>2002065</v>
      </c>
      <c r="E537" t="s">
        <v>729</v>
      </c>
      <c r="F537" s="5">
        <v>200</v>
      </c>
    </row>
    <row r="538" spans="1:6" hidden="1">
      <c r="A538" t="s">
        <v>3883</v>
      </c>
      <c r="B538" t="s">
        <v>3884</v>
      </c>
      <c r="C538">
        <v>76225624</v>
      </c>
      <c r="D538">
        <v>2002116</v>
      </c>
      <c r="E538" t="s">
        <v>39</v>
      </c>
      <c r="F538" s="5">
        <v>450</v>
      </c>
    </row>
    <row r="539" spans="1:6">
      <c r="A539" t="s">
        <v>3883</v>
      </c>
      <c r="B539" t="s">
        <v>3884</v>
      </c>
      <c r="C539">
        <v>76225624</v>
      </c>
      <c r="D539">
        <v>2002116</v>
      </c>
      <c r="E539" t="s">
        <v>729</v>
      </c>
      <c r="F539" s="5">
        <v>200</v>
      </c>
    </row>
    <row r="540" spans="1:6" hidden="1">
      <c r="A540" t="s">
        <v>4627</v>
      </c>
      <c r="B540" t="s">
        <v>4628</v>
      </c>
      <c r="C540">
        <v>76258179</v>
      </c>
      <c r="D540">
        <v>3001300</v>
      </c>
      <c r="E540" t="s">
        <v>39</v>
      </c>
      <c r="F540" s="5">
        <v>300</v>
      </c>
    </row>
    <row r="541" spans="1:6">
      <c r="A541" t="s">
        <v>4627</v>
      </c>
      <c r="B541" t="s">
        <v>4628</v>
      </c>
      <c r="C541">
        <v>76258179</v>
      </c>
      <c r="D541">
        <v>3001300</v>
      </c>
      <c r="E541" t="s">
        <v>729</v>
      </c>
      <c r="F541" s="5">
        <v>200</v>
      </c>
    </row>
    <row r="542" spans="1:6" hidden="1">
      <c r="A542" t="s">
        <v>4254</v>
      </c>
      <c r="B542" t="s">
        <v>4255</v>
      </c>
      <c r="C542">
        <v>76235754</v>
      </c>
      <c r="D542">
        <v>2501689</v>
      </c>
      <c r="E542" t="s">
        <v>39</v>
      </c>
      <c r="F542" s="5">
        <v>400</v>
      </c>
    </row>
    <row r="543" spans="1:6">
      <c r="A543" t="s">
        <v>4254</v>
      </c>
      <c r="B543" t="s">
        <v>4255</v>
      </c>
      <c r="C543">
        <v>76235754</v>
      </c>
      <c r="D543">
        <v>2501689</v>
      </c>
      <c r="E543" t="s">
        <v>729</v>
      </c>
      <c r="F543" s="5">
        <v>200</v>
      </c>
    </row>
    <row r="544" spans="1:6" hidden="1">
      <c r="A544" t="s">
        <v>1663</v>
      </c>
      <c r="B544" t="s">
        <v>1664</v>
      </c>
      <c r="C544">
        <v>8320047</v>
      </c>
      <c r="D544">
        <v>3000907</v>
      </c>
      <c r="E544" t="s">
        <v>39</v>
      </c>
      <c r="F544" s="5">
        <v>300</v>
      </c>
    </row>
    <row r="545" spans="1:6">
      <c r="A545" t="s">
        <v>1663</v>
      </c>
      <c r="B545" t="s">
        <v>1664</v>
      </c>
      <c r="C545">
        <v>8320047</v>
      </c>
      <c r="D545">
        <v>3000907</v>
      </c>
      <c r="E545" t="s">
        <v>729</v>
      </c>
      <c r="F545" s="5">
        <v>200</v>
      </c>
    </row>
    <row r="546" spans="1:6" hidden="1">
      <c r="A546" t="s">
        <v>1942</v>
      </c>
      <c r="B546" t="s">
        <v>1943</v>
      </c>
      <c r="C546">
        <v>41002528</v>
      </c>
      <c r="D546">
        <v>2003098</v>
      </c>
      <c r="E546" t="s">
        <v>39</v>
      </c>
      <c r="F546" s="5">
        <v>300</v>
      </c>
    </row>
    <row r="547" spans="1:6">
      <c r="A547" t="s">
        <v>1942</v>
      </c>
      <c r="B547" t="s">
        <v>1943</v>
      </c>
      <c r="C547">
        <v>41002528</v>
      </c>
      <c r="D547">
        <v>2003098</v>
      </c>
      <c r="E547" t="s">
        <v>729</v>
      </c>
      <c r="F547" s="5">
        <v>200</v>
      </c>
    </row>
    <row r="548" spans="1:6" hidden="1">
      <c r="A548" t="s">
        <v>2566</v>
      </c>
      <c r="B548" t="s">
        <v>2567</v>
      </c>
      <c r="C548">
        <v>76055439</v>
      </c>
      <c r="D548">
        <v>8100</v>
      </c>
      <c r="E548" t="s">
        <v>39</v>
      </c>
      <c r="F548" s="5">
        <v>300</v>
      </c>
    </row>
    <row r="549" spans="1:6">
      <c r="A549" t="s">
        <v>2566</v>
      </c>
      <c r="B549" t="s">
        <v>2567</v>
      </c>
      <c r="C549">
        <v>76055439</v>
      </c>
      <c r="D549">
        <v>8100</v>
      </c>
      <c r="E549" t="s">
        <v>729</v>
      </c>
      <c r="F549" s="5">
        <v>200</v>
      </c>
    </row>
    <row r="550" spans="1:6" hidden="1">
      <c r="A550" t="s">
        <v>2623</v>
      </c>
      <c r="B550" t="s">
        <v>2624</v>
      </c>
      <c r="C550">
        <v>76060185</v>
      </c>
      <c r="D550">
        <v>2002133</v>
      </c>
      <c r="E550" t="s">
        <v>39</v>
      </c>
      <c r="F550" s="5">
        <v>450</v>
      </c>
    </row>
    <row r="551" spans="1:6">
      <c r="A551" t="s">
        <v>2623</v>
      </c>
      <c r="B551" t="s">
        <v>2624</v>
      </c>
      <c r="C551">
        <v>76060185</v>
      </c>
      <c r="D551">
        <v>2002133</v>
      </c>
      <c r="E551" t="s">
        <v>729</v>
      </c>
      <c r="F551" s="5">
        <v>200</v>
      </c>
    </row>
    <row r="552" spans="1:6" hidden="1">
      <c r="A552" t="s">
        <v>1611</v>
      </c>
      <c r="B552" t="s">
        <v>1612</v>
      </c>
      <c r="C552">
        <v>5237677</v>
      </c>
      <c r="D552">
        <v>2002983</v>
      </c>
      <c r="E552" t="s">
        <v>39</v>
      </c>
      <c r="F552" s="5">
        <v>300</v>
      </c>
    </row>
    <row r="553" spans="1:6">
      <c r="A553" t="s">
        <v>1611</v>
      </c>
      <c r="B553" t="s">
        <v>1612</v>
      </c>
      <c r="C553">
        <v>5237677</v>
      </c>
      <c r="D553">
        <v>2002983</v>
      </c>
      <c r="E553" t="s">
        <v>729</v>
      </c>
      <c r="F553" s="5">
        <v>200</v>
      </c>
    </row>
    <row r="554" spans="1:6" hidden="1">
      <c r="A554" t="s">
        <v>2418</v>
      </c>
      <c r="B554" t="s">
        <v>2419</v>
      </c>
      <c r="C554">
        <v>76033693</v>
      </c>
      <c r="D554">
        <v>2501487</v>
      </c>
      <c r="E554" t="s">
        <v>39</v>
      </c>
      <c r="F554" s="5">
        <v>300</v>
      </c>
    </row>
    <row r="555" spans="1:6">
      <c r="A555" t="s">
        <v>2418</v>
      </c>
      <c r="B555" t="s">
        <v>2419</v>
      </c>
      <c r="C555">
        <v>76033693</v>
      </c>
      <c r="D555">
        <v>2501487</v>
      </c>
      <c r="E555" t="s">
        <v>729</v>
      </c>
      <c r="F555" s="5">
        <v>200</v>
      </c>
    </row>
    <row r="556" spans="1:6" hidden="1">
      <c r="A556" t="s">
        <v>2833</v>
      </c>
      <c r="B556" t="s">
        <v>2834</v>
      </c>
      <c r="C556">
        <v>76099558</v>
      </c>
      <c r="D556">
        <v>3002482</v>
      </c>
      <c r="E556" t="s">
        <v>39</v>
      </c>
      <c r="F556" s="5">
        <v>300</v>
      </c>
    </row>
    <row r="557" spans="1:6">
      <c r="A557" t="s">
        <v>2833</v>
      </c>
      <c r="B557" t="s">
        <v>2834</v>
      </c>
      <c r="C557">
        <v>76099558</v>
      </c>
      <c r="D557">
        <v>3002482</v>
      </c>
      <c r="E557" t="s">
        <v>729</v>
      </c>
      <c r="F557" s="5">
        <v>200</v>
      </c>
    </row>
    <row r="558" spans="1:6" hidden="1">
      <c r="A558" t="s">
        <v>4613</v>
      </c>
      <c r="B558" t="s">
        <v>4614</v>
      </c>
      <c r="C558">
        <v>76257430</v>
      </c>
      <c r="D558">
        <v>3000905</v>
      </c>
      <c r="E558" t="s">
        <v>39</v>
      </c>
      <c r="F558" s="5">
        <v>300</v>
      </c>
    </row>
    <row r="559" spans="1:6">
      <c r="A559" t="s">
        <v>4613</v>
      </c>
      <c r="B559" t="s">
        <v>4614</v>
      </c>
      <c r="C559">
        <v>76257430</v>
      </c>
      <c r="D559">
        <v>3000905</v>
      </c>
      <c r="E559" t="s">
        <v>729</v>
      </c>
      <c r="F559" s="5">
        <v>200</v>
      </c>
    </row>
    <row r="560" spans="1:6" hidden="1">
      <c r="A560" t="s">
        <v>1595</v>
      </c>
      <c r="B560" t="s">
        <v>1596</v>
      </c>
      <c r="C560">
        <v>5228501</v>
      </c>
      <c r="D560">
        <v>2003012</v>
      </c>
      <c r="E560" t="s">
        <v>39</v>
      </c>
      <c r="F560" s="5">
        <v>300</v>
      </c>
    </row>
    <row r="561" spans="1:6">
      <c r="A561" t="s">
        <v>1595</v>
      </c>
      <c r="B561" t="s">
        <v>1596</v>
      </c>
      <c r="C561">
        <v>5228501</v>
      </c>
      <c r="D561">
        <v>2003012</v>
      </c>
      <c r="E561" t="s">
        <v>729</v>
      </c>
      <c r="F561" s="5">
        <v>200</v>
      </c>
    </row>
    <row r="562" spans="1:6" hidden="1">
      <c r="A562" t="s">
        <v>1803</v>
      </c>
      <c r="B562" t="s">
        <v>1804</v>
      </c>
      <c r="C562">
        <v>25078101</v>
      </c>
      <c r="D562">
        <v>9078</v>
      </c>
      <c r="E562" t="s">
        <v>39</v>
      </c>
      <c r="F562" s="5">
        <v>450</v>
      </c>
    </row>
    <row r="563" spans="1:6">
      <c r="A563" t="s">
        <v>1803</v>
      </c>
      <c r="B563" t="s">
        <v>1804</v>
      </c>
      <c r="C563">
        <v>25078101</v>
      </c>
      <c r="D563">
        <v>9078</v>
      </c>
      <c r="E563" t="s">
        <v>729</v>
      </c>
      <c r="F563" s="5">
        <v>200</v>
      </c>
    </row>
    <row r="564" spans="1:6" hidden="1">
      <c r="A564" t="s">
        <v>2024</v>
      </c>
      <c r="B564" t="s">
        <v>2025</v>
      </c>
      <c r="C564">
        <v>71040243</v>
      </c>
      <c r="D564">
        <v>1500244</v>
      </c>
      <c r="E564" t="s">
        <v>39</v>
      </c>
      <c r="F564" s="5">
        <v>300</v>
      </c>
    </row>
    <row r="565" spans="1:6">
      <c r="A565" t="s">
        <v>2024</v>
      </c>
      <c r="B565" t="s">
        <v>2025</v>
      </c>
      <c r="C565">
        <v>71040243</v>
      </c>
      <c r="D565">
        <v>1500244</v>
      </c>
      <c r="E565" t="s">
        <v>729</v>
      </c>
      <c r="F565" s="5">
        <v>200</v>
      </c>
    </row>
    <row r="566" spans="1:6" hidden="1">
      <c r="A566" t="s">
        <v>4302</v>
      </c>
      <c r="B566" t="s">
        <v>4303</v>
      </c>
      <c r="C566">
        <v>76238705</v>
      </c>
      <c r="D566">
        <v>2002897</v>
      </c>
      <c r="E566" t="s">
        <v>39</v>
      </c>
      <c r="F566" s="5">
        <v>300</v>
      </c>
    </row>
    <row r="567" spans="1:6">
      <c r="A567" t="s">
        <v>4302</v>
      </c>
      <c r="B567" t="s">
        <v>4303</v>
      </c>
      <c r="C567">
        <v>76238705</v>
      </c>
      <c r="D567">
        <v>2002897</v>
      </c>
      <c r="E567" t="s">
        <v>729</v>
      </c>
      <c r="F567" s="5">
        <v>200</v>
      </c>
    </row>
    <row r="568" spans="1:6" hidden="1">
      <c r="A568" t="s">
        <v>3433</v>
      </c>
      <c r="B568" t="s">
        <v>3434</v>
      </c>
      <c r="C568">
        <v>76205968</v>
      </c>
      <c r="D568">
        <v>3000356</v>
      </c>
      <c r="E568" t="s">
        <v>39</v>
      </c>
      <c r="F568" s="5">
        <v>300</v>
      </c>
    </row>
    <row r="569" spans="1:6">
      <c r="A569" t="s">
        <v>3433</v>
      </c>
      <c r="B569" t="s">
        <v>3434</v>
      </c>
      <c r="C569">
        <v>76205968</v>
      </c>
      <c r="D569">
        <v>3000356</v>
      </c>
      <c r="E569" t="s">
        <v>729</v>
      </c>
      <c r="F569" s="5">
        <v>200</v>
      </c>
    </row>
    <row r="570" spans="1:6" hidden="1">
      <c r="A570" t="s">
        <v>273</v>
      </c>
      <c r="B570" t="s">
        <v>274</v>
      </c>
      <c r="C570">
        <v>76245040</v>
      </c>
      <c r="D570">
        <v>2503548</v>
      </c>
      <c r="E570" t="s">
        <v>39</v>
      </c>
      <c r="F570" s="5">
        <v>300</v>
      </c>
    </row>
    <row r="571" spans="1:6">
      <c r="A571" t="s">
        <v>273</v>
      </c>
      <c r="B571" t="s">
        <v>274</v>
      </c>
      <c r="C571">
        <v>76245040</v>
      </c>
      <c r="D571">
        <v>2503548</v>
      </c>
      <c r="E571" t="s">
        <v>729</v>
      </c>
      <c r="F571" s="5">
        <v>200</v>
      </c>
    </row>
    <row r="572" spans="1:6" hidden="1">
      <c r="A572" t="s">
        <v>3349</v>
      </c>
      <c r="B572" t="s">
        <v>3350</v>
      </c>
      <c r="C572">
        <v>76201479</v>
      </c>
      <c r="D572">
        <v>8037</v>
      </c>
      <c r="E572" t="s">
        <v>39</v>
      </c>
      <c r="F572" s="5">
        <v>300</v>
      </c>
    </row>
    <row r="573" spans="1:6">
      <c r="A573" t="s">
        <v>3349</v>
      </c>
      <c r="B573" t="s">
        <v>3350</v>
      </c>
      <c r="C573">
        <v>76201479</v>
      </c>
      <c r="D573">
        <v>8037</v>
      </c>
      <c r="E573" t="s">
        <v>729</v>
      </c>
      <c r="F573" s="5">
        <v>200</v>
      </c>
    </row>
    <row r="574" spans="1:6" hidden="1">
      <c r="A574" t="s">
        <v>602</v>
      </c>
      <c r="B574" t="s">
        <v>603</v>
      </c>
      <c r="C574">
        <v>76216633</v>
      </c>
      <c r="D574">
        <v>2503124</v>
      </c>
      <c r="E574" t="s">
        <v>39</v>
      </c>
      <c r="F574" s="5">
        <v>300</v>
      </c>
    </row>
    <row r="575" spans="1:6">
      <c r="A575" t="s">
        <v>602</v>
      </c>
      <c r="B575" t="s">
        <v>603</v>
      </c>
      <c r="C575">
        <v>76216633</v>
      </c>
      <c r="D575">
        <v>2503124</v>
      </c>
      <c r="E575" t="s">
        <v>729</v>
      </c>
      <c r="F575" s="5">
        <v>200</v>
      </c>
    </row>
    <row r="576" spans="1:6" hidden="1">
      <c r="A576" t="s">
        <v>1657</v>
      </c>
      <c r="B576" t="s">
        <v>1658</v>
      </c>
      <c r="C576">
        <v>8310011</v>
      </c>
      <c r="D576">
        <v>3001014</v>
      </c>
      <c r="E576" t="s">
        <v>39</v>
      </c>
      <c r="F576" s="5">
        <v>300</v>
      </c>
    </row>
    <row r="577" spans="1:6">
      <c r="A577" t="s">
        <v>1657</v>
      </c>
      <c r="B577" t="s">
        <v>1658</v>
      </c>
      <c r="C577">
        <v>8310011</v>
      </c>
      <c r="D577">
        <v>3001014</v>
      </c>
      <c r="E577" t="s">
        <v>729</v>
      </c>
      <c r="F577" s="5">
        <v>200</v>
      </c>
    </row>
    <row r="578" spans="1:6" hidden="1">
      <c r="A578" t="s">
        <v>2466</v>
      </c>
      <c r="B578" t="s">
        <v>2467</v>
      </c>
      <c r="C578">
        <v>76038829</v>
      </c>
      <c r="D578">
        <v>2501034</v>
      </c>
      <c r="E578" t="s">
        <v>39</v>
      </c>
      <c r="F578" s="5">
        <v>300</v>
      </c>
    </row>
    <row r="579" spans="1:6">
      <c r="A579" t="s">
        <v>2466</v>
      </c>
      <c r="B579" t="s">
        <v>2467</v>
      </c>
      <c r="C579">
        <v>76038829</v>
      </c>
      <c r="D579">
        <v>2501034</v>
      </c>
      <c r="E579" t="s">
        <v>729</v>
      </c>
      <c r="F579" s="5">
        <v>200</v>
      </c>
    </row>
    <row r="580" spans="1:6" hidden="1">
      <c r="A580" t="s">
        <v>2344</v>
      </c>
      <c r="B580" t="s">
        <v>2345</v>
      </c>
      <c r="C580">
        <v>76023788</v>
      </c>
      <c r="D580">
        <v>2502440</v>
      </c>
      <c r="E580" t="s">
        <v>39</v>
      </c>
      <c r="F580" s="5">
        <v>450</v>
      </c>
    </row>
    <row r="581" spans="1:6">
      <c r="A581" t="s">
        <v>2344</v>
      </c>
      <c r="B581" t="s">
        <v>2345</v>
      </c>
      <c r="C581">
        <v>76023788</v>
      </c>
      <c r="D581">
        <v>2502440</v>
      </c>
      <c r="E581" t="s">
        <v>729</v>
      </c>
      <c r="F581" s="5">
        <v>200</v>
      </c>
    </row>
    <row r="582" spans="1:6" hidden="1">
      <c r="A582" t="s">
        <v>4296</v>
      </c>
      <c r="B582" t="s">
        <v>4297</v>
      </c>
      <c r="C582">
        <v>76237987</v>
      </c>
      <c r="D582">
        <v>2002938</v>
      </c>
      <c r="E582" t="s">
        <v>39</v>
      </c>
      <c r="F582" s="5">
        <v>300</v>
      </c>
    </row>
    <row r="583" spans="1:6">
      <c r="A583" t="s">
        <v>4296</v>
      </c>
      <c r="B583" t="s">
        <v>4297</v>
      </c>
      <c r="C583">
        <v>76237987</v>
      </c>
      <c r="D583">
        <v>2002938</v>
      </c>
      <c r="E583" t="s">
        <v>729</v>
      </c>
      <c r="F583" s="5">
        <v>200</v>
      </c>
    </row>
    <row r="584" spans="1:6" hidden="1">
      <c r="A584" t="s">
        <v>2158</v>
      </c>
      <c r="B584" t="s">
        <v>2159</v>
      </c>
      <c r="C584">
        <v>71053767</v>
      </c>
      <c r="D584">
        <v>2503438</v>
      </c>
      <c r="E584" t="s">
        <v>39</v>
      </c>
      <c r="F584" s="5">
        <v>300</v>
      </c>
    </row>
    <row r="585" spans="1:6">
      <c r="A585" t="s">
        <v>2158</v>
      </c>
      <c r="B585" t="s">
        <v>2159</v>
      </c>
      <c r="C585">
        <v>71053767</v>
      </c>
      <c r="D585">
        <v>2503438</v>
      </c>
      <c r="E585" t="s">
        <v>729</v>
      </c>
      <c r="F585" s="5">
        <v>200</v>
      </c>
    </row>
    <row r="586" spans="1:6" hidden="1">
      <c r="A586" t="s">
        <v>3213</v>
      </c>
      <c r="B586" t="s">
        <v>3214</v>
      </c>
      <c r="C586">
        <v>76181608</v>
      </c>
      <c r="D586">
        <v>2003117</v>
      </c>
      <c r="E586" t="s">
        <v>39</v>
      </c>
      <c r="F586" s="5">
        <v>300</v>
      </c>
    </row>
    <row r="587" spans="1:6">
      <c r="A587" t="s">
        <v>3213</v>
      </c>
      <c r="B587" t="s">
        <v>3214</v>
      </c>
      <c r="C587">
        <v>76181608</v>
      </c>
      <c r="D587">
        <v>2003117</v>
      </c>
      <c r="E587" t="s">
        <v>729</v>
      </c>
      <c r="F587" s="5">
        <v>200</v>
      </c>
    </row>
    <row r="588" spans="1:6" hidden="1">
      <c r="A588" t="s">
        <v>2825</v>
      </c>
      <c r="B588" t="s">
        <v>2826</v>
      </c>
      <c r="C588">
        <v>76097770</v>
      </c>
      <c r="D588">
        <v>8102</v>
      </c>
      <c r="E588" t="s">
        <v>39</v>
      </c>
      <c r="F588" s="5">
        <v>300</v>
      </c>
    </row>
    <row r="589" spans="1:6">
      <c r="A589" t="s">
        <v>2825</v>
      </c>
      <c r="B589" t="s">
        <v>2826</v>
      </c>
      <c r="C589">
        <v>76097770</v>
      </c>
      <c r="D589">
        <v>8102</v>
      </c>
      <c r="E589" t="s">
        <v>729</v>
      </c>
      <c r="F589" s="5">
        <v>200</v>
      </c>
    </row>
    <row r="590" spans="1:6" hidden="1">
      <c r="A590" t="s">
        <v>4430</v>
      </c>
      <c r="B590" t="s">
        <v>4431</v>
      </c>
      <c r="C590">
        <v>76246584</v>
      </c>
      <c r="D590">
        <v>2002941</v>
      </c>
      <c r="E590" t="s">
        <v>39</v>
      </c>
      <c r="F590" s="5">
        <v>300</v>
      </c>
    </row>
    <row r="591" spans="1:6">
      <c r="A591" t="s">
        <v>4430</v>
      </c>
      <c r="B591" t="s">
        <v>4431</v>
      </c>
      <c r="C591">
        <v>76246584</v>
      </c>
      <c r="D591">
        <v>2002941</v>
      </c>
      <c r="E591" t="s">
        <v>729</v>
      </c>
      <c r="F591" s="5">
        <v>200</v>
      </c>
    </row>
    <row r="592" spans="1:6" hidden="1">
      <c r="A592" t="s">
        <v>2528</v>
      </c>
      <c r="B592" t="s">
        <v>2529</v>
      </c>
      <c r="C592">
        <v>76043948</v>
      </c>
      <c r="D592">
        <v>10046</v>
      </c>
      <c r="E592" t="s">
        <v>39</v>
      </c>
      <c r="F592" s="5">
        <v>300</v>
      </c>
    </row>
    <row r="593" spans="1:6">
      <c r="A593" t="s">
        <v>2528</v>
      </c>
      <c r="B593" t="s">
        <v>2529</v>
      </c>
      <c r="C593">
        <v>76043948</v>
      </c>
      <c r="D593">
        <v>10046</v>
      </c>
      <c r="E593" t="s">
        <v>729</v>
      </c>
      <c r="F593" s="5">
        <v>200</v>
      </c>
    </row>
    <row r="594" spans="1:6" hidden="1">
      <c r="A594" t="s">
        <v>3303</v>
      </c>
      <c r="B594" t="s">
        <v>3304</v>
      </c>
      <c r="C594">
        <v>76195161</v>
      </c>
      <c r="D594">
        <v>2003027</v>
      </c>
      <c r="E594" t="s">
        <v>39</v>
      </c>
      <c r="F594" s="5">
        <v>300</v>
      </c>
    </row>
    <row r="595" spans="1:6">
      <c r="A595" t="s">
        <v>3303</v>
      </c>
      <c r="B595" t="s">
        <v>3304</v>
      </c>
      <c r="C595">
        <v>76195161</v>
      </c>
      <c r="D595">
        <v>2003027</v>
      </c>
      <c r="E595" t="s">
        <v>729</v>
      </c>
      <c r="F595" s="5">
        <v>200</v>
      </c>
    </row>
    <row r="596" spans="1:6" hidden="1">
      <c r="A596" t="s">
        <v>4428</v>
      </c>
      <c r="B596" t="s">
        <v>4429</v>
      </c>
      <c r="C596">
        <v>76246564</v>
      </c>
      <c r="D596">
        <v>2002940</v>
      </c>
      <c r="E596" t="s">
        <v>39</v>
      </c>
      <c r="F596" s="5">
        <v>300</v>
      </c>
    </row>
    <row r="597" spans="1:6">
      <c r="A597" t="s">
        <v>4428</v>
      </c>
      <c r="B597" t="s">
        <v>4429</v>
      </c>
      <c r="C597">
        <v>76246564</v>
      </c>
      <c r="D597">
        <v>2002940</v>
      </c>
      <c r="E597" t="s">
        <v>729</v>
      </c>
      <c r="F597" s="5">
        <v>200</v>
      </c>
    </row>
    <row r="598" spans="1:6" hidden="1">
      <c r="A598" t="s">
        <v>3895</v>
      </c>
      <c r="B598" t="s">
        <v>3896</v>
      </c>
      <c r="C598">
        <v>76225833</v>
      </c>
      <c r="D598">
        <v>2002998</v>
      </c>
      <c r="E598" t="s">
        <v>39</v>
      </c>
      <c r="F598" s="5">
        <v>300</v>
      </c>
    </row>
    <row r="599" spans="1:6">
      <c r="A599" t="s">
        <v>3895</v>
      </c>
      <c r="B599" t="s">
        <v>3896</v>
      </c>
      <c r="C599">
        <v>76225833</v>
      </c>
      <c r="D599">
        <v>2002998</v>
      </c>
      <c r="E599" t="s">
        <v>729</v>
      </c>
      <c r="F599" s="5">
        <v>200</v>
      </c>
    </row>
    <row r="600" spans="1:6" hidden="1">
      <c r="A600" t="s">
        <v>2889</v>
      </c>
      <c r="B600" t="s">
        <v>2890</v>
      </c>
      <c r="C600">
        <v>76143102</v>
      </c>
      <c r="D600">
        <v>2003009</v>
      </c>
      <c r="E600" t="s">
        <v>39</v>
      </c>
      <c r="F600" s="5">
        <v>300</v>
      </c>
    </row>
    <row r="601" spans="1:6">
      <c r="A601" t="s">
        <v>2889</v>
      </c>
      <c r="B601" t="s">
        <v>2890</v>
      </c>
      <c r="C601">
        <v>76143102</v>
      </c>
      <c r="D601">
        <v>2003009</v>
      </c>
      <c r="E601" t="s">
        <v>729</v>
      </c>
      <c r="F601" s="5">
        <v>200</v>
      </c>
    </row>
    <row r="602" spans="1:6" hidden="1">
      <c r="A602" t="s">
        <v>3885</v>
      </c>
      <c r="B602" t="s">
        <v>3886</v>
      </c>
      <c r="C602">
        <v>76225750</v>
      </c>
      <c r="D602">
        <v>2000282</v>
      </c>
      <c r="E602" t="s">
        <v>39</v>
      </c>
      <c r="F602" s="5">
        <v>300</v>
      </c>
    </row>
    <row r="603" spans="1:6">
      <c r="A603" t="s">
        <v>3885</v>
      </c>
      <c r="B603" t="s">
        <v>3886</v>
      </c>
      <c r="C603">
        <v>76225750</v>
      </c>
      <c r="D603">
        <v>2000282</v>
      </c>
      <c r="E603" t="s">
        <v>729</v>
      </c>
      <c r="F603" s="5">
        <v>200</v>
      </c>
    </row>
    <row r="604" spans="1:6" hidden="1">
      <c r="A604" t="s">
        <v>4300</v>
      </c>
      <c r="B604" t="s">
        <v>4301</v>
      </c>
      <c r="C604">
        <v>76238658</v>
      </c>
      <c r="D604">
        <v>2002681</v>
      </c>
      <c r="E604" t="s">
        <v>39</v>
      </c>
      <c r="F604" s="5">
        <v>300</v>
      </c>
    </row>
    <row r="605" spans="1:6">
      <c r="A605" t="s">
        <v>4300</v>
      </c>
      <c r="B605" t="s">
        <v>4301</v>
      </c>
      <c r="C605">
        <v>76238658</v>
      </c>
      <c r="D605">
        <v>2002681</v>
      </c>
      <c r="E605" t="s">
        <v>729</v>
      </c>
      <c r="F605" s="5">
        <v>200</v>
      </c>
    </row>
    <row r="606" spans="1:6" hidden="1">
      <c r="A606" t="s">
        <v>4068</v>
      </c>
      <c r="B606" t="s">
        <v>4069</v>
      </c>
      <c r="C606">
        <v>76230145</v>
      </c>
      <c r="D606">
        <v>2003001</v>
      </c>
      <c r="E606" t="s">
        <v>39</v>
      </c>
      <c r="F606" s="5">
        <v>300</v>
      </c>
    </row>
    <row r="607" spans="1:6">
      <c r="A607" t="s">
        <v>4068</v>
      </c>
      <c r="B607" t="s">
        <v>4069</v>
      </c>
      <c r="C607">
        <v>76230145</v>
      </c>
      <c r="D607">
        <v>2003001</v>
      </c>
      <c r="E607" t="s">
        <v>729</v>
      </c>
      <c r="F607" s="5">
        <v>200</v>
      </c>
    </row>
    <row r="608" spans="1:6" hidden="1">
      <c r="A608" t="s">
        <v>2478</v>
      </c>
      <c r="B608" t="s">
        <v>2479</v>
      </c>
      <c r="C608">
        <v>76040091</v>
      </c>
      <c r="D608">
        <v>2003029</v>
      </c>
      <c r="E608" t="s">
        <v>39</v>
      </c>
      <c r="F608" s="5">
        <v>300</v>
      </c>
    </row>
    <row r="609" spans="1:6">
      <c r="A609" t="s">
        <v>2478</v>
      </c>
      <c r="B609" t="s">
        <v>2479</v>
      </c>
      <c r="C609">
        <v>76040091</v>
      </c>
      <c r="D609">
        <v>2003029</v>
      </c>
      <c r="E609" t="s">
        <v>729</v>
      </c>
      <c r="F609" s="5">
        <v>200</v>
      </c>
    </row>
    <row r="610" spans="1:6" hidden="1">
      <c r="A610" t="s">
        <v>3747</v>
      </c>
      <c r="B610" t="s">
        <v>3748</v>
      </c>
      <c r="C610">
        <v>76219626</v>
      </c>
      <c r="D610">
        <v>2003019</v>
      </c>
      <c r="E610" t="s">
        <v>39</v>
      </c>
      <c r="F610" s="5">
        <v>300</v>
      </c>
    </row>
    <row r="611" spans="1:6">
      <c r="A611" t="s">
        <v>3747</v>
      </c>
      <c r="B611" t="s">
        <v>3748</v>
      </c>
      <c r="C611">
        <v>76219626</v>
      </c>
      <c r="D611">
        <v>2003019</v>
      </c>
      <c r="E611" t="s">
        <v>729</v>
      </c>
      <c r="F611" s="5">
        <v>200</v>
      </c>
    </row>
    <row r="612" spans="1:6" hidden="1">
      <c r="A612" t="s">
        <v>3585</v>
      </c>
      <c r="B612" t="s">
        <v>3586</v>
      </c>
      <c r="C612">
        <v>76212605</v>
      </c>
      <c r="D612">
        <v>2001314</v>
      </c>
      <c r="E612" t="s">
        <v>39</v>
      </c>
      <c r="F612" s="5">
        <v>300</v>
      </c>
    </row>
    <row r="613" spans="1:6">
      <c r="A613" t="s">
        <v>3585</v>
      </c>
      <c r="B613" t="s">
        <v>3586</v>
      </c>
      <c r="C613">
        <v>76212605</v>
      </c>
      <c r="D613">
        <v>2001314</v>
      </c>
      <c r="E613" t="s">
        <v>729</v>
      </c>
      <c r="F613" s="5">
        <v>200</v>
      </c>
    </row>
    <row r="614" spans="1:6" hidden="1">
      <c r="A614" t="s">
        <v>3439</v>
      </c>
      <c r="B614" t="s">
        <v>3440</v>
      </c>
      <c r="C614">
        <v>76206329</v>
      </c>
      <c r="D614">
        <v>2000659</v>
      </c>
      <c r="E614" t="s">
        <v>39</v>
      </c>
      <c r="F614" s="5">
        <v>300</v>
      </c>
    </row>
    <row r="615" spans="1:6">
      <c r="A615" t="s">
        <v>3439</v>
      </c>
      <c r="B615" t="s">
        <v>3440</v>
      </c>
      <c r="C615">
        <v>76206329</v>
      </c>
      <c r="D615">
        <v>2000659</v>
      </c>
      <c r="E615" t="s">
        <v>729</v>
      </c>
      <c r="F615" s="5">
        <v>200</v>
      </c>
    </row>
    <row r="616" spans="1:6" hidden="1">
      <c r="A616" t="s">
        <v>1511</v>
      </c>
      <c r="B616" t="s">
        <v>1512</v>
      </c>
      <c r="C616">
        <v>1027210</v>
      </c>
      <c r="D616">
        <v>2500896</v>
      </c>
      <c r="E616" t="s">
        <v>39</v>
      </c>
      <c r="F616" s="5">
        <v>300</v>
      </c>
    </row>
    <row r="617" spans="1:6">
      <c r="A617" t="s">
        <v>1511</v>
      </c>
      <c r="B617" t="s">
        <v>1512</v>
      </c>
      <c r="C617">
        <v>1027210</v>
      </c>
      <c r="D617">
        <v>2500896</v>
      </c>
      <c r="E617" t="s">
        <v>729</v>
      </c>
      <c r="F617" s="5">
        <v>200</v>
      </c>
    </row>
    <row r="618" spans="1:6" hidden="1">
      <c r="A618" t="s">
        <v>2264</v>
      </c>
      <c r="B618" t="s">
        <v>2265</v>
      </c>
      <c r="C618">
        <v>76002398</v>
      </c>
      <c r="D618">
        <v>2500901</v>
      </c>
      <c r="E618" t="s">
        <v>39</v>
      </c>
      <c r="F618" s="5">
        <v>300</v>
      </c>
    </row>
    <row r="619" spans="1:6">
      <c r="A619" t="s">
        <v>2264</v>
      </c>
      <c r="B619" t="s">
        <v>2265</v>
      </c>
      <c r="C619">
        <v>76002398</v>
      </c>
      <c r="D619">
        <v>2500901</v>
      </c>
      <c r="E619" t="s">
        <v>729</v>
      </c>
      <c r="F619" s="5">
        <v>200</v>
      </c>
    </row>
    <row r="620" spans="1:6" hidden="1">
      <c r="A620" t="s">
        <v>1509</v>
      </c>
      <c r="B620" t="s">
        <v>1510</v>
      </c>
      <c r="C620">
        <v>1027202</v>
      </c>
      <c r="D620">
        <v>2500877</v>
      </c>
      <c r="E620" t="s">
        <v>39</v>
      </c>
      <c r="F620" s="5">
        <v>300</v>
      </c>
    </row>
    <row r="621" spans="1:6">
      <c r="A621" t="s">
        <v>1509</v>
      </c>
      <c r="B621" t="s">
        <v>1510</v>
      </c>
      <c r="C621">
        <v>1027202</v>
      </c>
      <c r="D621">
        <v>2500877</v>
      </c>
      <c r="E621" t="s">
        <v>729</v>
      </c>
      <c r="F621" s="5">
        <v>200</v>
      </c>
    </row>
    <row r="622" spans="1:6" hidden="1">
      <c r="A622" t="s">
        <v>3251</v>
      </c>
      <c r="B622" t="s">
        <v>3252</v>
      </c>
      <c r="C622">
        <v>76189066</v>
      </c>
      <c r="D622">
        <v>2500957</v>
      </c>
      <c r="E622" t="s">
        <v>39</v>
      </c>
      <c r="F622" s="5">
        <v>300</v>
      </c>
    </row>
    <row r="623" spans="1:6">
      <c r="A623" t="s">
        <v>3251</v>
      </c>
      <c r="B623" t="s">
        <v>3252</v>
      </c>
      <c r="C623">
        <v>76189066</v>
      </c>
      <c r="D623">
        <v>2500957</v>
      </c>
      <c r="E623" t="s">
        <v>729</v>
      </c>
      <c r="F623" s="5">
        <v>200</v>
      </c>
    </row>
    <row r="624" spans="1:6" hidden="1">
      <c r="A624" t="s">
        <v>3249</v>
      </c>
      <c r="B624" t="s">
        <v>3250</v>
      </c>
      <c r="C624">
        <v>76189065</v>
      </c>
      <c r="D624">
        <v>2500865</v>
      </c>
      <c r="E624" t="s">
        <v>39</v>
      </c>
      <c r="F624" s="5">
        <v>300</v>
      </c>
    </row>
    <row r="625" spans="1:6">
      <c r="A625" t="s">
        <v>3249</v>
      </c>
      <c r="B625" t="s">
        <v>3250</v>
      </c>
      <c r="C625">
        <v>76189065</v>
      </c>
      <c r="D625">
        <v>2500865</v>
      </c>
      <c r="E625" t="s">
        <v>729</v>
      </c>
      <c r="F625" s="5">
        <v>200</v>
      </c>
    </row>
    <row r="626" spans="1:6" hidden="1">
      <c r="A626" t="s">
        <v>2807</v>
      </c>
      <c r="B626" t="s">
        <v>2808</v>
      </c>
      <c r="C626">
        <v>76079338</v>
      </c>
      <c r="D626">
        <v>2500893</v>
      </c>
      <c r="E626" t="s">
        <v>39</v>
      </c>
      <c r="F626" s="5">
        <v>300</v>
      </c>
    </row>
    <row r="627" spans="1:6">
      <c r="A627" t="s">
        <v>2807</v>
      </c>
      <c r="B627" t="s">
        <v>2808</v>
      </c>
      <c r="C627">
        <v>76079338</v>
      </c>
      <c r="D627">
        <v>2500893</v>
      </c>
      <c r="E627" t="s">
        <v>729</v>
      </c>
      <c r="F627" s="5">
        <v>200</v>
      </c>
    </row>
    <row r="628" spans="1:6" hidden="1">
      <c r="A628" t="s">
        <v>3103</v>
      </c>
      <c r="B628" t="s">
        <v>3104</v>
      </c>
      <c r="C628">
        <v>76168999</v>
      </c>
      <c r="D628">
        <v>2500856</v>
      </c>
      <c r="E628" t="s">
        <v>39</v>
      </c>
      <c r="F628" s="5">
        <v>300</v>
      </c>
    </row>
    <row r="629" spans="1:6">
      <c r="A629" t="s">
        <v>3103</v>
      </c>
      <c r="B629" t="s">
        <v>3104</v>
      </c>
      <c r="C629">
        <v>76168999</v>
      </c>
      <c r="D629">
        <v>2500856</v>
      </c>
      <c r="E629" t="s">
        <v>729</v>
      </c>
      <c r="F629" s="5">
        <v>200</v>
      </c>
    </row>
    <row r="630" spans="1:6" hidden="1">
      <c r="A630" t="s">
        <v>3105</v>
      </c>
      <c r="B630" t="s">
        <v>3106</v>
      </c>
      <c r="C630">
        <v>76169007</v>
      </c>
      <c r="D630">
        <v>2500864</v>
      </c>
      <c r="E630" t="s">
        <v>39</v>
      </c>
      <c r="F630" s="5">
        <v>300</v>
      </c>
    </row>
    <row r="631" spans="1:6">
      <c r="A631" t="s">
        <v>3105</v>
      </c>
      <c r="B631" t="s">
        <v>3106</v>
      </c>
      <c r="C631">
        <v>76169007</v>
      </c>
      <c r="D631">
        <v>2500864</v>
      </c>
      <c r="E631" t="s">
        <v>729</v>
      </c>
      <c r="F631" s="5">
        <v>200</v>
      </c>
    </row>
    <row r="632" spans="1:6" hidden="1">
      <c r="A632" t="s">
        <v>2809</v>
      </c>
      <c r="B632" t="s">
        <v>2810</v>
      </c>
      <c r="C632">
        <v>76079339</v>
      </c>
      <c r="D632">
        <v>2500860</v>
      </c>
      <c r="E632" t="s">
        <v>39</v>
      </c>
      <c r="F632" s="5">
        <v>300</v>
      </c>
    </row>
    <row r="633" spans="1:6">
      <c r="A633" t="s">
        <v>2809</v>
      </c>
      <c r="B633" t="s">
        <v>2810</v>
      </c>
      <c r="C633">
        <v>76079339</v>
      </c>
      <c r="D633">
        <v>2500860</v>
      </c>
      <c r="E633" t="s">
        <v>729</v>
      </c>
      <c r="F633" s="5">
        <v>200</v>
      </c>
    </row>
    <row r="634" spans="1:6" hidden="1">
      <c r="A634" t="s">
        <v>2262</v>
      </c>
      <c r="B634" t="s">
        <v>2263</v>
      </c>
      <c r="C634">
        <v>76002396</v>
      </c>
      <c r="D634">
        <v>2500899</v>
      </c>
      <c r="E634" t="s">
        <v>39</v>
      </c>
      <c r="F634" s="5">
        <v>300</v>
      </c>
    </row>
    <row r="635" spans="1:6">
      <c r="A635" t="s">
        <v>2262</v>
      </c>
      <c r="B635" t="s">
        <v>2263</v>
      </c>
      <c r="C635">
        <v>76002396</v>
      </c>
      <c r="D635">
        <v>2500899</v>
      </c>
      <c r="E635" t="s">
        <v>729</v>
      </c>
      <c r="F635" s="5">
        <v>200</v>
      </c>
    </row>
    <row r="636" spans="1:6" hidden="1">
      <c r="A636" t="s">
        <v>3555</v>
      </c>
      <c r="B636" t="s">
        <v>3556</v>
      </c>
      <c r="C636">
        <v>76210184</v>
      </c>
      <c r="D636">
        <v>10153</v>
      </c>
      <c r="E636" t="s">
        <v>39</v>
      </c>
      <c r="F636" s="5">
        <v>400</v>
      </c>
    </row>
    <row r="637" spans="1:6">
      <c r="A637" t="s">
        <v>3555</v>
      </c>
      <c r="B637" t="s">
        <v>3556</v>
      </c>
      <c r="C637">
        <v>76210184</v>
      </c>
      <c r="D637">
        <v>10153</v>
      </c>
      <c r="E637" t="s">
        <v>729</v>
      </c>
      <c r="F637" s="5">
        <v>200</v>
      </c>
    </row>
    <row r="638" spans="1:6" hidden="1">
      <c r="A638" t="s">
        <v>430</v>
      </c>
      <c r="B638" t="s">
        <v>431</v>
      </c>
      <c r="C638">
        <v>45602701</v>
      </c>
      <c r="D638">
        <v>2501852</v>
      </c>
      <c r="E638" t="s">
        <v>39</v>
      </c>
      <c r="F638" s="5">
        <v>300</v>
      </c>
    </row>
    <row r="639" spans="1:6">
      <c r="A639" t="s">
        <v>430</v>
      </c>
      <c r="B639" t="s">
        <v>431</v>
      </c>
      <c r="C639">
        <v>45602701</v>
      </c>
      <c r="D639">
        <v>2501852</v>
      </c>
      <c r="E639" t="s">
        <v>729</v>
      </c>
      <c r="F639" s="5">
        <v>200</v>
      </c>
    </row>
    <row r="640" spans="1:6" hidden="1">
      <c r="A640" t="s">
        <v>3949</v>
      </c>
      <c r="B640" t="s">
        <v>3950</v>
      </c>
      <c r="C640">
        <v>76227707</v>
      </c>
      <c r="D640">
        <v>2502167</v>
      </c>
      <c r="E640" t="s">
        <v>39</v>
      </c>
      <c r="F640" s="5">
        <v>300</v>
      </c>
    </row>
    <row r="641" spans="1:6">
      <c r="A641" t="s">
        <v>3949</v>
      </c>
      <c r="B641" t="s">
        <v>3950</v>
      </c>
      <c r="C641">
        <v>76227707</v>
      </c>
      <c r="D641">
        <v>2502167</v>
      </c>
      <c r="E641" t="s">
        <v>729</v>
      </c>
      <c r="F641" s="5">
        <v>200</v>
      </c>
    </row>
    <row r="642" spans="1:6" hidden="1">
      <c r="A642" t="s">
        <v>4314</v>
      </c>
      <c r="B642" t="s">
        <v>4315</v>
      </c>
      <c r="C642">
        <v>76240062</v>
      </c>
      <c r="D642">
        <v>2002800</v>
      </c>
      <c r="E642" t="s">
        <v>39</v>
      </c>
      <c r="F642" s="5">
        <v>300</v>
      </c>
    </row>
    <row r="643" spans="1:6">
      <c r="A643" t="s">
        <v>4314</v>
      </c>
      <c r="B643" t="s">
        <v>4315</v>
      </c>
      <c r="C643">
        <v>76240062</v>
      </c>
      <c r="D643">
        <v>2002800</v>
      </c>
      <c r="E643" t="s">
        <v>729</v>
      </c>
      <c r="F643" s="5">
        <v>200</v>
      </c>
    </row>
    <row r="644" spans="1:6" hidden="1">
      <c r="A644" t="s">
        <v>1677</v>
      </c>
      <c r="B644" t="s">
        <v>1678</v>
      </c>
      <c r="C644">
        <v>9700114</v>
      </c>
      <c r="D644">
        <v>2000594</v>
      </c>
      <c r="E644" t="s">
        <v>39</v>
      </c>
      <c r="F644" s="5">
        <v>300</v>
      </c>
    </row>
    <row r="645" spans="1:6">
      <c r="A645" t="s">
        <v>1677</v>
      </c>
      <c r="B645" t="s">
        <v>1678</v>
      </c>
      <c r="C645">
        <v>9700114</v>
      </c>
      <c r="D645">
        <v>2000594</v>
      </c>
      <c r="E645" t="s">
        <v>729</v>
      </c>
      <c r="F645" s="5">
        <v>200</v>
      </c>
    </row>
    <row r="646" spans="1:6" hidden="1">
      <c r="A646" t="s">
        <v>3545</v>
      </c>
      <c r="B646" t="s">
        <v>3546</v>
      </c>
      <c r="C646">
        <v>76209808</v>
      </c>
      <c r="D646">
        <v>2503569</v>
      </c>
      <c r="E646" t="s">
        <v>39</v>
      </c>
      <c r="F646" s="5">
        <v>300</v>
      </c>
    </row>
    <row r="647" spans="1:6">
      <c r="A647" t="s">
        <v>3545</v>
      </c>
      <c r="B647" t="s">
        <v>3546</v>
      </c>
      <c r="C647">
        <v>76209808</v>
      </c>
      <c r="D647">
        <v>2503569</v>
      </c>
      <c r="E647" t="s">
        <v>729</v>
      </c>
      <c r="F647" s="5">
        <v>200</v>
      </c>
    </row>
    <row r="648" spans="1:6" hidden="1">
      <c r="A648" t="s">
        <v>3115</v>
      </c>
      <c r="B648" t="s">
        <v>3116</v>
      </c>
      <c r="C648">
        <v>76170220</v>
      </c>
      <c r="D648">
        <v>2001070</v>
      </c>
      <c r="E648" t="s">
        <v>39</v>
      </c>
      <c r="F648" s="5">
        <v>400</v>
      </c>
    </row>
    <row r="649" spans="1:6">
      <c r="A649" t="s">
        <v>3115</v>
      </c>
      <c r="B649" t="s">
        <v>3116</v>
      </c>
      <c r="C649">
        <v>76170220</v>
      </c>
      <c r="D649">
        <v>2001070</v>
      </c>
      <c r="E649" t="s">
        <v>729</v>
      </c>
      <c r="F649" s="5">
        <v>200</v>
      </c>
    </row>
    <row r="650" spans="1:6" hidden="1">
      <c r="A650" t="s">
        <v>3515</v>
      </c>
      <c r="B650" t="s">
        <v>3516</v>
      </c>
      <c r="C650">
        <v>76209216</v>
      </c>
      <c r="D650">
        <v>2000896</v>
      </c>
      <c r="E650" t="s">
        <v>39</v>
      </c>
      <c r="F650" s="5">
        <v>300</v>
      </c>
    </row>
    <row r="651" spans="1:6">
      <c r="A651" t="s">
        <v>3515</v>
      </c>
      <c r="B651" t="s">
        <v>3516</v>
      </c>
      <c r="C651">
        <v>76209216</v>
      </c>
      <c r="D651">
        <v>2000896</v>
      </c>
      <c r="E651" t="s">
        <v>729</v>
      </c>
      <c r="F651" s="5">
        <v>200</v>
      </c>
    </row>
    <row r="652" spans="1:6" hidden="1">
      <c r="A652" t="s">
        <v>3709</v>
      </c>
      <c r="B652" t="s">
        <v>3710</v>
      </c>
      <c r="C652">
        <v>76219134</v>
      </c>
      <c r="D652">
        <v>2500883</v>
      </c>
      <c r="E652" t="s">
        <v>39</v>
      </c>
      <c r="F652" s="5">
        <v>300</v>
      </c>
    </row>
    <row r="653" spans="1:6">
      <c r="A653" t="s">
        <v>3709</v>
      </c>
      <c r="B653" t="s">
        <v>3710</v>
      </c>
      <c r="C653">
        <v>76219134</v>
      </c>
      <c r="D653">
        <v>2500883</v>
      </c>
      <c r="E653" t="s">
        <v>729</v>
      </c>
      <c r="F653" s="5">
        <v>200</v>
      </c>
    </row>
    <row r="654" spans="1:6" hidden="1">
      <c r="A654" t="s">
        <v>50</v>
      </c>
      <c r="B654" t="s">
        <v>51</v>
      </c>
      <c r="C654">
        <v>25297551</v>
      </c>
      <c r="D654">
        <v>153</v>
      </c>
      <c r="E654" t="s">
        <v>39</v>
      </c>
      <c r="F654" s="5">
        <v>300</v>
      </c>
    </row>
    <row r="655" spans="1:6">
      <c r="A655" t="s">
        <v>50</v>
      </c>
      <c r="B655" t="s">
        <v>51</v>
      </c>
      <c r="C655">
        <v>25297551</v>
      </c>
      <c r="D655">
        <v>153</v>
      </c>
      <c r="E655" t="s">
        <v>729</v>
      </c>
      <c r="F655" s="5">
        <v>200</v>
      </c>
    </row>
    <row r="656" spans="1:6" hidden="1">
      <c r="A656" t="s">
        <v>2905</v>
      </c>
      <c r="B656" t="s">
        <v>2906</v>
      </c>
      <c r="C656">
        <v>76145158</v>
      </c>
      <c r="D656">
        <v>3000677</v>
      </c>
      <c r="E656" t="s">
        <v>39</v>
      </c>
      <c r="F656" s="5">
        <v>300</v>
      </c>
    </row>
    <row r="657" spans="1:6">
      <c r="A657" t="s">
        <v>2905</v>
      </c>
      <c r="B657" t="s">
        <v>2906</v>
      </c>
      <c r="C657">
        <v>76145158</v>
      </c>
      <c r="D657">
        <v>3000677</v>
      </c>
      <c r="E657" t="s">
        <v>729</v>
      </c>
      <c r="F657" s="5">
        <v>200</v>
      </c>
    </row>
    <row r="658" spans="1:6" hidden="1">
      <c r="A658" t="s">
        <v>2923</v>
      </c>
      <c r="B658" t="s">
        <v>2924</v>
      </c>
      <c r="C658">
        <v>76149027</v>
      </c>
      <c r="D658">
        <v>2503341</v>
      </c>
      <c r="E658" t="s">
        <v>39</v>
      </c>
      <c r="F658" s="5">
        <v>300</v>
      </c>
    </row>
    <row r="659" spans="1:6">
      <c r="A659" t="s">
        <v>2923</v>
      </c>
      <c r="B659" t="s">
        <v>2924</v>
      </c>
      <c r="C659">
        <v>76149027</v>
      </c>
      <c r="D659">
        <v>2503341</v>
      </c>
      <c r="E659" t="s">
        <v>729</v>
      </c>
      <c r="F659" s="5">
        <v>200</v>
      </c>
    </row>
    <row r="660" spans="1:6" hidden="1">
      <c r="A660" t="s">
        <v>4563</v>
      </c>
      <c r="B660" t="s">
        <v>4564</v>
      </c>
      <c r="C660">
        <v>76255281</v>
      </c>
      <c r="D660">
        <v>3000254</v>
      </c>
      <c r="E660" t="s">
        <v>39</v>
      </c>
      <c r="F660" s="5">
        <v>300</v>
      </c>
    </row>
    <row r="661" spans="1:6">
      <c r="A661" t="s">
        <v>4563</v>
      </c>
      <c r="B661" t="s">
        <v>4564</v>
      </c>
      <c r="C661">
        <v>76255281</v>
      </c>
      <c r="D661">
        <v>3000254</v>
      </c>
      <c r="E661" t="s">
        <v>729</v>
      </c>
      <c r="F661" s="5">
        <v>200</v>
      </c>
    </row>
    <row r="662" spans="1:6" hidden="1">
      <c r="A662" t="s">
        <v>3881</v>
      </c>
      <c r="B662" t="s">
        <v>3882</v>
      </c>
      <c r="C662">
        <v>76225609</v>
      </c>
      <c r="D662">
        <v>2503416</v>
      </c>
      <c r="E662" t="s">
        <v>39</v>
      </c>
      <c r="F662" s="5">
        <v>300</v>
      </c>
    </row>
    <row r="663" spans="1:6">
      <c r="A663" t="s">
        <v>3881</v>
      </c>
      <c r="B663" t="s">
        <v>3882</v>
      </c>
      <c r="C663">
        <v>76225609</v>
      </c>
      <c r="D663">
        <v>2503416</v>
      </c>
      <c r="E663" t="s">
        <v>729</v>
      </c>
      <c r="F663" s="5">
        <v>200</v>
      </c>
    </row>
    <row r="664" spans="1:6" hidden="1">
      <c r="A664" t="s">
        <v>2979</v>
      </c>
      <c r="B664" t="s">
        <v>2980</v>
      </c>
      <c r="C664">
        <v>76155736</v>
      </c>
      <c r="D664">
        <v>2502040</v>
      </c>
      <c r="E664" t="s">
        <v>39</v>
      </c>
      <c r="F664" s="5">
        <v>300</v>
      </c>
    </row>
    <row r="665" spans="1:6">
      <c r="A665" t="s">
        <v>2979</v>
      </c>
      <c r="B665" t="s">
        <v>2980</v>
      </c>
      <c r="C665">
        <v>76155736</v>
      </c>
      <c r="D665">
        <v>2502040</v>
      </c>
      <c r="E665" t="s">
        <v>729</v>
      </c>
      <c r="F665" s="5">
        <v>200</v>
      </c>
    </row>
    <row r="666" spans="1:6" hidden="1">
      <c r="A666" t="s">
        <v>3583</v>
      </c>
      <c r="B666" t="s">
        <v>3584</v>
      </c>
      <c r="C666">
        <v>76212373</v>
      </c>
      <c r="D666">
        <v>2502051</v>
      </c>
      <c r="E666" t="s">
        <v>39</v>
      </c>
      <c r="F666" s="5">
        <v>300</v>
      </c>
    </row>
    <row r="667" spans="1:6">
      <c r="A667" t="s">
        <v>3583</v>
      </c>
      <c r="B667" t="s">
        <v>3584</v>
      </c>
      <c r="C667">
        <v>76212373</v>
      </c>
      <c r="D667">
        <v>2502051</v>
      </c>
      <c r="E667" t="s">
        <v>729</v>
      </c>
      <c r="F667" s="5">
        <v>200</v>
      </c>
    </row>
    <row r="668" spans="1:6" hidden="1">
      <c r="A668" t="s">
        <v>3627</v>
      </c>
      <c r="B668" t="s">
        <v>3628</v>
      </c>
      <c r="C668">
        <v>76213850</v>
      </c>
      <c r="D668">
        <v>2502046</v>
      </c>
      <c r="E668" t="s">
        <v>39</v>
      </c>
      <c r="F668" s="5">
        <v>300</v>
      </c>
    </row>
    <row r="669" spans="1:6">
      <c r="A669" t="s">
        <v>3627</v>
      </c>
      <c r="B669" t="s">
        <v>3628</v>
      </c>
      <c r="C669">
        <v>76213850</v>
      </c>
      <c r="D669">
        <v>2502046</v>
      </c>
      <c r="E669" t="s">
        <v>729</v>
      </c>
      <c r="F669" s="5">
        <v>200</v>
      </c>
    </row>
    <row r="670" spans="1:6" hidden="1">
      <c r="A670" t="s">
        <v>3629</v>
      </c>
      <c r="B670" t="s">
        <v>3630</v>
      </c>
      <c r="C670">
        <v>76213867</v>
      </c>
      <c r="D670">
        <v>2502041</v>
      </c>
      <c r="E670" t="s">
        <v>39</v>
      </c>
      <c r="F670" s="5">
        <v>300</v>
      </c>
    </row>
    <row r="671" spans="1:6">
      <c r="A671" t="s">
        <v>3629</v>
      </c>
      <c r="B671" t="s">
        <v>3630</v>
      </c>
      <c r="C671">
        <v>76213867</v>
      </c>
      <c r="D671">
        <v>2502041</v>
      </c>
      <c r="E671" t="s">
        <v>729</v>
      </c>
      <c r="F671" s="5">
        <v>200</v>
      </c>
    </row>
    <row r="672" spans="1:6" hidden="1">
      <c r="A672" t="s">
        <v>3625</v>
      </c>
      <c r="B672" t="s">
        <v>3626</v>
      </c>
      <c r="C672">
        <v>76213848</v>
      </c>
      <c r="D672">
        <v>2502056</v>
      </c>
      <c r="E672" t="s">
        <v>39</v>
      </c>
      <c r="F672" s="5">
        <v>300</v>
      </c>
    </row>
    <row r="673" spans="1:6">
      <c r="A673" t="s">
        <v>3625</v>
      </c>
      <c r="B673" t="s">
        <v>3626</v>
      </c>
      <c r="C673">
        <v>76213848</v>
      </c>
      <c r="D673">
        <v>2502056</v>
      </c>
      <c r="E673" t="s">
        <v>729</v>
      </c>
      <c r="F673" s="5">
        <v>200</v>
      </c>
    </row>
    <row r="674" spans="1:6" hidden="1">
      <c r="A674" t="s">
        <v>2969</v>
      </c>
      <c r="B674" t="s">
        <v>2970</v>
      </c>
      <c r="C674">
        <v>76154183</v>
      </c>
      <c r="D674">
        <v>418</v>
      </c>
      <c r="E674" t="s">
        <v>39</v>
      </c>
      <c r="F674" s="5">
        <v>450</v>
      </c>
    </row>
    <row r="675" spans="1:6">
      <c r="A675" t="s">
        <v>2969</v>
      </c>
      <c r="B675" t="s">
        <v>2970</v>
      </c>
      <c r="C675">
        <v>76154183</v>
      </c>
      <c r="D675">
        <v>418</v>
      </c>
      <c r="E675" t="s">
        <v>729</v>
      </c>
      <c r="F675" s="5">
        <v>200</v>
      </c>
    </row>
    <row r="676" spans="1:6" hidden="1">
      <c r="A676" t="s">
        <v>2815</v>
      </c>
      <c r="B676" t="s">
        <v>2816</v>
      </c>
      <c r="C676">
        <v>76086618</v>
      </c>
      <c r="D676">
        <v>2501302</v>
      </c>
      <c r="E676" t="s">
        <v>39</v>
      </c>
      <c r="F676" s="5">
        <v>450</v>
      </c>
    </row>
    <row r="677" spans="1:6">
      <c r="A677" t="s">
        <v>2815</v>
      </c>
      <c r="B677" t="s">
        <v>2816</v>
      </c>
      <c r="C677">
        <v>76086618</v>
      </c>
      <c r="D677">
        <v>2501302</v>
      </c>
      <c r="E677" t="s">
        <v>729</v>
      </c>
      <c r="F677" s="5">
        <v>200</v>
      </c>
    </row>
    <row r="678" spans="1:6" hidden="1">
      <c r="A678" t="s">
        <v>2817</v>
      </c>
      <c r="B678" t="s">
        <v>2818</v>
      </c>
      <c r="C678">
        <v>76086618</v>
      </c>
      <c r="D678">
        <v>2501302</v>
      </c>
      <c r="E678" t="s">
        <v>39</v>
      </c>
      <c r="F678" s="5">
        <v>300</v>
      </c>
    </row>
    <row r="679" spans="1:6">
      <c r="A679" t="s">
        <v>2817</v>
      </c>
      <c r="B679" t="s">
        <v>2818</v>
      </c>
      <c r="C679">
        <v>76086618</v>
      </c>
      <c r="D679">
        <v>2501302</v>
      </c>
      <c r="E679" t="s">
        <v>729</v>
      </c>
      <c r="F679" s="5">
        <v>200</v>
      </c>
    </row>
    <row r="680" spans="1:6" hidden="1">
      <c r="A680" t="s">
        <v>4442</v>
      </c>
      <c r="B680" t="s">
        <v>4443</v>
      </c>
      <c r="C680">
        <v>76246955</v>
      </c>
      <c r="D680">
        <v>2003018</v>
      </c>
      <c r="E680" t="s">
        <v>39</v>
      </c>
      <c r="F680" s="5">
        <v>300</v>
      </c>
    </row>
    <row r="681" spans="1:6">
      <c r="A681" t="s">
        <v>4442</v>
      </c>
      <c r="B681" t="s">
        <v>4443</v>
      </c>
      <c r="C681">
        <v>76246955</v>
      </c>
      <c r="D681">
        <v>2003018</v>
      </c>
      <c r="E681" t="s">
        <v>729</v>
      </c>
      <c r="F681" s="5">
        <v>200</v>
      </c>
    </row>
    <row r="682" spans="1:6" hidden="1">
      <c r="A682" t="s">
        <v>1693</v>
      </c>
      <c r="B682" t="s">
        <v>1694</v>
      </c>
      <c r="C682">
        <v>13323802</v>
      </c>
      <c r="D682">
        <v>2500252</v>
      </c>
      <c r="E682" t="s">
        <v>39</v>
      </c>
      <c r="F682" s="5">
        <v>300</v>
      </c>
    </row>
    <row r="683" spans="1:6">
      <c r="A683" t="s">
        <v>1693</v>
      </c>
      <c r="B683" t="s">
        <v>1694</v>
      </c>
      <c r="C683">
        <v>13323802</v>
      </c>
      <c r="D683">
        <v>2500252</v>
      </c>
      <c r="E683" t="s">
        <v>729</v>
      </c>
      <c r="F683" s="5">
        <v>200</v>
      </c>
    </row>
    <row r="684" spans="1:6" hidden="1">
      <c r="A684" t="s">
        <v>1729</v>
      </c>
      <c r="B684" t="s">
        <v>1730</v>
      </c>
      <c r="C684">
        <v>13495264</v>
      </c>
      <c r="D684">
        <v>3000824</v>
      </c>
      <c r="E684" t="s">
        <v>39</v>
      </c>
      <c r="F684" s="5">
        <v>300</v>
      </c>
    </row>
    <row r="685" spans="1:6">
      <c r="A685" t="s">
        <v>1729</v>
      </c>
      <c r="B685" t="s">
        <v>1730</v>
      </c>
      <c r="C685">
        <v>13495264</v>
      </c>
      <c r="D685">
        <v>3000824</v>
      </c>
      <c r="E685" t="s">
        <v>729</v>
      </c>
      <c r="F685" s="5">
        <v>200</v>
      </c>
    </row>
    <row r="686" spans="1:6" hidden="1">
      <c r="A686" t="s">
        <v>3391</v>
      </c>
      <c r="B686" t="s">
        <v>3392</v>
      </c>
      <c r="C686">
        <v>76204179</v>
      </c>
      <c r="D686">
        <v>2003129</v>
      </c>
      <c r="E686" t="s">
        <v>39</v>
      </c>
      <c r="F686" s="5">
        <v>300</v>
      </c>
    </row>
    <row r="687" spans="1:6">
      <c r="A687" t="s">
        <v>3391</v>
      </c>
      <c r="B687" t="s">
        <v>3392</v>
      </c>
      <c r="C687">
        <v>76204179</v>
      </c>
      <c r="D687">
        <v>2003129</v>
      </c>
      <c r="E687" t="s">
        <v>729</v>
      </c>
      <c r="F687" s="5">
        <v>200</v>
      </c>
    </row>
    <row r="688" spans="1:6" hidden="1">
      <c r="A688" t="s">
        <v>697</v>
      </c>
      <c r="B688" t="s">
        <v>698</v>
      </c>
      <c r="C688">
        <v>76250502</v>
      </c>
      <c r="D688">
        <v>2001883</v>
      </c>
      <c r="E688" t="s">
        <v>39</v>
      </c>
      <c r="F688" s="5">
        <v>300</v>
      </c>
    </row>
    <row r="689" spans="1:6">
      <c r="A689" t="s">
        <v>697</v>
      </c>
      <c r="B689" t="s">
        <v>698</v>
      </c>
      <c r="C689">
        <v>76250502</v>
      </c>
      <c r="D689">
        <v>2001883</v>
      </c>
      <c r="E689" t="s">
        <v>729</v>
      </c>
      <c r="F689" s="5">
        <v>200</v>
      </c>
    </row>
    <row r="690" spans="1:6" hidden="1">
      <c r="A690" t="s">
        <v>3365</v>
      </c>
      <c r="B690" t="s">
        <v>3366</v>
      </c>
      <c r="C690">
        <v>76202585</v>
      </c>
      <c r="D690">
        <v>2502480</v>
      </c>
      <c r="E690" t="s">
        <v>39</v>
      </c>
      <c r="F690" s="5">
        <v>300</v>
      </c>
    </row>
    <row r="691" spans="1:6">
      <c r="A691" t="s">
        <v>3365</v>
      </c>
      <c r="B691" t="s">
        <v>3366</v>
      </c>
      <c r="C691">
        <v>76202585</v>
      </c>
      <c r="D691">
        <v>2502480</v>
      </c>
      <c r="E691" t="s">
        <v>729</v>
      </c>
      <c r="F691" s="5">
        <v>200</v>
      </c>
    </row>
    <row r="692" spans="1:6" hidden="1">
      <c r="A692" t="s">
        <v>2532</v>
      </c>
      <c r="B692" t="s">
        <v>2533</v>
      </c>
      <c r="C692">
        <v>76044363</v>
      </c>
      <c r="D692">
        <v>2500391</v>
      </c>
      <c r="E692" t="s">
        <v>39</v>
      </c>
      <c r="F692" s="5">
        <v>450</v>
      </c>
    </row>
    <row r="693" spans="1:6">
      <c r="A693" t="s">
        <v>2532</v>
      </c>
      <c r="B693" t="s">
        <v>2533</v>
      </c>
      <c r="C693">
        <v>76044363</v>
      </c>
      <c r="D693">
        <v>2500391</v>
      </c>
      <c r="E693" t="s">
        <v>729</v>
      </c>
      <c r="F693" s="5">
        <v>200</v>
      </c>
    </row>
    <row r="694" spans="1:6" hidden="1">
      <c r="A694" t="s">
        <v>1861</v>
      </c>
      <c r="B694" t="s">
        <v>1862</v>
      </c>
      <c r="C694">
        <v>25299176</v>
      </c>
      <c r="D694">
        <v>2500697</v>
      </c>
      <c r="E694" t="s">
        <v>39</v>
      </c>
      <c r="F694" s="5">
        <v>450</v>
      </c>
    </row>
    <row r="695" spans="1:6">
      <c r="A695" t="s">
        <v>1861</v>
      </c>
      <c r="B695" t="s">
        <v>1862</v>
      </c>
      <c r="C695">
        <v>25299176</v>
      </c>
      <c r="D695">
        <v>2500697</v>
      </c>
      <c r="E695" t="s">
        <v>729</v>
      </c>
      <c r="F695" s="5">
        <v>200</v>
      </c>
    </row>
    <row r="696" spans="1:6" hidden="1">
      <c r="A696" t="s">
        <v>3997</v>
      </c>
      <c r="B696" t="s">
        <v>3998</v>
      </c>
      <c r="C696">
        <v>76228891</v>
      </c>
      <c r="D696">
        <v>2002037</v>
      </c>
      <c r="E696" t="s">
        <v>39</v>
      </c>
      <c r="F696" s="5">
        <v>300</v>
      </c>
    </row>
    <row r="697" spans="1:6">
      <c r="A697" t="s">
        <v>3997</v>
      </c>
      <c r="B697" t="s">
        <v>3998</v>
      </c>
      <c r="C697">
        <v>76228891</v>
      </c>
      <c r="D697">
        <v>2002037</v>
      </c>
      <c r="E697" t="s">
        <v>729</v>
      </c>
      <c r="F697" s="5">
        <v>200</v>
      </c>
    </row>
    <row r="698" spans="1:6" hidden="1">
      <c r="A698" t="s">
        <v>2314</v>
      </c>
      <c r="B698" t="s">
        <v>2315</v>
      </c>
      <c r="C698">
        <v>76020961</v>
      </c>
      <c r="D698">
        <v>3000650</v>
      </c>
      <c r="E698" t="s">
        <v>39</v>
      </c>
      <c r="F698" s="5">
        <v>300</v>
      </c>
    </row>
    <row r="699" spans="1:6">
      <c r="A699" t="s">
        <v>2314</v>
      </c>
      <c r="B699" t="s">
        <v>2315</v>
      </c>
      <c r="C699">
        <v>76020961</v>
      </c>
      <c r="D699">
        <v>3000650</v>
      </c>
      <c r="E699" t="s">
        <v>729</v>
      </c>
      <c r="F699" s="5">
        <v>200</v>
      </c>
    </row>
    <row r="700" spans="1:6" hidden="1">
      <c r="A700" t="s">
        <v>1613</v>
      </c>
      <c r="B700" t="s">
        <v>1614</v>
      </c>
      <c r="C700">
        <v>5400118</v>
      </c>
      <c r="D700">
        <v>2501669</v>
      </c>
      <c r="E700" t="s">
        <v>39</v>
      </c>
      <c r="F700" s="5">
        <v>300</v>
      </c>
    </row>
    <row r="701" spans="1:6">
      <c r="A701" t="s">
        <v>1613</v>
      </c>
      <c r="B701" t="s">
        <v>1614</v>
      </c>
      <c r="C701">
        <v>5400118</v>
      </c>
      <c r="D701">
        <v>2501669</v>
      </c>
      <c r="E701" t="s">
        <v>729</v>
      </c>
      <c r="F701" s="5">
        <v>200</v>
      </c>
    </row>
    <row r="702" spans="1:6" hidden="1">
      <c r="A702" t="s">
        <v>3805</v>
      </c>
      <c r="B702" t="s">
        <v>3806</v>
      </c>
      <c r="C702">
        <v>76221582</v>
      </c>
      <c r="D702">
        <v>2502594</v>
      </c>
      <c r="E702" t="s">
        <v>39</v>
      </c>
      <c r="F702" s="5">
        <v>300</v>
      </c>
    </row>
    <row r="703" spans="1:6">
      <c r="A703" t="s">
        <v>3805</v>
      </c>
      <c r="B703" t="s">
        <v>3806</v>
      </c>
      <c r="C703">
        <v>76221582</v>
      </c>
      <c r="D703">
        <v>2502594</v>
      </c>
      <c r="E703" t="s">
        <v>729</v>
      </c>
      <c r="F703" s="5">
        <v>200</v>
      </c>
    </row>
    <row r="704" spans="1:6" hidden="1">
      <c r="A704" t="s">
        <v>2805</v>
      </c>
      <c r="B704" t="s">
        <v>2806</v>
      </c>
      <c r="C704">
        <v>76078918</v>
      </c>
      <c r="D704">
        <v>2500456</v>
      </c>
      <c r="E704" t="s">
        <v>39</v>
      </c>
      <c r="F704" s="5">
        <v>300</v>
      </c>
    </row>
    <row r="705" spans="1:6">
      <c r="A705" t="s">
        <v>2805</v>
      </c>
      <c r="B705" t="s">
        <v>2806</v>
      </c>
      <c r="C705">
        <v>76078918</v>
      </c>
      <c r="D705">
        <v>2500456</v>
      </c>
      <c r="E705" t="s">
        <v>729</v>
      </c>
      <c r="F705" s="5">
        <v>200</v>
      </c>
    </row>
    <row r="706" spans="1:6" hidden="1">
      <c r="A706" t="s">
        <v>1833</v>
      </c>
      <c r="B706" t="s">
        <v>1834</v>
      </c>
      <c r="C706">
        <v>25297487</v>
      </c>
      <c r="D706">
        <v>2500900</v>
      </c>
      <c r="E706" t="s">
        <v>39</v>
      </c>
      <c r="F706" s="5">
        <v>300</v>
      </c>
    </row>
    <row r="707" spans="1:6">
      <c r="A707" t="s">
        <v>1833</v>
      </c>
      <c r="B707" t="s">
        <v>1834</v>
      </c>
      <c r="C707">
        <v>25297487</v>
      </c>
      <c r="D707">
        <v>2500900</v>
      </c>
      <c r="E707" t="s">
        <v>729</v>
      </c>
      <c r="F707" s="5">
        <v>200</v>
      </c>
    </row>
    <row r="708" spans="1:6" hidden="1">
      <c r="A708" t="s">
        <v>2002</v>
      </c>
      <c r="B708" t="s">
        <v>2003</v>
      </c>
      <c r="C708">
        <v>71035236</v>
      </c>
      <c r="D708">
        <v>3000724</v>
      </c>
      <c r="E708" t="s">
        <v>39</v>
      </c>
      <c r="F708" s="5">
        <v>300</v>
      </c>
    </row>
    <row r="709" spans="1:6">
      <c r="A709" t="s">
        <v>2002</v>
      </c>
      <c r="B709" t="s">
        <v>2003</v>
      </c>
      <c r="C709">
        <v>71035236</v>
      </c>
      <c r="D709">
        <v>3000724</v>
      </c>
      <c r="E709" t="s">
        <v>729</v>
      </c>
      <c r="F709" s="5">
        <v>200</v>
      </c>
    </row>
    <row r="710" spans="1:6" hidden="1">
      <c r="A710" t="s">
        <v>2617</v>
      </c>
      <c r="B710" t="s">
        <v>2618</v>
      </c>
      <c r="C710">
        <v>76059014</v>
      </c>
      <c r="D710">
        <v>2502677</v>
      </c>
      <c r="E710" t="s">
        <v>39</v>
      </c>
      <c r="F710" s="5">
        <v>300</v>
      </c>
    </row>
    <row r="711" spans="1:6">
      <c r="A711" t="s">
        <v>2617</v>
      </c>
      <c r="B711" t="s">
        <v>2618</v>
      </c>
      <c r="C711">
        <v>76059014</v>
      </c>
      <c r="D711">
        <v>2502677</v>
      </c>
      <c r="E711" t="s">
        <v>729</v>
      </c>
      <c r="F711" s="5">
        <v>200</v>
      </c>
    </row>
    <row r="712" spans="1:6" hidden="1">
      <c r="A712" t="s">
        <v>1903</v>
      </c>
      <c r="B712" t="s">
        <v>1904</v>
      </c>
      <c r="C712">
        <v>33172401</v>
      </c>
      <c r="D712">
        <v>2503587</v>
      </c>
      <c r="E712" t="s">
        <v>39</v>
      </c>
      <c r="F712" s="5">
        <v>300</v>
      </c>
    </row>
    <row r="713" spans="1:6">
      <c r="A713" t="s">
        <v>1903</v>
      </c>
      <c r="B713" t="s">
        <v>1904</v>
      </c>
      <c r="C713">
        <v>33172401</v>
      </c>
      <c r="D713">
        <v>2503587</v>
      </c>
      <c r="E713" t="s">
        <v>729</v>
      </c>
      <c r="F713" s="5">
        <v>200</v>
      </c>
    </row>
    <row r="714" spans="1:6" hidden="1">
      <c r="A714" t="s">
        <v>4460</v>
      </c>
      <c r="B714" t="s">
        <v>4461</v>
      </c>
      <c r="C714">
        <v>76250850</v>
      </c>
      <c r="D714">
        <v>2003003</v>
      </c>
      <c r="E714" t="s">
        <v>39</v>
      </c>
      <c r="F714" s="5">
        <v>300</v>
      </c>
    </row>
    <row r="715" spans="1:6">
      <c r="A715" t="s">
        <v>4460</v>
      </c>
      <c r="B715" t="s">
        <v>4461</v>
      </c>
      <c r="C715">
        <v>76250850</v>
      </c>
      <c r="D715">
        <v>2003003</v>
      </c>
      <c r="E715" t="s">
        <v>729</v>
      </c>
      <c r="F715" s="5">
        <v>200</v>
      </c>
    </row>
    <row r="716" spans="1:6" hidden="1">
      <c r="A716" t="s">
        <v>673</v>
      </c>
      <c r="B716" t="s">
        <v>674</v>
      </c>
      <c r="C716">
        <v>76234346</v>
      </c>
      <c r="D716">
        <v>2002231</v>
      </c>
      <c r="E716" t="s">
        <v>39</v>
      </c>
      <c r="F716" s="5">
        <v>300</v>
      </c>
    </row>
    <row r="717" spans="1:6">
      <c r="A717" t="s">
        <v>673</v>
      </c>
      <c r="B717" t="s">
        <v>674</v>
      </c>
      <c r="C717">
        <v>76234346</v>
      </c>
      <c r="D717">
        <v>2002231</v>
      </c>
      <c r="E717" t="s">
        <v>729</v>
      </c>
      <c r="F717" s="5">
        <v>200</v>
      </c>
    </row>
    <row r="718" spans="1:6" hidden="1">
      <c r="A718" t="s">
        <v>1599</v>
      </c>
      <c r="B718" t="s">
        <v>1600</v>
      </c>
      <c r="C718">
        <v>5236425</v>
      </c>
      <c r="D718">
        <v>2503601</v>
      </c>
      <c r="E718" t="s">
        <v>39</v>
      </c>
      <c r="F718" s="5">
        <v>300</v>
      </c>
    </row>
    <row r="719" spans="1:6">
      <c r="A719" t="s">
        <v>1599</v>
      </c>
      <c r="B719" t="s">
        <v>1600</v>
      </c>
      <c r="C719">
        <v>5236425</v>
      </c>
      <c r="D719">
        <v>2503601</v>
      </c>
      <c r="E719" t="s">
        <v>729</v>
      </c>
      <c r="F719" s="5">
        <v>200</v>
      </c>
    </row>
    <row r="720" spans="1:6" hidden="1">
      <c r="A720" t="s">
        <v>2354</v>
      </c>
      <c r="B720" t="s">
        <v>2355</v>
      </c>
      <c r="C720">
        <v>76024132</v>
      </c>
      <c r="D720">
        <v>3000325</v>
      </c>
      <c r="E720" t="s">
        <v>39</v>
      </c>
      <c r="F720" s="5">
        <v>300</v>
      </c>
    </row>
    <row r="721" spans="1:6">
      <c r="A721" t="s">
        <v>2354</v>
      </c>
      <c r="B721" t="s">
        <v>2355</v>
      </c>
      <c r="C721">
        <v>76024132</v>
      </c>
      <c r="D721">
        <v>3000325</v>
      </c>
      <c r="E721" t="s">
        <v>729</v>
      </c>
      <c r="F721" s="5">
        <v>200</v>
      </c>
    </row>
    <row r="722" spans="1:6" hidden="1">
      <c r="A722" t="s">
        <v>3387</v>
      </c>
      <c r="B722" t="s">
        <v>3388</v>
      </c>
      <c r="C722">
        <v>76204147</v>
      </c>
      <c r="D722">
        <v>2003124</v>
      </c>
      <c r="E722" t="s">
        <v>39</v>
      </c>
      <c r="F722" s="5">
        <v>300</v>
      </c>
    </row>
    <row r="723" spans="1:6">
      <c r="A723" t="s">
        <v>3387</v>
      </c>
      <c r="B723" t="s">
        <v>3388</v>
      </c>
      <c r="C723">
        <v>76204147</v>
      </c>
      <c r="D723">
        <v>2003124</v>
      </c>
      <c r="E723" t="s">
        <v>729</v>
      </c>
      <c r="F723" s="5">
        <v>200</v>
      </c>
    </row>
    <row r="724" spans="1:6" hidden="1">
      <c r="A724" t="s">
        <v>4112</v>
      </c>
      <c r="B724" t="s">
        <v>4113</v>
      </c>
      <c r="C724">
        <v>76231508</v>
      </c>
      <c r="D724">
        <v>2502626</v>
      </c>
      <c r="E724" t="s">
        <v>39</v>
      </c>
      <c r="F724" s="5">
        <v>450</v>
      </c>
    </row>
    <row r="725" spans="1:6">
      <c r="A725" t="s">
        <v>4112</v>
      </c>
      <c r="B725" t="s">
        <v>4113</v>
      </c>
      <c r="C725">
        <v>76231508</v>
      </c>
      <c r="D725">
        <v>2502626</v>
      </c>
      <c r="E725" t="s">
        <v>729</v>
      </c>
      <c r="F725" s="5">
        <v>200</v>
      </c>
    </row>
    <row r="726" spans="1:6" hidden="1">
      <c r="A726" t="s">
        <v>1934</v>
      </c>
      <c r="B726" t="s">
        <v>1935</v>
      </c>
      <c r="C726">
        <v>37213002</v>
      </c>
      <c r="D726">
        <v>2503611</v>
      </c>
      <c r="E726" t="s">
        <v>39</v>
      </c>
      <c r="F726" s="5">
        <v>300</v>
      </c>
    </row>
    <row r="727" spans="1:6">
      <c r="A727" t="s">
        <v>1934</v>
      </c>
      <c r="B727" t="s">
        <v>1935</v>
      </c>
      <c r="C727">
        <v>37213002</v>
      </c>
      <c r="D727">
        <v>2503611</v>
      </c>
      <c r="E727" t="s">
        <v>729</v>
      </c>
      <c r="F727" s="5">
        <v>200</v>
      </c>
    </row>
    <row r="728" spans="1:6" hidden="1">
      <c r="A728" t="s">
        <v>1593</v>
      </c>
      <c r="B728" t="s">
        <v>1594</v>
      </c>
      <c r="C728">
        <v>5228102</v>
      </c>
      <c r="D728">
        <v>3136</v>
      </c>
      <c r="E728" t="s">
        <v>39</v>
      </c>
      <c r="F728" s="5">
        <v>450</v>
      </c>
    </row>
    <row r="729" spans="1:6">
      <c r="A729" t="s">
        <v>1593</v>
      </c>
      <c r="B729" t="s">
        <v>1594</v>
      </c>
      <c r="C729">
        <v>5228102</v>
      </c>
      <c r="D729">
        <v>3136</v>
      </c>
      <c r="E729" t="s">
        <v>729</v>
      </c>
      <c r="F729" s="5">
        <v>200</v>
      </c>
    </row>
    <row r="730" spans="1:6" hidden="1">
      <c r="A730" t="s">
        <v>1591</v>
      </c>
      <c r="B730" t="s">
        <v>1592</v>
      </c>
      <c r="C730">
        <v>5228101</v>
      </c>
      <c r="D730">
        <v>2000341</v>
      </c>
      <c r="E730" t="s">
        <v>39</v>
      </c>
      <c r="F730" s="5">
        <v>450</v>
      </c>
    </row>
    <row r="731" spans="1:6">
      <c r="A731" t="s">
        <v>1591</v>
      </c>
      <c r="B731" t="s">
        <v>1592</v>
      </c>
      <c r="C731">
        <v>5228101</v>
      </c>
      <c r="D731">
        <v>2000341</v>
      </c>
      <c r="E731" t="s">
        <v>729</v>
      </c>
      <c r="F731" s="5">
        <v>200</v>
      </c>
    </row>
    <row r="732" spans="1:6" hidden="1">
      <c r="A732" t="s">
        <v>2426</v>
      </c>
      <c r="B732" t="s">
        <v>2427</v>
      </c>
      <c r="C732">
        <v>76034396</v>
      </c>
      <c r="D732">
        <v>2503573</v>
      </c>
      <c r="E732" t="s">
        <v>39</v>
      </c>
      <c r="F732" s="5">
        <v>300</v>
      </c>
    </row>
    <row r="733" spans="1:6">
      <c r="A733" t="s">
        <v>2426</v>
      </c>
      <c r="B733" t="s">
        <v>2427</v>
      </c>
      <c r="C733">
        <v>76034396</v>
      </c>
      <c r="D733">
        <v>2503573</v>
      </c>
      <c r="E733" t="s">
        <v>729</v>
      </c>
      <c r="F733" s="5">
        <v>200</v>
      </c>
    </row>
    <row r="734" spans="1:6" hidden="1">
      <c r="A734" t="s">
        <v>4222</v>
      </c>
      <c r="B734" t="s">
        <v>4223</v>
      </c>
      <c r="C734">
        <v>76234941</v>
      </c>
      <c r="D734">
        <v>2500958</v>
      </c>
      <c r="E734" t="s">
        <v>39</v>
      </c>
      <c r="F734" s="5">
        <v>300</v>
      </c>
    </row>
    <row r="735" spans="1:6">
      <c r="A735" t="s">
        <v>4222</v>
      </c>
      <c r="B735" t="s">
        <v>4223</v>
      </c>
      <c r="C735">
        <v>76234941</v>
      </c>
      <c r="D735">
        <v>2500958</v>
      </c>
      <c r="E735" t="s">
        <v>729</v>
      </c>
      <c r="F735" s="5">
        <v>200</v>
      </c>
    </row>
    <row r="736" spans="1:6" hidden="1">
      <c r="A736" t="s">
        <v>4220</v>
      </c>
      <c r="B736" t="s">
        <v>4221</v>
      </c>
      <c r="C736">
        <v>76234937</v>
      </c>
      <c r="D736">
        <v>2502757</v>
      </c>
      <c r="E736" t="s">
        <v>39</v>
      </c>
      <c r="F736" s="5">
        <v>300</v>
      </c>
    </row>
    <row r="737" spans="1:6">
      <c r="A737" t="s">
        <v>4220</v>
      </c>
      <c r="B737" t="s">
        <v>4221</v>
      </c>
      <c r="C737">
        <v>76234937</v>
      </c>
      <c r="D737">
        <v>2502757</v>
      </c>
      <c r="E737" t="s">
        <v>729</v>
      </c>
      <c r="F737" s="5">
        <v>200</v>
      </c>
    </row>
    <row r="738" spans="1:6" hidden="1">
      <c r="A738" t="s">
        <v>4224</v>
      </c>
      <c r="B738" t="s">
        <v>4225</v>
      </c>
      <c r="C738">
        <v>76234955</v>
      </c>
      <c r="D738">
        <v>2502758</v>
      </c>
      <c r="E738" t="s">
        <v>39</v>
      </c>
      <c r="F738" s="5">
        <v>300</v>
      </c>
    </row>
    <row r="739" spans="1:6">
      <c r="A739" t="s">
        <v>4224</v>
      </c>
      <c r="B739" t="s">
        <v>4225</v>
      </c>
      <c r="C739">
        <v>76234955</v>
      </c>
      <c r="D739">
        <v>2502758</v>
      </c>
      <c r="E739" t="s">
        <v>729</v>
      </c>
      <c r="F739" s="5">
        <v>200</v>
      </c>
    </row>
    <row r="740" spans="1:6" hidden="1">
      <c r="A740" t="s">
        <v>1737</v>
      </c>
      <c r="B740" t="s">
        <v>1738</v>
      </c>
      <c r="C740">
        <v>13495534</v>
      </c>
      <c r="D740">
        <v>2502326</v>
      </c>
      <c r="E740" t="s">
        <v>39</v>
      </c>
      <c r="F740" s="5">
        <v>450</v>
      </c>
    </row>
    <row r="741" spans="1:6">
      <c r="A741" t="s">
        <v>1737</v>
      </c>
      <c r="B741" t="s">
        <v>1738</v>
      </c>
      <c r="C741">
        <v>13495534</v>
      </c>
      <c r="D741">
        <v>2502326</v>
      </c>
      <c r="E741" t="s">
        <v>729</v>
      </c>
      <c r="F741" s="5">
        <v>200</v>
      </c>
    </row>
    <row r="742" spans="1:6" hidden="1">
      <c r="A742" t="s">
        <v>1907</v>
      </c>
      <c r="B742" t="s">
        <v>1908</v>
      </c>
      <c r="C742">
        <v>33239001</v>
      </c>
      <c r="D742">
        <v>2000392</v>
      </c>
      <c r="E742" t="s">
        <v>39</v>
      </c>
      <c r="F742" s="5">
        <v>300</v>
      </c>
    </row>
    <row r="743" spans="1:6">
      <c r="A743" t="s">
        <v>1907</v>
      </c>
      <c r="B743" t="s">
        <v>1908</v>
      </c>
      <c r="C743">
        <v>33239001</v>
      </c>
      <c r="D743">
        <v>2000392</v>
      </c>
      <c r="E743" t="s">
        <v>729</v>
      </c>
      <c r="F743" s="5">
        <v>200</v>
      </c>
    </row>
    <row r="744" spans="1:6" hidden="1">
      <c r="A744" t="s">
        <v>2000</v>
      </c>
      <c r="B744" t="s">
        <v>2001</v>
      </c>
      <c r="C744">
        <v>61001594</v>
      </c>
      <c r="D744">
        <v>2003096</v>
      </c>
      <c r="E744" t="s">
        <v>39</v>
      </c>
      <c r="F744" s="5">
        <v>300</v>
      </c>
    </row>
    <row r="745" spans="1:6">
      <c r="A745" t="s">
        <v>2000</v>
      </c>
      <c r="B745" t="s">
        <v>2001</v>
      </c>
      <c r="C745">
        <v>61001594</v>
      </c>
      <c r="D745">
        <v>2003096</v>
      </c>
      <c r="E745" t="s">
        <v>729</v>
      </c>
      <c r="F745" s="5">
        <v>200</v>
      </c>
    </row>
    <row r="746" spans="1:6" hidden="1">
      <c r="A746" t="s">
        <v>1960</v>
      </c>
      <c r="B746" t="s">
        <v>1961</v>
      </c>
      <c r="C746">
        <v>43381001</v>
      </c>
      <c r="D746">
        <v>2000440</v>
      </c>
      <c r="E746" t="s">
        <v>39</v>
      </c>
      <c r="F746" s="5">
        <v>300</v>
      </c>
    </row>
    <row r="747" spans="1:6">
      <c r="A747" t="s">
        <v>1960</v>
      </c>
      <c r="B747" t="s">
        <v>1961</v>
      </c>
      <c r="C747">
        <v>43381001</v>
      </c>
      <c r="D747">
        <v>2000440</v>
      </c>
      <c r="E747" t="s">
        <v>729</v>
      </c>
      <c r="F747" s="5">
        <v>200</v>
      </c>
    </row>
    <row r="748" spans="1:6" hidden="1">
      <c r="A748" t="s">
        <v>4458</v>
      </c>
      <c r="B748" t="s">
        <v>4459</v>
      </c>
      <c r="C748">
        <v>76250849</v>
      </c>
      <c r="D748">
        <v>2003017</v>
      </c>
      <c r="E748" t="s">
        <v>39</v>
      </c>
      <c r="F748" s="5">
        <v>300</v>
      </c>
    </row>
    <row r="749" spans="1:6">
      <c r="A749" t="s">
        <v>4458</v>
      </c>
      <c r="B749" t="s">
        <v>4459</v>
      </c>
      <c r="C749">
        <v>76250849</v>
      </c>
      <c r="D749">
        <v>2003017</v>
      </c>
      <c r="E749" t="s">
        <v>729</v>
      </c>
      <c r="F749" s="5">
        <v>200</v>
      </c>
    </row>
    <row r="750" spans="1:6" hidden="1">
      <c r="A750" t="s">
        <v>1775</v>
      </c>
      <c r="B750" t="s">
        <v>1776</v>
      </c>
      <c r="C750">
        <v>17251301</v>
      </c>
      <c r="D750">
        <v>2001974</v>
      </c>
      <c r="E750" t="s">
        <v>39</v>
      </c>
      <c r="F750" s="5">
        <v>300</v>
      </c>
    </row>
    <row r="751" spans="1:6">
      <c r="A751" t="s">
        <v>1775</v>
      </c>
      <c r="B751" t="s">
        <v>1776</v>
      </c>
      <c r="C751">
        <v>17251301</v>
      </c>
      <c r="D751">
        <v>2001974</v>
      </c>
      <c r="E751" t="s">
        <v>729</v>
      </c>
      <c r="F751" s="5">
        <v>200</v>
      </c>
    </row>
    <row r="752" spans="1:6" hidden="1">
      <c r="A752" t="s">
        <v>1952</v>
      </c>
      <c r="B752" t="s">
        <v>1953</v>
      </c>
      <c r="C752">
        <v>42743401</v>
      </c>
      <c r="D752">
        <v>3000833</v>
      </c>
      <c r="E752" t="s">
        <v>39</v>
      </c>
      <c r="F752" s="5">
        <v>300</v>
      </c>
    </row>
    <row r="753" spans="1:6">
      <c r="A753" t="s">
        <v>1952</v>
      </c>
      <c r="B753" t="s">
        <v>1953</v>
      </c>
      <c r="C753">
        <v>42743401</v>
      </c>
      <c r="D753">
        <v>3000833</v>
      </c>
      <c r="E753" t="s">
        <v>729</v>
      </c>
      <c r="F753" s="5">
        <v>200</v>
      </c>
    </row>
    <row r="754" spans="1:6" hidden="1">
      <c r="A754" t="s">
        <v>1629</v>
      </c>
      <c r="B754" t="s">
        <v>1630</v>
      </c>
      <c r="C754">
        <v>5720026</v>
      </c>
      <c r="D754">
        <v>13029</v>
      </c>
      <c r="E754" t="s">
        <v>39</v>
      </c>
      <c r="F754" s="5">
        <v>300</v>
      </c>
    </row>
    <row r="755" spans="1:6">
      <c r="A755" t="s">
        <v>1629</v>
      </c>
      <c r="B755" t="s">
        <v>1630</v>
      </c>
      <c r="C755">
        <v>5720026</v>
      </c>
      <c r="D755">
        <v>13029</v>
      </c>
      <c r="E755" t="s">
        <v>729</v>
      </c>
      <c r="F755" s="5">
        <v>200</v>
      </c>
    </row>
    <row r="756" spans="1:6" hidden="1">
      <c r="A756" t="s">
        <v>2406</v>
      </c>
      <c r="B756" t="s">
        <v>2407</v>
      </c>
      <c r="C756">
        <v>76032340</v>
      </c>
      <c r="D756">
        <v>2001777</v>
      </c>
      <c r="E756" t="s">
        <v>39</v>
      </c>
      <c r="F756" s="5">
        <v>300</v>
      </c>
    </row>
    <row r="757" spans="1:6">
      <c r="A757" t="s">
        <v>2406</v>
      </c>
      <c r="B757" t="s">
        <v>2407</v>
      </c>
      <c r="C757">
        <v>76032340</v>
      </c>
      <c r="D757">
        <v>2001777</v>
      </c>
      <c r="E757" t="s">
        <v>729</v>
      </c>
      <c r="F757" s="5">
        <v>200</v>
      </c>
    </row>
    <row r="758" spans="1:6" hidden="1">
      <c r="A758" t="s">
        <v>258</v>
      </c>
      <c r="B758" t="s">
        <v>259</v>
      </c>
      <c r="C758">
        <v>76243293</v>
      </c>
      <c r="D758">
        <v>2503344</v>
      </c>
      <c r="E758" t="s">
        <v>39</v>
      </c>
      <c r="F758" s="5">
        <v>300</v>
      </c>
    </row>
    <row r="759" spans="1:6">
      <c r="A759" t="s">
        <v>258</v>
      </c>
      <c r="B759" t="s">
        <v>259</v>
      </c>
      <c r="C759">
        <v>76243293</v>
      </c>
      <c r="D759">
        <v>2503344</v>
      </c>
      <c r="E759" t="s">
        <v>729</v>
      </c>
      <c r="F759" s="5">
        <v>200</v>
      </c>
    </row>
    <row r="760" spans="1:6" hidden="1">
      <c r="A760" t="s">
        <v>4639</v>
      </c>
      <c r="B760" t="s">
        <v>4640</v>
      </c>
      <c r="C760">
        <v>76258911</v>
      </c>
      <c r="D760">
        <v>3002379</v>
      </c>
      <c r="E760" t="s">
        <v>39</v>
      </c>
      <c r="F760" s="5">
        <v>300</v>
      </c>
    </row>
    <row r="761" spans="1:6">
      <c r="A761" t="s">
        <v>4639</v>
      </c>
      <c r="B761" t="s">
        <v>4640</v>
      </c>
      <c r="C761">
        <v>76258911</v>
      </c>
      <c r="D761">
        <v>3002379</v>
      </c>
      <c r="E761" t="s">
        <v>729</v>
      </c>
      <c r="F761" s="5">
        <v>200</v>
      </c>
    </row>
    <row r="762" spans="1:6" hidden="1">
      <c r="A762" t="s">
        <v>4649</v>
      </c>
      <c r="B762" t="s">
        <v>4650</v>
      </c>
      <c r="C762">
        <v>76259305</v>
      </c>
      <c r="D762">
        <v>3002346</v>
      </c>
      <c r="E762" t="s">
        <v>39</v>
      </c>
      <c r="F762" s="5">
        <v>300</v>
      </c>
    </row>
    <row r="763" spans="1:6">
      <c r="A763" t="s">
        <v>4649</v>
      </c>
      <c r="B763" t="s">
        <v>4650</v>
      </c>
      <c r="C763">
        <v>76259305</v>
      </c>
      <c r="D763">
        <v>3002346</v>
      </c>
      <c r="E763" t="s">
        <v>729</v>
      </c>
      <c r="F763" s="5">
        <v>200</v>
      </c>
    </row>
    <row r="764" spans="1:6" hidden="1">
      <c r="A764" t="s">
        <v>4637</v>
      </c>
      <c r="B764" t="s">
        <v>4638</v>
      </c>
      <c r="C764">
        <v>76258908</v>
      </c>
      <c r="D764">
        <v>3002355</v>
      </c>
      <c r="E764" t="s">
        <v>39</v>
      </c>
      <c r="F764" s="5">
        <v>300</v>
      </c>
    </row>
    <row r="765" spans="1:6">
      <c r="A765" t="s">
        <v>4637</v>
      </c>
      <c r="B765" t="s">
        <v>4638</v>
      </c>
      <c r="C765">
        <v>76258908</v>
      </c>
      <c r="D765">
        <v>3002355</v>
      </c>
      <c r="E765" t="s">
        <v>729</v>
      </c>
      <c r="F765" s="5">
        <v>200</v>
      </c>
    </row>
    <row r="766" spans="1:6" hidden="1">
      <c r="A766" t="s">
        <v>1673</v>
      </c>
      <c r="B766" t="s">
        <v>1674</v>
      </c>
      <c r="C766">
        <v>9086501</v>
      </c>
      <c r="D766">
        <v>143038</v>
      </c>
      <c r="E766" t="s">
        <v>39</v>
      </c>
      <c r="F766" s="5">
        <v>300</v>
      </c>
    </row>
    <row r="767" spans="1:6">
      <c r="A767" t="s">
        <v>1673</v>
      </c>
      <c r="B767" t="s">
        <v>1674</v>
      </c>
      <c r="C767">
        <v>9086501</v>
      </c>
      <c r="D767">
        <v>143038</v>
      </c>
      <c r="E767" t="s">
        <v>729</v>
      </c>
      <c r="F767" s="5">
        <v>200</v>
      </c>
    </row>
    <row r="768" spans="1:6" hidden="1">
      <c r="A768" t="s">
        <v>2034</v>
      </c>
      <c r="B768" t="s">
        <v>2035</v>
      </c>
      <c r="C768">
        <v>71041216</v>
      </c>
      <c r="D768">
        <v>2502948</v>
      </c>
      <c r="E768" t="s">
        <v>39</v>
      </c>
      <c r="F768" s="5">
        <v>300</v>
      </c>
    </row>
    <row r="769" spans="1:6">
      <c r="A769" t="s">
        <v>2034</v>
      </c>
      <c r="B769" t="s">
        <v>2035</v>
      </c>
      <c r="C769">
        <v>71041216</v>
      </c>
      <c r="D769">
        <v>2502948</v>
      </c>
      <c r="E769" t="s">
        <v>729</v>
      </c>
      <c r="F769" s="5">
        <v>200</v>
      </c>
    </row>
    <row r="770" spans="1:6" hidden="1">
      <c r="A770" t="s">
        <v>3677</v>
      </c>
      <c r="B770" t="s">
        <v>3678</v>
      </c>
      <c r="C770">
        <v>76217296</v>
      </c>
      <c r="D770">
        <v>3262</v>
      </c>
      <c r="E770" t="s">
        <v>39</v>
      </c>
      <c r="F770" s="5">
        <v>400</v>
      </c>
    </row>
    <row r="771" spans="1:6">
      <c r="A771" t="s">
        <v>3677</v>
      </c>
      <c r="B771" t="s">
        <v>3678</v>
      </c>
      <c r="C771">
        <v>76217296</v>
      </c>
      <c r="D771">
        <v>3262</v>
      </c>
      <c r="E771" t="s">
        <v>729</v>
      </c>
      <c r="F771" s="5">
        <v>200</v>
      </c>
    </row>
    <row r="772" spans="1:6" hidden="1">
      <c r="A772" t="s">
        <v>2054</v>
      </c>
      <c r="B772" t="s">
        <v>2055</v>
      </c>
      <c r="C772">
        <v>71043501</v>
      </c>
      <c r="D772">
        <v>2500625</v>
      </c>
      <c r="E772" t="s">
        <v>39</v>
      </c>
      <c r="F772" s="5">
        <v>450</v>
      </c>
    </row>
    <row r="773" spans="1:6">
      <c r="A773" t="s">
        <v>2054</v>
      </c>
      <c r="B773" t="s">
        <v>2055</v>
      </c>
      <c r="C773">
        <v>71043501</v>
      </c>
      <c r="D773">
        <v>2500625</v>
      </c>
      <c r="E773" t="s">
        <v>729</v>
      </c>
      <c r="F773" s="5">
        <v>200</v>
      </c>
    </row>
    <row r="774" spans="1:6" hidden="1">
      <c r="A774" t="s">
        <v>2963</v>
      </c>
      <c r="B774" t="s">
        <v>2964</v>
      </c>
      <c r="C774">
        <v>76154117</v>
      </c>
      <c r="D774">
        <v>2501830</v>
      </c>
      <c r="E774" t="s">
        <v>39</v>
      </c>
      <c r="F774" s="5">
        <v>300</v>
      </c>
    </row>
    <row r="775" spans="1:6">
      <c r="A775" t="s">
        <v>2963</v>
      </c>
      <c r="B775" t="s">
        <v>2964</v>
      </c>
      <c r="C775">
        <v>76154117</v>
      </c>
      <c r="D775">
        <v>2501830</v>
      </c>
      <c r="E775" t="s">
        <v>729</v>
      </c>
      <c r="F775" s="5">
        <v>200</v>
      </c>
    </row>
    <row r="776" spans="1:6" hidden="1">
      <c r="A776" t="s">
        <v>2769</v>
      </c>
      <c r="B776" t="s">
        <v>2770</v>
      </c>
      <c r="C776">
        <v>76074483</v>
      </c>
      <c r="D776">
        <v>2003101</v>
      </c>
      <c r="E776" t="s">
        <v>39</v>
      </c>
      <c r="F776" s="5">
        <v>400</v>
      </c>
    </row>
    <row r="777" spans="1:6">
      <c r="A777" t="s">
        <v>2769</v>
      </c>
      <c r="B777" t="s">
        <v>2770</v>
      </c>
      <c r="C777">
        <v>76074483</v>
      </c>
      <c r="D777">
        <v>2003101</v>
      </c>
      <c r="E777" t="s">
        <v>729</v>
      </c>
      <c r="F777" s="5">
        <v>200</v>
      </c>
    </row>
    <row r="778" spans="1:6" hidden="1">
      <c r="A778" t="s">
        <v>4450</v>
      </c>
      <c r="B778" t="s">
        <v>4451</v>
      </c>
      <c r="C778">
        <v>76247082</v>
      </c>
      <c r="D778">
        <v>2002992</v>
      </c>
      <c r="E778" t="s">
        <v>39</v>
      </c>
      <c r="F778" s="5">
        <v>300</v>
      </c>
    </row>
    <row r="779" spans="1:6">
      <c r="A779" t="s">
        <v>4450</v>
      </c>
      <c r="B779" t="s">
        <v>4451</v>
      </c>
      <c r="C779">
        <v>76247082</v>
      </c>
      <c r="D779">
        <v>2002992</v>
      </c>
      <c r="E779" t="s">
        <v>729</v>
      </c>
      <c r="F779" s="5">
        <v>200</v>
      </c>
    </row>
    <row r="780" spans="1:6" hidden="1">
      <c r="A780" t="s">
        <v>2536</v>
      </c>
      <c r="B780" t="s">
        <v>2537</v>
      </c>
      <c r="C780">
        <v>76045042</v>
      </c>
      <c r="D780">
        <v>2503512</v>
      </c>
      <c r="E780" t="s">
        <v>39</v>
      </c>
      <c r="F780" s="5">
        <v>300</v>
      </c>
    </row>
    <row r="781" spans="1:6">
      <c r="A781" t="s">
        <v>2536</v>
      </c>
      <c r="B781" t="s">
        <v>2537</v>
      </c>
      <c r="C781">
        <v>76045042</v>
      </c>
      <c r="D781">
        <v>2503512</v>
      </c>
      <c r="E781" t="s">
        <v>729</v>
      </c>
      <c r="F781" s="5">
        <v>200</v>
      </c>
    </row>
    <row r="782" spans="1:6" hidden="1">
      <c r="A782" t="s">
        <v>3223</v>
      </c>
      <c r="B782" t="s">
        <v>3224</v>
      </c>
      <c r="C782">
        <v>76185026</v>
      </c>
      <c r="D782">
        <v>2503524</v>
      </c>
      <c r="E782" t="s">
        <v>39</v>
      </c>
      <c r="F782" s="5">
        <v>300</v>
      </c>
    </row>
    <row r="783" spans="1:6">
      <c r="A783" t="s">
        <v>3223</v>
      </c>
      <c r="B783" t="s">
        <v>3224</v>
      </c>
      <c r="C783">
        <v>76185026</v>
      </c>
      <c r="D783">
        <v>2503524</v>
      </c>
      <c r="E783" t="s">
        <v>729</v>
      </c>
      <c r="F783" s="5">
        <v>200</v>
      </c>
    </row>
    <row r="784" spans="1:6" hidden="1">
      <c r="A784" t="s">
        <v>1913</v>
      </c>
      <c r="B784" t="s">
        <v>1914</v>
      </c>
      <c r="C784">
        <v>37005801</v>
      </c>
      <c r="D784">
        <v>2503523</v>
      </c>
      <c r="E784" t="s">
        <v>39</v>
      </c>
      <c r="F784" s="5">
        <v>300</v>
      </c>
    </row>
    <row r="785" spans="1:6">
      <c r="A785" t="s">
        <v>1913</v>
      </c>
      <c r="B785" t="s">
        <v>1914</v>
      </c>
      <c r="C785">
        <v>37005801</v>
      </c>
      <c r="D785">
        <v>2503523</v>
      </c>
      <c r="E785" t="s">
        <v>729</v>
      </c>
      <c r="F785" s="5">
        <v>200</v>
      </c>
    </row>
    <row r="786" spans="1:6" hidden="1">
      <c r="A786" t="s">
        <v>2853</v>
      </c>
      <c r="B786" t="s">
        <v>2854</v>
      </c>
      <c r="C786">
        <v>76135779</v>
      </c>
      <c r="D786">
        <v>2503522</v>
      </c>
      <c r="E786" t="s">
        <v>39</v>
      </c>
      <c r="F786" s="5">
        <v>300</v>
      </c>
    </row>
    <row r="787" spans="1:6">
      <c r="A787" t="s">
        <v>2853</v>
      </c>
      <c r="B787" t="s">
        <v>2854</v>
      </c>
      <c r="C787">
        <v>76135779</v>
      </c>
      <c r="D787">
        <v>2503522</v>
      </c>
      <c r="E787" t="s">
        <v>729</v>
      </c>
      <c r="F787" s="5">
        <v>200</v>
      </c>
    </row>
    <row r="788" spans="1:6" hidden="1">
      <c r="A788" t="s">
        <v>3011</v>
      </c>
      <c r="B788" t="s">
        <v>3012</v>
      </c>
      <c r="C788">
        <v>76159018</v>
      </c>
      <c r="D788">
        <v>3000818</v>
      </c>
      <c r="E788" t="s">
        <v>39</v>
      </c>
      <c r="F788" s="5">
        <v>300</v>
      </c>
    </row>
    <row r="789" spans="1:6">
      <c r="A789" t="s">
        <v>3011</v>
      </c>
      <c r="B789" t="s">
        <v>3012</v>
      </c>
      <c r="C789">
        <v>76159018</v>
      </c>
      <c r="D789">
        <v>3000818</v>
      </c>
      <c r="E789" t="s">
        <v>729</v>
      </c>
      <c r="F789" s="5">
        <v>200</v>
      </c>
    </row>
    <row r="790" spans="1:6" hidden="1">
      <c r="A790" t="s">
        <v>3017</v>
      </c>
      <c r="B790" t="s">
        <v>3018</v>
      </c>
      <c r="C790">
        <v>76159148</v>
      </c>
      <c r="D790">
        <v>3000823</v>
      </c>
      <c r="E790" t="s">
        <v>39</v>
      </c>
      <c r="F790" s="5">
        <v>300</v>
      </c>
    </row>
    <row r="791" spans="1:6">
      <c r="A791" t="s">
        <v>3017</v>
      </c>
      <c r="B791" t="s">
        <v>3018</v>
      </c>
      <c r="C791">
        <v>76159148</v>
      </c>
      <c r="D791">
        <v>3000823</v>
      </c>
      <c r="E791" t="s">
        <v>729</v>
      </c>
      <c r="F791" s="5">
        <v>200</v>
      </c>
    </row>
    <row r="792" spans="1:6" hidden="1">
      <c r="A792" t="s">
        <v>4007</v>
      </c>
      <c r="B792" t="s">
        <v>4008</v>
      </c>
      <c r="C792">
        <v>76229191</v>
      </c>
      <c r="D792">
        <v>2502916</v>
      </c>
      <c r="E792" t="s">
        <v>39</v>
      </c>
      <c r="F792" s="5">
        <v>300</v>
      </c>
    </row>
    <row r="793" spans="1:6">
      <c r="A793" t="s">
        <v>4007</v>
      </c>
      <c r="B793" t="s">
        <v>4008</v>
      </c>
      <c r="C793">
        <v>76229191</v>
      </c>
      <c r="D793">
        <v>2502916</v>
      </c>
      <c r="E793" t="s">
        <v>729</v>
      </c>
      <c r="F793" s="5">
        <v>200</v>
      </c>
    </row>
    <row r="794" spans="1:6" hidden="1">
      <c r="A794" t="s">
        <v>4056</v>
      </c>
      <c r="B794" t="s">
        <v>4057</v>
      </c>
      <c r="C794">
        <v>76230022</v>
      </c>
      <c r="D794">
        <v>2502917</v>
      </c>
      <c r="E794" t="s">
        <v>39</v>
      </c>
      <c r="F794" s="5">
        <v>300</v>
      </c>
    </row>
    <row r="795" spans="1:6">
      <c r="A795" t="s">
        <v>4056</v>
      </c>
      <c r="B795" t="s">
        <v>4057</v>
      </c>
      <c r="C795">
        <v>76230022</v>
      </c>
      <c r="D795">
        <v>2502917</v>
      </c>
      <c r="E795" t="s">
        <v>729</v>
      </c>
      <c r="F795" s="5">
        <v>200</v>
      </c>
    </row>
    <row r="796" spans="1:6" hidden="1">
      <c r="A796" t="s">
        <v>2010</v>
      </c>
      <c r="B796" t="s">
        <v>2011</v>
      </c>
      <c r="C796">
        <v>71037962</v>
      </c>
      <c r="D796">
        <v>2002842</v>
      </c>
      <c r="E796" t="s">
        <v>39</v>
      </c>
      <c r="F796" s="5">
        <v>300</v>
      </c>
    </row>
    <row r="797" spans="1:6">
      <c r="A797" t="s">
        <v>2010</v>
      </c>
      <c r="B797" t="s">
        <v>2011</v>
      </c>
      <c r="C797">
        <v>71037962</v>
      </c>
      <c r="D797">
        <v>2002842</v>
      </c>
      <c r="E797" t="s">
        <v>729</v>
      </c>
      <c r="F797" s="5">
        <v>200</v>
      </c>
    </row>
    <row r="798" spans="1:6" hidden="1">
      <c r="A798" t="s">
        <v>2797</v>
      </c>
      <c r="B798" t="s">
        <v>2798</v>
      </c>
      <c r="C798">
        <v>76077479</v>
      </c>
      <c r="D798">
        <v>3001148</v>
      </c>
      <c r="E798" t="s">
        <v>39</v>
      </c>
      <c r="F798" s="5">
        <v>300</v>
      </c>
    </row>
    <row r="799" spans="1:6">
      <c r="A799" t="s">
        <v>2797</v>
      </c>
      <c r="B799" t="s">
        <v>2798</v>
      </c>
      <c r="C799">
        <v>76077479</v>
      </c>
      <c r="D799">
        <v>3001148</v>
      </c>
      <c r="E799" t="s">
        <v>729</v>
      </c>
      <c r="F799" s="5">
        <v>200</v>
      </c>
    </row>
    <row r="800" spans="1:6" hidden="1">
      <c r="A800" t="s">
        <v>3899</v>
      </c>
      <c r="B800" t="s">
        <v>3900</v>
      </c>
      <c r="C800">
        <v>76225948</v>
      </c>
      <c r="D800">
        <v>2001977</v>
      </c>
      <c r="E800" t="s">
        <v>39</v>
      </c>
      <c r="F800" s="5">
        <v>300</v>
      </c>
    </row>
    <row r="801" spans="1:6">
      <c r="A801" t="s">
        <v>3899</v>
      </c>
      <c r="B801" t="s">
        <v>3900</v>
      </c>
      <c r="C801">
        <v>76225948</v>
      </c>
      <c r="D801">
        <v>2001977</v>
      </c>
      <c r="E801" t="s">
        <v>729</v>
      </c>
      <c r="F801" s="5">
        <v>200</v>
      </c>
    </row>
    <row r="802" spans="1:6" hidden="1">
      <c r="A802" t="s">
        <v>715</v>
      </c>
      <c r="B802" t="s">
        <v>716</v>
      </c>
      <c r="C802">
        <v>76255135</v>
      </c>
      <c r="D802">
        <v>8105</v>
      </c>
      <c r="E802" t="s">
        <v>39</v>
      </c>
      <c r="F802" s="5">
        <v>300</v>
      </c>
    </row>
    <row r="803" spans="1:6">
      <c r="A803" t="s">
        <v>715</v>
      </c>
      <c r="B803" t="s">
        <v>716</v>
      </c>
      <c r="C803">
        <v>76255135</v>
      </c>
      <c r="D803">
        <v>8105</v>
      </c>
      <c r="E803" t="s">
        <v>729</v>
      </c>
      <c r="F803" s="5">
        <v>200</v>
      </c>
    </row>
    <row r="804" spans="1:6" hidden="1">
      <c r="A804" t="s">
        <v>4160</v>
      </c>
      <c r="B804" t="s">
        <v>4161</v>
      </c>
      <c r="C804">
        <v>76233204</v>
      </c>
      <c r="D804">
        <v>2503308</v>
      </c>
      <c r="E804" t="s">
        <v>39</v>
      </c>
      <c r="F804" s="5">
        <v>300</v>
      </c>
    </row>
    <row r="805" spans="1:6">
      <c r="A805" t="s">
        <v>4160</v>
      </c>
      <c r="B805" t="s">
        <v>4161</v>
      </c>
      <c r="C805">
        <v>76233204</v>
      </c>
      <c r="D805">
        <v>2503308</v>
      </c>
      <c r="E805" t="s">
        <v>729</v>
      </c>
      <c r="F805" s="5">
        <v>200</v>
      </c>
    </row>
    <row r="806" spans="1:6" hidden="1">
      <c r="A806" t="s">
        <v>4162</v>
      </c>
      <c r="B806" t="s">
        <v>4163</v>
      </c>
      <c r="C806">
        <v>76233205</v>
      </c>
      <c r="D806">
        <v>2503283</v>
      </c>
      <c r="E806" t="s">
        <v>39</v>
      </c>
      <c r="F806" s="5">
        <v>400</v>
      </c>
    </row>
    <row r="807" spans="1:6">
      <c r="A807" t="s">
        <v>4162</v>
      </c>
      <c r="B807" t="s">
        <v>4163</v>
      </c>
      <c r="C807">
        <v>76233205</v>
      </c>
      <c r="D807">
        <v>2503283</v>
      </c>
      <c r="E807" t="s">
        <v>729</v>
      </c>
      <c r="F807" s="5">
        <v>200</v>
      </c>
    </row>
    <row r="808" spans="1:6" hidden="1">
      <c r="A808" t="s">
        <v>2428</v>
      </c>
      <c r="B808" t="s">
        <v>2429</v>
      </c>
      <c r="C808">
        <v>76034470</v>
      </c>
      <c r="D808">
        <v>2503192</v>
      </c>
      <c r="E808" t="s">
        <v>39</v>
      </c>
      <c r="F808" s="5">
        <v>300</v>
      </c>
    </row>
    <row r="809" spans="1:6">
      <c r="A809" t="s">
        <v>2428</v>
      </c>
      <c r="B809" t="s">
        <v>2429</v>
      </c>
      <c r="C809">
        <v>76034470</v>
      </c>
      <c r="D809">
        <v>2503192</v>
      </c>
      <c r="E809" t="s">
        <v>729</v>
      </c>
      <c r="F809" s="5">
        <v>200</v>
      </c>
    </row>
    <row r="810" spans="1:6" hidden="1">
      <c r="A810" t="s">
        <v>2186</v>
      </c>
      <c r="B810" t="s">
        <v>2187</v>
      </c>
      <c r="C810">
        <v>71057319</v>
      </c>
      <c r="D810">
        <v>2503153</v>
      </c>
      <c r="E810" t="s">
        <v>39</v>
      </c>
      <c r="F810" s="5">
        <v>300</v>
      </c>
    </row>
    <row r="811" spans="1:6">
      <c r="A811" t="s">
        <v>2186</v>
      </c>
      <c r="B811" t="s">
        <v>2187</v>
      </c>
      <c r="C811">
        <v>71057319</v>
      </c>
      <c r="D811">
        <v>2503153</v>
      </c>
      <c r="E811" t="s">
        <v>729</v>
      </c>
      <c r="F811" s="5">
        <v>200</v>
      </c>
    </row>
    <row r="812" spans="1:6" hidden="1">
      <c r="A812" t="s">
        <v>1507</v>
      </c>
      <c r="B812" t="s">
        <v>1508</v>
      </c>
      <c r="C812">
        <v>1023201</v>
      </c>
      <c r="D812">
        <v>1500194</v>
      </c>
      <c r="E812" t="s">
        <v>39</v>
      </c>
      <c r="F812" s="5">
        <v>300</v>
      </c>
    </row>
    <row r="813" spans="1:6">
      <c r="A813" t="s">
        <v>1507</v>
      </c>
      <c r="B813" t="s">
        <v>1508</v>
      </c>
      <c r="C813">
        <v>1023201</v>
      </c>
      <c r="D813">
        <v>1500194</v>
      </c>
      <c r="E813" t="s">
        <v>729</v>
      </c>
      <c r="F813" s="5">
        <v>200</v>
      </c>
    </row>
    <row r="814" spans="1:6" hidden="1">
      <c r="A814" t="s">
        <v>1555</v>
      </c>
      <c r="B814" t="s">
        <v>1556</v>
      </c>
      <c r="C814">
        <v>1326302</v>
      </c>
      <c r="D814">
        <v>1500193</v>
      </c>
      <c r="E814" t="s">
        <v>39</v>
      </c>
      <c r="F814" s="5">
        <v>300</v>
      </c>
    </row>
    <row r="815" spans="1:6">
      <c r="A815" t="s">
        <v>1555</v>
      </c>
      <c r="B815" t="s">
        <v>1556</v>
      </c>
      <c r="C815">
        <v>1326302</v>
      </c>
      <c r="D815">
        <v>1500193</v>
      </c>
      <c r="E815" t="s">
        <v>729</v>
      </c>
      <c r="F815" s="5">
        <v>200</v>
      </c>
    </row>
    <row r="816" spans="1:6" hidden="1">
      <c r="A816" t="s">
        <v>1557</v>
      </c>
      <c r="B816" t="s">
        <v>1558</v>
      </c>
      <c r="C816">
        <v>1326328</v>
      </c>
      <c r="D816">
        <v>1500195</v>
      </c>
      <c r="E816" t="s">
        <v>39</v>
      </c>
      <c r="F816" s="5">
        <v>300</v>
      </c>
    </row>
    <row r="817" spans="1:6">
      <c r="A817" t="s">
        <v>1557</v>
      </c>
      <c r="B817" t="s">
        <v>1558</v>
      </c>
      <c r="C817">
        <v>1326328</v>
      </c>
      <c r="D817">
        <v>1500195</v>
      </c>
      <c r="E817" t="s">
        <v>729</v>
      </c>
      <c r="F817" s="5">
        <v>200</v>
      </c>
    </row>
    <row r="818" spans="1:6" hidden="1">
      <c r="A818" t="s">
        <v>1779</v>
      </c>
      <c r="B818" t="s">
        <v>1780</v>
      </c>
      <c r="C818">
        <v>17298301</v>
      </c>
      <c r="D818">
        <v>3214</v>
      </c>
      <c r="E818" t="s">
        <v>39</v>
      </c>
      <c r="F818" s="5">
        <v>300</v>
      </c>
    </row>
    <row r="819" spans="1:6">
      <c r="A819" t="s">
        <v>1779</v>
      </c>
      <c r="B819" t="s">
        <v>1780</v>
      </c>
      <c r="C819">
        <v>17298301</v>
      </c>
      <c r="D819">
        <v>3214</v>
      </c>
      <c r="E819" t="s">
        <v>729</v>
      </c>
      <c r="F819" s="5">
        <v>200</v>
      </c>
    </row>
    <row r="820" spans="1:6" hidden="1">
      <c r="A820" t="s">
        <v>1980</v>
      </c>
      <c r="B820" t="s">
        <v>1981</v>
      </c>
      <c r="C820">
        <v>52404701</v>
      </c>
      <c r="D820">
        <v>2502349</v>
      </c>
      <c r="E820" t="s">
        <v>39</v>
      </c>
      <c r="F820" s="5">
        <v>300</v>
      </c>
    </row>
    <row r="821" spans="1:6">
      <c r="A821" t="s">
        <v>1980</v>
      </c>
      <c r="B821" t="s">
        <v>1981</v>
      </c>
      <c r="C821">
        <v>52404701</v>
      </c>
      <c r="D821">
        <v>2502349</v>
      </c>
      <c r="E821" t="s">
        <v>729</v>
      </c>
      <c r="F821" s="5">
        <v>200</v>
      </c>
    </row>
    <row r="822" spans="1:6" hidden="1">
      <c r="A822" t="s">
        <v>3803</v>
      </c>
      <c r="B822" t="s">
        <v>3804</v>
      </c>
      <c r="C822">
        <v>76221445</v>
      </c>
      <c r="D822">
        <v>2502349</v>
      </c>
      <c r="E822" t="s">
        <v>39</v>
      </c>
      <c r="F822" s="5">
        <v>300</v>
      </c>
    </row>
    <row r="823" spans="1:6">
      <c r="A823" t="s">
        <v>3803</v>
      </c>
      <c r="B823" t="s">
        <v>3804</v>
      </c>
      <c r="C823">
        <v>76221445</v>
      </c>
      <c r="D823">
        <v>2502349</v>
      </c>
      <c r="E823" t="s">
        <v>729</v>
      </c>
      <c r="F823" s="5">
        <v>200</v>
      </c>
    </row>
    <row r="824" spans="1:6" hidden="1">
      <c r="A824" t="s">
        <v>1982</v>
      </c>
      <c r="B824" t="s">
        <v>1983</v>
      </c>
      <c r="C824">
        <v>52404701</v>
      </c>
      <c r="D824">
        <v>2501752</v>
      </c>
      <c r="E824" t="s">
        <v>39</v>
      </c>
      <c r="F824" s="5">
        <v>450</v>
      </c>
    </row>
    <row r="825" spans="1:6">
      <c r="A825" t="s">
        <v>1982</v>
      </c>
      <c r="B825" t="s">
        <v>1983</v>
      </c>
      <c r="C825">
        <v>52404701</v>
      </c>
      <c r="D825">
        <v>2501752</v>
      </c>
      <c r="E825" t="s">
        <v>729</v>
      </c>
      <c r="F825" s="5">
        <v>200</v>
      </c>
    </row>
    <row r="826" spans="1:6" hidden="1">
      <c r="A826" t="s">
        <v>1877</v>
      </c>
      <c r="B826" t="s">
        <v>1878</v>
      </c>
      <c r="C826">
        <v>29111401</v>
      </c>
      <c r="D826">
        <v>2001961</v>
      </c>
      <c r="E826" t="s">
        <v>39</v>
      </c>
      <c r="F826" s="5">
        <v>300</v>
      </c>
    </row>
    <row r="827" spans="1:6">
      <c r="A827" t="s">
        <v>1877</v>
      </c>
      <c r="B827" t="s">
        <v>1878</v>
      </c>
      <c r="C827">
        <v>29111401</v>
      </c>
      <c r="D827">
        <v>2001961</v>
      </c>
      <c r="E827" t="s">
        <v>729</v>
      </c>
      <c r="F827" s="5">
        <v>200</v>
      </c>
    </row>
    <row r="828" spans="1:6" hidden="1">
      <c r="A828" t="s">
        <v>123</v>
      </c>
      <c r="B828" t="s">
        <v>124</v>
      </c>
      <c r="C828">
        <v>76215310</v>
      </c>
      <c r="D828">
        <v>2700010</v>
      </c>
      <c r="E828" t="s">
        <v>39</v>
      </c>
      <c r="F828" s="5">
        <v>300</v>
      </c>
    </row>
    <row r="829" spans="1:6">
      <c r="A829" t="s">
        <v>123</v>
      </c>
      <c r="B829" t="s">
        <v>124</v>
      </c>
      <c r="C829">
        <v>76215310</v>
      </c>
      <c r="D829">
        <v>2700010</v>
      </c>
      <c r="E829" t="s">
        <v>729</v>
      </c>
      <c r="F829" s="5">
        <v>200</v>
      </c>
    </row>
    <row r="830" spans="1:6" hidden="1">
      <c r="A830" t="s">
        <v>53</v>
      </c>
      <c r="B830" t="s">
        <v>54</v>
      </c>
      <c r="C830">
        <v>33049702</v>
      </c>
      <c r="D830">
        <v>2700012</v>
      </c>
      <c r="E830" t="s">
        <v>39</v>
      </c>
      <c r="F830" s="5">
        <v>300</v>
      </c>
    </row>
    <row r="831" spans="1:6">
      <c r="A831" t="s">
        <v>53</v>
      </c>
      <c r="B831" t="s">
        <v>54</v>
      </c>
      <c r="C831">
        <v>33049702</v>
      </c>
      <c r="D831">
        <v>2700012</v>
      </c>
      <c r="E831" t="s">
        <v>729</v>
      </c>
      <c r="F831" s="5">
        <v>200</v>
      </c>
    </row>
    <row r="832" spans="1:6" hidden="1">
      <c r="A832" t="s">
        <v>2590</v>
      </c>
      <c r="B832" t="s">
        <v>2591</v>
      </c>
      <c r="C832">
        <v>76056610</v>
      </c>
      <c r="D832">
        <v>143054</v>
      </c>
      <c r="E832" t="s">
        <v>39</v>
      </c>
      <c r="F832" s="5">
        <v>450</v>
      </c>
    </row>
    <row r="833" spans="1:6">
      <c r="A833" t="s">
        <v>2590</v>
      </c>
      <c r="B833" t="s">
        <v>2591</v>
      </c>
      <c r="C833">
        <v>76056610</v>
      </c>
      <c r="D833">
        <v>143054</v>
      </c>
      <c r="E833" t="s">
        <v>729</v>
      </c>
      <c r="F833" s="5">
        <v>200</v>
      </c>
    </row>
    <row r="834" spans="1:6" hidden="1">
      <c r="A834" t="s">
        <v>2122</v>
      </c>
      <c r="B834" t="s">
        <v>2123</v>
      </c>
      <c r="C834">
        <v>71049755</v>
      </c>
      <c r="D834">
        <v>8078</v>
      </c>
      <c r="E834" t="s">
        <v>39</v>
      </c>
      <c r="F834" s="5">
        <v>300</v>
      </c>
    </row>
    <row r="835" spans="1:6">
      <c r="A835" t="s">
        <v>2122</v>
      </c>
      <c r="B835" t="s">
        <v>2123</v>
      </c>
      <c r="C835">
        <v>71049755</v>
      </c>
      <c r="D835">
        <v>8078</v>
      </c>
      <c r="E835" t="s">
        <v>729</v>
      </c>
      <c r="F835" s="5">
        <v>200</v>
      </c>
    </row>
    <row r="836" spans="1:6" hidden="1">
      <c r="A836" t="s">
        <v>1813</v>
      </c>
      <c r="B836" t="s">
        <v>1814</v>
      </c>
      <c r="C836">
        <v>25139901</v>
      </c>
      <c r="D836">
        <v>11134</v>
      </c>
      <c r="E836" t="s">
        <v>39</v>
      </c>
      <c r="F836" s="5">
        <v>300</v>
      </c>
    </row>
    <row r="837" spans="1:6">
      <c r="A837" t="s">
        <v>1813</v>
      </c>
      <c r="B837" t="s">
        <v>1814</v>
      </c>
      <c r="C837">
        <v>25139901</v>
      </c>
      <c r="D837">
        <v>11134</v>
      </c>
      <c r="E837" t="s">
        <v>729</v>
      </c>
      <c r="F837" s="5">
        <v>200</v>
      </c>
    </row>
    <row r="838" spans="1:6" hidden="1">
      <c r="A838" t="s">
        <v>201</v>
      </c>
      <c r="B838" t="s">
        <v>202</v>
      </c>
      <c r="C838">
        <v>76232815</v>
      </c>
      <c r="D838">
        <v>0</v>
      </c>
      <c r="E838" t="s">
        <v>39</v>
      </c>
      <c r="F838" s="5">
        <v>400</v>
      </c>
    </row>
    <row r="839" spans="1:6">
      <c r="A839" t="s">
        <v>201</v>
      </c>
      <c r="B839" t="s">
        <v>202</v>
      </c>
      <c r="C839">
        <v>76232815</v>
      </c>
      <c r="D839">
        <v>0</v>
      </c>
      <c r="E839" t="s">
        <v>729</v>
      </c>
      <c r="F839" s="5">
        <v>200</v>
      </c>
    </row>
    <row r="840" spans="1:6" hidden="1">
      <c r="A840" t="s">
        <v>1547</v>
      </c>
      <c r="B840" t="s">
        <v>1548</v>
      </c>
      <c r="C840">
        <v>1322901</v>
      </c>
      <c r="D840">
        <v>3000418</v>
      </c>
      <c r="E840" t="s">
        <v>39</v>
      </c>
      <c r="F840" s="5">
        <v>300</v>
      </c>
    </row>
    <row r="841" spans="1:6">
      <c r="A841" t="s">
        <v>1547</v>
      </c>
      <c r="B841" t="s">
        <v>1548</v>
      </c>
      <c r="C841">
        <v>1322901</v>
      </c>
      <c r="D841">
        <v>3000418</v>
      </c>
      <c r="E841" t="s">
        <v>729</v>
      </c>
      <c r="F841" s="5">
        <v>200</v>
      </c>
    </row>
    <row r="842" spans="1:6" hidden="1">
      <c r="A842" t="s">
        <v>4228</v>
      </c>
      <c r="B842" t="s">
        <v>4229</v>
      </c>
      <c r="C842">
        <v>76235166</v>
      </c>
      <c r="D842">
        <v>3001704</v>
      </c>
      <c r="E842" t="s">
        <v>39</v>
      </c>
      <c r="F842" s="5">
        <v>300</v>
      </c>
    </row>
    <row r="843" spans="1:6">
      <c r="A843" t="s">
        <v>4228</v>
      </c>
      <c r="B843" t="s">
        <v>4229</v>
      </c>
      <c r="C843">
        <v>76235166</v>
      </c>
      <c r="D843">
        <v>3001704</v>
      </c>
      <c r="E843" t="s">
        <v>729</v>
      </c>
      <c r="F843" s="5">
        <v>200</v>
      </c>
    </row>
    <row r="844" spans="1:6" hidden="1">
      <c r="A844" t="s">
        <v>554</v>
      </c>
      <c r="B844" t="s">
        <v>555</v>
      </c>
      <c r="C844">
        <v>76171640</v>
      </c>
      <c r="D844">
        <v>3001065</v>
      </c>
      <c r="E844" t="s">
        <v>39</v>
      </c>
      <c r="F844" s="5">
        <v>300</v>
      </c>
    </row>
    <row r="845" spans="1:6">
      <c r="A845" t="s">
        <v>554</v>
      </c>
      <c r="B845" t="s">
        <v>555</v>
      </c>
      <c r="C845">
        <v>76171640</v>
      </c>
      <c r="D845">
        <v>3001065</v>
      </c>
      <c r="E845" t="s">
        <v>729</v>
      </c>
      <c r="F845" s="5">
        <v>200</v>
      </c>
    </row>
    <row r="846" spans="1:6" hidden="1">
      <c r="A846" t="s">
        <v>2192</v>
      </c>
      <c r="B846" t="s">
        <v>2193</v>
      </c>
      <c r="C846">
        <v>71057754</v>
      </c>
      <c r="D846">
        <v>2503282</v>
      </c>
      <c r="E846" t="s">
        <v>39</v>
      </c>
      <c r="F846" s="5">
        <v>300</v>
      </c>
    </row>
    <row r="847" spans="1:6">
      <c r="A847" t="s">
        <v>2192</v>
      </c>
      <c r="B847" t="s">
        <v>2193</v>
      </c>
      <c r="C847">
        <v>71057754</v>
      </c>
      <c r="D847">
        <v>2503282</v>
      </c>
      <c r="E847" t="s">
        <v>729</v>
      </c>
      <c r="F847" s="5">
        <v>200</v>
      </c>
    </row>
    <row r="848" spans="1:6" hidden="1">
      <c r="A848" t="s">
        <v>2084</v>
      </c>
      <c r="B848" t="s">
        <v>2085</v>
      </c>
      <c r="C848">
        <v>71046391</v>
      </c>
      <c r="D848">
        <v>0</v>
      </c>
      <c r="E848" t="s">
        <v>39</v>
      </c>
      <c r="F848" s="5">
        <v>400</v>
      </c>
    </row>
    <row r="849" spans="1:6">
      <c r="A849" t="s">
        <v>2084</v>
      </c>
      <c r="B849" t="s">
        <v>2085</v>
      </c>
      <c r="C849">
        <v>71046391</v>
      </c>
      <c r="D849">
        <v>0</v>
      </c>
      <c r="E849" t="s">
        <v>729</v>
      </c>
      <c r="F849" s="5">
        <v>200</v>
      </c>
    </row>
    <row r="850" spans="1:6" hidden="1">
      <c r="A850" t="s">
        <v>3817</v>
      </c>
      <c r="B850" t="s">
        <v>3818</v>
      </c>
      <c r="C850">
        <v>76222163</v>
      </c>
      <c r="D850">
        <v>3002130</v>
      </c>
      <c r="E850" t="s">
        <v>39</v>
      </c>
      <c r="F850" s="5">
        <v>300</v>
      </c>
    </row>
    <row r="851" spans="1:6">
      <c r="A851" t="s">
        <v>3817</v>
      </c>
      <c r="B851" t="s">
        <v>3818</v>
      </c>
      <c r="C851">
        <v>76222163</v>
      </c>
      <c r="D851">
        <v>3002130</v>
      </c>
      <c r="E851" t="s">
        <v>729</v>
      </c>
      <c r="F851" s="5">
        <v>200</v>
      </c>
    </row>
    <row r="852" spans="1:6" hidden="1">
      <c r="A852" t="s">
        <v>551</v>
      </c>
      <c r="B852" t="s">
        <v>552</v>
      </c>
      <c r="C852">
        <v>76171400</v>
      </c>
      <c r="D852">
        <v>2002889</v>
      </c>
      <c r="E852" t="s">
        <v>39</v>
      </c>
      <c r="F852" s="5">
        <v>300</v>
      </c>
    </row>
    <row r="853" spans="1:6">
      <c r="A853" t="s">
        <v>551</v>
      </c>
      <c r="B853" t="s">
        <v>552</v>
      </c>
      <c r="C853">
        <v>76171400</v>
      </c>
      <c r="D853">
        <v>2002889</v>
      </c>
      <c r="E853" t="s">
        <v>729</v>
      </c>
      <c r="F853" s="5">
        <v>200</v>
      </c>
    </row>
    <row r="854" spans="1:6" hidden="1">
      <c r="A854" t="s">
        <v>2847</v>
      </c>
      <c r="B854" t="s">
        <v>2848</v>
      </c>
      <c r="C854">
        <v>76133951</v>
      </c>
      <c r="D854">
        <v>3001522</v>
      </c>
      <c r="E854" t="s">
        <v>39</v>
      </c>
      <c r="F854" s="5">
        <v>300</v>
      </c>
    </row>
    <row r="855" spans="1:6">
      <c r="A855" t="s">
        <v>2847</v>
      </c>
      <c r="B855" t="s">
        <v>2848</v>
      </c>
      <c r="C855">
        <v>76133951</v>
      </c>
      <c r="D855">
        <v>3001522</v>
      </c>
      <c r="E855" t="s">
        <v>729</v>
      </c>
      <c r="F855" s="5">
        <v>200</v>
      </c>
    </row>
    <row r="856" spans="1:6" hidden="1">
      <c r="A856" t="s">
        <v>2681</v>
      </c>
      <c r="B856" t="s">
        <v>2682</v>
      </c>
      <c r="C856">
        <v>76066082</v>
      </c>
      <c r="D856">
        <v>9110</v>
      </c>
      <c r="E856" t="s">
        <v>39</v>
      </c>
      <c r="F856" s="5">
        <v>300</v>
      </c>
    </row>
    <row r="857" spans="1:6">
      <c r="A857" t="s">
        <v>2681</v>
      </c>
      <c r="B857" t="s">
        <v>2682</v>
      </c>
      <c r="C857">
        <v>76066082</v>
      </c>
      <c r="D857">
        <v>9110</v>
      </c>
      <c r="E857" t="s">
        <v>729</v>
      </c>
      <c r="F857" s="5">
        <v>200</v>
      </c>
    </row>
    <row r="858" spans="1:6" hidden="1">
      <c r="A858" t="s">
        <v>2683</v>
      </c>
      <c r="B858" t="s">
        <v>2684</v>
      </c>
      <c r="C858">
        <v>76066083</v>
      </c>
      <c r="D858">
        <v>9093</v>
      </c>
      <c r="E858" t="s">
        <v>39</v>
      </c>
      <c r="F858" s="5">
        <v>300</v>
      </c>
    </row>
    <row r="859" spans="1:6">
      <c r="A859" t="s">
        <v>2683</v>
      </c>
      <c r="B859" t="s">
        <v>2684</v>
      </c>
      <c r="C859">
        <v>76066083</v>
      </c>
      <c r="D859">
        <v>9093</v>
      </c>
      <c r="E859" t="s">
        <v>729</v>
      </c>
      <c r="F859" s="5">
        <v>200</v>
      </c>
    </row>
    <row r="860" spans="1:6" hidden="1">
      <c r="A860" t="s">
        <v>2685</v>
      </c>
      <c r="B860" t="s">
        <v>2686</v>
      </c>
      <c r="C860">
        <v>76066084</v>
      </c>
      <c r="D860">
        <v>9091</v>
      </c>
      <c r="E860" t="s">
        <v>39</v>
      </c>
      <c r="F860" s="5">
        <v>300</v>
      </c>
    </row>
    <row r="861" spans="1:6">
      <c r="A861" t="s">
        <v>2685</v>
      </c>
      <c r="B861" t="s">
        <v>2686</v>
      </c>
      <c r="C861">
        <v>76066084</v>
      </c>
      <c r="D861">
        <v>9091</v>
      </c>
      <c r="E861" t="s">
        <v>729</v>
      </c>
      <c r="F861" s="5">
        <v>200</v>
      </c>
    </row>
    <row r="862" spans="1:6" hidden="1">
      <c r="A862" t="s">
        <v>2687</v>
      </c>
      <c r="B862" t="s">
        <v>2688</v>
      </c>
      <c r="C862">
        <v>76066085</v>
      </c>
      <c r="D862">
        <v>9113</v>
      </c>
      <c r="E862" t="s">
        <v>39</v>
      </c>
      <c r="F862" s="5">
        <v>300</v>
      </c>
    </row>
    <row r="863" spans="1:6">
      <c r="A863" t="s">
        <v>2687</v>
      </c>
      <c r="B863" t="s">
        <v>2688</v>
      </c>
      <c r="C863">
        <v>76066085</v>
      </c>
      <c r="D863">
        <v>9113</v>
      </c>
      <c r="E863" t="s">
        <v>729</v>
      </c>
      <c r="F863" s="5">
        <v>200</v>
      </c>
    </row>
    <row r="864" spans="1:6" hidden="1">
      <c r="A864" t="s">
        <v>2689</v>
      </c>
      <c r="B864" t="s">
        <v>2690</v>
      </c>
      <c r="C864">
        <v>76066088</v>
      </c>
      <c r="D864">
        <v>9058</v>
      </c>
      <c r="E864" t="s">
        <v>39</v>
      </c>
      <c r="F864" s="5">
        <v>300</v>
      </c>
    </row>
    <row r="865" spans="1:6">
      <c r="A865" t="s">
        <v>2689</v>
      </c>
      <c r="B865" t="s">
        <v>2690</v>
      </c>
      <c r="C865">
        <v>76066088</v>
      </c>
      <c r="D865">
        <v>9058</v>
      </c>
      <c r="E865" t="s">
        <v>729</v>
      </c>
      <c r="F865" s="5">
        <v>200</v>
      </c>
    </row>
    <row r="866" spans="1:6" hidden="1">
      <c r="A866" t="s">
        <v>2691</v>
      </c>
      <c r="B866" t="s">
        <v>2692</v>
      </c>
      <c r="C866">
        <v>76066091</v>
      </c>
      <c r="D866">
        <v>9115</v>
      </c>
      <c r="E866" t="s">
        <v>39</v>
      </c>
      <c r="F866" s="5">
        <v>300</v>
      </c>
    </row>
    <row r="867" spans="1:6">
      <c r="A867" t="s">
        <v>2691</v>
      </c>
      <c r="B867" t="s">
        <v>2692</v>
      </c>
      <c r="C867">
        <v>76066091</v>
      </c>
      <c r="D867">
        <v>9115</v>
      </c>
      <c r="E867" t="s">
        <v>729</v>
      </c>
      <c r="F867" s="5">
        <v>200</v>
      </c>
    </row>
    <row r="868" spans="1:6" hidden="1">
      <c r="A868" t="s">
        <v>2861</v>
      </c>
      <c r="B868" t="s">
        <v>2862</v>
      </c>
      <c r="C868">
        <v>76136763</v>
      </c>
      <c r="D868">
        <v>2503272</v>
      </c>
      <c r="E868" t="s">
        <v>39</v>
      </c>
      <c r="F868" s="5">
        <v>300</v>
      </c>
    </row>
    <row r="869" spans="1:6">
      <c r="A869" t="s">
        <v>2861</v>
      </c>
      <c r="B869" t="s">
        <v>2862</v>
      </c>
      <c r="C869">
        <v>76136763</v>
      </c>
      <c r="D869">
        <v>2503272</v>
      </c>
      <c r="E869" t="s">
        <v>729</v>
      </c>
      <c r="F869" s="5">
        <v>200</v>
      </c>
    </row>
    <row r="870" spans="1:6" hidden="1">
      <c r="A870" t="s">
        <v>210</v>
      </c>
      <c r="B870" t="s">
        <v>211</v>
      </c>
      <c r="C870">
        <v>76234206</v>
      </c>
      <c r="D870">
        <v>2003022</v>
      </c>
      <c r="E870" t="s">
        <v>39</v>
      </c>
      <c r="F870" s="5">
        <v>300</v>
      </c>
    </row>
    <row r="871" spans="1:6">
      <c r="A871" t="s">
        <v>210</v>
      </c>
      <c r="B871" t="s">
        <v>211</v>
      </c>
      <c r="C871">
        <v>76234206</v>
      </c>
      <c r="D871">
        <v>2003022</v>
      </c>
      <c r="E871" t="s">
        <v>729</v>
      </c>
      <c r="F871" s="5">
        <v>200</v>
      </c>
    </row>
    <row r="872" spans="1:6" hidden="1">
      <c r="A872" t="s">
        <v>3961</v>
      </c>
      <c r="B872" t="s">
        <v>3962</v>
      </c>
      <c r="C872">
        <v>76228185</v>
      </c>
      <c r="D872">
        <v>3015</v>
      </c>
      <c r="E872" t="s">
        <v>39</v>
      </c>
      <c r="F872" s="5">
        <v>300</v>
      </c>
    </row>
    <row r="873" spans="1:6">
      <c r="A873" t="s">
        <v>3961</v>
      </c>
      <c r="B873" t="s">
        <v>3962</v>
      </c>
      <c r="C873">
        <v>76228185</v>
      </c>
      <c r="D873">
        <v>3015</v>
      </c>
      <c r="E873" t="s">
        <v>729</v>
      </c>
      <c r="F873" s="5">
        <v>200</v>
      </c>
    </row>
    <row r="874" spans="1:6" hidden="1">
      <c r="A874" t="s">
        <v>4200</v>
      </c>
      <c r="B874" t="s">
        <v>4201</v>
      </c>
      <c r="C874">
        <v>76234704</v>
      </c>
      <c r="D874">
        <v>2002603</v>
      </c>
      <c r="E874" t="s">
        <v>39</v>
      </c>
      <c r="F874" s="5">
        <v>300</v>
      </c>
    </row>
    <row r="875" spans="1:6">
      <c r="A875" t="s">
        <v>4200</v>
      </c>
      <c r="B875" t="s">
        <v>4201</v>
      </c>
      <c r="C875">
        <v>76234704</v>
      </c>
      <c r="D875">
        <v>2002603</v>
      </c>
      <c r="E875" t="s">
        <v>729</v>
      </c>
      <c r="F875" s="5">
        <v>200</v>
      </c>
    </row>
    <row r="876" spans="1:6" hidden="1">
      <c r="A876" t="s">
        <v>4206</v>
      </c>
      <c r="B876" t="s">
        <v>4207</v>
      </c>
      <c r="C876">
        <v>76234714</v>
      </c>
      <c r="D876">
        <v>2002666</v>
      </c>
      <c r="E876" t="s">
        <v>39</v>
      </c>
      <c r="F876" s="5">
        <v>300</v>
      </c>
    </row>
    <row r="877" spans="1:6">
      <c r="A877" t="s">
        <v>4206</v>
      </c>
      <c r="B877" t="s">
        <v>4207</v>
      </c>
      <c r="C877">
        <v>76234714</v>
      </c>
      <c r="D877">
        <v>2002666</v>
      </c>
      <c r="E877" t="s">
        <v>729</v>
      </c>
      <c r="F877" s="5">
        <v>200</v>
      </c>
    </row>
    <row r="878" spans="1:6" hidden="1">
      <c r="A878" t="s">
        <v>4202</v>
      </c>
      <c r="B878" t="s">
        <v>4203</v>
      </c>
      <c r="C878">
        <v>76234710</v>
      </c>
      <c r="D878">
        <v>2600007</v>
      </c>
      <c r="E878" t="s">
        <v>39</v>
      </c>
      <c r="F878" s="5">
        <v>300</v>
      </c>
    </row>
    <row r="879" spans="1:6">
      <c r="A879" t="s">
        <v>4202</v>
      </c>
      <c r="B879" t="s">
        <v>4203</v>
      </c>
      <c r="C879">
        <v>76234710</v>
      </c>
      <c r="D879">
        <v>2600007</v>
      </c>
      <c r="E879" t="s">
        <v>729</v>
      </c>
      <c r="F879" s="5">
        <v>200</v>
      </c>
    </row>
    <row r="880" spans="1:6" hidden="1">
      <c r="A880" t="s">
        <v>1607</v>
      </c>
      <c r="B880" t="s">
        <v>1608</v>
      </c>
      <c r="C880">
        <v>5236822</v>
      </c>
      <c r="D880">
        <v>5031</v>
      </c>
      <c r="E880" t="s">
        <v>39</v>
      </c>
      <c r="F880" s="5">
        <v>300</v>
      </c>
    </row>
    <row r="881" spans="1:6">
      <c r="A881" t="s">
        <v>1607</v>
      </c>
      <c r="B881" t="s">
        <v>1608</v>
      </c>
      <c r="C881">
        <v>5236822</v>
      </c>
      <c r="D881">
        <v>5031</v>
      </c>
      <c r="E881" t="s">
        <v>729</v>
      </c>
      <c r="F881" s="5">
        <v>200</v>
      </c>
    </row>
    <row r="882" spans="1:6" hidden="1">
      <c r="A882" t="s">
        <v>4204</v>
      </c>
      <c r="B882" t="s">
        <v>4205</v>
      </c>
      <c r="C882">
        <v>76234711</v>
      </c>
      <c r="D882">
        <v>2502957</v>
      </c>
      <c r="E882" t="s">
        <v>39</v>
      </c>
      <c r="F882" s="5">
        <v>300</v>
      </c>
    </row>
    <row r="883" spans="1:6">
      <c r="A883" t="s">
        <v>4204</v>
      </c>
      <c r="B883" t="s">
        <v>4205</v>
      </c>
      <c r="C883">
        <v>76234711</v>
      </c>
      <c r="D883">
        <v>2502957</v>
      </c>
      <c r="E883" t="s">
        <v>729</v>
      </c>
      <c r="F883" s="5">
        <v>200</v>
      </c>
    </row>
    <row r="884" spans="1:6" hidden="1">
      <c r="A884" t="s">
        <v>3475</v>
      </c>
      <c r="B884" t="s">
        <v>3476</v>
      </c>
      <c r="C884">
        <v>76207657</v>
      </c>
      <c r="D884">
        <v>2502348</v>
      </c>
      <c r="E884" t="s">
        <v>39</v>
      </c>
      <c r="F884" s="5">
        <v>450</v>
      </c>
    </row>
    <row r="885" spans="1:6">
      <c r="A885" t="s">
        <v>3475</v>
      </c>
      <c r="B885" t="s">
        <v>3476</v>
      </c>
      <c r="C885">
        <v>76207657</v>
      </c>
      <c r="D885">
        <v>2502348</v>
      </c>
      <c r="E885" t="s">
        <v>729</v>
      </c>
      <c r="F885" s="5">
        <v>200</v>
      </c>
    </row>
    <row r="886" spans="1:6" hidden="1">
      <c r="A886" t="s">
        <v>1747</v>
      </c>
      <c r="B886" t="s">
        <v>1748</v>
      </c>
      <c r="C886">
        <v>13497591</v>
      </c>
      <c r="D886">
        <v>2500736</v>
      </c>
      <c r="E886" t="s">
        <v>39</v>
      </c>
      <c r="F886" s="5">
        <v>450</v>
      </c>
    </row>
    <row r="887" spans="1:6">
      <c r="A887" t="s">
        <v>1747</v>
      </c>
      <c r="B887" t="s">
        <v>1748</v>
      </c>
      <c r="C887">
        <v>13497591</v>
      </c>
      <c r="D887">
        <v>2500736</v>
      </c>
      <c r="E887" t="s">
        <v>729</v>
      </c>
      <c r="F887" s="5">
        <v>200</v>
      </c>
    </row>
    <row r="888" spans="1:6" hidden="1">
      <c r="A888" t="s">
        <v>3211</v>
      </c>
      <c r="B888" t="s">
        <v>3212</v>
      </c>
      <c r="C888">
        <v>76181603</v>
      </c>
      <c r="D888">
        <v>2503607</v>
      </c>
      <c r="E888" t="s">
        <v>39</v>
      </c>
      <c r="F888" s="5">
        <v>300</v>
      </c>
    </row>
    <row r="889" spans="1:6">
      <c r="A889" t="s">
        <v>3211</v>
      </c>
      <c r="B889" t="s">
        <v>3212</v>
      </c>
      <c r="C889">
        <v>76181603</v>
      </c>
      <c r="D889">
        <v>2503607</v>
      </c>
      <c r="E889" t="s">
        <v>729</v>
      </c>
      <c r="F889" s="5">
        <v>200</v>
      </c>
    </row>
    <row r="890" spans="1:6" hidden="1">
      <c r="A890" t="s">
        <v>2160</v>
      </c>
      <c r="B890" t="s">
        <v>2161</v>
      </c>
      <c r="C890">
        <v>71053825</v>
      </c>
      <c r="D890">
        <v>2503558</v>
      </c>
      <c r="E890" t="s">
        <v>39</v>
      </c>
      <c r="F890" s="5">
        <v>300</v>
      </c>
    </row>
    <row r="891" spans="1:6">
      <c r="A891" t="s">
        <v>2160</v>
      </c>
      <c r="B891" t="s">
        <v>2161</v>
      </c>
      <c r="C891">
        <v>71053825</v>
      </c>
      <c r="D891">
        <v>2503558</v>
      </c>
      <c r="E891" t="s">
        <v>729</v>
      </c>
      <c r="F891" s="5">
        <v>200</v>
      </c>
    </row>
    <row r="892" spans="1:6" hidden="1">
      <c r="A892" t="s">
        <v>297</v>
      </c>
      <c r="B892" t="s">
        <v>298</v>
      </c>
      <c r="C892">
        <v>76258093</v>
      </c>
      <c r="D892">
        <v>3000981</v>
      </c>
      <c r="E892" t="s">
        <v>39</v>
      </c>
      <c r="F892" s="5">
        <v>300</v>
      </c>
    </row>
    <row r="893" spans="1:6">
      <c r="A893" t="s">
        <v>297</v>
      </c>
      <c r="B893" t="s">
        <v>298</v>
      </c>
      <c r="C893">
        <v>76258093</v>
      </c>
      <c r="D893">
        <v>3000981</v>
      </c>
      <c r="E893" t="s">
        <v>729</v>
      </c>
      <c r="F893" s="5">
        <v>200</v>
      </c>
    </row>
    <row r="894" spans="1:6" hidden="1">
      <c r="A894" t="s">
        <v>3979</v>
      </c>
      <c r="B894" t="s">
        <v>3980</v>
      </c>
      <c r="C894">
        <v>76228576</v>
      </c>
      <c r="D894">
        <v>2502924</v>
      </c>
      <c r="E894" t="s">
        <v>39</v>
      </c>
      <c r="F894" s="5">
        <v>300</v>
      </c>
    </row>
    <row r="895" spans="1:6">
      <c r="A895" t="s">
        <v>3979</v>
      </c>
      <c r="B895" t="s">
        <v>3980</v>
      </c>
      <c r="C895">
        <v>76228576</v>
      </c>
      <c r="D895">
        <v>2502924</v>
      </c>
      <c r="E895" t="s">
        <v>729</v>
      </c>
      <c r="F895" s="5">
        <v>200</v>
      </c>
    </row>
    <row r="896" spans="1:6" hidden="1">
      <c r="A896" t="s">
        <v>4106</v>
      </c>
      <c r="B896" t="s">
        <v>4107</v>
      </c>
      <c r="C896">
        <v>76231357</v>
      </c>
      <c r="D896">
        <v>2002122</v>
      </c>
      <c r="E896" t="s">
        <v>39</v>
      </c>
      <c r="F896" s="5">
        <v>300</v>
      </c>
    </row>
    <row r="897" spans="1:6">
      <c r="A897" t="s">
        <v>4106</v>
      </c>
      <c r="B897" t="s">
        <v>4107</v>
      </c>
      <c r="C897">
        <v>76231357</v>
      </c>
      <c r="D897">
        <v>2002122</v>
      </c>
      <c r="E897" t="s">
        <v>729</v>
      </c>
      <c r="F897" s="5">
        <v>200</v>
      </c>
    </row>
    <row r="898" spans="1:6" hidden="1">
      <c r="A898" t="s">
        <v>150</v>
      </c>
      <c r="B898" t="s">
        <v>151</v>
      </c>
      <c r="C898">
        <v>76227679</v>
      </c>
      <c r="D898">
        <v>2001988</v>
      </c>
      <c r="E898" t="s">
        <v>39</v>
      </c>
      <c r="F898" s="5">
        <v>300</v>
      </c>
    </row>
    <row r="899" spans="1:6">
      <c r="A899" t="s">
        <v>150</v>
      </c>
      <c r="B899" t="s">
        <v>151</v>
      </c>
      <c r="C899">
        <v>76227679</v>
      </c>
      <c r="D899">
        <v>2001988</v>
      </c>
      <c r="E899" t="s">
        <v>729</v>
      </c>
      <c r="F899" s="5">
        <v>200</v>
      </c>
    </row>
    <row r="900" spans="1:6" hidden="1">
      <c r="A900" t="s">
        <v>4186</v>
      </c>
      <c r="B900" t="s">
        <v>4187</v>
      </c>
      <c r="C900">
        <v>76233981</v>
      </c>
      <c r="D900">
        <v>2002216</v>
      </c>
      <c r="E900" t="s">
        <v>39</v>
      </c>
      <c r="F900" s="5">
        <v>300</v>
      </c>
    </row>
    <row r="901" spans="1:6">
      <c r="A901" t="s">
        <v>4186</v>
      </c>
      <c r="B901" t="s">
        <v>4187</v>
      </c>
      <c r="C901">
        <v>76233981</v>
      </c>
      <c r="D901">
        <v>2002216</v>
      </c>
      <c r="E901" t="s">
        <v>729</v>
      </c>
      <c r="F901" s="5">
        <v>200</v>
      </c>
    </row>
    <row r="902" spans="1:6" hidden="1">
      <c r="A902" t="s">
        <v>4408</v>
      </c>
      <c r="B902" t="s">
        <v>4409</v>
      </c>
      <c r="C902">
        <v>76245276</v>
      </c>
      <c r="D902">
        <v>2002947</v>
      </c>
      <c r="E902" t="s">
        <v>39</v>
      </c>
      <c r="F902" s="5">
        <v>300</v>
      </c>
    </row>
    <row r="903" spans="1:6">
      <c r="A903" t="s">
        <v>4408</v>
      </c>
      <c r="B903" t="s">
        <v>4409</v>
      </c>
      <c r="C903">
        <v>76245276</v>
      </c>
      <c r="D903">
        <v>2002947</v>
      </c>
      <c r="E903" t="s">
        <v>729</v>
      </c>
      <c r="F903" s="5">
        <v>200</v>
      </c>
    </row>
    <row r="904" spans="1:6" hidden="1">
      <c r="A904" t="s">
        <v>2046</v>
      </c>
      <c r="B904" t="s">
        <v>2047</v>
      </c>
      <c r="C904">
        <v>71042510</v>
      </c>
      <c r="D904">
        <v>2501708</v>
      </c>
      <c r="E904" t="s">
        <v>39</v>
      </c>
      <c r="F904" s="5">
        <v>450</v>
      </c>
    </row>
    <row r="905" spans="1:6">
      <c r="A905" t="s">
        <v>2046</v>
      </c>
      <c r="B905" t="s">
        <v>2047</v>
      </c>
      <c r="C905">
        <v>71042510</v>
      </c>
      <c r="D905">
        <v>2501708</v>
      </c>
      <c r="E905" t="s">
        <v>729</v>
      </c>
      <c r="F905" s="5">
        <v>200</v>
      </c>
    </row>
    <row r="906" spans="1:6" hidden="1">
      <c r="A906" t="s">
        <v>1946</v>
      </c>
      <c r="B906" t="s">
        <v>1947</v>
      </c>
      <c r="C906">
        <v>41442601</v>
      </c>
      <c r="D906">
        <v>3063</v>
      </c>
      <c r="E906" t="s">
        <v>39</v>
      </c>
      <c r="F906" s="5">
        <v>300</v>
      </c>
    </row>
    <row r="907" spans="1:6">
      <c r="A907" t="s">
        <v>1946</v>
      </c>
      <c r="B907" t="s">
        <v>1947</v>
      </c>
      <c r="C907">
        <v>41442601</v>
      </c>
      <c r="D907">
        <v>3063</v>
      </c>
      <c r="E907" t="s">
        <v>729</v>
      </c>
      <c r="F907" s="5">
        <v>200</v>
      </c>
    </row>
    <row r="908" spans="1:6" hidden="1">
      <c r="A908" t="s">
        <v>4490</v>
      </c>
      <c r="B908" t="s">
        <v>4491</v>
      </c>
      <c r="C908">
        <v>76251856</v>
      </c>
      <c r="D908">
        <v>2503604</v>
      </c>
      <c r="E908" t="s">
        <v>39</v>
      </c>
      <c r="F908" s="5">
        <v>300</v>
      </c>
    </row>
    <row r="909" spans="1:6">
      <c r="A909" t="s">
        <v>4490</v>
      </c>
      <c r="B909" t="s">
        <v>4491</v>
      </c>
      <c r="C909">
        <v>76251856</v>
      </c>
      <c r="D909">
        <v>2503604</v>
      </c>
      <c r="E909" t="s">
        <v>729</v>
      </c>
      <c r="F909" s="5">
        <v>200</v>
      </c>
    </row>
    <row r="910" spans="1:6" hidden="1">
      <c r="A910" t="s">
        <v>3359</v>
      </c>
      <c r="B910" t="s">
        <v>3360</v>
      </c>
      <c r="C910">
        <v>76202036</v>
      </c>
      <c r="D910">
        <v>2002667</v>
      </c>
      <c r="E910" t="s">
        <v>39</v>
      </c>
      <c r="F910" s="5">
        <v>300</v>
      </c>
    </row>
    <row r="911" spans="1:6">
      <c r="A911" t="s">
        <v>3359</v>
      </c>
      <c r="B911" t="s">
        <v>3360</v>
      </c>
      <c r="C911">
        <v>76202036</v>
      </c>
      <c r="D911">
        <v>2002667</v>
      </c>
      <c r="E911" t="s">
        <v>729</v>
      </c>
      <c r="F911" s="5">
        <v>200</v>
      </c>
    </row>
    <row r="912" spans="1:6" hidden="1">
      <c r="A912" t="s">
        <v>2212</v>
      </c>
      <c r="B912" t="s">
        <v>2213</v>
      </c>
      <c r="C912">
        <v>71061677</v>
      </c>
      <c r="D912">
        <v>2700017</v>
      </c>
      <c r="E912" t="s">
        <v>39</v>
      </c>
      <c r="F912" s="5">
        <v>300</v>
      </c>
    </row>
    <row r="913" spans="1:6">
      <c r="A913" t="s">
        <v>2212</v>
      </c>
      <c r="B913" t="s">
        <v>2213</v>
      </c>
      <c r="C913">
        <v>71061677</v>
      </c>
      <c r="D913">
        <v>2700017</v>
      </c>
      <c r="E913" t="s">
        <v>729</v>
      </c>
      <c r="F913" s="5">
        <v>200</v>
      </c>
    </row>
    <row r="914" spans="1:6" hidden="1">
      <c r="A914" t="s">
        <v>1807</v>
      </c>
      <c r="B914" t="s">
        <v>1808</v>
      </c>
      <c r="C914">
        <v>25123901</v>
      </c>
      <c r="D914">
        <v>1500041</v>
      </c>
      <c r="E914" t="s">
        <v>39</v>
      </c>
      <c r="F914" s="5">
        <v>400</v>
      </c>
    </row>
    <row r="915" spans="1:6">
      <c r="A915" t="s">
        <v>1807</v>
      </c>
      <c r="B915" t="s">
        <v>1808</v>
      </c>
      <c r="C915">
        <v>25123901</v>
      </c>
      <c r="D915">
        <v>1500041</v>
      </c>
      <c r="E915" t="s">
        <v>729</v>
      </c>
      <c r="F915" s="5">
        <v>200</v>
      </c>
    </row>
    <row r="916" spans="1:6" hidden="1">
      <c r="A916" t="s">
        <v>2755</v>
      </c>
      <c r="B916" t="s">
        <v>2756</v>
      </c>
      <c r="C916">
        <v>76073308</v>
      </c>
      <c r="D916">
        <v>1500032</v>
      </c>
      <c r="E916" t="s">
        <v>39</v>
      </c>
      <c r="F916" s="5">
        <v>400</v>
      </c>
    </row>
    <row r="917" spans="1:6">
      <c r="A917" t="s">
        <v>2755</v>
      </c>
      <c r="B917" t="s">
        <v>2756</v>
      </c>
      <c r="C917">
        <v>76073308</v>
      </c>
      <c r="D917">
        <v>1500032</v>
      </c>
      <c r="E917" t="s">
        <v>729</v>
      </c>
      <c r="F917" s="5">
        <v>200</v>
      </c>
    </row>
    <row r="918" spans="1:6" hidden="1">
      <c r="A918" t="s">
        <v>3029</v>
      </c>
      <c r="B918" t="s">
        <v>3030</v>
      </c>
      <c r="C918">
        <v>76160393</v>
      </c>
      <c r="D918">
        <v>1500034</v>
      </c>
      <c r="E918" t="s">
        <v>39</v>
      </c>
      <c r="F918" s="5">
        <v>400</v>
      </c>
    </row>
    <row r="919" spans="1:6">
      <c r="A919" t="s">
        <v>3029</v>
      </c>
      <c r="B919" t="s">
        <v>3030</v>
      </c>
      <c r="C919">
        <v>76160393</v>
      </c>
      <c r="D919">
        <v>1500034</v>
      </c>
      <c r="E919" t="s">
        <v>729</v>
      </c>
      <c r="F919" s="5">
        <v>200</v>
      </c>
    </row>
    <row r="920" spans="1:6" hidden="1">
      <c r="A920" t="s">
        <v>1797</v>
      </c>
      <c r="B920" t="s">
        <v>1798</v>
      </c>
      <c r="C920">
        <v>25017001</v>
      </c>
      <c r="D920">
        <v>1500035</v>
      </c>
      <c r="E920" t="s">
        <v>39</v>
      </c>
      <c r="F920" s="5">
        <v>400</v>
      </c>
    </row>
    <row r="921" spans="1:6">
      <c r="A921" t="s">
        <v>1797</v>
      </c>
      <c r="B921" t="s">
        <v>1798</v>
      </c>
      <c r="C921">
        <v>25017001</v>
      </c>
      <c r="D921">
        <v>1500035</v>
      </c>
      <c r="E921" t="s">
        <v>729</v>
      </c>
      <c r="F921" s="5">
        <v>200</v>
      </c>
    </row>
    <row r="922" spans="1:6" hidden="1">
      <c r="A922" t="s">
        <v>1795</v>
      </c>
      <c r="B922" t="s">
        <v>1796</v>
      </c>
      <c r="C922">
        <v>25016901</v>
      </c>
      <c r="D922">
        <v>1500033</v>
      </c>
      <c r="E922" t="s">
        <v>39</v>
      </c>
      <c r="F922" s="5">
        <v>400</v>
      </c>
    </row>
    <row r="923" spans="1:6">
      <c r="A923" t="s">
        <v>1795</v>
      </c>
      <c r="B923" t="s">
        <v>1796</v>
      </c>
      <c r="C923">
        <v>25016901</v>
      </c>
      <c r="D923">
        <v>1500033</v>
      </c>
      <c r="E923" t="s">
        <v>729</v>
      </c>
      <c r="F923" s="5">
        <v>200</v>
      </c>
    </row>
    <row r="924" spans="1:6" hidden="1">
      <c r="A924" t="s">
        <v>4110</v>
      </c>
      <c r="B924" t="s">
        <v>4111</v>
      </c>
      <c r="C924">
        <v>76231391</v>
      </c>
      <c r="D924">
        <v>2502556</v>
      </c>
      <c r="E924" t="s">
        <v>39</v>
      </c>
      <c r="F924" s="5">
        <v>400</v>
      </c>
    </row>
    <row r="925" spans="1:6">
      <c r="A925" t="s">
        <v>4110</v>
      </c>
      <c r="B925" t="s">
        <v>4111</v>
      </c>
      <c r="C925">
        <v>76231391</v>
      </c>
      <c r="D925">
        <v>2502556</v>
      </c>
      <c r="E925" t="s">
        <v>729</v>
      </c>
      <c r="F925" s="5">
        <v>200</v>
      </c>
    </row>
    <row r="926" spans="1:6" hidden="1">
      <c r="A926" t="s">
        <v>1823</v>
      </c>
      <c r="B926" t="s">
        <v>1824</v>
      </c>
      <c r="C926">
        <v>25174709</v>
      </c>
      <c r="D926">
        <v>2502116</v>
      </c>
      <c r="E926" t="s">
        <v>39</v>
      </c>
      <c r="F926" s="5">
        <v>400</v>
      </c>
    </row>
    <row r="927" spans="1:6">
      <c r="A927" t="s">
        <v>1823</v>
      </c>
      <c r="B927" t="s">
        <v>1824</v>
      </c>
      <c r="C927">
        <v>25174709</v>
      </c>
      <c r="D927">
        <v>2502116</v>
      </c>
      <c r="E927" t="s">
        <v>729</v>
      </c>
      <c r="F927" s="5">
        <v>200</v>
      </c>
    </row>
    <row r="928" spans="1:6" hidden="1">
      <c r="A928" t="s">
        <v>2338</v>
      </c>
      <c r="B928" t="s">
        <v>2339</v>
      </c>
      <c r="C928">
        <v>76023315</v>
      </c>
      <c r="D928">
        <v>2502544</v>
      </c>
      <c r="E928" t="s">
        <v>39</v>
      </c>
      <c r="F928" s="5">
        <v>300</v>
      </c>
    </row>
    <row r="929" spans="1:6">
      <c r="A929" t="s">
        <v>2338</v>
      </c>
      <c r="B929" t="s">
        <v>2339</v>
      </c>
      <c r="C929">
        <v>76023315</v>
      </c>
      <c r="D929">
        <v>2502544</v>
      </c>
      <c r="E929" t="s">
        <v>729</v>
      </c>
      <c r="F929" s="5">
        <v>200</v>
      </c>
    </row>
    <row r="930" spans="1:6" hidden="1">
      <c r="A930" t="s">
        <v>1871</v>
      </c>
      <c r="B930" t="s">
        <v>1872</v>
      </c>
      <c r="C930">
        <v>25300580</v>
      </c>
      <c r="D930">
        <v>2502401</v>
      </c>
      <c r="E930" t="s">
        <v>39</v>
      </c>
      <c r="F930" s="5">
        <v>300</v>
      </c>
    </row>
    <row r="931" spans="1:6">
      <c r="A931" t="s">
        <v>1871</v>
      </c>
      <c r="B931" t="s">
        <v>1872</v>
      </c>
      <c r="C931">
        <v>25300580</v>
      </c>
      <c r="D931">
        <v>2502401</v>
      </c>
      <c r="E931" t="s">
        <v>729</v>
      </c>
      <c r="F931" s="5">
        <v>200</v>
      </c>
    </row>
    <row r="932" spans="1:6" hidden="1">
      <c r="A932" t="s">
        <v>3085</v>
      </c>
      <c r="B932" t="s">
        <v>3086</v>
      </c>
      <c r="C932">
        <v>76166867</v>
      </c>
      <c r="D932">
        <v>2502152</v>
      </c>
      <c r="E932" t="s">
        <v>39</v>
      </c>
      <c r="F932" s="5">
        <v>300</v>
      </c>
    </row>
    <row r="933" spans="1:6">
      <c r="A933" t="s">
        <v>3085</v>
      </c>
      <c r="B933" t="s">
        <v>3086</v>
      </c>
      <c r="C933">
        <v>76166867</v>
      </c>
      <c r="D933">
        <v>2502152</v>
      </c>
      <c r="E933" t="s">
        <v>729</v>
      </c>
      <c r="F933" s="5">
        <v>200</v>
      </c>
    </row>
    <row r="934" spans="1:6" hidden="1">
      <c r="A934" t="s">
        <v>506</v>
      </c>
      <c r="B934" t="s">
        <v>507</v>
      </c>
      <c r="C934">
        <v>76074237</v>
      </c>
      <c r="D934">
        <v>2503477</v>
      </c>
      <c r="E934" t="s">
        <v>39</v>
      </c>
      <c r="F934" s="5">
        <v>300</v>
      </c>
    </row>
    <row r="935" spans="1:6">
      <c r="A935" t="s">
        <v>506</v>
      </c>
      <c r="B935" t="s">
        <v>507</v>
      </c>
      <c r="C935">
        <v>76074237</v>
      </c>
      <c r="D935">
        <v>2503477</v>
      </c>
      <c r="E935" t="s">
        <v>729</v>
      </c>
      <c r="F935" s="5">
        <v>200</v>
      </c>
    </row>
    <row r="936" spans="1:6" hidden="1">
      <c r="A936" t="s">
        <v>485</v>
      </c>
      <c r="B936" t="s">
        <v>486</v>
      </c>
      <c r="C936">
        <v>76043451</v>
      </c>
      <c r="D936">
        <v>123019</v>
      </c>
      <c r="E936" t="s">
        <v>39</v>
      </c>
      <c r="F936" s="5">
        <v>300</v>
      </c>
    </row>
    <row r="937" spans="1:6">
      <c r="A937" t="s">
        <v>485</v>
      </c>
      <c r="B937" t="s">
        <v>486</v>
      </c>
      <c r="C937">
        <v>76043451</v>
      </c>
      <c r="D937">
        <v>123019</v>
      </c>
      <c r="E937" t="s">
        <v>729</v>
      </c>
      <c r="F937" s="5">
        <v>200</v>
      </c>
    </row>
    <row r="938" spans="1:6" hidden="1">
      <c r="A938" t="s">
        <v>2236</v>
      </c>
      <c r="B938" t="s">
        <v>2237</v>
      </c>
      <c r="C938">
        <v>71064273</v>
      </c>
      <c r="D938">
        <v>123017</v>
      </c>
      <c r="E938" t="s">
        <v>39</v>
      </c>
      <c r="F938" s="5">
        <v>300</v>
      </c>
    </row>
    <row r="939" spans="1:6">
      <c r="A939" t="s">
        <v>2236</v>
      </c>
      <c r="B939" t="s">
        <v>2237</v>
      </c>
      <c r="C939">
        <v>71064273</v>
      </c>
      <c r="D939">
        <v>123017</v>
      </c>
      <c r="E939" t="s">
        <v>729</v>
      </c>
      <c r="F939" s="5">
        <v>200</v>
      </c>
    </row>
    <row r="940" spans="1:6" hidden="1">
      <c r="A940" t="s">
        <v>2971</v>
      </c>
      <c r="B940" t="s">
        <v>2972</v>
      </c>
      <c r="C940">
        <v>76154344</v>
      </c>
      <c r="D940">
        <v>123026</v>
      </c>
      <c r="E940" t="s">
        <v>39</v>
      </c>
      <c r="F940" s="5">
        <v>300</v>
      </c>
    </row>
    <row r="941" spans="1:6">
      <c r="A941" t="s">
        <v>2971</v>
      </c>
      <c r="B941" t="s">
        <v>2972</v>
      </c>
      <c r="C941">
        <v>76154344</v>
      </c>
      <c r="D941">
        <v>123026</v>
      </c>
      <c r="E941" t="s">
        <v>729</v>
      </c>
      <c r="F941" s="5">
        <v>200</v>
      </c>
    </row>
    <row r="942" spans="1:6" hidden="1">
      <c r="A942" t="s">
        <v>482</v>
      </c>
      <c r="B942" t="s">
        <v>483</v>
      </c>
      <c r="C942">
        <v>76043449</v>
      </c>
      <c r="D942">
        <v>123018</v>
      </c>
      <c r="E942" t="s">
        <v>39</v>
      </c>
      <c r="F942" s="5">
        <v>300</v>
      </c>
    </row>
    <row r="943" spans="1:6">
      <c r="A943" t="s">
        <v>482</v>
      </c>
      <c r="B943" t="s">
        <v>483</v>
      </c>
      <c r="C943">
        <v>76043449</v>
      </c>
      <c r="D943">
        <v>123018</v>
      </c>
      <c r="E943" t="s">
        <v>729</v>
      </c>
      <c r="F943" s="5">
        <v>200</v>
      </c>
    </row>
    <row r="944" spans="1:6" hidden="1">
      <c r="A944" t="s">
        <v>491</v>
      </c>
      <c r="B944" t="s">
        <v>492</v>
      </c>
      <c r="C944">
        <v>76043455</v>
      </c>
      <c r="D944">
        <v>123021</v>
      </c>
      <c r="E944" t="s">
        <v>39</v>
      </c>
      <c r="F944" s="5">
        <v>300</v>
      </c>
    </row>
    <row r="945" spans="1:6">
      <c r="A945" t="s">
        <v>491</v>
      </c>
      <c r="B945" t="s">
        <v>492</v>
      </c>
      <c r="C945">
        <v>76043455</v>
      </c>
      <c r="D945">
        <v>123021</v>
      </c>
      <c r="E945" t="s">
        <v>729</v>
      </c>
      <c r="F945" s="5">
        <v>200</v>
      </c>
    </row>
    <row r="946" spans="1:6" hidden="1">
      <c r="A946" t="s">
        <v>631</v>
      </c>
      <c r="B946" t="s">
        <v>632</v>
      </c>
      <c r="C946">
        <v>76222063</v>
      </c>
      <c r="D946">
        <v>2501755</v>
      </c>
      <c r="E946" t="s">
        <v>39</v>
      </c>
      <c r="F946" s="5">
        <v>300</v>
      </c>
    </row>
    <row r="947" spans="1:6">
      <c r="A947" t="s">
        <v>631</v>
      </c>
      <c r="B947" t="s">
        <v>632</v>
      </c>
      <c r="C947">
        <v>76222063</v>
      </c>
      <c r="D947">
        <v>2501755</v>
      </c>
      <c r="E947" t="s">
        <v>729</v>
      </c>
      <c r="F947" s="5">
        <v>200</v>
      </c>
    </row>
    <row r="948" spans="1:6" hidden="1">
      <c r="A948" t="s">
        <v>587</v>
      </c>
      <c r="B948" t="s">
        <v>588</v>
      </c>
      <c r="C948">
        <v>76209725</v>
      </c>
      <c r="D948">
        <v>2500905</v>
      </c>
      <c r="E948" t="s">
        <v>39</v>
      </c>
      <c r="F948" s="5">
        <v>300</v>
      </c>
    </row>
    <row r="949" spans="1:6">
      <c r="A949" t="s">
        <v>587</v>
      </c>
      <c r="B949" t="s">
        <v>588</v>
      </c>
      <c r="C949">
        <v>76209725</v>
      </c>
      <c r="D949">
        <v>2500905</v>
      </c>
      <c r="E949" t="s">
        <v>729</v>
      </c>
      <c r="F949" s="5">
        <v>200</v>
      </c>
    </row>
    <row r="950" spans="1:6" hidden="1">
      <c r="A950" t="s">
        <v>694</v>
      </c>
      <c r="B950" t="s">
        <v>695</v>
      </c>
      <c r="C950">
        <v>76246857</v>
      </c>
      <c r="D950">
        <v>3002291</v>
      </c>
      <c r="E950" t="s">
        <v>39</v>
      </c>
      <c r="F950" s="5">
        <v>400</v>
      </c>
    </row>
    <row r="951" spans="1:6">
      <c r="A951" t="s">
        <v>694</v>
      </c>
      <c r="B951" t="s">
        <v>695</v>
      </c>
      <c r="C951">
        <v>76246857</v>
      </c>
      <c r="D951">
        <v>3002291</v>
      </c>
      <c r="E951" t="s">
        <v>729</v>
      </c>
      <c r="F951" s="5">
        <v>200</v>
      </c>
    </row>
    <row r="952" spans="1:6" hidden="1">
      <c r="A952" t="s">
        <v>488</v>
      </c>
      <c r="B952" t="s">
        <v>489</v>
      </c>
      <c r="C952">
        <v>76043453</v>
      </c>
      <c r="D952">
        <v>0</v>
      </c>
      <c r="E952" t="s">
        <v>39</v>
      </c>
      <c r="F952" s="5">
        <v>300</v>
      </c>
    </row>
    <row r="953" spans="1:6">
      <c r="A953" t="s">
        <v>488</v>
      </c>
      <c r="B953" t="s">
        <v>489</v>
      </c>
      <c r="C953">
        <v>76043453</v>
      </c>
      <c r="D953">
        <v>0</v>
      </c>
      <c r="E953" t="s">
        <v>729</v>
      </c>
      <c r="F953" s="5">
        <v>200</v>
      </c>
    </row>
    <row r="954" spans="1:6" hidden="1">
      <c r="A954" t="s">
        <v>599</v>
      </c>
      <c r="B954" t="s">
        <v>600</v>
      </c>
      <c r="C954">
        <v>76214576</v>
      </c>
      <c r="D954">
        <v>2500092</v>
      </c>
      <c r="E954" t="s">
        <v>39</v>
      </c>
      <c r="F954" s="5">
        <v>300</v>
      </c>
    </row>
    <row r="955" spans="1:6">
      <c r="A955" t="s">
        <v>599</v>
      </c>
      <c r="B955" t="s">
        <v>600</v>
      </c>
      <c r="C955">
        <v>76214576</v>
      </c>
      <c r="D955">
        <v>2500092</v>
      </c>
      <c r="E955" t="s">
        <v>729</v>
      </c>
      <c r="F955" s="5">
        <v>200</v>
      </c>
    </row>
    <row r="956" spans="1:6" hidden="1">
      <c r="A956" t="s">
        <v>685</v>
      </c>
      <c r="B956" t="s">
        <v>686</v>
      </c>
      <c r="C956">
        <v>76241216</v>
      </c>
      <c r="D956">
        <v>3002066</v>
      </c>
      <c r="E956" t="s">
        <v>39</v>
      </c>
      <c r="F956" s="5">
        <v>300</v>
      </c>
    </row>
    <row r="957" spans="1:6">
      <c r="A957" t="s">
        <v>685</v>
      </c>
      <c r="B957" t="s">
        <v>686</v>
      </c>
      <c r="C957">
        <v>76241216</v>
      </c>
      <c r="D957">
        <v>3002066</v>
      </c>
      <c r="E957" t="s">
        <v>729</v>
      </c>
      <c r="F957" s="5">
        <v>200</v>
      </c>
    </row>
    <row r="958" spans="1:6" hidden="1">
      <c r="A958" t="s">
        <v>3465</v>
      </c>
      <c r="B958" t="s">
        <v>3466</v>
      </c>
      <c r="C958">
        <v>76207189</v>
      </c>
      <c r="D958">
        <v>2501617</v>
      </c>
      <c r="E958" t="s">
        <v>39</v>
      </c>
      <c r="F958" s="5">
        <v>300</v>
      </c>
    </row>
    <row r="959" spans="1:6">
      <c r="A959" t="s">
        <v>3465</v>
      </c>
      <c r="B959" t="s">
        <v>3466</v>
      </c>
      <c r="C959">
        <v>76207189</v>
      </c>
      <c r="D959">
        <v>2501617</v>
      </c>
      <c r="E959" t="s">
        <v>729</v>
      </c>
      <c r="F959" s="5">
        <v>200</v>
      </c>
    </row>
    <row r="960" spans="1:6" hidden="1">
      <c r="A960" t="s">
        <v>3617</v>
      </c>
      <c r="B960" t="s">
        <v>3618</v>
      </c>
      <c r="C960">
        <v>76213570</v>
      </c>
      <c r="D960">
        <v>2001109</v>
      </c>
      <c r="E960" t="s">
        <v>39</v>
      </c>
      <c r="F960" s="5">
        <v>300</v>
      </c>
    </row>
    <row r="961" spans="1:6">
      <c r="A961" t="s">
        <v>3617</v>
      </c>
      <c r="B961" t="s">
        <v>3618</v>
      </c>
      <c r="C961">
        <v>76213570</v>
      </c>
      <c r="D961">
        <v>2001109</v>
      </c>
      <c r="E961" t="s">
        <v>729</v>
      </c>
      <c r="F961" s="5">
        <v>200</v>
      </c>
    </row>
    <row r="962" spans="1:6" hidden="1">
      <c r="A962" t="s">
        <v>3619</v>
      </c>
      <c r="B962" t="s">
        <v>3620</v>
      </c>
      <c r="C962">
        <v>76213571</v>
      </c>
      <c r="D962">
        <v>2001097</v>
      </c>
      <c r="E962" t="s">
        <v>39</v>
      </c>
      <c r="F962" s="5">
        <v>300</v>
      </c>
    </row>
    <row r="963" spans="1:6">
      <c r="A963" t="s">
        <v>3619</v>
      </c>
      <c r="B963" t="s">
        <v>3620</v>
      </c>
      <c r="C963">
        <v>76213571</v>
      </c>
      <c r="D963">
        <v>2001097</v>
      </c>
      <c r="E963" t="s">
        <v>729</v>
      </c>
      <c r="F963" s="5">
        <v>200</v>
      </c>
    </row>
    <row r="964" spans="1:6" hidden="1">
      <c r="A964" t="s">
        <v>4072</v>
      </c>
      <c r="B964" t="s">
        <v>4073</v>
      </c>
      <c r="C964">
        <v>76230196</v>
      </c>
      <c r="D964">
        <v>903037</v>
      </c>
      <c r="E964" t="s">
        <v>39</v>
      </c>
      <c r="F964" s="5">
        <v>300</v>
      </c>
    </row>
    <row r="965" spans="1:6">
      <c r="A965" t="s">
        <v>4072</v>
      </c>
      <c r="B965" t="s">
        <v>4073</v>
      </c>
      <c r="C965">
        <v>76230196</v>
      </c>
      <c r="D965">
        <v>903037</v>
      </c>
      <c r="E965" t="s">
        <v>729</v>
      </c>
      <c r="F965" s="5">
        <v>200</v>
      </c>
    </row>
    <row r="966" spans="1:6" hidden="1">
      <c r="A966" t="s">
        <v>3827</v>
      </c>
      <c r="B966" t="s">
        <v>3828</v>
      </c>
      <c r="C966">
        <v>76222458</v>
      </c>
      <c r="D966">
        <v>0</v>
      </c>
      <c r="E966" t="s">
        <v>39</v>
      </c>
      <c r="F966" s="5">
        <v>400</v>
      </c>
    </row>
    <row r="967" spans="1:6">
      <c r="A967" t="s">
        <v>3827</v>
      </c>
      <c r="B967" t="s">
        <v>3828</v>
      </c>
      <c r="C967">
        <v>76222458</v>
      </c>
      <c r="D967">
        <v>0</v>
      </c>
      <c r="E967" t="s">
        <v>729</v>
      </c>
      <c r="F967" s="5">
        <v>200</v>
      </c>
    </row>
    <row r="968" spans="1:6" hidden="1">
      <c r="A968" t="s">
        <v>4474</v>
      </c>
      <c r="B968" t="s">
        <v>4475</v>
      </c>
      <c r="C968">
        <v>76251329</v>
      </c>
      <c r="D968">
        <v>3000892</v>
      </c>
      <c r="E968" t="s">
        <v>39</v>
      </c>
      <c r="F968" s="5">
        <v>300</v>
      </c>
    </row>
    <row r="969" spans="1:6">
      <c r="A969" t="s">
        <v>4474</v>
      </c>
      <c r="B969" t="s">
        <v>4475</v>
      </c>
      <c r="C969">
        <v>76251329</v>
      </c>
      <c r="D969">
        <v>3000892</v>
      </c>
      <c r="E969" t="s">
        <v>729</v>
      </c>
      <c r="F969" s="5">
        <v>200</v>
      </c>
    </row>
    <row r="970" spans="1:6" hidden="1">
      <c r="A970" t="s">
        <v>4318</v>
      </c>
      <c r="B970" t="s">
        <v>4319</v>
      </c>
      <c r="C970">
        <v>76240127</v>
      </c>
      <c r="D970">
        <v>3000549</v>
      </c>
      <c r="E970" t="s">
        <v>39</v>
      </c>
      <c r="F970" s="5">
        <v>300</v>
      </c>
    </row>
    <row r="971" spans="1:6">
      <c r="A971" t="s">
        <v>4318</v>
      </c>
      <c r="B971" t="s">
        <v>4319</v>
      </c>
      <c r="C971">
        <v>76240127</v>
      </c>
      <c r="D971">
        <v>3000549</v>
      </c>
      <c r="E971" t="s">
        <v>729</v>
      </c>
      <c r="F971" s="5">
        <v>200</v>
      </c>
    </row>
    <row r="972" spans="1:6" hidden="1">
      <c r="A972" t="s">
        <v>2965</v>
      </c>
      <c r="B972" t="s">
        <v>2966</v>
      </c>
      <c r="C972">
        <v>76154119</v>
      </c>
      <c r="D972">
        <v>2503655</v>
      </c>
      <c r="E972" t="s">
        <v>39</v>
      </c>
      <c r="F972" s="5">
        <v>300</v>
      </c>
    </row>
    <row r="973" spans="1:6">
      <c r="A973" t="s">
        <v>2965</v>
      </c>
      <c r="B973" t="s">
        <v>2966</v>
      </c>
      <c r="C973">
        <v>76154119</v>
      </c>
      <c r="D973">
        <v>2503655</v>
      </c>
      <c r="E973" t="s">
        <v>729</v>
      </c>
      <c r="F973" s="5">
        <v>200</v>
      </c>
    </row>
    <row r="974" spans="1:6" hidden="1">
      <c r="A974" t="s">
        <v>2997</v>
      </c>
      <c r="B974" t="s">
        <v>2998</v>
      </c>
      <c r="C974">
        <v>76157719</v>
      </c>
      <c r="D974">
        <v>2503649</v>
      </c>
      <c r="E974" t="s">
        <v>39</v>
      </c>
      <c r="F974" s="5">
        <v>300</v>
      </c>
    </row>
    <row r="975" spans="1:6">
      <c r="A975" t="s">
        <v>2997</v>
      </c>
      <c r="B975" t="s">
        <v>2998</v>
      </c>
      <c r="C975">
        <v>76157719</v>
      </c>
      <c r="D975">
        <v>2503649</v>
      </c>
      <c r="E975" t="s">
        <v>729</v>
      </c>
      <c r="F975" s="5">
        <v>200</v>
      </c>
    </row>
    <row r="976" spans="1:6" hidden="1">
      <c r="A976" t="s">
        <v>2358</v>
      </c>
      <c r="B976" t="s">
        <v>2359</v>
      </c>
      <c r="C976">
        <v>76025289</v>
      </c>
      <c r="D976">
        <v>2002086</v>
      </c>
      <c r="E976" t="s">
        <v>39</v>
      </c>
      <c r="F976" s="5">
        <v>450</v>
      </c>
    </row>
    <row r="977" spans="1:6">
      <c r="A977" t="s">
        <v>2358</v>
      </c>
      <c r="B977" t="s">
        <v>2359</v>
      </c>
      <c r="C977">
        <v>76025289</v>
      </c>
      <c r="D977">
        <v>2002086</v>
      </c>
      <c r="E977" t="s">
        <v>729</v>
      </c>
      <c r="F977" s="5">
        <v>200</v>
      </c>
    </row>
    <row r="978" spans="1:6" hidden="1">
      <c r="A978" t="s">
        <v>2701</v>
      </c>
      <c r="B978" t="s">
        <v>2702</v>
      </c>
      <c r="C978">
        <v>76066353</v>
      </c>
      <c r="D978">
        <v>2000319</v>
      </c>
      <c r="E978" t="s">
        <v>39</v>
      </c>
      <c r="F978" s="5">
        <v>400</v>
      </c>
    </row>
    <row r="979" spans="1:6">
      <c r="A979" t="s">
        <v>2701</v>
      </c>
      <c r="B979" t="s">
        <v>2702</v>
      </c>
      <c r="C979">
        <v>76066353</v>
      </c>
      <c r="D979">
        <v>2000319</v>
      </c>
      <c r="E979" t="s">
        <v>729</v>
      </c>
      <c r="F979" s="5">
        <v>200</v>
      </c>
    </row>
    <row r="980" spans="1:6" hidden="1">
      <c r="A980" t="s">
        <v>2845</v>
      </c>
      <c r="B980" t="s">
        <v>2846</v>
      </c>
      <c r="C980">
        <v>76133538</v>
      </c>
      <c r="D980">
        <v>2001971</v>
      </c>
      <c r="E980" t="s">
        <v>39</v>
      </c>
      <c r="F980" s="5">
        <v>300</v>
      </c>
    </row>
    <row r="981" spans="1:6">
      <c r="A981" t="s">
        <v>2845</v>
      </c>
      <c r="B981" t="s">
        <v>2846</v>
      </c>
      <c r="C981">
        <v>76133538</v>
      </c>
      <c r="D981">
        <v>2001971</v>
      </c>
      <c r="E981" t="s">
        <v>729</v>
      </c>
      <c r="F981" s="5">
        <v>200</v>
      </c>
    </row>
    <row r="982" spans="1:6" hidden="1">
      <c r="A982" t="s">
        <v>4448</v>
      </c>
      <c r="B982" t="s">
        <v>4449</v>
      </c>
      <c r="C982">
        <v>76247042</v>
      </c>
      <c r="D982">
        <v>2002979</v>
      </c>
      <c r="E982" t="s">
        <v>39</v>
      </c>
      <c r="F982" s="5">
        <v>300</v>
      </c>
    </row>
    <row r="983" spans="1:6">
      <c r="A983" t="s">
        <v>4448</v>
      </c>
      <c r="B983" t="s">
        <v>4449</v>
      </c>
      <c r="C983">
        <v>76247042</v>
      </c>
      <c r="D983">
        <v>2002979</v>
      </c>
      <c r="E983" t="s">
        <v>729</v>
      </c>
      <c r="F983" s="5">
        <v>200</v>
      </c>
    </row>
    <row r="984" spans="1:6" hidden="1">
      <c r="A984" t="s">
        <v>4571</v>
      </c>
      <c r="B984" t="s">
        <v>4572</v>
      </c>
      <c r="C984">
        <v>76255648</v>
      </c>
      <c r="D984">
        <v>3000808</v>
      </c>
      <c r="E984" t="s">
        <v>39</v>
      </c>
      <c r="F984" s="5">
        <v>300</v>
      </c>
    </row>
    <row r="985" spans="1:6">
      <c r="A985" t="s">
        <v>4571</v>
      </c>
      <c r="B985" t="s">
        <v>4572</v>
      </c>
      <c r="C985">
        <v>76255648</v>
      </c>
      <c r="D985">
        <v>3000808</v>
      </c>
      <c r="E985" t="s">
        <v>729</v>
      </c>
      <c r="F985" s="5">
        <v>200</v>
      </c>
    </row>
    <row r="986" spans="1:6" hidden="1">
      <c r="A986" t="s">
        <v>2432</v>
      </c>
      <c r="B986" t="s">
        <v>2433</v>
      </c>
      <c r="C986">
        <v>76036050</v>
      </c>
      <c r="D986">
        <v>2002131</v>
      </c>
      <c r="E986" t="s">
        <v>39</v>
      </c>
      <c r="F986" s="5">
        <v>450</v>
      </c>
    </row>
    <row r="987" spans="1:6">
      <c r="A987" t="s">
        <v>2432</v>
      </c>
      <c r="B987" t="s">
        <v>2433</v>
      </c>
      <c r="C987">
        <v>76036050</v>
      </c>
      <c r="D987">
        <v>2002131</v>
      </c>
      <c r="E987" t="s">
        <v>729</v>
      </c>
      <c r="F987" s="5">
        <v>200</v>
      </c>
    </row>
    <row r="988" spans="1:6" hidden="1">
      <c r="A988" t="s">
        <v>4092</v>
      </c>
      <c r="B988" t="s">
        <v>4093</v>
      </c>
      <c r="C988">
        <v>76231038</v>
      </c>
      <c r="D988">
        <v>2002092</v>
      </c>
      <c r="E988" t="s">
        <v>39</v>
      </c>
      <c r="F988" s="5">
        <v>300</v>
      </c>
    </row>
    <row r="989" spans="1:6">
      <c r="A989" t="s">
        <v>4092</v>
      </c>
      <c r="B989" t="s">
        <v>4093</v>
      </c>
      <c r="C989">
        <v>76231038</v>
      </c>
      <c r="D989">
        <v>2002092</v>
      </c>
      <c r="E989" t="s">
        <v>729</v>
      </c>
      <c r="F989" s="5">
        <v>200</v>
      </c>
    </row>
    <row r="990" spans="1:6" hidden="1">
      <c r="A990" t="s">
        <v>4090</v>
      </c>
      <c r="B990" t="s">
        <v>4091</v>
      </c>
      <c r="C990">
        <v>76231037</v>
      </c>
      <c r="D990">
        <v>2001055</v>
      </c>
      <c r="E990" t="s">
        <v>39</v>
      </c>
      <c r="F990" s="5">
        <v>300</v>
      </c>
    </row>
    <row r="991" spans="1:6">
      <c r="A991" t="s">
        <v>4090</v>
      </c>
      <c r="B991" t="s">
        <v>4091</v>
      </c>
      <c r="C991">
        <v>76231037</v>
      </c>
      <c r="D991">
        <v>2001055</v>
      </c>
      <c r="E991" t="s">
        <v>729</v>
      </c>
      <c r="F991" s="5">
        <v>200</v>
      </c>
    </row>
    <row r="992" spans="1:6" hidden="1">
      <c r="A992" t="s">
        <v>3347</v>
      </c>
      <c r="B992" t="s">
        <v>3348</v>
      </c>
      <c r="C992">
        <v>76201294</v>
      </c>
      <c r="D992">
        <v>2001111</v>
      </c>
      <c r="E992" t="s">
        <v>39</v>
      </c>
      <c r="F992" s="5">
        <v>300</v>
      </c>
    </row>
    <row r="993" spans="1:6">
      <c r="A993" t="s">
        <v>3347</v>
      </c>
      <c r="B993" t="s">
        <v>3348</v>
      </c>
      <c r="C993">
        <v>76201294</v>
      </c>
      <c r="D993">
        <v>2001111</v>
      </c>
      <c r="E993" t="s">
        <v>729</v>
      </c>
      <c r="F993" s="5">
        <v>200</v>
      </c>
    </row>
    <row r="994" spans="1:6" hidden="1">
      <c r="A994" t="s">
        <v>2526</v>
      </c>
      <c r="B994" t="s">
        <v>2527</v>
      </c>
      <c r="C994">
        <v>76043844</v>
      </c>
      <c r="D994">
        <v>1500058</v>
      </c>
      <c r="E994" t="s">
        <v>39</v>
      </c>
      <c r="F994" s="5">
        <v>300</v>
      </c>
    </row>
    <row r="995" spans="1:6">
      <c r="A995" t="s">
        <v>2526</v>
      </c>
      <c r="B995" t="s">
        <v>2527</v>
      </c>
      <c r="C995">
        <v>76043844</v>
      </c>
      <c r="D995">
        <v>1500058</v>
      </c>
      <c r="E995" t="s">
        <v>729</v>
      </c>
      <c r="F995" s="5">
        <v>200</v>
      </c>
    </row>
    <row r="996" spans="1:6" hidden="1">
      <c r="A996" t="s">
        <v>2310</v>
      </c>
      <c r="B996" t="s">
        <v>2311</v>
      </c>
      <c r="C996">
        <v>76020627</v>
      </c>
      <c r="D996">
        <v>2003066</v>
      </c>
      <c r="E996" t="s">
        <v>39</v>
      </c>
      <c r="F996" s="5">
        <v>300</v>
      </c>
    </row>
    <row r="997" spans="1:6">
      <c r="A997" t="s">
        <v>2310</v>
      </c>
      <c r="B997" t="s">
        <v>2311</v>
      </c>
      <c r="C997">
        <v>76020627</v>
      </c>
      <c r="D997">
        <v>2003066</v>
      </c>
      <c r="E997" t="s">
        <v>729</v>
      </c>
      <c r="F997" s="5">
        <v>200</v>
      </c>
    </row>
    <row r="998" spans="1:6" hidden="1">
      <c r="A998" t="s">
        <v>180</v>
      </c>
      <c r="B998" t="s">
        <v>181</v>
      </c>
      <c r="C998">
        <v>76230156</v>
      </c>
      <c r="D998">
        <v>2002068</v>
      </c>
      <c r="E998" t="s">
        <v>39</v>
      </c>
      <c r="F998" s="5">
        <v>450</v>
      </c>
    </row>
    <row r="999" spans="1:6">
      <c r="A999" t="s">
        <v>180</v>
      </c>
      <c r="B999" t="s">
        <v>181</v>
      </c>
      <c r="C999">
        <v>76230156</v>
      </c>
      <c r="D999">
        <v>2002068</v>
      </c>
      <c r="E999" t="s">
        <v>729</v>
      </c>
      <c r="F999" s="5">
        <v>200</v>
      </c>
    </row>
    <row r="1000" spans="1:6" hidden="1">
      <c r="A1000" t="s">
        <v>4052</v>
      </c>
      <c r="B1000" t="s">
        <v>4053</v>
      </c>
      <c r="C1000">
        <v>76229810</v>
      </c>
      <c r="D1000">
        <v>13084</v>
      </c>
      <c r="E1000" t="s">
        <v>39</v>
      </c>
      <c r="F1000" s="5">
        <v>450</v>
      </c>
    </row>
    <row r="1001" spans="1:6">
      <c r="A1001" t="s">
        <v>4052</v>
      </c>
      <c r="B1001" t="s">
        <v>4053</v>
      </c>
      <c r="C1001">
        <v>76229810</v>
      </c>
      <c r="D1001">
        <v>13084</v>
      </c>
      <c r="E1001" t="s">
        <v>729</v>
      </c>
      <c r="F1001" s="5">
        <v>200</v>
      </c>
    </row>
    <row r="1002" spans="1:6" hidden="1">
      <c r="A1002" t="s">
        <v>3723</v>
      </c>
      <c r="B1002" t="s">
        <v>3724</v>
      </c>
      <c r="C1002">
        <v>76219295</v>
      </c>
      <c r="D1002">
        <v>2002064</v>
      </c>
      <c r="E1002" t="s">
        <v>39</v>
      </c>
      <c r="F1002" s="5">
        <v>450</v>
      </c>
    </row>
    <row r="1003" spans="1:6">
      <c r="A1003" t="s">
        <v>3723</v>
      </c>
      <c r="B1003" t="s">
        <v>3724</v>
      </c>
      <c r="C1003">
        <v>76219295</v>
      </c>
      <c r="D1003">
        <v>2002064</v>
      </c>
      <c r="E1003" t="s">
        <v>729</v>
      </c>
      <c r="F1003" s="5">
        <v>200</v>
      </c>
    </row>
    <row r="1004" spans="1:6" hidden="1">
      <c r="A1004" t="s">
        <v>4332</v>
      </c>
      <c r="B1004" t="s">
        <v>4333</v>
      </c>
      <c r="C1004">
        <v>76240800</v>
      </c>
      <c r="D1004">
        <v>2503166</v>
      </c>
      <c r="E1004" t="s">
        <v>39</v>
      </c>
      <c r="F1004" s="5">
        <v>300</v>
      </c>
    </row>
    <row r="1005" spans="1:6">
      <c r="A1005" t="s">
        <v>4332</v>
      </c>
      <c r="B1005" t="s">
        <v>4333</v>
      </c>
      <c r="C1005">
        <v>76240800</v>
      </c>
      <c r="D1005">
        <v>2503166</v>
      </c>
      <c r="E1005" t="s">
        <v>729</v>
      </c>
      <c r="F1005" s="5">
        <v>200</v>
      </c>
    </row>
    <row r="1006" spans="1:6" hidden="1">
      <c r="A1006" t="s">
        <v>3721</v>
      </c>
      <c r="B1006" t="s">
        <v>3722</v>
      </c>
      <c r="C1006">
        <v>76219294</v>
      </c>
      <c r="D1006">
        <v>2002063</v>
      </c>
      <c r="E1006" t="s">
        <v>39</v>
      </c>
      <c r="F1006" s="5">
        <v>450</v>
      </c>
    </row>
    <row r="1007" spans="1:6">
      <c r="A1007" t="s">
        <v>3721</v>
      </c>
      <c r="B1007" t="s">
        <v>3722</v>
      </c>
      <c r="C1007">
        <v>76219294</v>
      </c>
      <c r="D1007">
        <v>2002063</v>
      </c>
      <c r="E1007" t="s">
        <v>729</v>
      </c>
      <c r="F1007" s="5">
        <v>200</v>
      </c>
    </row>
    <row r="1008" spans="1:6" hidden="1">
      <c r="A1008" t="s">
        <v>2779</v>
      </c>
      <c r="B1008" t="s">
        <v>2780</v>
      </c>
      <c r="C1008">
        <v>76075567</v>
      </c>
      <c r="D1008">
        <v>3131</v>
      </c>
      <c r="E1008" t="s">
        <v>39</v>
      </c>
      <c r="F1008" s="5">
        <v>400</v>
      </c>
    </row>
    <row r="1009" spans="1:6">
      <c r="A1009" t="s">
        <v>2779</v>
      </c>
      <c r="B1009" t="s">
        <v>2780</v>
      </c>
      <c r="C1009">
        <v>76075567</v>
      </c>
      <c r="D1009">
        <v>3131</v>
      </c>
      <c r="E1009" t="s">
        <v>729</v>
      </c>
      <c r="F1009" s="5">
        <v>200</v>
      </c>
    </row>
    <row r="1010" spans="1:6" hidden="1">
      <c r="A1010" t="s">
        <v>440</v>
      </c>
      <c r="B1010" t="s">
        <v>441</v>
      </c>
      <c r="C1010">
        <v>71047545</v>
      </c>
      <c r="D1010">
        <v>2001103</v>
      </c>
      <c r="E1010" t="s">
        <v>39</v>
      </c>
      <c r="F1010" s="5">
        <v>300</v>
      </c>
    </row>
    <row r="1011" spans="1:6">
      <c r="A1011" t="s">
        <v>440</v>
      </c>
      <c r="B1011" t="s">
        <v>441</v>
      </c>
      <c r="C1011">
        <v>71047545</v>
      </c>
      <c r="D1011">
        <v>2001103</v>
      </c>
      <c r="E1011" t="s">
        <v>729</v>
      </c>
      <c r="F1011" s="5">
        <v>200</v>
      </c>
    </row>
    <row r="1012" spans="1:6" hidden="1">
      <c r="A1012" t="s">
        <v>542</v>
      </c>
      <c r="B1012" t="s">
        <v>543</v>
      </c>
      <c r="C1012">
        <v>76164765</v>
      </c>
      <c r="D1012">
        <v>8110</v>
      </c>
      <c r="E1012" t="s">
        <v>39</v>
      </c>
      <c r="F1012" s="5">
        <v>300</v>
      </c>
    </row>
    <row r="1013" spans="1:6">
      <c r="A1013" t="s">
        <v>542</v>
      </c>
      <c r="B1013" t="s">
        <v>543</v>
      </c>
      <c r="C1013">
        <v>76164765</v>
      </c>
      <c r="D1013">
        <v>8110</v>
      </c>
      <c r="E1013" t="s">
        <v>729</v>
      </c>
      <c r="F1013" s="5">
        <v>200</v>
      </c>
    </row>
    <row r="1014" spans="1:6" hidden="1">
      <c r="A1014" t="s">
        <v>545</v>
      </c>
      <c r="B1014" t="s">
        <v>546</v>
      </c>
      <c r="C1014">
        <v>76169148</v>
      </c>
      <c r="D1014">
        <v>2001102</v>
      </c>
      <c r="E1014" t="s">
        <v>39</v>
      </c>
      <c r="F1014" s="5">
        <v>300</v>
      </c>
    </row>
    <row r="1015" spans="1:6">
      <c r="A1015" t="s">
        <v>545</v>
      </c>
      <c r="B1015" t="s">
        <v>546</v>
      </c>
      <c r="C1015">
        <v>76169148</v>
      </c>
      <c r="D1015">
        <v>2001102</v>
      </c>
      <c r="E1015" t="s">
        <v>729</v>
      </c>
      <c r="F1015" s="5">
        <v>200</v>
      </c>
    </row>
    <row r="1016" spans="1:6" hidden="1">
      <c r="A1016" t="s">
        <v>584</v>
      </c>
      <c r="B1016" t="s">
        <v>585</v>
      </c>
      <c r="C1016">
        <v>76209301</v>
      </c>
      <c r="D1016">
        <v>8113</v>
      </c>
      <c r="E1016" t="s">
        <v>39</v>
      </c>
      <c r="F1016" s="5">
        <v>300</v>
      </c>
    </row>
    <row r="1017" spans="1:6">
      <c r="A1017" t="s">
        <v>584</v>
      </c>
      <c r="B1017" t="s">
        <v>585</v>
      </c>
      <c r="C1017">
        <v>76209301</v>
      </c>
      <c r="D1017">
        <v>8113</v>
      </c>
      <c r="E1017" t="s">
        <v>729</v>
      </c>
      <c r="F1017" s="5">
        <v>200</v>
      </c>
    </row>
    <row r="1018" spans="1:6" hidden="1">
      <c r="A1018" t="s">
        <v>446</v>
      </c>
      <c r="B1018" t="s">
        <v>447</v>
      </c>
      <c r="C1018">
        <v>71059338</v>
      </c>
      <c r="D1018">
        <v>2001096</v>
      </c>
      <c r="E1018" t="s">
        <v>39</v>
      </c>
      <c r="F1018" s="5">
        <v>300</v>
      </c>
    </row>
    <row r="1019" spans="1:6">
      <c r="A1019" t="s">
        <v>446</v>
      </c>
      <c r="B1019" t="s">
        <v>447</v>
      </c>
      <c r="C1019">
        <v>71059338</v>
      </c>
      <c r="D1019">
        <v>2001096</v>
      </c>
      <c r="E1019" t="s">
        <v>729</v>
      </c>
      <c r="F1019" s="5">
        <v>200</v>
      </c>
    </row>
    <row r="1020" spans="1:6" hidden="1">
      <c r="A1020" t="s">
        <v>3571</v>
      </c>
      <c r="B1020" t="s">
        <v>3572</v>
      </c>
      <c r="C1020">
        <v>76210769</v>
      </c>
      <c r="D1020">
        <v>2501083</v>
      </c>
      <c r="E1020" t="s">
        <v>39</v>
      </c>
      <c r="F1020" s="5">
        <v>300</v>
      </c>
    </row>
    <row r="1021" spans="1:6">
      <c r="A1021" t="s">
        <v>3571</v>
      </c>
      <c r="B1021" t="s">
        <v>3572</v>
      </c>
      <c r="C1021">
        <v>76210769</v>
      </c>
      <c r="D1021">
        <v>2501083</v>
      </c>
      <c r="E1021" t="s">
        <v>729</v>
      </c>
      <c r="F1021" s="5">
        <v>200</v>
      </c>
    </row>
    <row r="1022" spans="1:6" hidden="1">
      <c r="A1022" t="s">
        <v>706</v>
      </c>
      <c r="B1022" t="s">
        <v>707</v>
      </c>
      <c r="C1022">
        <v>76252076</v>
      </c>
      <c r="D1022">
        <v>2503463</v>
      </c>
      <c r="E1022" t="s">
        <v>39</v>
      </c>
      <c r="F1022" s="5">
        <v>300</v>
      </c>
    </row>
    <row r="1023" spans="1:6">
      <c r="A1023" t="s">
        <v>706</v>
      </c>
      <c r="B1023" t="s">
        <v>707</v>
      </c>
      <c r="C1023">
        <v>76252076</v>
      </c>
      <c r="D1023">
        <v>2503463</v>
      </c>
      <c r="E1023" t="s">
        <v>729</v>
      </c>
      <c r="F1023" s="5">
        <v>200</v>
      </c>
    </row>
    <row r="1024" spans="1:6" hidden="1">
      <c r="A1024" t="s">
        <v>611</v>
      </c>
      <c r="B1024" t="s">
        <v>612</v>
      </c>
      <c r="C1024">
        <v>76217262</v>
      </c>
      <c r="D1024">
        <v>2501434</v>
      </c>
      <c r="E1024" t="s">
        <v>39</v>
      </c>
      <c r="F1024" s="5">
        <v>300</v>
      </c>
    </row>
    <row r="1025" spans="1:6">
      <c r="A1025" t="s">
        <v>611</v>
      </c>
      <c r="B1025" t="s">
        <v>612</v>
      </c>
      <c r="C1025">
        <v>76217262</v>
      </c>
      <c r="D1025">
        <v>2501434</v>
      </c>
      <c r="E1025" t="s">
        <v>729</v>
      </c>
      <c r="F1025" s="5">
        <v>200</v>
      </c>
    </row>
    <row r="1026" spans="1:6" hidden="1">
      <c r="A1026" t="s">
        <v>3537</v>
      </c>
      <c r="B1026" t="s">
        <v>3538</v>
      </c>
      <c r="C1026">
        <v>76209648</v>
      </c>
      <c r="D1026">
        <v>2500990</v>
      </c>
      <c r="E1026" t="s">
        <v>39</v>
      </c>
      <c r="F1026" s="5">
        <v>450</v>
      </c>
    </row>
    <row r="1027" spans="1:6">
      <c r="A1027" t="s">
        <v>3537</v>
      </c>
      <c r="B1027" t="s">
        <v>3538</v>
      </c>
      <c r="C1027">
        <v>76209648</v>
      </c>
      <c r="D1027">
        <v>2500990</v>
      </c>
      <c r="E1027" t="s">
        <v>729</v>
      </c>
      <c r="F1027" s="5">
        <v>200</v>
      </c>
    </row>
    <row r="1028" spans="1:6" hidden="1">
      <c r="A1028" t="s">
        <v>3535</v>
      </c>
      <c r="B1028" t="s">
        <v>3536</v>
      </c>
      <c r="C1028">
        <v>76209647</v>
      </c>
      <c r="D1028">
        <v>2500989</v>
      </c>
      <c r="E1028" t="s">
        <v>39</v>
      </c>
      <c r="F1028" s="5">
        <v>450</v>
      </c>
    </row>
    <row r="1029" spans="1:6">
      <c r="A1029" t="s">
        <v>3535</v>
      </c>
      <c r="B1029" t="s">
        <v>3536</v>
      </c>
      <c r="C1029">
        <v>76209647</v>
      </c>
      <c r="D1029">
        <v>2500989</v>
      </c>
      <c r="E1029" t="s">
        <v>729</v>
      </c>
      <c r="F1029" s="5">
        <v>200</v>
      </c>
    </row>
    <row r="1030" spans="1:6" hidden="1">
      <c r="A1030" t="s">
        <v>270</v>
      </c>
      <c r="B1030" t="s">
        <v>271</v>
      </c>
      <c r="C1030">
        <v>76245016</v>
      </c>
      <c r="D1030">
        <v>2002905</v>
      </c>
      <c r="E1030" t="s">
        <v>39</v>
      </c>
      <c r="F1030" s="5">
        <v>300</v>
      </c>
    </row>
    <row r="1031" spans="1:6">
      <c r="A1031" t="s">
        <v>270</v>
      </c>
      <c r="B1031" t="s">
        <v>271</v>
      </c>
      <c r="C1031">
        <v>76245016</v>
      </c>
      <c r="D1031">
        <v>2002905</v>
      </c>
      <c r="E1031" t="s">
        <v>729</v>
      </c>
      <c r="F1031" s="5">
        <v>200</v>
      </c>
    </row>
    <row r="1032" spans="1:6" hidden="1">
      <c r="A1032" t="s">
        <v>2595</v>
      </c>
      <c r="B1032" t="s">
        <v>2596</v>
      </c>
      <c r="C1032">
        <v>76057591</v>
      </c>
      <c r="D1032">
        <v>2002001</v>
      </c>
      <c r="E1032" t="s">
        <v>39</v>
      </c>
      <c r="F1032" s="5">
        <v>450</v>
      </c>
    </row>
    <row r="1033" spans="1:6">
      <c r="A1033" t="s">
        <v>2595</v>
      </c>
      <c r="B1033" t="s">
        <v>2596</v>
      </c>
      <c r="C1033">
        <v>76057591</v>
      </c>
      <c r="D1033">
        <v>2002001</v>
      </c>
      <c r="E1033" t="s">
        <v>729</v>
      </c>
      <c r="F1033" s="5">
        <v>200</v>
      </c>
    </row>
    <row r="1034" spans="1:6" hidden="1">
      <c r="A1034" t="s">
        <v>4236</v>
      </c>
      <c r="B1034" t="s">
        <v>4237</v>
      </c>
      <c r="C1034">
        <v>76235245</v>
      </c>
      <c r="D1034">
        <v>2002987</v>
      </c>
      <c r="E1034" t="s">
        <v>39</v>
      </c>
      <c r="F1034" s="5">
        <v>300</v>
      </c>
    </row>
    <row r="1035" spans="1:6">
      <c r="A1035" t="s">
        <v>4236</v>
      </c>
      <c r="B1035" t="s">
        <v>4237</v>
      </c>
      <c r="C1035">
        <v>76235245</v>
      </c>
      <c r="D1035">
        <v>2002987</v>
      </c>
      <c r="E1035" t="s">
        <v>729</v>
      </c>
      <c r="F1035" s="5">
        <v>200</v>
      </c>
    </row>
    <row r="1036" spans="1:6" hidden="1">
      <c r="A1036" t="s">
        <v>4100</v>
      </c>
      <c r="B1036" t="s">
        <v>4101</v>
      </c>
      <c r="C1036">
        <v>76231265</v>
      </c>
      <c r="D1036">
        <v>2003137</v>
      </c>
      <c r="E1036" t="s">
        <v>39</v>
      </c>
      <c r="F1036" s="5">
        <v>300</v>
      </c>
    </row>
    <row r="1037" spans="1:6">
      <c r="A1037" t="s">
        <v>4100</v>
      </c>
      <c r="B1037" t="s">
        <v>4101</v>
      </c>
      <c r="C1037">
        <v>76231265</v>
      </c>
      <c r="D1037">
        <v>2003137</v>
      </c>
      <c r="E1037" t="s">
        <v>729</v>
      </c>
      <c r="F1037" s="5">
        <v>200</v>
      </c>
    </row>
    <row r="1038" spans="1:6" hidden="1">
      <c r="A1038" t="s">
        <v>2312</v>
      </c>
      <c r="B1038" t="s">
        <v>2313</v>
      </c>
      <c r="C1038">
        <v>76020773</v>
      </c>
      <c r="D1038">
        <v>2500949</v>
      </c>
      <c r="E1038" t="s">
        <v>39</v>
      </c>
      <c r="F1038" s="5">
        <v>300</v>
      </c>
    </row>
    <row r="1039" spans="1:6">
      <c r="A1039" t="s">
        <v>2312</v>
      </c>
      <c r="B1039" t="s">
        <v>2313</v>
      </c>
      <c r="C1039">
        <v>76020773</v>
      </c>
      <c r="D1039">
        <v>2500949</v>
      </c>
      <c r="E1039" t="s">
        <v>729</v>
      </c>
      <c r="F1039" s="5">
        <v>200</v>
      </c>
    </row>
    <row r="1040" spans="1:6" hidden="1">
      <c r="A1040" t="s">
        <v>4140</v>
      </c>
      <c r="B1040" t="s">
        <v>4141</v>
      </c>
      <c r="C1040">
        <v>76232056</v>
      </c>
      <c r="D1040">
        <v>2502589</v>
      </c>
      <c r="E1040" t="s">
        <v>39</v>
      </c>
      <c r="F1040" s="5">
        <v>300</v>
      </c>
    </row>
    <row r="1041" spans="1:6">
      <c r="A1041" t="s">
        <v>4140</v>
      </c>
      <c r="B1041" t="s">
        <v>4141</v>
      </c>
      <c r="C1041">
        <v>76232056</v>
      </c>
      <c r="D1041">
        <v>2502589</v>
      </c>
      <c r="E1041" t="s">
        <v>729</v>
      </c>
      <c r="F1041" s="5">
        <v>200</v>
      </c>
    </row>
    <row r="1042" spans="1:6" hidden="1">
      <c r="A1042" t="s">
        <v>2128</v>
      </c>
      <c r="B1042" t="s">
        <v>2129</v>
      </c>
      <c r="C1042">
        <v>71050645</v>
      </c>
      <c r="D1042">
        <v>2000148</v>
      </c>
      <c r="E1042" t="s">
        <v>39</v>
      </c>
      <c r="F1042" s="5">
        <v>450</v>
      </c>
    </row>
    <row r="1043" spans="1:6">
      <c r="A1043" t="s">
        <v>2128</v>
      </c>
      <c r="B1043" t="s">
        <v>2129</v>
      </c>
      <c r="C1043">
        <v>71050645</v>
      </c>
      <c r="D1043">
        <v>2000148</v>
      </c>
      <c r="E1043" t="s">
        <v>729</v>
      </c>
      <c r="F1043" s="5">
        <v>200</v>
      </c>
    </row>
    <row r="1044" spans="1:6" hidden="1">
      <c r="A1044" t="s">
        <v>2004</v>
      </c>
      <c r="B1044" t="s">
        <v>2005</v>
      </c>
      <c r="C1044">
        <v>71035283</v>
      </c>
      <c r="D1044">
        <v>2500304</v>
      </c>
      <c r="E1044" t="s">
        <v>39</v>
      </c>
      <c r="F1044" s="5">
        <v>400</v>
      </c>
    </row>
    <row r="1045" spans="1:6">
      <c r="A1045" t="s">
        <v>2004</v>
      </c>
      <c r="B1045" t="s">
        <v>2005</v>
      </c>
      <c r="C1045">
        <v>71035283</v>
      </c>
      <c r="D1045">
        <v>2500304</v>
      </c>
      <c r="E1045" t="s">
        <v>729</v>
      </c>
      <c r="F1045" s="5">
        <v>200</v>
      </c>
    </row>
    <row r="1046" spans="1:6" hidden="1">
      <c r="A1046" t="s">
        <v>3649</v>
      </c>
      <c r="B1046" t="s">
        <v>3650</v>
      </c>
      <c r="C1046">
        <v>76215523</v>
      </c>
      <c r="D1046">
        <v>2501285</v>
      </c>
      <c r="E1046" t="s">
        <v>39</v>
      </c>
      <c r="F1046" s="5">
        <v>400</v>
      </c>
    </row>
    <row r="1047" spans="1:6">
      <c r="A1047" t="s">
        <v>3649</v>
      </c>
      <c r="B1047" t="s">
        <v>3650</v>
      </c>
      <c r="C1047">
        <v>76215523</v>
      </c>
      <c r="D1047">
        <v>2501285</v>
      </c>
      <c r="E1047" t="s">
        <v>729</v>
      </c>
      <c r="F1047" s="5">
        <v>200</v>
      </c>
    </row>
    <row r="1048" spans="1:6" hidden="1">
      <c r="A1048" t="s">
        <v>4040</v>
      </c>
      <c r="B1048" t="s">
        <v>4041</v>
      </c>
      <c r="C1048">
        <v>76229722</v>
      </c>
      <c r="D1048">
        <v>2502858</v>
      </c>
      <c r="E1048" t="s">
        <v>39</v>
      </c>
      <c r="F1048" s="5">
        <v>300</v>
      </c>
    </row>
    <row r="1049" spans="1:6">
      <c r="A1049" t="s">
        <v>4040</v>
      </c>
      <c r="B1049" t="s">
        <v>4041</v>
      </c>
      <c r="C1049">
        <v>76229722</v>
      </c>
      <c r="D1049">
        <v>2502858</v>
      </c>
      <c r="E1049" t="s">
        <v>729</v>
      </c>
      <c r="F1049" s="5">
        <v>200</v>
      </c>
    </row>
    <row r="1050" spans="1:6" hidden="1">
      <c r="A1050" t="s">
        <v>4046</v>
      </c>
      <c r="B1050" t="s">
        <v>4047</v>
      </c>
      <c r="C1050">
        <v>76229727</v>
      </c>
      <c r="D1050">
        <v>2502861</v>
      </c>
      <c r="E1050" t="s">
        <v>39</v>
      </c>
      <c r="F1050" s="5">
        <v>300</v>
      </c>
    </row>
    <row r="1051" spans="1:6">
      <c r="A1051" t="s">
        <v>4046</v>
      </c>
      <c r="B1051" t="s">
        <v>4047</v>
      </c>
      <c r="C1051">
        <v>76229727</v>
      </c>
      <c r="D1051">
        <v>2502861</v>
      </c>
      <c r="E1051" t="s">
        <v>729</v>
      </c>
      <c r="F1051" s="5">
        <v>200</v>
      </c>
    </row>
    <row r="1052" spans="1:6" hidden="1">
      <c r="A1052" t="s">
        <v>4044</v>
      </c>
      <c r="B1052" t="s">
        <v>4045</v>
      </c>
      <c r="C1052">
        <v>76229726</v>
      </c>
      <c r="D1052">
        <v>2502876</v>
      </c>
      <c r="E1052" t="s">
        <v>39</v>
      </c>
      <c r="F1052" s="5">
        <v>300</v>
      </c>
    </row>
    <row r="1053" spans="1:6">
      <c r="A1053" t="s">
        <v>4044</v>
      </c>
      <c r="B1053" t="s">
        <v>4045</v>
      </c>
      <c r="C1053">
        <v>76229726</v>
      </c>
      <c r="D1053">
        <v>2502876</v>
      </c>
      <c r="E1053" t="s">
        <v>729</v>
      </c>
      <c r="F1053" s="5">
        <v>200</v>
      </c>
    </row>
    <row r="1054" spans="1:6" hidden="1">
      <c r="A1054" t="s">
        <v>264</v>
      </c>
      <c r="B1054" t="s">
        <v>265</v>
      </c>
      <c r="C1054">
        <v>76244781</v>
      </c>
      <c r="D1054">
        <v>2502176</v>
      </c>
      <c r="E1054" t="s">
        <v>39</v>
      </c>
      <c r="F1054" s="5">
        <v>400</v>
      </c>
    </row>
    <row r="1055" spans="1:6">
      <c r="A1055" t="s">
        <v>264</v>
      </c>
      <c r="B1055" t="s">
        <v>265</v>
      </c>
      <c r="C1055">
        <v>76244781</v>
      </c>
      <c r="D1055">
        <v>2502176</v>
      </c>
      <c r="E1055" t="s">
        <v>729</v>
      </c>
      <c r="F1055" s="5">
        <v>200</v>
      </c>
    </row>
    <row r="1056" spans="1:6" hidden="1">
      <c r="A1056" t="s">
        <v>1713</v>
      </c>
      <c r="B1056" t="s">
        <v>1714</v>
      </c>
      <c r="C1056">
        <v>13387405</v>
      </c>
      <c r="D1056">
        <v>2500072</v>
      </c>
      <c r="E1056" t="s">
        <v>39</v>
      </c>
      <c r="F1056" s="5">
        <v>300</v>
      </c>
    </row>
    <row r="1057" spans="1:6">
      <c r="A1057" t="s">
        <v>1713</v>
      </c>
      <c r="B1057" t="s">
        <v>1714</v>
      </c>
      <c r="C1057">
        <v>13387405</v>
      </c>
      <c r="D1057">
        <v>2500072</v>
      </c>
      <c r="E1057" t="s">
        <v>729</v>
      </c>
      <c r="F1057" s="5">
        <v>200</v>
      </c>
    </row>
    <row r="1058" spans="1:6" hidden="1">
      <c r="A1058" t="s">
        <v>2336</v>
      </c>
      <c r="B1058" t="s">
        <v>2337</v>
      </c>
      <c r="C1058">
        <v>76023142</v>
      </c>
      <c r="D1058">
        <v>3001990</v>
      </c>
      <c r="E1058" t="s">
        <v>39</v>
      </c>
      <c r="F1058" s="5">
        <v>300</v>
      </c>
    </row>
    <row r="1059" spans="1:6">
      <c r="A1059" t="s">
        <v>2336</v>
      </c>
      <c r="B1059" t="s">
        <v>2337</v>
      </c>
      <c r="C1059">
        <v>76023142</v>
      </c>
      <c r="D1059">
        <v>3001990</v>
      </c>
      <c r="E1059" t="s">
        <v>729</v>
      </c>
      <c r="F1059" s="5">
        <v>200</v>
      </c>
    </row>
    <row r="1060" spans="1:6" hidden="1">
      <c r="A1060" t="s">
        <v>1715</v>
      </c>
      <c r="B1060" t="s">
        <v>1716</v>
      </c>
      <c r="C1060">
        <v>13387406</v>
      </c>
      <c r="D1060">
        <v>2500688</v>
      </c>
      <c r="E1060" t="s">
        <v>39</v>
      </c>
      <c r="F1060" s="5">
        <v>450</v>
      </c>
    </row>
    <row r="1061" spans="1:6">
      <c r="A1061" t="s">
        <v>1715</v>
      </c>
      <c r="B1061" t="s">
        <v>1716</v>
      </c>
      <c r="C1061">
        <v>13387406</v>
      </c>
      <c r="D1061">
        <v>2500688</v>
      </c>
      <c r="E1061" t="s">
        <v>729</v>
      </c>
      <c r="F1061" s="5">
        <v>200</v>
      </c>
    </row>
    <row r="1062" spans="1:6" hidden="1">
      <c r="A1062" t="s">
        <v>4208</v>
      </c>
      <c r="B1062" t="s">
        <v>4209</v>
      </c>
      <c r="C1062">
        <v>76234722</v>
      </c>
      <c r="D1062">
        <v>2002827</v>
      </c>
      <c r="E1062" t="s">
        <v>39</v>
      </c>
      <c r="F1062" s="5">
        <v>300</v>
      </c>
    </row>
    <row r="1063" spans="1:6">
      <c r="A1063" t="s">
        <v>4208</v>
      </c>
      <c r="B1063" t="s">
        <v>4209</v>
      </c>
      <c r="C1063">
        <v>76234722</v>
      </c>
      <c r="D1063">
        <v>2002827</v>
      </c>
      <c r="E1063" t="s">
        <v>729</v>
      </c>
      <c r="F1063" s="5">
        <v>200</v>
      </c>
    </row>
    <row r="1064" spans="1:6" hidden="1">
      <c r="A1064" t="s">
        <v>240</v>
      </c>
      <c r="B1064" t="s">
        <v>241</v>
      </c>
      <c r="C1064">
        <v>76240429</v>
      </c>
      <c r="D1064">
        <v>2002703</v>
      </c>
      <c r="E1064" t="s">
        <v>39</v>
      </c>
      <c r="F1064" s="5">
        <v>300</v>
      </c>
    </row>
    <row r="1065" spans="1:6">
      <c r="A1065" t="s">
        <v>240</v>
      </c>
      <c r="B1065" t="s">
        <v>241</v>
      </c>
      <c r="C1065">
        <v>76240429</v>
      </c>
      <c r="D1065">
        <v>2002703</v>
      </c>
      <c r="E1065" t="s">
        <v>729</v>
      </c>
      <c r="F1065" s="5">
        <v>200</v>
      </c>
    </row>
    <row r="1066" spans="1:6" hidden="1">
      <c r="A1066" t="s">
        <v>4210</v>
      </c>
      <c r="B1066" t="s">
        <v>4211</v>
      </c>
      <c r="C1066">
        <v>76234725</v>
      </c>
      <c r="D1066">
        <v>2002826</v>
      </c>
      <c r="E1066" t="s">
        <v>39</v>
      </c>
      <c r="F1066" s="5">
        <v>300</v>
      </c>
    </row>
    <row r="1067" spans="1:6">
      <c r="A1067" t="s">
        <v>4210</v>
      </c>
      <c r="B1067" t="s">
        <v>4211</v>
      </c>
      <c r="C1067">
        <v>76234725</v>
      </c>
      <c r="D1067">
        <v>2002826</v>
      </c>
      <c r="E1067" t="s">
        <v>729</v>
      </c>
      <c r="F1067" s="5">
        <v>200</v>
      </c>
    </row>
    <row r="1068" spans="1:6" hidden="1">
      <c r="A1068" t="s">
        <v>4308</v>
      </c>
      <c r="B1068" t="s">
        <v>4309</v>
      </c>
      <c r="C1068">
        <v>76238764</v>
      </c>
      <c r="D1068">
        <v>2002718</v>
      </c>
      <c r="E1068" t="s">
        <v>39</v>
      </c>
      <c r="F1068" s="5">
        <v>300</v>
      </c>
    </row>
    <row r="1069" spans="1:6">
      <c r="A1069" t="s">
        <v>4308</v>
      </c>
      <c r="B1069" t="s">
        <v>4309</v>
      </c>
      <c r="C1069">
        <v>76238764</v>
      </c>
      <c r="D1069">
        <v>2002718</v>
      </c>
      <c r="E1069" t="s">
        <v>729</v>
      </c>
      <c r="F1069" s="5">
        <v>200</v>
      </c>
    </row>
    <row r="1070" spans="1:6" hidden="1">
      <c r="A1070" t="s">
        <v>4212</v>
      </c>
      <c r="B1070" t="s">
        <v>4213</v>
      </c>
      <c r="C1070">
        <v>76234731</v>
      </c>
      <c r="D1070">
        <v>2002825</v>
      </c>
      <c r="E1070" t="s">
        <v>39</v>
      </c>
      <c r="F1070" s="5">
        <v>300</v>
      </c>
    </row>
    <row r="1071" spans="1:6">
      <c r="A1071" t="s">
        <v>4212</v>
      </c>
      <c r="B1071" t="s">
        <v>4213</v>
      </c>
      <c r="C1071">
        <v>76234731</v>
      </c>
      <c r="D1071">
        <v>2002825</v>
      </c>
      <c r="E1071" t="s">
        <v>729</v>
      </c>
      <c r="F1071" s="5">
        <v>200</v>
      </c>
    </row>
    <row r="1072" spans="1:6" hidden="1">
      <c r="A1072" t="s">
        <v>4312</v>
      </c>
      <c r="B1072" t="s">
        <v>4313</v>
      </c>
      <c r="C1072">
        <v>76239770</v>
      </c>
      <c r="D1072">
        <v>11077</v>
      </c>
      <c r="E1072" t="s">
        <v>39</v>
      </c>
      <c r="F1072" s="5">
        <v>300</v>
      </c>
    </row>
    <row r="1073" spans="1:6">
      <c r="A1073" t="s">
        <v>4312</v>
      </c>
      <c r="B1073" t="s">
        <v>4313</v>
      </c>
      <c r="C1073">
        <v>76239770</v>
      </c>
      <c r="D1073">
        <v>11077</v>
      </c>
      <c r="E1073" t="s">
        <v>729</v>
      </c>
      <c r="F1073" s="5">
        <v>200</v>
      </c>
    </row>
    <row r="1074" spans="1:6" hidden="1">
      <c r="A1074" t="s">
        <v>4304</v>
      </c>
      <c r="B1074" t="s">
        <v>4305</v>
      </c>
      <c r="C1074">
        <v>76238757</v>
      </c>
      <c r="D1074">
        <v>11072</v>
      </c>
      <c r="E1074" t="s">
        <v>39</v>
      </c>
      <c r="F1074" s="5">
        <v>300</v>
      </c>
    </row>
    <row r="1075" spans="1:6">
      <c r="A1075" t="s">
        <v>4304</v>
      </c>
      <c r="B1075" t="s">
        <v>4305</v>
      </c>
      <c r="C1075">
        <v>76238757</v>
      </c>
      <c r="D1075">
        <v>11072</v>
      </c>
      <c r="E1075" t="s">
        <v>729</v>
      </c>
      <c r="F1075" s="5">
        <v>200</v>
      </c>
    </row>
    <row r="1076" spans="1:6" hidden="1">
      <c r="A1076" t="s">
        <v>4306</v>
      </c>
      <c r="B1076" t="s">
        <v>4307</v>
      </c>
      <c r="C1076">
        <v>76238762</v>
      </c>
      <c r="D1076">
        <v>11075</v>
      </c>
      <c r="E1076" t="s">
        <v>39</v>
      </c>
      <c r="F1076" s="5">
        <v>300</v>
      </c>
    </row>
    <row r="1077" spans="1:6">
      <c r="A1077" t="s">
        <v>4306</v>
      </c>
      <c r="B1077" t="s">
        <v>4307</v>
      </c>
      <c r="C1077">
        <v>76238762</v>
      </c>
      <c r="D1077">
        <v>11075</v>
      </c>
      <c r="E1077" t="s">
        <v>729</v>
      </c>
      <c r="F1077" s="5">
        <v>200</v>
      </c>
    </row>
    <row r="1078" spans="1:6" hidden="1">
      <c r="A1078" t="s">
        <v>234</v>
      </c>
      <c r="B1078" t="s">
        <v>235</v>
      </c>
      <c r="C1078">
        <v>76238760</v>
      </c>
      <c r="D1078">
        <v>11073</v>
      </c>
      <c r="E1078" t="s">
        <v>39</v>
      </c>
      <c r="F1078" s="5">
        <v>300</v>
      </c>
    </row>
    <row r="1079" spans="1:6">
      <c r="A1079" t="s">
        <v>234</v>
      </c>
      <c r="B1079" t="s">
        <v>235</v>
      </c>
      <c r="C1079">
        <v>76238760</v>
      </c>
      <c r="D1079">
        <v>11073</v>
      </c>
      <c r="E1079" t="s">
        <v>729</v>
      </c>
      <c r="F1079" s="5">
        <v>200</v>
      </c>
    </row>
    <row r="1080" spans="1:6" hidden="1">
      <c r="A1080" t="s">
        <v>4621</v>
      </c>
      <c r="B1080" t="s">
        <v>4622</v>
      </c>
      <c r="C1080">
        <v>76257603</v>
      </c>
      <c r="D1080">
        <v>3002129</v>
      </c>
      <c r="E1080" t="s">
        <v>39</v>
      </c>
      <c r="F1080" s="5">
        <v>300</v>
      </c>
    </row>
    <row r="1081" spans="1:6">
      <c r="A1081" t="s">
        <v>4621</v>
      </c>
      <c r="B1081" t="s">
        <v>4622</v>
      </c>
      <c r="C1081">
        <v>76257603</v>
      </c>
      <c r="D1081">
        <v>3002129</v>
      </c>
      <c r="E1081" t="s">
        <v>729</v>
      </c>
      <c r="F1081" s="5">
        <v>200</v>
      </c>
    </row>
    <row r="1082" spans="1:6" hidden="1">
      <c r="A1082" t="s">
        <v>3291</v>
      </c>
      <c r="B1082" t="s">
        <v>3292</v>
      </c>
      <c r="C1082">
        <v>76193444</v>
      </c>
      <c r="D1082">
        <v>11070</v>
      </c>
      <c r="E1082" t="s">
        <v>39</v>
      </c>
      <c r="F1082" s="5">
        <v>300</v>
      </c>
    </row>
    <row r="1083" spans="1:6">
      <c r="A1083" t="s">
        <v>3291</v>
      </c>
      <c r="B1083" t="s">
        <v>3292</v>
      </c>
      <c r="C1083">
        <v>76193444</v>
      </c>
      <c r="D1083">
        <v>11070</v>
      </c>
      <c r="E1083" t="s">
        <v>729</v>
      </c>
      <c r="F1083" s="5">
        <v>200</v>
      </c>
    </row>
    <row r="1084" spans="1:6" hidden="1">
      <c r="A1084" t="s">
        <v>3159</v>
      </c>
      <c r="B1084" t="s">
        <v>3160</v>
      </c>
      <c r="C1084">
        <v>76176208</v>
      </c>
      <c r="D1084">
        <v>11141</v>
      </c>
      <c r="E1084" t="s">
        <v>39</v>
      </c>
      <c r="F1084" s="5">
        <v>300</v>
      </c>
    </row>
    <row r="1085" spans="1:6">
      <c r="A1085" t="s">
        <v>3159</v>
      </c>
      <c r="B1085" t="s">
        <v>3160</v>
      </c>
      <c r="C1085">
        <v>76176208</v>
      </c>
      <c r="D1085">
        <v>11141</v>
      </c>
      <c r="E1085" t="s">
        <v>729</v>
      </c>
      <c r="F1085" s="5">
        <v>200</v>
      </c>
    </row>
    <row r="1086" spans="1:6" hidden="1">
      <c r="A1086" t="s">
        <v>4310</v>
      </c>
      <c r="B1086" t="s">
        <v>4311</v>
      </c>
      <c r="C1086">
        <v>76238768</v>
      </c>
      <c r="D1086">
        <v>11074</v>
      </c>
      <c r="E1086" t="s">
        <v>39</v>
      </c>
      <c r="F1086" s="5">
        <v>300</v>
      </c>
    </row>
    <row r="1087" spans="1:6">
      <c r="A1087" t="s">
        <v>4310</v>
      </c>
      <c r="B1087" t="s">
        <v>4311</v>
      </c>
      <c r="C1087">
        <v>76238768</v>
      </c>
      <c r="D1087">
        <v>11074</v>
      </c>
      <c r="E1087" t="s">
        <v>729</v>
      </c>
      <c r="F1087" s="5">
        <v>200</v>
      </c>
    </row>
    <row r="1088" spans="1:6" hidden="1">
      <c r="A1088" t="s">
        <v>4468</v>
      </c>
      <c r="B1088" t="s">
        <v>4469</v>
      </c>
      <c r="C1088">
        <v>76251163</v>
      </c>
      <c r="D1088">
        <v>0</v>
      </c>
      <c r="E1088" t="s">
        <v>39</v>
      </c>
      <c r="F1088" s="5">
        <v>400</v>
      </c>
    </row>
    <row r="1089" spans="1:6">
      <c r="A1089" t="s">
        <v>4468</v>
      </c>
      <c r="B1089" t="s">
        <v>4469</v>
      </c>
      <c r="C1089">
        <v>76251163</v>
      </c>
      <c r="D1089">
        <v>0</v>
      </c>
      <c r="E1089" t="s">
        <v>729</v>
      </c>
      <c r="F1089" s="5">
        <v>200</v>
      </c>
    </row>
    <row r="1090" spans="1:6" hidden="1">
      <c r="A1090" t="s">
        <v>4384</v>
      </c>
      <c r="B1090" t="s">
        <v>4385</v>
      </c>
      <c r="C1090">
        <v>76243776</v>
      </c>
      <c r="D1090">
        <v>0</v>
      </c>
      <c r="E1090" t="s">
        <v>39</v>
      </c>
      <c r="F1090" s="5">
        <v>300</v>
      </c>
    </row>
    <row r="1091" spans="1:6">
      <c r="A1091" t="s">
        <v>4384</v>
      </c>
      <c r="B1091" t="s">
        <v>4385</v>
      </c>
      <c r="C1091">
        <v>76243776</v>
      </c>
      <c r="D1091">
        <v>0</v>
      </c>
      <c r="E1091" t="s">
        <v>729</v>
      </c>
      <c r="F1091" s="5">
        <v>200</v>
      </c>
    </row>
    <row r="1092" spans="1:6" hidden="1">
      <c r="A1092" t="s">
        <v>3937</v>
      </c>
      <c r="B1092" t="s">
        <v>3938</v>
      </c>
      <c r="C1092">
        <v>76227046</v>
      </c>
      <c r="D1092">
        <v>2002091</v>
      </c>
      <c r="E1092" t="s">
        <v>39</v>
      </c>
      <c r="F1092" s="5">
        <v>300</v>
      </c>
    </row>
    <row r="1093" spans="1:6">
      <c r="A1093" t="s">
        <v>3937</v>
      </c>
      <c r="B1093" t="s">
        <v>3938</v>
      </c>
      <c r="C1093">
        <v>76227046</v>
      </c>
      <c r="D1093">
        <v>2002091</v>
      </c>
      <c r="E1093" t="s">
        <v>729</v>
      </c>
      <c r="F1093" s="5">
        <v>200</v>
      </c>
    </row>
    <row r="1094" spans="1:6" hidden="1">
      <c r="A1094" t="s">
        <v>3487</v>
      </c>
      <c r="B1094" t="s">
        <v>3488</v>
      </c>
      <c r="C1094">
        <v>76208689</v>
      </c>
      <c r="D1094">
        <v>2000548</v>
      </c>
      <c r="E1094" t="s">
        <v>39</v>
      </c>
      <c r="F1094" s="5">
        <v>300</v>
      </c>
    </row>
    <row r="1095" spans="1:6">
      <c r="A1095" t="s">
        <v>3487</v>
      </c>
      <c r="B1095" t="s">
        <v>3488</v>
      </c>
      <c r="C1095">
        <v>76208689</v>
      </c>
      <c r="D1095">
        <v>2000548</v>
      </c>
      <c r="E1095" t="s">
        <v>729</v>
      </c>
      <c r="F1095" s="5">
        <v>200</v>
      </c>
    </row>
    <row r="1096" spans="1:6" hidden="1">
      <c r="A1096" t="s">
        <v>1791</v>
      </c>
      <c r="B1096" t="s">
        <v>1792</v>
      </c>
      <c r="C1096">
        <v>25006301</v>
      </c>
      <c r="D1096">
        <v>2002991</v>
      </c>
      <c r="E1096" t="s">
        <v>39</v>
      </c>
      <c r="F1096" s="5">
        <v>300</v>
      </c>
    </row>
    <row r="1097" spans="1:6">
      <c r="A1097" t="s">
        <v>1791</v>
      </c>
      <c r="B1097" t="s">
        <v>1792</v>
      </c>
      <c r="C1097">
        <v>25006301</v>
      </c>
      <c r="D1097">
        <v>2002991</v>
      </c>
      <c r="E1097" t="s">
        <v>729</v>
      </c>
      <c r="F1097" s="5">
        <v>200</v>
      </c>
    </row>
    <row r="1098" spans="1:6" hidden="1">
      <c r="A1098" t="s">
        <v>1651</v>
      </c>
      <c r="B1098" t="s">
        <v>1652</v>
      </c>
      <c r="C1098">
        <v>8300287</v>
      </c>
      <c r="D1098">
        <v>2000180</v>
      </c>
      <c r="E1098" t="s">
        <v>39</v>
      </c>
      <c r="F1098" s="5">
        <v>300</v>
      </c>
    </row>
    <row r="1099" spans="1:6">
      <c r="A1099" t="s">
        <v>1651</v>
      </c>
      <c r="B1099" t="s">
        <v>1652</v>
      </c>
      <c r="C1099">
        <v>8300287</v>
      </c>
      <c r="D1099">
        <v>2000180</v>
      </c>
      <c r="E1099" t="s">
        <v>729</v>
      </c>
      <c r="F1099" s="5">
        <v>200</v>
      </c>
    </row>
    <row r="1100" spans="1:6" hidden="1">
      <c r="A1100" t="s">
        <v>2080</v>
      </c>
      <c r="B1100" t="s">
        <v>2081</v>
      </c>
      <c r="C1100">
        <v>71046168</v>
      </c>
      <c r="D1100">
        <v>2000181</v>
      </c>
      <c r="E1100" t="s">
        <v>39</v>
      </c>
      <c r="F1100" s="5">
        <v>300</v>
      </c>
    </row>
    <row r="1101" spans="1:6">
      <c r="A1101" t="s">
        <v>2080</v>
      </c>
      <c r="B1101" t="s">
        <v>2081</v>
      </c>
      <c r="C1101">
        <v>71046168</v>
      </c>
      <c r="D1101">
        <v>2000181</v>
      </c>
      <c r="E1101" t="s">
        <v>729</v>
      </c>
      <c r="F1101" s="5">
        <v>200</v>
      </c>
    </row>
    <row r="1102" spans="1:6" hidden="1">
      <c r="A1102" t="s">
        <v>1821</v>
      </c>
      <c r="B1102" t="s">
        <v>1822</v>
      </c>
      <c r="C1102">
        <v>25155812</v>
      </c>
      <c r="D1102">
        <v>2503322</v>
      </c>
      <c r="E1102" t="s">
        <v>39</v>
      </c>
      <c r="F1102" s="5">
        <v>300</v>
      </c>
    </row>
    <row r="1103" spans="1:6">
      <c r="A1103" t="s">
        <v>1821</v>
      </c>
      <c r="B1103" t="s">
        <v>1822</v>
      </c>
      <c r="C1103">
        <v>25155812</v>
      </c>
      <c r="D1103">
        <v>2503322</v>
      </c>
      <c r="E1103" t="s">
        <v>729</v>
      </c>
      <c r="F1103" s="5">
        <v>200</v>
      </c>
    </row>
    <row r="1104" spans="1:6" hidden="1">
      <c r="A1104" t="s">
        <v>2038</v>
      </c>
      <c r="B1104" t="s">
        <v>2039</v>
      </c>
      <c r="C1104">
        <v>71041703</v>
      </c>
      <c r="D1104">
        <v>3001430</v>
      </c>
      <c r="E1104" t="s">
        <v>39</v>
      </c>
      <c r="F1104" s="5">
        <v>300</v>
      </c>
    </row>
    <row r="1105" spans="1:6">
      <c r="A1105" t="s">
        <v>2038</v>
      </c>
      <c r="B1105" t="s">
        <v>2039</v>
      </c>
      <c r="C1105">
        <v>71041703</v>
      </c>
      <c r="D1105">
        <v>3001430</v>
      </c>
      <c r="E1105" t="s">
        <v>729</v>
      </c>
      <c r="F1105" s="5">
        <v>200</v>
      </c>
    </row>
    <row r="1106" spans="1:6" hidden="1">
      <c r="A1106" t="s">
        <v>1785</v>
      </c>
      <c r="B1106" t="s">
        <v>1786</v>
      </c>
      <c r="C1106">
        <v>17316041</v>
      </c>
      <c r="D1106">
        <v>2000025</v>
      </c>
      <c r="E1106" t="s">
        <v>39</v>
      </c>
      <c r="F1106" s="5">
        <v>300</v>
      </c>
    </row>
    <row r="1107" spans="1:6">
      <c r="A1107" t="s">
        <v>1785</v>
      </c>
      <c r="B1107" t="s">
        <v>1786</v>
      </c>
      <c r="C1107">
        <v>17316041</v>
      </c>
      <c r="D1107">
        <v>2000025</v>
      </c>
      <c r="E1107" t="s">
        <v>729</v>
      </c>
      <c r="F1107" s="5">
        <v>200</v>
      </c>
    </row>
    <row r="1108" spans="1:6" hidden="1">
      <c r="A1108" t="s">
        <v>2570</v>
      </c>
      <c r="B1108" t="s">
        <v>2571</v>
      </c>
      <c r="C1108">
        <v>76055606</v>
      </c>
      <c r="D1108">
        <v>2000190</v>
      </c>
      <c r="E1108" t="s">
        <v>39</v>
      </c>
      <c r="F1108" s="5">
        <v>300</v>
      </c>
    </row>
    <row r="1109" spans="1:6">
      <c r="A1109" t="s">
        <v>2570</v>
      </c>
      <c r="B1109" t="s">
        <v>2571</v>
      </c>
      <c r="C1109">
        <v>76055606</v>
      </c>
      <c r="D1109">
        <v>2000190</v>
      </c>
      <c r="E1109" t="s">
        <v>729</v>
      </c>
      <c r="F1109" s="5">
        <v>200</v>
      </c>
    </row>
    <row r="1110" spans="1:6" hidden="1">
      <c r="A1110" t="s">
        <v>2967</v>
      </c>
      <c r="B1110" t="s">
        <v>2968</v>
      </c>
      <c r="C1110">
        <v>76154153</v>
      </c>
      <c r="D1110">
        <v>2502410</v>
      </c>
      <c r="E1110" t="s">
        <v>39</v>
      </c>
      <c r="F1110" s="5">
        <v>450</v>
      </c>
    </row>
    <row r="1111" spans="1:6">
      <c r="A1111" t="s">
        <v>2967</v>
      </c>
      <c r="B1111" t="s">
        <v>2968</v>
      </c>
      <c r="C1111">
        <v>76154153</v>
      </c>
      <c r="D1111">
        <v>2502410</v>
      </c>
      <c r="E1111" t="s">
        <v>729</v>
      </c>
      <c r="F1111" s="5">
        <v>200</v>
      </c>
    </row>
    <row r="1112" spans="1:6" hidden="1">
      <c r="A1112" t="s">
        <v>1581</v>
      </c>
      <c r="B1112" t="s">
        <v>1582</v>
      </c>
      <c r="C1112">
        <v>5157307</v>
      </c>
      <c r="D1112">
        <v>2002175</v>
      </c>
      <c r="E1112" t="s">
        <v>39</v>
      </c>
      <c r="F1112" s="5">
        <v>450</v>
      </c>
    </row>
    <row r="1113" spans="1:6">
      <c r="A1113" t="s">
        <v>1581</v>
      </c>
      <c r="B1113" t="s">
        <v>1582</v>
      </c>
      <c r="C1113">
        <v>5157307</v>
      </c>
      <c r="D1113">
        <v>2002175</v>
      </c>
      <c r="E1113" t="s">
        <v>729</v>
      </c>
      <c r="F1113" s="5">
        <v>200</v>
      </c>
    </row>
    <row r="1114" spans="1:6" hidden="1">
      <c r="A1114" t="s">
        <v>3557</v>
      </c>
      <c r="B1114" t="s">
        <v>3558</v>
      </c>
      <c r="C1114">
        <v>76210257</v>
      </c>
      <c r="D1114">
        <v>2501524</v>
      </c>
      <c r="E1114" t="s">
        <v>39</v>
      </c>
      <c r="F1114" s="5">
        <v>300</v>
      </c>
    </row>
    <row r="1115" spans="1:6">
      <c r="A1115" t="s">
        <v>3557</v>
      </c>
      <c r="B1115" t="s">
        <v>3558</v>
      </c>
      <c r="C1115">
        <v>76210257</v>
      </c>
      <c r="D1115">
        <v>2501524</v>
      </c>
      <c r="E1115" t="s">
        <v>729</v>
      </c>
      <c r="F1115" s="5">
        <v>200</v>
      </c>
    </row>
    <row r="1116" spans="1:6" hidden="1">
      <c r="A1116" t="s">
        <v>458</v>
      </c>
      <c r="B1116" t="s">
        <v>459</v>
      </c>
      <c r="C1116">
        <v>76003334</v>
      </c>
      <c r="D1116">
        <v>8061</v>
      </c>
      <c r="E1116" t="s">
        <v>39</v>
      </c>
      <c r="F1116" s="5">
        <v>300</v>
      </c>
    </row>
    <row r="1117" spans="1:6">
      <c r="A1117" t="s">
        <v>458</v>
      </c>
      <c r="B1117" t="s">
        <v>459</v>
      </c>
      <c r="C1117">
        <v>76003334</v>
      </c>
      <c r="D1117">
        <v>8061</v>
      </c>
      <c r="E1117" t="s">
        <v>729</v>
      </c>
      <c r="F1117" s="5">
        <v>200</v>
      </c>
    </row>
    <row r="1118" spans="1:6" hidden="1">
      <c r="A1118" t="s">
        <v>120</v>
      </c>
      <c r="B1118" t="s">
        <v>121</v>
      </c>
      <c r="C1118">
        <v>76205609</v>
      </c>
      <c r="D1118">
        <v>2000850</v>
      </c>
      <c r="E1118" t="s">
        <v>39</v>
      </c>
      <c r="F1118" s="5">
        <v>300</v>
      </c>
    </row>
    <row r="1119" spans="1:6">
      <c r="A1119" t="s">
        <v>120</v>
      </c>
      <c r="B1119" t="s">
        <v>121</v>
      </c>
      <c r="C1119">
        <v>76205609</v>
      </c>
      <c r="D1119">
        <v>2000850</v>
      </c>
      <c r="E1119" t="s">
        <v>729</v>
      </c>
      <c r="F1119" s="5">
        <v>200</v>
      </c>
    </row>
    <row r="1120" spans="1:6" hidden="1">
      <c r="A1120" t="s">
        <v>2450</v>
      </c>
      <c r="B1120" t="s">
        <v>2451</v>
      </c>
      <c r="C1120">
        <v>76037307</v>
      </c>
      <c r="D1120">
        <v>2002240</v>
      </c>
      <c r="E1120" t="s">
        <v>39</v>
      </c>
      <c r="F1120" s="5">
        <v>300</v>
      </c>
    </row>
    <row r="1121" spans="1:6">
      <c r="A1121" t="s">
        <v>2450</v>
      </c>
      <c r="B1121" t="s">
        <v>2451</v>
      </c>
      <c r="C1121">
        <v>76037307</v>
      </c>
      <c r="D1121">
        <v>2002240</v>
      </c>
      <c r="E1121" t="s">
        <v>729</v>
      </c>
      <c r="F1121" s="5">
        <v>200</v>
      </c>
    </row>
    <row r="1122" spans="1:6" hidden="1">
      <c r="A1122" t="s">
        <v>4252</v>
      </c>
      <c r="B1122" t="s">
        <v>4253</v>
      </c>
      <c r="C1122">
        <v>76235600</v>
      </c>
      <c r="D1122">
        <v>2002401</v>
      </c>
      <c r="E1122" t="s">
        <v>39</v>
      </c>
      <c r="F1122" s="5">
        <v>300</v>
      </c>
    </row>
    <row r="1123" spans="1:6">
      <c r="A1123" t="s">
        <v>4252</v>
      </c>
      <c r="B1123" t="s">
        <v>4253</v>
      </c>
      <c r="C1123">
        <v>76235600</v>
      </c>
      <c r="D1123">
        <v>2002401</v>
      </c>
      <c r="E1123" t="s">
        <v>729</v>
      </c>
      <c r="F1123" s="5">
        <v>200</v>
      </c>
    </row>
    <row r="1124" spans="1:6" hidden="1">
      <c r="A1124" t="s">
        <v>2222</v>
      </c>
      <c r="B1124" t="s">
        <v>2223</v>
      </c>
      <c r="C1124">
        <v>71062937</v>
      </c>
      <c r="D1124">
        <v>2002198</v>
      </c>
      <c r="E1124" t="s">
        <v>39</v>
      </c>
      <c r="F1124" s="5">
        <v>300</v>
      </c>
    </row>
    <row r="1125" spans="1:6">
      <c r="A1125" t="s">
        <v>2222</v>
      </c>
      <c r="B1125" t="s">
        <v>2223</v>
      </c>
      <c r="C1125">
        <v>71062937</v>
      </c>
      <c r="D1125">
        <v>2002198</v>
      </c>
      <c r="E1125" t="s">
        <v>729</v>
      </c>
      <c r="F1125" s="5">
        <v>200</v>
      </c>
    </row>
    <row r="1126" spans="1:6" hidden="1">
      <c r="A1126" t="s">
        <v>2396</v>
      </c>
      <c r="B1126" t="s">
        <v>2397</v>
      </c>
      <c r="C1126">
        <v>76030961</v>
      </c>
      <c r="D1126">
        <v>2002228</v>
      </c>
      <c r="E1126" t="s">
        <v>39</v>
      </c>
      <c r="F1126" s="5">
        <v>300</v>
      </c>
    </row>
    <row r="1127" spans="1:6">
      <c r="A1127" t="s">
        <v>2396</v>
      </c>
      <c r="B1127" t="s">
        <v>2397</v>
      </c>
      <c r="C1127">
        <v>76030961</v>
      </c>
      <c r="D1127">
        <v>2002228</v>
      </c>
      <c r="E1127" t="s">
        <v>729</v>
      </c>
      <c r="F1127" s="5">
        <v>200</v>
      </c>
    </row>
    <row r="1128" spans="1:6" hidden="1">
      <c r="A1128" t="s">
        <v>4436</v>
      </c>
      <c r="B1128" t="s">
        <v>4437</v>
      </c>
      <c r="C1128">
        <v>76246924</v>
      </c>
      <c r="D1128">
        <v>3001948</v>
      </c>
      <c r="E1128" t="s">
        <v>39</v>
      </c>
      <c r="F1128" s="5">
        <v>300</v>
      </c>
    </row>
    <row r="1129" spans="1:6">
      <c r="A1129" t="s">
        <v>4436</v>
      </c>
      <c r="B1129" t="s">
        <v>4437</v>
      </c>
      <c r="C1129">
        <v>76246924</v>
      </c>
      <c r="D1129">
        <v>3001948</v>
      </c>
      <c r="E1129" t="s">
        <v>729</v>
      </c>
      <c r="F1129" s="5">
        <v>200</v>
      </c>
    </row>
    <row r="1130" spans="1:6" hidden="1">
      <c r="A1130" t="s">
        <v>4098</v>
      </c>
      <c r="B1130" t="s">
        <v>4099</v>
      </c>
      <c r="C1130">
        <v>76231141</v>
      </c>
      <c r="D1130">
        <v>2002057</v>
      </c>
      <c r="E1130" t="s">
        <v>39</v>
      </c>
      <c r="F1130" s="5">
        <v>450</v>
      </c>
    </row>
    <row r="1131" spans="1:6">
      <c r="A1131" t="s">
        <v>4098</v>
      </c>
      <c r="B1131" t="s">
        <v>4099</v>
      </c>
      <c r="C1131">
        <v>76231141</v>
      </c>
      <c r="D1131">
        <v>2002057</v>
      </c>
      <c r="E1131" t="s">
        <v>729</v>
      </c>
      <c r="F1131" s="5">
        <v>200</v>
      </c>
    </row>
    <row r="1132" spans="1:6" hidden="1">
      <c r="A1132" t="s">
        <v>4268</v>
      </c>
      <c r="B1132" t="s">
        <v>4269</v>
      </c>
      <c r="C1132">
        <v>76236567</v>
      </c>
      <c r="D1132">
        <v>2002556</v>
      </c>
      <c r="E1132" t="s">
        <v>39</v>
      </c>
      <c r="F1132" s="5">
        <v>300</v>
      </c>
    </row>
    <row r="1133" spans="1:6">
      <c r="A1133" t="s">
        <v>4268</v>
      </c>
      <c r="B1133" t="s">
        <v>4269</v>
      </c>
      <c r="C1133">
        <v>76236567</v>
      </c>
      <c r="D1133">
        <v>2002556</v>
      </c>
      <c r="E1133" t="s">
        <v>729</v>
      </c>
      <c r="F1133" s="5">
        <v>200</v>
      </c>
    </row>
    <row r="1134" spans="1:6" hidden="1">
      <c r="A1134" t="s">
        <v>3095</v>
      </c>
      <c r="B1134" t="s">
        <v>3096</v>
      </c>
      <c r="C1134">
        <v>76167742</v>
      </c>
      <c r="D1134">
        <v>2002242</v>
      </c>
      <c r="E1134" t="s">
        <v>39</v>
      </c>
      <c r="F1134" s="5">
        <v>300</v>
      </c>
    </row>
    <row r="1135" spans="1:6">
      <c r="A1135" t="s">
        <v>3095</v>
      </c>
      <c r="B1135" t="s">
        <v>3096</v>
      </c>
      <c r="C1135">
        <v>76167742</v>
      </c>
      <c r="D1135">
        <v>2002242</v>
      </c>
      <c r="E1135" t="s">
        <v>729</v>
      </c>
      <c r="F1135" s="5">
        <v>200</v>
      </c>
    </row>
    <row r="1136" spans="1:6" hidden="1">
      <c r="A1136" t="s">
        <v>4270</v>
      </c>
      <c r="B1136" t="s">
        <v>4271</v>
      </c>
      <c r="C1136">
        <v>76236568</v>
      </c>
      <c r="D1136">
        <v>2002541</v>
      </c>
      <c r="E1136" t="s">
        <v>39</v>
      </c>
      <c r="F1136" s="5">
        <v>300</v>
      </c>
    </row>
    <row r="1137" spans="1:6">
      <c r="A1137" t="s">
        <v>4270</v>
      </c>
      <c r="B1137" t="s">
        <v>4271</v>
      </c>
      <c r="C1137">
        <v>76236568</v>
      </c>
      <c r="D1137">
        <v>2002541</v>
      </c>
      <c r="E1137" t="s">
        <v>729</v>
      </c>
      <c r="F1137" s="5">
        <v>200</v>
      </c>
    </row>
    <row r="1138" spans="1:6" hidden="1">
      <c r="A1138" t="s">
        <v>2603</v>
      </c>
      <c r="B1138" t="s">
        <v>2604</v>
      </c>
      <c r="C1138">
        <v>76058171</v>
      </c>
      <c r="D1138">
        <v>2002197</v>
      </c>
      <c r="E1138" t="s">
        <v>39</v>
      </c>
      <c r="F1138" s="5">
        <v>300</v>
      </c>
    </row>
    <row r="1139" spans="1:6">
      <c r="A1139" t="s">
        <v>2603</v>
      </c>
      <c r="B1139" t="s">
        <v>2604</v>
      </c>
      <c r="C1139">
        <v>76058171</v>
      </c>
      <c r="D1139">
        <v>2002197</v>
      </c>
      <c r="E1139" t="s">
        <v>729</v>
      </c>
      <c r="F1139" s="5">
        <v>200</v>
      </c>
    </row>
    <row r="1140" spans="1:6" hidden="1">
      <c r="A1140" t="s">
        <v>2629</v>
      </c>
      <c r="B1140" t="s">
        <v>2630</v>
      </c>
      <c r="C1140">
        <v>76060376</v>
      </c>
      <c r="D1140">
        <v>2000381</v>
      </c>
      <c r="E1140" t="s">
        <v>39</v>
      </c>
      <c r="F1140" s="5">
        <v>300</v>
      </c>
    </row>
    <row r="1141" spans="1:6">
      <c r="A1141" t="s">
        <v>2629</v>
      </c>
      <c r="B1141" t="s">
        <v>2630</v>
      </c>
      <c r="C1141">
        <v>76060376</v>
      </c>
      <c r="D1141">
        <v>2000381</v>
      </c>
      <c r="E1141" t="s">
        <v>729</v>
      </c>
      <c r="F1141" s="5">
        <v>200</v>
      </c>
    </row>
    <row r="1142" spans="1:6" hidden="1">
      <c r="A1142" t="s">
        <v>4082</v>
      </c>
      <c r="B1142" t="s">
        <v>4083</v>
      </c>
      <c r="C1142">
        <v>76230454</v>
      </c>
      <c r="D1142">
        <v>2502886</v>
      </c>
      <c r="E1142" t="s">
        <v>39</v>
      </c>
      <c r="F1142" s="5">
        <v>300</v>
      </c>
    </row>
    <row r="1143" spans="1:6">
      <c r="A1143" t="s">
        <v>4082</v>
      </c>
      <c r="B1143" t="s">
        <v>4083</v>
      </c>
      <c r="C1143">
        <v>76230454</v>
      </c>
      <c r="D1143">
        <v>2502886</v>
      </c>
      <c r="E1143" t="s">
        <v>729</v>
      </c>
      <c r="F1143" s="5">
        <v>200</v>
      </c>
    </row>
    <row r="1144" spans="1:6" hidden="1">
      <c r="A1144" t="s">
        <v>3203</v>
      </c>
      <c r="B1144" t="s">
        <v>3204</v>
      </c>
      <c r="C1144">
        <v>76180535</v>
      </c>
      <c r="D1144">
        <v>2503647</v>
      </c>
      <c r="E1144" t="s">
        <v>39</v>
      </c>
      <c r="F1144" s="5">
        <v>300</v>
      </c>
    </row>
    <row r="1145" spans="1:6">
      <c r="A1145" t="s">
        <v>3203</v>
      </c>
      <c r="B1145" t="s">
        <v>3204</v>
      </c>
      <c r="C1145">
        <v>76180535</v>
      </c>
      <c r="D1145">
        <v>2503647</v>
      </c>
      <c r="E1145" t="s">
        <v>729</v>
      </c>
      <c r="F1145" s="5">
        <v>200</v>
      </c>
    </row>
    <row r="1146" spans="1:6" hidden="1">
      <c r="A1146" t="s">
        <v>2290</v>
      </c>
      <c r="B1146" t="s">
        <v>2291</v>
      </c>
      <c r="C1146">
        <v>76013178</v>
      </c>
      <c r="D1146">
        <v>2002243</v>
      </c>
      <c r="E1146" t="s">
        <v>39</v>
      </c>
      <c r="F1146" s="5">
        <v>300</v>
      </c>
    </row>
    <row r="1147" spans="1:6">
      <c r="A1147" t="s">
        <v>2290</v>
      </c>
      <c r="B1147" t="s">
        <v>2291</v>
      </c>
      <c r="C1147">
        <v>76013178</v>
      </c>
      <c r="D1147">
        <v>2002243</v>
      </c>
      <c r="E1147" t="s">
        <v>729</v>
      </c>
      <c r="F1147" s="5">
        <v>200</v>
      </c>
    </row>
    <row r="1148" spans="1:6" hidden="1">
      <c r="A1148" t="s">
        <v>3939</v>
      </c>
      <c r="B1148" t="s">
        <v>3940</v>
      </c>
      <c r="C1148">
        <v>76227056</v>
      </c>
      <c r="D1148">
        <v>2001892</v>
      </c>
      <c r="E1148" t="s">
        <v>39</v>
      </c>
      <c r="F1148" s="5">
        <v>400</v>
      </c>
    </row>
    <row r="1149" spans="1:6">
      <c r="A1149" t="s">
        <v>3939</v>
      </c>
      <c r="B1149" t="s">
        <v>3940</v>
      </c>
      <c r="C1149">
        <v>76227056</v>
      </c>
      <c r="D1149">
        <v>2001892</v>
      </c>
      <c r="E1149" t="s">
        <v>729</v>
      </c>
      <c r="F1149" s="5">
        <v>200</v>
      </c>
    </row>
    <row r="1150" spans="1:6" hidden="1">
      <c r="A1150" t="s">
        <v>2512</v>
      </c>
      <c r="B1150" t="s">
        <v>2513</v>
      </c>
      <c r="C1150">
        <v>76042990</v>
      </c>
      <c r="D1150">
        <v>2502212</v>
      </c>
      <c r="E1150" t="s">
        <v>39</v>
      </c>
      <c r="F1150" s="5">
        <v>450</v>
      </c>
    </row>
    <row r="1151" spans="1:6">
      <c r="A1151" t="s">
        <v>2512</v>
      </c>
      <c r="B1151" t="s">
        <v>2513</v>
      </c>
      <c r="C1151">
        <v>76042990</v>
      </c>
      <c r="D1151">
        <v>2502212</v>
      </c>
      <c r="E1151" t="s">
        <v>729</v>
      </c>
      <c r="F1151" s="5">
        <v>200</v>
      </c>
    </row>
    <row r="1152" spans="1:6" hidden="1">
      <c r="A1152" t="s">
        <v>279</v>
      </c>
      <c r="B1152" t="s">
        <v>280</v>
      </c>
      <c r="C1152">
        <v>76250378</v>
      </c>
      <c r="D1152">
        <v>2503449</v>
      </c>
      <c r="E1152" t="s">
        <v>39</v>
      </c>
      <c r="F1152" s="5">
        <v>300</v>
      </c>
    </row>
    <row r="1153" spans="1:6">
      <c r="A1153" t="s">
        <v>279</v>
      </c>
      <c r="B1153" t="s">
        <v>280</v>
      </c>
      <c r="C1153">
        <v>76250378</v>
      </c>
      <c r="D1153">
        <v>2503449</v>
      </c>
      <c r="E1153" t="s">
        <v>729</v>
      </c>
      <c r="F1153" s="5">
        <v>200</v>
      </c>
    </row>
    <row r="1154" spans="1:6" hidden="1">
      <c r="A1154" t="s">
        <v>4505</v>
      </c>
      <c r="B1154" t="s">
        <v>4506</v>
      </c>
      <c r="C1154">
        <v>76252265</v>
      </c>
      <c r="D1154">
        <v>3000697</v>
      </c>
      <c r="E1154" t="s">
        <v>39</v>
      </c>
      <c r="F1154" s="5">
        <v>300</v>
      </c>
    </row>
    <row r="1155" spans="1:6">
      <c r="A1155" t="s">
        <v>4505</v>
      </c>
      <c r="B1155" t="s">
        <v>4506</v>
      </c>
      <c r="C1155">
        <v>76252265</v>
      </c>
      <c r="D1155">
        <v>3000697</v>
      </c>
      <c r="E1155" t="s">
        <v>729</v>
      </c>
      <c r="F1155" s="5">
        <v>200</v>
      </c>
    </row>
    <row r="1156" spans="1:6" hidden="1">
      <c r="A1156" t="s">
        <v>1679</v>
      </c>
      <c r="B1156" t="s">
        <v>1680</v>
      </c>
      <c r="C1156">
        <v>9700250</v>
      </c>
      <c r="D1156">
        <v>2503594</v>
      </c>
      <c r="E1156" t="s">
        <v>39</v>
      </c>
      <c r="F1156" s="5">
        <v>300</v>
      </c>
    </row>
    <row r="1157" spans="1:6">
      <c r="A1157" t="s">
        <v>1679</v>
      </c>
      <c r="B1157" t="s">
        <v>1680</v>
      </c>
      <c r="C1157">
        <v>9700250</v>
      </c>
      <c r="D1157">
        <v>2503594</v>
      </c>
      <c r="E1157" t="s">
        <v>729</v>
      </c>
      <c r="F1157" s="5">
        <v>200</v>
      </c>
    </row>
    <row r="1158" spans="1:6" hidden="1">
      <c r="A1158" t="s">
        <v>2657</v>
      </c>
      <c r="B1158" t="s">
        <v>2658</v>
      </c>
      <c r="C1158">
        <v>76063969</v>
      </c>
      <c r="D1158">
        <v>2503139</v>
      </c>
      <c r="E1158" t="s">
        <v>39</v>
      </c>
      <c r="F1158" s="5">
        <v>300</v>
      </c>
    </row>
    <row r="1159" spans="1:6">
      <c r="A1159" t="s">
        <v>2657</v>
      </c>
      <c r="B1159" t="s">
        <v>2658</v>
      </c>
      <c r="C1159">
        <v>76063969</v>
      </c>
      <c r="D1159">
        <v>2503139</v>
      </c>
      <c r="E1159" t="s">
        <v>729</v>
      </c>
      <c r="F1159" s="5">
        <v>200</v>
      </c>
    </row>
    <row r="1160" spans="1:6" hidden="1">
      <c r="A1160" t="s">
        <v>3111</v>
      </c>
      <c r="B1160" t="s">
        <v>3112</v>
      </c>
      <c r="C1160">
        <v>76169336</v>
      </c>
      <c r="D1160">
        <v>2501598</v>
      </c>
      <c r="E1160" t="s">
        <v>39</v>
      </c>
      <c r="F1160" s="5">
        <v>400</v>
      </c>
    </row>
    <row r="1161" spans="1:6">
      <c r="A1161" t="s">
        <v>3111</v>
      </c>
      <c r="B1161" t="s">
        <v>3112</v>
      </c>
      <c r="C1161">
        <v>76169336</v>
      </c>
      <c r="D1161">
        <v>2501598</v>
      </c>
      <c r="E1161" t="s">
        <v>729</v>
      </c>
      <c r="F1161" s="5">
        <v>200</v>
      </c>
    </row>
    <row r="1162" spans="1:6" hidden="1">
      <c r="A1162" t="s">
        <v>4280</v>
      </c>
      <c r="B1162" t="s">
        <v>4281</v>
      </c>
      <c r="C1162">
        <v>76237183</v>
      </c>
      <c r="D1162">
        <v>2502982</v>
      </c>
      <c r="E1162" t="s">
        <v>39</v>
      </c>
      <c r="F1162" s="5">
        <v>300</v>
      </c>
    </row>
    <row r="1163" spans="1:6">
      <c r="A1163" t="s">
        <v>4280</v>
      </c>
      <c r="B1163" t="s">
        <v>4281</v>
      </c>
      <c r="C1163">
        <v>76237183</v>
      </c>
      <c r="D1163">
        <v>2502982</v>
      </c>
      <c r="E1163" t="s">
        <v>729</v>
      </c>
      <c r="F1163" s="5">
        <v>200</v>
      </c>
    </row>
    <row r="1164" spans="1:6" hidden="1">
      <c r="A1164" t="s">
        <v>3547</v>
      </c>
      <c r="B1164" t="s">
        <v>3548</v>
      </c>
      <c r="C1164">
        <v>76209873</v>
      </c>
      <c r="D1164">
        <v>2502979</v>
      </c>
      <c r="E1164" t="s">
        <v>39</v>
      </c>
      <c r="F1164" s="5">
        <v>450</v>
      </c>
    </row>
    <row r="1165" spans="1:6">
      <c r="A1165" t="s">
        <v>3547</v>
      </c>
      <c r="B1165" t="s">
        <v>3548</v>
      </c>
      <c r="C1165">
        <v>76209873</v>
      </c>
      <c r="D1165">
        <v>2502979</v>
      </c>
      <c r="E1165" t="s">
        <v>729</v>
      </c>
      <c r="F1165" s="5">
        <v>200</v>
      </c>
    </row>
    <row r="1166" spans="1:6" hidden="1">
      <c r="A1166" t="s">
        <v>3549</v>
      </c>
      <c r="B1166" t="s">
        <v>3550</v>
      </c>
      <c r="C1166">
        <v>76209873</v>
      </c>
      <c r="D1166">
        <v>2501654</v>
      </c>
      <c r="E1166" t="s">
        <v>39</v>
      </c>
      <c r="F1166" s="5">
        <v>300</v>
      </c>
    </row>
    <row r="1167" spans="1:6">
      <c r="A1167" t="s">
        <v>3549</v>
      </c>
      <c r="B1167" t="s">
        <v>3550</v>
      </c>
      <c r="C1167">
        <v>76209873</v>
      </c>
      <c r="D1167">
        <v>2501654</v>
      </c>
      <c r="E1167" t="s">
        <v>729</v>
      </c>
      <c r="F1167" s="5">
        <v>200</v>
      </c>
    </row>
    <row r="1168" spans="1:6" hidden="1">
      <c r="A1168" t="s">
        <v>4170</v>
      </c>
      <c r="B1168" t="s">
        <v>4171</v>
      </c>
      <c r="C1168">
        <v>76233579</v>
      </c>
      <c r="D1168">
        <v>2503574</v>
      </c>
      <c r="E1168" t="s">
        <v>39</v>
      </c>
      <c r="F1168" s="5">
        <v>300</v>
      </c>
    </row>
    <row r="1169" spans="1:6">
      <c r="A1169" t="s">
        <v>4170</v>
      </c>
      <c r="B1169" t="s">
        <v>4171</v>
      </c>
      <c r="C1169">
        <v>76233579</v>
      </c>
      <c r="D1169">
        <v>2503574</v>
      </c>
      <c r="E1169" t="s">
        <v>729</v>
      </c>
      <c r="F1169" s="5">
        <v>200</v>
      </c>
    </row>
    <row r="1170" spans="1:6" hidden="1">
      <c r="A1170" t="s">
        <v>4488</v>
      </c>
      <c r="B1170" t="s">
        <v>4489</v>
      </c>
      <c r="C1170">
        <v>76251823</v>
      </c>
      <c r="D1170">
        <v>2003050</v>
      </c>
      <c r="E1170" t="s">
        <v>39</v>
      </c>
      <c r="F1170" s="5">
        <v>300</v>
      </c>
    </row>
    <row r="1171" spans="1:6">
      <c r="A1171" t="s">
        <v>4488</v>
      </c>
      <c r="B1171" t="s">
        <v>4489</v>
      </c>
      <c r="C1171">
        <v>76251823</v>
      </c>
      <c r="D1171">
        <v>2003050</v>
      </c>
      <c r="E1171" t="s">
        <v>729</v>
      </c>
      <c r="F1171" s="5">
        <v>200</v>
      </c>
    </row>
    <row r="1172" spans="1:6" hidden="1">
      <c r="A1172" t="s">
        <v>3783</v>
      </c>
      <c r="B1172" t="s">
        <v>3784</v>
      </c>
      <c r="C1172">
        <v>76220921</v>
      </c>
      <c r="D1172">
        <v>2001631</v>
      </c>
      <c r="E1172" t="s">
        <v>39</v>
      </c>
      <c r="F1172" s="5">
        <v>300</v>
      </c>
    </row>
    <row r="1173" spans="1:6">
      <c r="A1173" t="s">
        <v>3783</v>
      </c>
      <c r="B1173" t="s">
        <v>3784</v>
      </c>
      <c r="C1173">
        <v>76220921</v>
      </c>
      <c r="D1173">
        <v>2001631</v>
      </c>
      <c r="E1173" t="s">
        <v>729</v>
      </c>
      <c r="F1173" s="5">
        <v>200</v>
      </c>
    </row>
    <row r="1174" spans="1:6" hidden="1">
      <c r="A1174" t="s">
        <v>4414</v>
      </c>
      <c r="B1174" t="s">
        <v>4415</v>
      </c>
      <c r="C1174">
        <v>76245431</v>
      </c>
      <c r="D1174">
        <v>2503591</v>
      </c>
      <c r="E1174" t="s">
        <v>39</v>
      </c>
      <c r="F1174" s="5">
        <v>300</v>
      </c>
    </row>
    <row r="1175" spans="1:6">
      <c r="A1175" t="s">
        <v>4414</v>
      </c>
      <c r="B1175" t="s">
        <v>4415</v>
      </c>
      <c r="C1175">
        <v>76245431</v>
      </c>
      <c r="D1175">
        <v>2503591</v>
      </c>
      <c r="E1175" t="s">
        <v>729</v>
      </c>
      <c r="F1175" s="5">
        <v>200</v>
      </c>
    </row>
    <row r="1176" spans="1:6" hidden="1">
      <c r="A1176" t="s">
        <v>4625</v>
      </c>
      <c r="B1176" t="s">
        <v>4626</v>
      </c>
      <c r="C1176">
        <v>76257640</v>
      </c>
      <c r="D1176">
        <v>3001780</v>
      </c>
      <c r="E1176" t="s">
        <v>39</v>
      </c>
      <c r="F1176" s="5">
        <v>300</v>
      </c>
    </row>
    <row r="1177" spans="1:6">
      <c r="A1177" t="s">
        <v>4625</v>
      </c>
      <c r="B1177" t="s">
        <v>4626</v>
      </c>
      <c r="C1177">
        <v>76257640</v>
      </c>
      <c r="D1177">
        <v>3001780</v>
      </c>
      <c r="E1177" t="s">
        <v>729</v>
      </c>
      <c r="F1177" s="5">
        <v>200</v>
      </c>
    </row>
    <row r="1178" spans="1:6" hidden="1">
      <c r="A1178" t="s">
        <v>515</v>
      </c>
      <c r="B1178" t="s">
        <v>516</v>
      </c>
      <c r="C1178">
        <v>76135790</v>
      </c>
      <c r="D1178">
        <v>2503496</v>
      </c>
      <c r="E1178" t="s">
        <v>39</v>
      </c>
      <c r="F1178" s="5">
        <v>300</v>
      </c>
    </row>
    <row r="1179" spans="1:6">
      <c r="A1179" t="s">
        <v>515</v>
      </c>
      <c r="B1179" t="s">
        <v>516</v>
      </c>
      <c r="C1179">
        <v>76135790</v>
      </c>
      <c r="D1179">
        <v>2503496</v>
      </c>
      <c r="E1179" t="s">
        <v>729</v>
      </c>
      <c r="F1179" s="5">
        <v>200</v>
      </c>
    </row>
    <row r="1180" spans="1:6" hidden="1">
      <c r="A1180" t="s">
        <v>524</v>
      </c>
      <c r="B1180" t="s">
        <v>525</v>
      </c>
      <c r="C1180">
        <v>76144136</v>
      </c>
      <c r="D1180">
        <v>3002895</v>
      </c>
      <c r="E1180" t="s">
        <v>39</v>
      </c>
      <c r="F1180" s="5">
        <v>300</v>
      </c>
    </row>
    <row r="1181" spans="1:6">
      <c r="A1181" t="s">
        <v>524</v>
      </c>
      <c r="B1181" t="s">
        <v>525</v>
      </c>
      <c r="C1181">
        <v>76144136</v>
      </c>
      <c r="D1181">
        <v>3002895</v>
      </c>
      <c r="E1181" t="s">
        <v>729</v>
      </c>
      <c r="F1181" s="5">
        <v>200</v>
      </c>
    </row>
    <row r="1182" spans="1:6" hidden="1">
      <c r="A1182" t="s">
        <v>2302</v>
      </c>
      <c r="B1182" t="s">
        <v>2303</v>
      </c>
      <c r="C1182">
        <v>76019863</v>
      </c>
      <c r="D1182">
        <v>143021</v>
      </c>
      <c r="E1182" t="s">
        <v>39</v>
      </c>
      <c r="F1182" s="5">
        <v>300</v>
      </c>
    </row>
    <row r="1183" spans="1:6">
      <c r="A1183" t="s">
        <v>2302</v>
      </c>
      <c r="B1183" t="s">
        <v>2303</v>
      </c>
      <c r="C1183">
        <v>76019863</v>
      </c>
      <c r="D1183">
        <v>143021</v>
      </c>
      <c r="E1183" t="s">
        <v>729</v>
      </c>
      <c r="F1183" s="5">
        <v>200</v>
      </c>
    </row>
    <row r="1184" spans="1:6" hidden="1">
      <c r="A1184" t="s">
        <v>3795</v>
      </c>
      <c r="B1184" t="s">
        <v>3796</v>
      </c>
      <c r="C1184">
        <v>76221235</v>
      </c>
      <c r="D1184">
        <v>2002973</v>
      </c>
      <c r="E1184" t="s">
        <v>39</v>
      </c>
      <c r="F1184" s="5">
        <v>300</v>
      </c>
    </row>
    <row r="1185" spans="1:6">
      <c r="A1185" t="s">
        <v>3795</v>
      </c>
      <c r="B1185" t="s">
        <v>3796</v>
      </c>
      <c r="C1185">
        <v>76221235</v>
      </c>
      <c r="D1185">
        <v>2002973</v>
      </c>
      <c r="E1185" t="s">
        <v>729</v>
      </c>
      <c r="F1185" s="5">
        <v>200</v>
      </c>
    </row>
    <row r="1186" spans="1:6" hidden="1">
      <c r="A1186" t="s">
        <v>3511</v>
      </c>
      <c r="B1186" t="s">
        <v>3512</v>
      </c>
      <c r="C1186">
        <v>76209183</v>
      </c>
      <c r="D1186">
        <v>2000842</v>
      </c>
      <c r="E1186" t="s">
        <v>39</v>
      </c>
      <c r="F1186" s="5">
        <v>450</v>
      </c>
    </row>
    <row r="1187" spans="1:6">
      <c r="A1187" t="s">
        <v>3511</v>
      </c>
      <c r="B1187" t="s">
        <v>3512</v>
      </c>
      <c r="C1187">
        <v>76209183</v>
      </c>
      <c r="D1187">
        <v>2000842</v>
      </c>
      <c r="E1187" t="s">
        <v>729</v>
      </c>
      <c r="F1187" s="5">
        <v>200</v>
      </c>
    </row>
    <row r="1188" spans="1:6" hidden="1">
      <c r="A1188" t="s">
        <v>4176</v>
      </c>
      <c r="B1188" t="s">
        <v>4177</v>
      </c>
      <c r="C1188">
        <v>76233618</v>
      </c>
      <c r="D1188">
        <v>2503195</v>
      </c>
      <c r="E1188" t="s">
        <v>39</v>
      </c>
      <c r="F1188" s="5">
        <v>300</v>
      </c>
    </row>
    <row r="1189" spans="1:6">
      <c r="A1189" t="s">
        <v>4176</v>
      </c>
      <c r="B1189" t="s">
        <v>4177</v>
      </c>
      <c r="C1189">
        <v>76233618</v>
      </c>
      <c r="D1189">
        <v>2503195</v>
      </c>
      <c r="E1189" t="s">
        <v>729</v>
      </c>
      <c r="F1189" s="5">
        <v>200</v>
      </c>
    </row>
    <row r="1190" spans="1:6" hidden="1">
      <c r="A1190" t="s">
        <v>4344</v>
      </c>
      <c r="B1190" t="s">
        <v>4345</v>
      </c>
      <c r="C1190">
        <v>76241220</v>
      </c>
      <c r="D1190">
        <v>2503172</v>
      </c>
      <c r="E1190" t="s">
        <v>39</v>
      </c>
      <c r="F1190" s="5">
        <v>300</v>
      </c>
    </row>
    <row r="1191" spans="1:6">
      <c r="A1191" t="s">
        <v>4344</v>
      </c>
      <c r="B1191" t="s">
        <v>4345</v>
      </c>
      <c r="C1191">
        <v>76241220</v>
      </c>
      <c r="D1191">
        <v>2503172</v>
      </c>
      <c r="E1191" t="s">
        <v>729</v>
      </c>
      <c r="F1191" s="5">
        <v>200</v>
      </c>
    </row>
    <row r="1192" spans="1:6" hidden="1">
      <c r="A1192" t="s">
        <v>3517</v>
      </c>
      <c r="B1192" t="s">
        <v>3518</v>
      </c>
      <c r="C1192">
        <v>76209236</v>
      </c>
      <c r="D1192">
        <v>2503354</v>
      </c>
      <c r="E1192" t="s">
        <v>39</v>
      </c>
      <c r="F1192" s="5">
        <v>300</v>
      </c>
    </row>
    <row r="1193" spans="1:6">
      <c r="A1193" t="s">
        <v>3517</v>
      </c>
      <c r="B1193" t="s">
        <v>3518</v>
      </c>
      <c r="C1193">
        <v>76209236</v>
      </c>
      <c r="D1193">
        <v>2503354</v>
      </c>
      <c r="E1193" t="s">
        <v>729</v>
      </c>
      <c r="F1193" s="5">
        <v>200</v>
      </c>
    </row>
    <row r="1194" spans="1:6" hidden="1">
      <c r="A1194" t="s">
        <v>4531</v>
      </c>
      <c r="B1194" t="s">
        <v>4532</v>
      </c>
      <c r="C1194">
        <v>76253402</v>
      </c>
      <c r="D1194">
        <v>2503636</v>
      </c>
      <c r="E1194" t="s">
        <v>39</v>
      </c>
      <c r="F1194" s="5">
        <v>300</v>
      </c>
    </row>
    <row r="1195" spans="1:6">
      <c r="A1195" t="s">
        <v>4531</v>
      </c>
      <c r="B1195" t="s">
        <v>4532</v>
      </c>
      <c r="C1195">
        <v>76253402</v>
      </c>
      <c r="D1195">
        <v>2503636</v>
      </c>
      <c r="E1195" t="s">
        <v>729</v>
      </c>
      <c r="F1195" s="5">
        <v>200</v>
      </c>
    </row>
    <row r="1196" spans="1:6" hidden="1">
      <c r="A1196" t="s">
        <v>216</v>
      </c>
      <c r="B1196" t="s">
        <v>217</v>
      </c>
      <c r="C1196">
        <v>76235514</v>
      </c>
      <c r="D1196">
        <v>2503145</v>
      </c>
      <c r="E1196" t="s">
        <v>39</v>
      </c>
      <c r="F1196" s="5">
        <v>300</v>
      </c>
    </row>
    <row r="1197" spans="1:6">
      <c r="A1197" t="s">
        <v>216</v>
      </c>
      <c r="B1197" t="s">
        <v>217</v>
      </c>
      <c r="C1197">
        <v>76235514</v>
      </c>
      <c r="D1197">
        <v>2503145</v>
      </c>
      <c r="E1197" t="s">
        <v>729</v>
      </c>
      <c r="F1197" s="5">
        <v>200</v>
      </c>
    </row>
    <row r="1198" spans="1:6" hidden="1">
      <c r="A1198" t="s">
        <v>4412</v>
      </c>
      <c r="B1198" t="s">
        <v>4413</v>
      </c>
      <c r="C1198">
        <v>76245407</v>
      </c>
      <c r="D1198">
        <v>2002912</v>
      </c>
      <c r="E1198" t="s">
        <v>39</v>
      </c>
      <c r="F1198" s="5">
        <v>300</v>
      </c>
    </row>
    <row r="1199" spans="1:6">
      <c r="A1199" t="s">
        <v>4412</v>
      </c>
      <c r="B1199" t="s">
        <v>4413</v>
      </c>
      <c r="C1199">
        <v>76245407</v>
      </c>
      <c r="D1199">
        <v>2002912</v>
      </c>
      <c r="E1199" t="s">
        <v>729</v>
      </c>
      <c r="F1199" s="5">
        <v>200</v>
      </c>
    </row>
    <row r="1200" spans="1:6" hidden="1">
      <c r="A1200" t="s">
        <v>4507</v>
      </c>
      <c r="B1200" t="s">
        <v>4508</v>
      </c>
      <c r="C1200">
        <v>76252357</v>
      </c>
      <c r="D1200">
        <v>2503484</v>
      </c>
      <c r="E1200" t="s">
        <v>39</v>
      </c>
      <c r="F1200" s="5">
        <v>300</v>
      </c>
    </row>
    <row r="1201" spans="1:6">
      <c r="A1201" t="s">
        <v>4507</v>
      </c>
      <c r="B1201" t="s">
        <v>4508</v>
      </c>
      <c r="C1201">
        <v>76252357</v>
      </c>
      <c r="D1201">
        <v>2503484</v>
      </c>
      <c r="E1201" t="s">
        <v>729</v>
      </c>
      <c r="F1201" s="5">
        <v>200</v>
      </c>
    </row>
    <row r="1202" spans="1:6" hidden="1">
      <c r="A1202" t="s">
        <v>4358</v>
      </c>
      <c r="B1202" t="s">
        <v>4359</v>
      </c>
      <c r="C1202">
        <v>76241714</v>
      </c>
      <c r="D1202">
        <v>2503351</v>
      </c>
      <c r="E1202" t="s">
        <v>39</v>
      </c>
      <c r="F1202" s="5">
        <v>300</v>
      </c>
    </row>
    <row r="1203" spans="1:6">
      <c r="A1203" t="s">
        <v>4358</v>
      </c>
      <c r="B1203" t="s">
        <v>4359</v>
      </c>
      <c r="C1203">
        <v>76241714</v>
      </c>
      <c r="D1203">
        <v>2503351</v>
      </c>
      <c r="E1203" t="s">
        <v>729</v>
      </c>
      <c r="F1203" s="5">
        <v>200</v>
      </c>
    </row>
    <row r="1204" spans="1:6" hidden="1">
      <c r="A1204" t="s">
        <v>3923</v>
      </c>
      <c r="B1204" t="s">
        <v>3924</v>
      </c>
      <c r="C1204">
        <v>76226646</v>
      </c>
      <c r="D1204">
        <v>3001378</v>
      </c>
      <c r="E1204" t="s">
        <v>39</v>
      </c>
      <c r="F1204" s="5">
        <v>300</v>
      </c>
    </row>
    <row r="1205" spans="1:6">
      <c r="A1205" t="s">
        <v>3923</v>
      </c>
      <c r="B1205" t="s">
        <v>3924</v>
      </c>
      <c r="C1205">
        <v>76226646</v>
      </c>
      <c r="D1205">
        <v>3001378</v>
      </c>
      <c r="E1205" t="s">
        <v>729</v>
      </c>
      <c r="F1205" s="5">
        <v>200</v>
      </c>
    </row>
    <row r="1206" spans="1:6" hidden="1">
      <c r="A1206" t="s">
        <v>162</v>
      </c>
      <c r="B1206" t="s">
        <v>163</v>
      </c>
      <c r="C1206">
        <v>76228316</v>
      </c>
      <c r="D1206">
        <v>2001986</v>
      </c>
      <c r="E1206" t="s">
        <v>39</v>
      </c>
      <c r="F1206" s="5">
        <v>300</v>
      </c>
    </row>
    <row r="1207" spans="1:6">
      <c r="A1207" t="s">
        <v>162</v>
      </c>
      <c r="B1207" t="s">
        <v>163</v>
      </c>
      <c r="C1207">
        <v>76228316</v>
      </c>
      <c r="D1207">
        <v>2001986</v>
      </c>
      <c r="E1207" t="s">
        <v>729</v>
      </c>
      <c r="F1207" s="5">
        <v>200</v>
      </c>
    </row>
    <row r="1208" spans="1:6" hidden="1">
      <c r="A1208" t="s">
        <v>2675</v>
      </c>
      <c r="B1208" t="s">
        <v>2676</v>
      </c>
      <c r="C1208">
        <v>76065862</v>
      </c>
      <c r="D1208">
        <v>2503003</v>
      </c>
      <c r="E1208" t="s">
        <v>39</v>
      </c>
      <c r="F1208" s="5">
        <v>300</v>
      </c>
    </row>
    <row r="1209" spans="1:6">
      <c r="A1209" t="s">
        <v>2675</v>
      </c>
      <c r="B1209" t="s">
        <v>2676</v>
      </c>
      <c r="C1209">
        <v>76065862</v>
      </c>
      <c r="D1209">
        <v>2503003</v>
      </c>
      <c r="E1209" t="s">
        <v>729</v>
      </c>
      <c r="F1209" s="5">
        <v>200</v>
      </c>
    </row>
    <row r="1210" spans="1:6" hidden="1">
      <c r="A1210" t="s">
        <v>4322</v>
      </c>
      <c r="B1210" t="s">
        <v>4323</v>
      </c>
      <c r="C1210">
        <v>76240384</v>
      </c>
      <c r="D1210">
        <v>2503168</v>
      </c>
      <c r="E1210" t="s">
        <v>39</v>
      </c>
      <c r="F1210" s="5">
        <v>400</v>
      </c>
    </row>
    <row r="1211" spans="1:6">
      <c r="A1211" t="s">
        <v>4322</v>
      </c>
      <c r="B1211" t="s">
        <v>4323</v>
      </c>
      <c r="C1211">
        <v>76240384</v>
      </c>
      <c r="D1211">
        <v>2503168</v>
      </c>
      <c r="E1211" t="s">
        <v>729</v>
      </c>
      <c r="F1211" s="5">
        <v>200</v>
      </c>
    </row>
    <row r="1212" spans="1:6" hidden="1">
      <c r="A1212" t="s">
        <v>3463</v>
      </c>
      <c r="B1212" t="s">
        <v>3464</v>
      </c>
      <c r="C1212">
        <v>76207080</v>
      </c>
      <c r="D1212">
        <v>2501947</v>
      </c>
      <c r="E1212" t="s">
        <v>39</v>
      </c>
      <c r="F1212" s="5">
        <v>300</v>
      </c>
    </row>
    <row r="1213" spans="1:6">
      <c r="A1213" t="s">
        <v>3463</v>
      </c>
      <c r="B1213" t="s">
        <v>3464</v>
      </c>
      <c r="C1213">
        <v>76207080</v>
      </c>
      <c r="D1213">
        <v>2501947</v>
      </c>
      <c r="E1213" t="s">
        <v>729</v>
      </c>
      <c r="F1213" s="5">
        <v>200</v>
      </c>
    </row>
    <row r="1214" spans="1:6" hidden="1">
      <c r="A1214" t="s">
        <v>3829</v>
      </c>
      <c r="B1214" t="s">
        <v>3830</v>
      </c>
      <c r="C1214">
        <v>76222741</v>
      </c>
      <c r="D1214">
        <v>8056</v>
      </c>
      <c r="E1214" t="s">
        <v>39</v>
      </c>
      <c r="F1214" s="5">
        <v>300</v>
      </c>
    </row>
    <row r="1215" spans="1:6">
      <c r="A1215" t="s">
        <v>3829</v>
      </c>
      <c r="B1215" t="s">
        <v>3830</v>
      </c>
      <c r="C1215">
        <v>76222741</v>
      </c>
      <c r="D1215">
        <v>8056</v>
      </c>
      <c r="E1215" t="s">
        <v>729</v>
      </c>
      <c r="F1215" s="5">
        <v>200</v>
      </c>
    </row>
    <row r="1216" spans="1:6" hidden="1">
      <c r="A1216" t="s">
        <v>2486</v>
      </c>
      <c r="B1216" t="s">
        <v>2487</v>
      </c>
      <c r="C1216">
        <v>76040853</v>
      </c>
      <c r="D1216">
        <v>2503215</v>
      </c>
      <c r="E1216" t="s">
        <v>39</v>
      </c>
      <c r="F1216" s="5">
        <v>300</v>
      </c>
    </row>
    <row r="1217" spans="1:6">
      <c r="A1217" t="s">
        <v>2486</v>
      </c>
      <c r="B1217" t="s">
        <v>2487</v>
      </c>
      <c r="C1217">
        <v>76040853</v>
      </c>
      <c r="D1217">
        <v>2503215</v>
      </c>
      <c r="E1217" t="s">
        <v>729</v>
      </c>
      <c r="F1217" s="5">
        <v>200</v>
      </c>
    </row>
    <row r="1218" spans="1:6" hidden="1">
      <c r="A1218" t="s">
        <v>2747</v>
      </c>
      <c r="B1218" t="s">
        <v>2748</v>
      </c>
      <c r="C1218">
        <v>76072713</v>
      </c>
      <c r="D1218">
        <v>2503221</v>
      </c>
      <c r="E1218" t="s">
        <v>39</v>
      </c>
      <c r="F1218" s="5">
        <v>300</v>
      </c>
    </row>
    <row r="1219" spans="1:6">
      <c r="A1219" t="s">
        <v>2747</v>
      </c>
      <c r="B1219" t="s">
        <v>2748</v>
      </c>
      <c r="C1219">
        <v>76072713</v>
      </c>
      <c r="D1219">
        <v>2503221</v>
      </c>
      <c r="E1219" t="s">
        <v>729</v>
      </c>
      <c r="F1219" s="5">
        <v>200</v>
      </c>
    </row>
    <row r="1220" spans="1:6" hidden="1">
      <c r="A1220" t="s">
        <v>2588</v>
      </c>
      <c r="B1220" t="s">
        <v>2589</v>
      </c>
      <c r="C1220">
        <v>76056036</v>
      </c>
      <c r="D1220">
        <v>3000335</v>
      </c>
      <c r="E1220" t="s">
        <v>39</v>
      </c>
      <c r="F1220" s="5">
        <v>300</v>
      </c>
    </row>
    <row r="1221" spans="1:6">
      <c r="A1221" t="s">
        <v>2588</v>
      </c>
      <c r="B1221" t="s">
        <v>2589</v>
      </c>
      <c r="C1221">
        <v>76056036</v>
      </c>
      <c r="D1221">
        <v>3000335</v>
      </c>
      <c r="E1221" t="s">
        <v>729</v>
      </c>
      <c r="F1221" s="5">
        <v>200</v>
      </c>
    </row>
    <row r="1222" spans="1:6" hidden="1">
      <c r="A1222" t="s">
        <v>2274</v>
      </c>
      <c r="B1222" t="s">
        <v>2275</v>
      </c>
      <c r="C1222">
        <v>76004723</v>
      </c>
      <c r="D1222">
        <v>3000333</v>
      </c>
      <c r="E1222" t="s">
        <v>39</v>
      </c>
      <c r="F1222" s="5">
        <v>300</v>
      </c>
    </row>
    <row r="1223" spans="1:6">
      <c r="A1223" t="s">
        <v>2274</v>
      </c>
      <c r="B1223" t="s">
        <v>2275</v>
      </c>
      <c r="C1223">
        <v>76004723</v>
      </c>
      <c r="D1223">
        <v>3000333</v>
      </c>
      <c r="E1223" t="s">
        <v>729</v>
      </c>
      <c r="F1223" s="5">
        <v>200</v>
      </c>
    </row>
    <row r="1224" spans="1:6" hidden="1">
      <c r="A1224" t="s">
        <v>2811</v>
      </c>
      <c r="B1224" t="s">
        <v>2812</v>
      </c>
      <c r="C1224">
        <v>76082498</v>
      </c>
      <c r="D1224">
        <v>143072</v>
      </c>
      <c r="E1224" t="s">
        <v>39</v>
      </c>
      <c r="F1224" s="5">
        <v>300</v>
      </c>
    </row>
    <row r="1225" spans="1:6">
      <c r="A1225" t="s">
        <v>2811</v>
      </c>
      <c r="B1225" t="s">
        <v>2812</v>
      </c>
      <c r="C1225">
        <v>76082498</v>
      </c>
      <c r="D1225">
        <v>143072</v>
      </c>
      <c r="E1225" t="s">
        <v>729</v>
      </c>
      <c r="F1225" s="5">
        <v>200</v>
      </c>
    </row>
    <row r="1226" spans="1:6" hidden="1">
      <c r="A1226" t="s">
        <v>3073</v>
      </c>
      <c r="B1226" t="s">
        <v>3074</v>
      </c>
      <c r="C1226">
        <v>76165246</v>
      </c>
      <c r="D1226">
        <v>2502683</v>
      </c>
      <c r="E1226" t="s">
        <v>39</v>
      </c>
      <c r="F1226" s="5">
        <v>300</v>
      </c>
    </row>
    <row r="1227" spans="1:6">
      <c r="A1227" t="s">
        <v>3073</v>
      </c>
      <c r="B1227" t="s">
        <v>3074</v>
      </c>
      <c r="C1227">
        <v>76165246</v>
      </c>
      <c r="D1227">
        <v>2502683</v>
      </c>
      <c r="E1227" t="s">
        <v>729</v>
      </c>
      <c r="F1227" s="5">
        <v>200</v>
      </c>
    </row>
    <row r="1228" spans="1:6" hidden="1">
      <c r="A1228" t="s">
        <v>2943</v>
      </c>
      <c r="B1228" t="s">
        <v>2944</v>
      </c>
      <c r="C1228">
        <v>76152121</v>
      </c>
      <c r="D1228">
        <v>2000785</v>
      </c>
      <c r="E1228" t="s">
        <v>39</v>
      </c>
      <c r="F1228" s="5">
        <v>300</v>
      </c>
    </row>
    <row r="1229" spans="1:6">
      <c r="A1229" t="s">
        <v>2943</v>
      </c>
      <c r="B1229" t="s">
        <v>2944</v>
      </c>
      <c r="C1229">
        <v>76152121</v>
      </c>
      <c r="D1229">
        <v>2000785</v>
      </c>
      <c r="E1229" t="s">
        <v>729</v>
      </c>
      <c r="F1229" s="5">
        <v>200</v>
      </c>
    </row>
    <row r="1230" spans="1:6" hidden="1">
      <c r="A1230" t="s">
        <v>2649</v>
      </c>
      <c r="B1230" t="s">
        <v>2650</v>
      </c>
      <c r="C1230">
        <v>76063135</v>
      </c>
      <c r="D1230">
        <v>2001667</v>
      </c>
      <c r="E1230" t="s">
        <v>39</v>
      </c>
      <c r="F1230" s="5">
        <v>300</v>
      </c>
    </row>
    <row r="1231" spans="1:6">
      <c r="A1231" t="s">
        <v>2649</v>
      </c>
      <c r="B1231" t="s">
        <v>2650</v>
      </c>
      <c r="C1231">
        <v>76063135</v>
      </c>
      <c r="D1231">
        <v>2001667</v>
      </c>
      <c r="E1231" t="s">
        <v>729</v>
      </c>
      <c r="F1231" s="5">
        <v>200</v>
      </c>
    </row>
    <row r="1232" spans="1:6" hidden="1">
      <c r="A1232" t="s">
        <v>3369</v>
      </c>
      <c r="B1232" t="s">
        <v>3370</v>
      </c>
      <c r="C1232">
        <v>76202969</v>
      </c>
      <c r="D1232">
        <v>2000546</v>
      </c>
      <c r="E1232" t="s">
        <v>39</v>
      </c>
      <c r="F1232" s="5">
        <v>300</v>
      </c>
    </row>
    <row r="1233" spans="1:6">
      <c r="A1233" t="s">
        <v>3369</v>
      </c>
      <c r="B1233" t="s">
        <v>3370</v>
      </c>
      <c r="C1233">
        <v>76202969</v>
      </c>
      <c r="D1233">
        <v>2000546</v>
      </c>
      <c r="E1233" t="s">
        <v>729</v>
      </c>
      <c r="F1233" s="5">
        <v>200</v>
      </c>
    </row>
    <row r="1234" spans="1:6" hidden="1">
      <c r="A1234" t="s">
        <v>3471</v>
      </c>
      <c r="B1234" t="s">
        <v>3472</v>
      </c>
      <c r="C1234">
        <v>76207480</v>
      </c>
      <c r="D1234">
        <v>2001296</v>
      </c>
      <c r="E1234" t="s">
        <v>39</v>
      </c>
      <c r="F1234" s="5">
        <v>300</v>
      </c>
    </row>
    <row r="1235" spans="1:6">
      <c r="A1235" t="s">
        <v>3471</v>
      </c>
      <c r="B1235" t="s">
        <v>3472</v>
      </c>
      <c r="C1235">
        <v>76207480</v>
      </c>
      <c r="D1235">
        <v>2001296</v>
      </c>
      <c r="E1235" t="s">
        <v>729</v>
      </c>
      <c r="F1235" s="5">
        <v>200</v>
      </c>
    </row>
    <row r="1236" spans="1:6" hidden="1">
      <c r="A1236" t="s">
        <v>2945</v>
      </c>
      <c r="B1236" t="s">
        <v>2946</v>
      </c>
      <c r="C1236">
        <v>76152121</v>
      </c>
      <c r="D1236">
        <v>2000785</v>
      </c>
      <c r="E1236" t="s">
        <v>39</v>
      </c>
      <c r="F1236" s="5">
        <v>300</v>
      </c>
    </row>
    <row r="1237" spans="1:6">
      <c r="A1237" t="s">
        <v>2945</v>
      </c>
      <c r="B1237" t="s">
        <v>2946</v>
      </c>
      <c r="C1237">
        <v>76152121</v>
      </c>
      <c r="D1237">
        <v>2000785</v>
      </c>
      <c r="E1237" t="s">
        <v>729</v>
      </c>
      <c r="F1237" s="5">
        <v>200</v>
      </c>
    </row>
    <row r="1238" spans="1:6" hidden="1">
      <c r="A1238" t="s">
        <v>3543</v>
      </c>
      <c r="B1238" t="s">
        <v>3544</v>
      </c>
      <c r="C1238">
        <v>76209715</v>
      </c>
      <c r="D1238">
        <v>2502762</v>
      </c>
      <c r="E1238" t="s">
        <v>39</v>
      </c>
      <c r="F1238" s="5">
        <v>300</v>
      </c>
    </row>
    <row r="1239" spans="1:6">
      <c r="A1239" t="s">
        <v>3543</v>
      </c>
      <c r="B1239" t="s">
        <v>3544</v>
      </c>
      <c r="C1239">
        <v>76209715</v>
      </c>
      <c r="D1239">
        <v>2502762</v>
      </c>
      <c r="E1239" t="s">
        <v>729</v>
      </c>
      <c r="F1239" s="5">
        <v>200</v>
      </c>
    </row>
    <row r="1240" spans="1:6" hidden="1">
      <c r="A1240" t="s">
        <v>4334</v>
      </c>
      <c r="B1240" t="s">
        <v>4335</v>
      </c>
      <c r="C1240">
        <v>76240913</v>
      </c>
      <c r="D1240">
        <v>2503461</v>
      </c>
      <c r="E1240" t="s">
        <v>39</v>
      </c>
      <c r="F1240" s="5">
        <v>300</v>
      </c>
    </row>
    <row r="1241" spans="1:6">
      <c r="A1241" t="s">
        <v>4334</v>
      </c>
      <c r="B1241" t="s">
        <v>4335</v>
      </c>
      <c r="C1241">
        <v>76240913</v>
      </c>
      <c r="D1241">
        <v>2503461</v>
      </c>
      <c r="E1241" t="s">
        <v>729</v>
      </c>
      <c r="F1241" s="5">
        <v>200</v>
      </c>
    </row>
    <row r="1242" spans="1:6" hidden="1">
      <c r="A1242" t="s">
        <v>4352</v>
      </c>
      <c r="B1242" t="s">
        <v>4353</v>
      </c>
      <c r="C1242">
        <v>76241344</v>
      </c>
      <c r="D1242">
        <v>2503462</v>
      </c>
      <c r="E1242" t="s">
        <v>39</v>
      </c>
      <c r="F1242" s="5">
        <v>300</v>
      </c>
    </row>
    <row r="1243" spans="1:6">
      <c r="A1243" t="s">
        <v>4352</v>
      </c>
      <c r="B1243" t="s">
        <v>4353</v>
      </c>
      <c r="C1243">
        <v>76241344</v>
      </c>
      <c r="D1243">
        <v>2503462</v>
      </c>
      <c r="E1243" t="s">
        <v>729</v>
      </c>
      <c r="F1243" s="5">
        <v>200</v>
      </c>
    </row>
    <row r="1244" spans="1:6" hidden="1">
      <c r="A1244" t="s">
        <v>3673</v>
      </c>
      <c r="B1244" t="s">
        <v>3674</v>
      </c>
      <c r="C1244">
        <v>76217073</v>
      </c>
      <c r="D1244">
        <v>2002111</v>
      </c>
      <c r="E1244" t="s">
        <v>39</v>
      </c>
      <c r="F1244" s="5">
        <v>300</v>
      </c>
    </row>
    <row r="1245" spans="1:6">
      <c r="A1245" t="s">
        <v>3673</v>
      </c>
      <c r="B1245" t="s">
        <v>3674</v>
      </c>
      <c r="C1245">
        <v>76217073</v>
      </c>
      <c r="D1245">
        <v>2002111</v>
      </c>
      <c r="E1245" t="s">
        <v>729</v>
      </c>
      <c r="F1245" s="5">
        <v>200</v>
      </c>
    </row>
    <row r="1246" spans="1:6" hidden="1">
      <c r="A1246" t="s">
        <v>261</v>
      </c>
      <c r="B1246" t="s">
        <v>262</v>
      </c>
      <c r="C1246">
        <v>76244521</v>
      </c>
      <c r="D1246">
        <v>2003072</v>
      </c>
      <c r="E1246" t="s">
        <v>39</v>
      </c>
      <c r="F1246" s="5">
        <v>300</v>
      </c>
    </row>
    <row r="1247" spans="1:6">
      <c r="A1247" t="s">
        <v>261</v>
      </c>
      <c r="B1247" t="s">
        <v>262</v>
      </c>
      <c r="C1247">
        <v>76244521</v>
      </c>
      <c r="D1247">
        <v>2003072</v>
      </c>
      <c r="E1247" t="s">
        <v>729</v>
      </c>
      <c r="F1247" s="5">
        <v>200</v>
      </c>
    </row>
    <row r="1248" spans="1:6" hidden="1">
      <c r="A1248" t="s">
        <v>4589</v>
      </c>
      <c r="B1248" t="s">
        <v>4590</v>
      </c>
      <c r="C1248">
        <v>76256661</v>
      </c>
      <c r="D1248">
        <v>2502478</v>
      </c>
      <c r="E1248" t="s">
        <v>39</v>
      </c>
      <c r="F1248" s="5">
        <v>300</v>
      </c>
    </row>
    <row r="1249" spans="1:6">
      <c r="A1249" t="s">
        <v>4589</v>
      </c>
      <c r="B1249" t="s">
        <v>4590</v>
      </c>
      <c r="C1249">
        <v>76256661</v>
      </c>
      <c r="D1249">
        <v>2502478</v>
      </c>
      <c r="E1249" t="s">
        <v>729</v>
      </c>
      <c r="F1249" s="5">
        <v>200</v>
      </c>
    </row>
    <row r="1250" spans="1:6" hidden="1">
      <c r="A1250" t="s">
        <v>3925</v>
      </c>
      <c r="B1250" t="s">
        <v>3926</v>
      </c>
      <c r="C1250">
        <v>76226661</v>
      </c>
      <c r="D1250">
        <v>2502533</v>
      </c>
      <c r="E1250" t="s">
        <v>39</v>
      </c>
      <c r="F1250" s="5">
        <v>400</v>
      </c>
    </row>
    <row r="1251" spans="1:6">
      <c r="A1251" t="s">
        <v>3925</v>
      </c>
      <c r="B1251" t="s">
        <v>3926</v>
      </c>
      <c r="C1251">
        <v>76226661</v>
      </c>
      <c r="D1251">
        <v>2502533</v>
      </c>
      <c r="E1251" t="s">
        <v>729</v>
      </c>
      <c r="F1251" s="5">
        <v>200</v>
      </c>
    </row>
    <row r="1252" spans="1:6" hidden="1">
      <c r="A1252" t="s">
        <v>4623</v>
      </c>
      <c r="B1252" t="s">
        <v>4624</v>
      </c>
      <c r="C1252">
        <v>76257614</v>
      </c>
      <c r="D1252">
        <v>3000968</v>
      </c>
      <c r="E1252" t="s">
        <v>39</v>
      </c>
      <c r="F1252" s="5">
        <v>300</v>
      </c>
    </row>
    <row r="1253" spans="1:6">
      <c r="A1253" t="s">
        <v>4623</v>
      </c>
      <c r="B1253" t="s">
        <v>4624</v>
      </c>
      <c r="C1253">
        <v>76257614</v>
      </c>
      <c r="D1253">
        <v>3000968</v>
      </c>
      <c r="E1253" t="s">
        <v>729</v>
      </c>
      <c r="F1253" s="5">
        <v>200</v>
      </c>
    </row>
    <row r="1254" spans="1:6" hidden="1">
      <c r="A1254" t="s">
        <v>3687</v>
      </c>
      <c r="B1254" t="s">
        <v>3688</v>
      </c>
      <c r="C1254">
        <v>76217796</v>
      </c>
      <c r="D1254">
        <v>3001683</v>
      </c>
      <c r="E1254" t="s">
        <v>39</v>
      </c>
      <c r="F1254" s="5">
        <v>300</v>
      </c>
    </row>
    <row r="1255" spans="1:6">
      <c r="A1255" t="s">
        <v>3687</v>
      </c>
      <c r="B1255" t="s">
        <v>3688</v>
      </c>
      <c r="C1255">
        <v>76217796</v>
      </c>
      <c r="D1255">
        <v>3001683</v>
      </c>
      <c r="E1255" t="s">
        <v>729</v>
      </c>
      <c r="F1255" s="5">
        <v>200</v>
      </c>
    </row>
    <row r="1256" spans="1:6" hidden="1">
      <c r="A1256" t="s">
        <v>1711</v>
      </c>
      <c r="B1256" t="s">
        <v>1712</v>
      </c>
      <c r="C1256">
        <v>13387403</v>
      </c>
      <c r="D1256">
        <v>2500071</v>
      </c>
      <c r="E1256" t="s">
        <v>39</v>
      </c>
      <c r="F1256" s="5">
        <v>300</v>
      </c>
    </row>
    <row r="1257" spans="1:6">
      <c r="A1257" t="s">
        <v>1711</v>
      </c>
      <c r="B1257" t="s">
        <v>1712</v>
      </c>
      <c r="C1257">
        <v>13387403</v>
      </c>
      <c r="D1257">
        <v>2500071</v>
      </c>
      <c r="E1257" t="s">
        <v>729</v>
      </c>
      <c r="F1257" s="5">
        <v>200</v>
      </c>
    </row>
    <row r="1258" spans="1:6" hidden="1">
      <c r="A1258" t="s">
        <v>1731</v>
      </c>
      <c r="B1258" t="s">
        <v>1732</v>
      </c>
      <c r="C1258">
        <v>13495381</v>
      </c>
      <c r="D1258">
        <v>4196</v>
      </c>
      <c r="E1258" t="s">
        <v>39</v>
      </c>
      <c r="F1258" s="5">
        <v>450</v>
      </c>
    </row>
    <row r="1259" spans="1:6">
      <c r="A1259" t="s">
        <v>1731</v>
      </c>
      <c r="B1259" t="s">
        <v>1732</v>
      </c>
      <c r="C1259">
        <v>13495381</v>
      </c>
      <c r="D1259">
        <v>4196</v>
      </c>
      <c r="E1259" t="s">
        <v>729</v>
      </c>
      <c r="F1259" s="5">
        <v>200</v>
      </c>
    </row>
    <row r="1260" spans="1:6" hidden="1">
      <c r="A1260" t="s">
        <v>2108</v>
      </c>
      <c r="B1260" t="s">
        <v>2109</v>
      </c>
      <c r="C1260">
        <v>71048098</v>
      </c>
      <c r="D1260">
        <v>4199</v>
      </c>
      <c r="E1260" t="s">
        <v>39</v>
      </c>
      <c r="F1260" s="5">
        <v>300</v>
      </c>
    </row>
    <row r="1261" spans="1:6">
      <c r="A1261" t="s">
        <v>2108</v>
      </c>
      <c r="B1261" t="s">
        <v>2109</v>
      </c>
      <c r="C1261">
        <v>71048098</v>
      </c>
      <c r="D1261">
        <v>4199</v>
      </c>
      <c r="E1261" t="s">
        <v>729</v>
      </c>
      <c r="F1261" s="5">
        <v>200</v>
      </c>
    </row>
    <row r="1262" spans="1:6" hidden="1">
      <c r="A1262" t="s">
        <v>2296</v>
      </c>
      <c r="B1262" t="s">
        <v>2297</v>
      </c>
      <c r="C1262">
        <v>76017216</v>
      </c>
      <c r="D1262">
        <v>4198</v>
      </c>
      <c r="E1262" t="s">
        <v>39</v>
      </c>
      <c r="F1262" s="5">
        <v>300</v>
      </c>
    </row>
    <row r="1263" spans="1:6">
      <c r="A1263" t="s">
        <v>2296</v>
      </c>
      <c r="B1263" t="s">
        <v>2297</v>
      </c>
      <c r="C1263">
        <v>76017216</v>
      </c>
      <c r="D1263">
        <v>4198</v>
      </c>
      <c r="E1263" t="s">
        <v>729</v>
      </c>
      <c r="F1263" s="5">
        <v>200</v>
      </c>
    </row>
    <row r="1264" spans="1:6" hidden="1">
      <c r="A1264" t="s">
        <v>2292</v>
      </c>
      <c r="B1264" t="s">
        <v>2293</v>
      </c>
      <c r="C1264">
        <v>76017091</v>
      </c>
      <c r="D1264">
        <v>4195</v>
      </c>
      <c r="E1264" t="s">
        <v>39</v>
      </c>
      <c r="F1264" s="5">
        <v>300</v>
      </c>
    </row>
    <row r="1265" spans="1:6">
      <c r="A1265" t="s">
        <v>2292</v>
      </c>
      <c r="B1265" t="s">
        <v>2293</v>
      </c>
      <c r="C1265">
        <v>76017091</v>
      </c>
      <c r="D1265">
        <v>4195</v>
      </c>
      <c r="E1265" t="s">
        <v>729</v>
      </c>
      <c r="F1265" s="5">
        <v>200</v>
      </c>
    </row>
    <row r="1266" spans="1:6" hidden="1">
      <c r="A1266" t="s">
        <v>1709</v>
      </c>
      <c r="B1266" t="s">
        <v>1710</v>
      </c>
      <c r="C1266">
        <v>13387401</v>
      </c>
      <c r="D1266">
        <v>4200</v>
      </c>
      <c r="E1266" t="s">
        <v>39</v>
      </c>
      <c r="F1266" s="5">
        <v>300</v>
      </c>
    </row>
    <row r="1267" spans="1:6">
      <c r="A1267" t="s">
        <v>1709</v>
      </c>
      <c r="B1267" t="s">
        <v>1710</v>
      </c>
      <c r="C1267">
        <v>13387401</v>
      </c>
      <c r="D1267">
        <v>4200</v>
      </c>
      <c r="E1267" t="s">
        <v>729</v>
      </c>
      <c r="F1267" s="5">
        <v>200</v>
      </c>
    </row>
    <row r="1268" spans="1:6" hidden="1">
      <c r="A1268" t="s">
        <v>1719</v>
      </c>
      <c r="B1268" t="s">
        <v>1720</v>
      </c>
      <c r="C1268">
        <v>13494351</v>
      </c>
      <c r="D1268">
        <v>2500232</v>
      </c>
      <c r="E1268" t="s">
        <v>39</v>
      </c>
      <c r="F1268" s="5">
        <v>300</v>
      </c>
    </row>
    <row r="1269" spans="1:6">
      <c r="A1269" t="s">
        <v>1719</v>
      </c>
      <c r="B1269" t="s">
        <v>1720</v>
      </c>
      <c r="C1269">
        <v>13494351</v>
      </c>
      <c r="D1269">
        <v>2500232</v>
      </c>
      <c r="E1269" t="s">
        <v>729</v>
      </c>
      <c r="F1269" s="5">
        <v>200</v>
      </c>
    </row>
    <row r="1270" spans="1:6" hidden="1">
      <c r="A1270" t="s">
        <v>3247</v>
      </c>
      <c r="B1270" t="s">
        <v>3248</v>
      </c>
      <c r="C1270">
        <v>76188429</v>
      </c>
      <c r="D1270">
        <v>2500793</v>
      </c>
      <c r="E1270" t="s">
        <v>39</v>
      </c>
      <c r="F1270" s="5">
        <v>300</v>
      </c>
    </row>
    <row r="1271" spans="1:6">
      <c r="A1271" t="s">
        <v>3247</v>
      </c>
      <c r="B1271" t="s">
        <v>3248</v>
      </c>
      <c r="C1271">
        <v>76188429</v>
      </c>
      <c r="D1271">
        <v>2500793</v>
      </c>
      <c r="E1271" t="s">
        <v>729</v>
      </c>
      <c r="F1271" s="5">
        <v>200</v>
      </c>
    </row>
    <row r="1272" spans="1:6" hidden="1">
      <c r="A1272" t="s">
        <v>44</v>
      </c>
      <c r="B1272" t="s">
        <v>45</v>
      </c>
      <c r="C1272">
        <v>8300018</v>
      </c>
      <c r="D1272">
        <v>3000322</v>
      </c>
      <c r="E1272" t="s">
        <v>39</v>
      </c>
      <c r="F1272" s="5">
        <v>300</v>
      </c>
    </row>
    <row r="1273" spans="1:6">
      <c r="A1273" t="s">
        <v>44</v>
      </c>
      <c r="B1273" t="s">
        <v>45</v>
      </c>
      <c r="C1273">
        <v>8300018</v>
      </c>
      <c r="D1273">
        <v>3000322</v>
      </c>
      <c r="E1273" t="s">
        <v>729</v>
      </c>
      <c r="F1273" s="5">
        <v>200</v>
      </c>
    </row>
    <row r="1274" spans="1:6" hidden="1">
      <c r="A1274" t="s">
        <v>620</v>
      </c>
      <c r="B1274" t="s">
        <v>621</v>
      </c>
      <c r="C1274">
        <v>76220871</v>
      </c>
      <c r="D1274" t="s">
        <v>438</v>
      </c>
      <c r="E1274" t="s">
        <v>39</v>
      </c>
      <c r="F1274" s="5">
        <v>300</v>
      </c>
    </row>
    <row r="1275" spans="1:6">
      <c r="A1275" t="s">
        <v>620</v>
      </c>
      <c r="B1275" t="s">
        <v>621</v>
      </c>
      <c r="C1275">
        <v>76220871</v>
      </c>
      <c r="D1275" t="s">
        <v>438</v>
      </c>
      <c r="E1275" t="s">
        <v>729</v>
      </c>
      <c r="F1275" s="5">
        <v>200</v>
      </c>
    </row>
    <row r="1276" spans="1:6" hidden="1">
      <c r="A1276" t="s">
        <v>2018</v>
      </c>
      <c r="B1276" t="s">
        <v>2019</v>
      </c>
      <c r="C1276">
        <v>71039781</v>
      </c>
      <c r="D1276">
        <v>8072</v>
      </c>
      <c r="E1276" t="s">
        <v>39</v>
      </c>
      <c r="F1276" s="5">
        <v>300</v>
      </c>
    </row>
    <row r="1277" spans="1:6">
      <c r="A1277" t="s">
        <v>2018</v>
      </c>
      <c r="B1277" t="s">
        <v>2019</v>
      </c>
      <c r="C1277">
        <v>71039781</v>
      </c>
      <c r="D1277">
        <v>8072</v>
      </c>
      <c r="E1277" t="s">
        <v>729</v>
      </c>
      <c r="F1277" s="5">
        <v>200</v>
      </c>
    </row>
    <row r="1278" spans="1:6" hidden="1">
      <c r="A1278" t="s">
        <v>2320</v>
      </c>
      <c r="B1278" t="s">
        <v>2321</v>
      </c>
      <c r="C1278">
        <v>76021673</v>
      </c>
      <c r="D1278">
        <v>2000073</v>
      </c>
      <c r="E1278" t="s">
        <v>39</v>
      </c>
      <c r="F1278" s="5">
        <v>400</v>
      </c>
    </row>
    <row r="1279" spans="1:6">
      <c r="A1279" t="s">
        <v>2320</v>
      </c>
      <c r="B1279" t="s">
        <v>2321</v>
      </c>
      <c r="C1279">
        <v>76021673</v>
      </c>
      <c r="D1279">
        <v>2000073</v>
      </c>
      <c r="E1279" t="s">
        <v>729</v>
      </c>
      <c r="F1279" s="5">
        <v>200</v>
      </c>
    </row>
    <row r="1280" spans="1:6" hidden="1">
      <c r="A1280" t="s">
        <v>2318</v>
      </c>
      <c r="B1280" t="s">
        <v>2319</v>
      </c>
      <c r="C1280">
        <v>76021665</v>
      </c>
      <c r="D1280">
        <v>2000071</v>
      </c>
      <c r="E1280" t="s">
        <v>39</v>
      </c>
      <c r="F1280" s="5">
        <v>450</v>
      </c>
    </row>
    <row r="1281" spans="1:6">
      <c r="A1281" t="s">
        <v>2318</v>
      </c>
      <c r="B1281" t="s">
        <v>2319</v>
      </c>
      <c r="C1281">
        <v>76021665</v>
      </c>
      <c r="D1281">
        <v>2000071</v>
      </c>
      <c r="E1281" t="s">
        <v>729</v>
      </c>
      <c r="F1281" s="5">
        <v>200</v>
      </c>
    </row>
    <row r="1282" spans="1:6" hidden="1">
      <c r="A1282" t="s">
        <v>2322</v>
      </c>
      <c r="B1282" t="s">
        <v>2323</v>
      </c>
      <c r="C1282">
        <v>76021674</v>
      </c>
      <c r="D1282">
        <v>2002854</v>
      </c>
      <c r="E1282" t="s">
        <v>39</v>
      </c>
      <c r="F1282" s="5">
        <v>300</v>
      </c>
    </row>
    <row r="1283" spans="1:6">
      <c r="A1283" t="s">
        <v>2322</v>
      </c>
      <c r="B1283" t="s">
        <v>2323</v>
      </c>
      <c r="C1283">
        <v>76021674</v>
      </c>
      <c r="D1283">
        <v>2002854</v>
      </c>
      <c r="E1283" t="s">
        <v>729</v>
      </c>
      <c r="F1283" s="5">
        <v>200</v>
      </c>
    </row>
    <row r="1284" spans="1:6" hidden="1">
      <c r="A1284" t="s">
        <v>2334</v>
      </c>
      <c r="B1284" t="s">
        <v>2335</v>
      </c>
      <c r="C1284">
        <v>76022907</v>
      </c>
      <c r="D1284">
        <v>2600001</v>
      </c>
      <c r="E1284" t="s">
        <v>39</v>
      </c>
      <c r="F1284" s="5">
        <v>300</v>
      </c>
    </row>
    <row r="1285" spans="1:6">
      <c r="A1285" t="s">
        <v>2334</v>
      </c>
      <c r="B1285" t="s">
        <v>2335</v>
      </c>
      <c r="C1285">
        <v>76022907</v>
      </c>
      <c r="D1285">
        <v>2600001</v>
      </c>
      <c r="E1285" t="s">
        <v>729</v>
      </c>
      <c r="F1285" s="5">
        <v>200</v>
      </c>
    </row>
    <row r="1286" spans="1:6" hidden="1">
      <c r="A1286" t="s">
        <v>3119</v>
      </c>
      <c r="B1286" t="s">
        <v>3120</v>
      </c>
      <c r="C1286">
        <v>76170714</v>
      </c>
      <c r="D1286" t="s">
        <v>438</v>
      </c>
      <c r="E1286" t="s">
        <v>39</v>
      </c>
      <c r="F1286" s="5">
        <v>300</v>
      </c>
    </row>
    <row r="1287" spans="1:6">
      <c r="A1287" t="s">
        <v>3119</v>
      </c>
      <c r="B1287" t="s">
        <v>3120</v>
      </c>
      <c r="C1287">
        <v>76170714</v>
      </c>
      <c r="D1287" t="s">
        <v>438</v>
      </c>
      <c r="E1287" t="s">
        <v>729</v>
      </c>
      <c r="F1287" s="5">
        <v>200</v>
      </c>
    </row>
    <row r="1288" spans="1:6" hidden="1">
      <c r="A1288" t="s">
        <v>2705</v>
      </c>
      <c r="B1288" t="s">
        <v>2706</v>
      </c>
      <c r="C1288">
        <v>76066702</v>
      </c>
      <c r="D1288">
        <v>13043</v>
      </c>
      <c r="E1288" t="s">
        <v>39</v>
      </c>
      <c r="F1288" s="5">
        <v>300</v>
      </c>
    </row>
    <row r="1289" spans="1:6">
      <c r="A1289" t="s">
        <v>2705</v>
      </c>
      <c r="B1289" t="s">
        <v>2706</v>
      </c>
      <c r="C1289">
        <v>76066702</v>
      </c>
      <c r="D1289">
        <v>13043</v>
      </c>
      <c r="E1289" t="s">
        <v>729</v>
      </c>
      <c r="F1289" s="5">
        <v>200</v>
      </c>
    </row>
    <row r="1290" spans="1:6" hidden="1">
      <c r="A1290" t="s">
        <v>2707</v>
      </c>
      <c r="B1290" t="s">
        <v>2708</v>
      </c>
      <c r="C1290">
        <v>76066716</v>
      </c>
      <c r="D1290">
        <v>13042</v>
      </c>
      <c r="E1290" t="s">
        <v>39</v>
      </c>
      <c r="F1290" s="5">
        <v>300</v>
      </c>
    </row>
    <row r="1291" spans="1:6">
      <c r="A1291" t="s">
        <v>2707</v>
      </c>
      <c r="B1291" t="s">
        <v>2708</v>
      </c>
      <c r="C1291">
        <v>76066716</v>
      </c>
      <c r="D1291">
        <v>13042</v>
      </c>
      <c r="E1291" t="s">
        <v>729</v>
      </c>
      <c r="F1291" s="5">
        <v>200</v>
      </c>
    </row>
    <row r="1292" spans="1:6" hidden="1">
      <c r="A1292" t="s">
        <v>2961</v>
      </c>
      <c r="B1292" t="s">
        <v>2962</v>
      </c>
      <c r="C1292">
        <v>76153879</v>
      </c>
      <c r="D1292">
        <v>2001283</v>
      </c>
      <c r="E1292" t="s">
        <v>39</v>
      </c>
      <c r="F1292" s="5">
        <v>300</v>
      </c>
    </row>
    <row r="1293" spans="1:6">
      <c r="A1293" t="s">
        <v>2961</v>
      </c>
      <c r="B1293" t="s">
        <v>2962</v>
      </c>
      <c r="C1293">
        <v>76153879</v>
      </c>
      <c r="D1293">
        <v>2001283</v>
      </c>
      <c r="E1293" t="s">
        <v>729</v>
      </c>
      <c r="F1293" s="5">
        <v>200</v>
      </c>
    </row>
    <row r="1294" spans="1:6" hidden="1">
      <c r="A1294" t="s">
        <v>4380</v>
      </c>
      <c r="B1294" t="s">
        <v>4381</v>
      </c>
      <c r="C1294">
        <v>76243311</v>
      </c>
      <c r="D1294">
        <v>2503254</v>
      </c>
      <c r="E1294" t="s">
        <v>39</v>
      </c>
      <c r="F1294" s="5">
        <v>300</v>
      </c>
    </row>
    <row r="1295" spans="1:6">
      <c r="A1295" t="s">
        <v>4380</v>
      </c>
      <c r="B1295" t="s">
        <v>4381</v>
      </c>
      <c r="C1295">
        <v>76243311</v>
      </c>
      <c r="D1295">
        <v>2503254</v>
      </c>
      <c r="E1295" t="s">
        <v>729</v>
      </c>
      <c r="F1295" s="5">
        <v>200</v>
      </c>
    </row>
    <row r="1296" spans="1:6" hidden="1">
      <c r="A1296" t="s">
        <v>2925</v>
      </c>
      <c r="B1296" t="s">
        <v>2926</v>
      </c>
      <c r="C1296">
        <v>76149136</v>
      </c>
      <c r="D1296">
        <v>2501441</v>
      </c>
      <c r="E1296" t="s">
        <v>39</v>
      </c>
      <c r="F1296" s="5">
        <v>450</v>
      </c>
    </row>
    <row r="1297" spans="1:6">
      <c r="A1297" t="s">
        <v>2925</v>
      </c>
      <c r="B1297" t="s">
        <v>2926</v>
      </c>
      <c r="C1297">
        <v>76149136</v>
      </c>
      <c r="D1297">
        <v>2501441</v>
      </c>
      <c r="E1297" t="s">
        <v>729</v>
      </c>
      <c r="F1297" s="5">
        <v>200</v>
      </c>
    </row>
    <row r="1298" spans="1:6" hidden="1">
      <c r="A1298" t="s">
        <v>3975</v>
      </c>
      <c r="B1298" t="s">
        <v>3976</v>
      </c>
      <c r="C1298">
        <v>76228473</v>
      </c>
      <c r="D1298">
        <v>3001181</v>
      </c>
      <c r="E1298" t="s">
        <v>39</v>
      </c>
      <c r="F1298" s="5">
        <v>300</v>
      </c>
    </row>
    <row r="1299" spans="1:6">
      <c r="A1299" t="s">
        <v>3975</v>
      </c>
      <c r="B1299" t="s">
        <v>3976</v>
      </c>
      <c r="C1299">
        <v>76228473</v>
      </c>
      <c r="D1299">
        <v>3001181</v>
      </c>
      <c r="E1299" t="s">
        <v>729</v>
      </c>
      <c r="F1299" s="5">
        <v>200</v>
      </c>
    </row>
    <row r="1300" spans="1:6" hidden="1">
      <c r="A1300" t="s">
        <v>3977</v>
      </c>
      <c r="B1300" t="s">
        <v>3978</v>
      </c>
      <c r="C1300">
        <v>76228474</v>
      </c>
      <c r="D1300">
        <v>2500309</v>
      </c>
      <c r="E1300" t="s">
        <v>39</v>
      </c>
      <c r="F1300" s="5">
        <v>300</v>
      </c>
    </row>
    <row r="1301" spans="1:6">
      <c r="A1301" t="s">
        <v>3977</v>
      </c>
      <c r="B1301" t="s">
        <v>3978</v>
      </c>
      <c r="C1301">
        <v>76228474</v>
      </c>
      <c r="D1301">
        <v>2500309</v>
      </c>
      <c r="E1301" t="s">
        <v>729</v>
      </c>
      <c r="F1301" s="5">
        <v>200</v>
      </c>
    </row>
    <row r="1302" spans="1:6" hidden="1">
      <c r="A1302" t="s">
        <v>4390</v>
      </c>
      <c r="B1302" t="s">
        <v>4391</v>
      </c>
      <c r="C1302">
        <v>76243898</v>
      </c>
      <c r="D1302">
        <v>2501422</v>
      </c>
      <c r="E1302" t="s">
        <v>39</v>
      </c>
      <c r="F1302" s="5">
        <v>300</v>
      </c>
    </row>
    <row r="1303" spans="1:6">
      <c r="A1303" t="s">
        <v>4390</v>
      </c>
      <c r="B1303" t="s">
        <v>4391</v>
      </c>
      <c r="C1303">
        <v>76243898</v>
      </c>
      <c r="D1303">
        <v>2501422</v>
      </c>
      <c r="E1303" t="s">
        <v>729</v>
      </c>
      <c r="F1303" s="5">
        <v>200</v>
      </c>
    </row>
    <row r="1304" spans="1:6" hidden="1">
      <c r="A1304" t="s">
        <v>3521</v>
      </c>
      <c r="B1304" t="s">
        <v>3522</v>
      </c>
      <c r="C1304">
        <v>76209491</v>
      </c>
      <c r="D1304">
        <v>2501296</v>
      </c>
      <c r="E1304" t="s">
        <v>39</v>
      </c>
      <c r="F1304" s="5">
        <v>300</v>
      </c>
    </row>
    <row r="1305" spans="1:6">
      <c r="A1305" t="s">
        <v>3521</v>
      </c>
      <c r="B1305" t="s">
        <v>3522</v>
      </c>
      <c r="C1305">
        <v>76209491</v>
      </c>
      <c r="D1305">
        <v>2501296</v>
      </c>
      <c r="E1305" t="s">
        <v>729</v>
      </c>
      <c r="F1305" s="5">
        <v>200</v>
      </c>
    </row>
    <row r="1306" spans="1:6" hidden="1">
      <c r="A1306" t="s">
        <v>4388</v>
      </c>
      <c r="B1306" t="s">
        <v>4389</v>
      </c>
      <c r="C1306">
        <v>76243888</v>
      </c>
      <c r="D1306">
        <v>2501420</v>
      </c>
      <c r="E1306" t="s">
        <v>39</v>
      </c>
      <c r="F1306" s="5">
        <v>300</v>
      </c>
    </row>
    <row r="1307" spans="1:6">
      <c r="A1307" t="s">
        <v>4388</v>
      </c>
      <c r="B1307" t="s">
        <v>4389</v>
      </c>
      <c r="C1307">
        <v>76243888</v>
      </c>
      <c r="D1307">
        <v>2501420</v>
      </c>
      <c r="E1307" t="s">
        <v>729</v>
      </c>
      <c r="F1307" s="5">
        <v>200</v>
      </c>
    </row>
    <row r="1308" spans="1:6" hidden="1">
      <c r="A1308" t="s">
        <v>4392</v>
      </c>
      <c r="B1308" t="s">
        <v>4393</v>
      </c>
      <c r="C1308">
        <v>76243902</v>
      </c>
      <c r="D1308">
        <v>2501424</v>
      </c>
      <c r="E1308" t="s">
        <v>39</v>
      </c>
      <c r="F1308" s="5">
        <v>300</v>
      </c>
    </row>
    <row r="1309" spans="1:6">
      <c r="A1309" t="s">
        <v>4392</v>
      </c>
      <c r="B1309" t="s">
        <v>4393</v>
      </c>
      <c r="C1309">
        <v>76243902</v>
      </c>
      <c r="D1309">
        <v>2501424</v>
      </c>
      <c r="E1309" t="s">
        <v>729</v>
      </c>
      <c r="F1309" s="5">
        <v>200</v>
      </c>
    </row>
    <row r="1310" spans="1:6" hidden="1">
      <c r="A1310" t="s">
        <v>4386</v>
      </c>
      <c r="B1310" t="s">
        <v>4387</v>
      </c>
      <c r="C1310">
        <v>76243863</v>
      </c>
      <c r="D1310">
        <v>2501425</v>
      </c>
      <c r="E1310" t="s">
        <v>39</v>
      </c>
      <c r="F1310" s="5">
        <v>300</v>
      </c>
    </row>
    <row r="1311" spans="1:6">
      <c r="A1311" t="s">
        <v>4386</v>
      </c>
      <c r="B1311" t="s">
        <v>4387</v>
      </c>
      <c r="C1311">
        <v>76243863</v>
      </c>
      <c r="D1311">
        <v>2501425</v>
      </c>
      <c r="E1311" t="s">
        <v>729</v>
      </c>
      <c r="F1311" s="5">
        <v>200</v>
      </c>
    </row>
    <row r="1312" spans="1:6" hidden="1">
      <c r="A1312" t="s">
        <v>3815</v>
      </c>
      <c r="B1312" t="s">
        <v>3816</v>
      </c>
      <c r="C1312">
        <v>76222052</v>
      </c>
      <c r="D1312">
        <v>2001830</v>
      </c>
      <c r="E1312" t="s">
        <v>39</v>
      </c>
      <c r="F1312" s="5">
        <v>400</v>
      </c>
    </row>
    <row r="1313" spans="1:6">
      <c r="A1313" t="s">
        <v>3815</v>
      </c>
      <c r="B1313" t="s">
        <v>3816</v>
      </c>
      <c r="C1313">
        <v>76222052</v>
      </c>
      <c r="D1313">
        <v>2001830</v>
      </c>
      <c r="E1313" t="s">
        <v>729</v>
      </c>
      <c r="F1313" s="5">
        <v>200</v>
      </c>
    </row>
    <row r="1314" spans="1:6" hidden="1">
      <c r="A1314" t="s">
        <v>470</v>
      </c>
      <c r="B1314" t="s">
        <v>471</v>
      </c>
      <c r="C1314">
        <v>76036160</v>
      </c>
      <c r="D1314">
        <v>9014</v>
      </c>
      <c r="E1314" t="s">
        <v>39</v>
      </c>
      <c r="F1314" s="5">
        <v>300</v>
      </c>
    </row>
    <row r="1315" spans="1:6">
      <c r="A1315" t="s">
        <v>470</v>
      </c>
      <c r="B1315" t="s">
        <v>471</v>
      </c>
      <c r="C1315">
        <v>76036160</v>
      </c>
      <c r="D1315">
        <v>9014</v>
      </c>
      <c r="E1315" t="s">
        <v>729</v>
      </c>
      <c r="F1315" s="5">
        <v>200</v>
      </c>
    </row>
    <row r="1316" spans="1:6" hidden="1">
      <c r="A1316" t="s">
        <v>3823</v>
      </c>
      <c r="B1316" t="s">
        <v>3824</v>
      </c>
      <c r="C1316">
        <v>76222286</v>
      </c>
      <c r="D1316">
        <v>2501902</v>
      </c>
      <c r="E1316" t="s">
        <v>39</v>
      </c>
      <c r="F1316" s="5">
        <v>400</v>
      </c>
    </row>
    <row r="1317" spans="1:6">
      <c r="A1317" t="s">
        <v>3823</v>
      </c>
      <c r="B1317" t="s">
        <v>3824</v>
      </c>
      <c r="C1317">
        <v>76222286</v>
      </c>
      <c r="D1317">
        <v>2501902</v>
      </c>
      <c r="E1317" t="s">
        <v>729</v>
      </c>
      <c r="F1317" s="5">
        <v>200</v>
      </c>
    </row>
    <row r="1318" spans="1:6" hidden="1">
      <c r="A1318" t="s">
        <v>3279</v>
      </c>
      <c r="B1318" t="s">
        <v>3280</v>
      </c>
      <c r="C1318">
        <v>76191357</v>
      </c>
      <c r="D1318">
        <v>2501794</v>
      </c>
      <c r="E1318" t="s">
        <v>39</v>
      </c>
      <c r="F1318" s="5">
        <v>300</v>
      </c>
    </row>
    <row r="1319" spans="1:6">
      <c r="A1319" t="s">
        <v>3279</v>
      </c>
      <c r="B1319" t="s">
        <v>3280</v>
      </c>
      <c r="C1319">
        <v>76191357</v>
      </c>
      <c r="D1319">
        <v>2501794</v>
      </c>
      <c r="E1319" t="s">
        <v>729</v>
      </c>
      <c r="F1319" s="5">
        <v>200</v>
      </c>
    </row>
    <row r="1320" spans="1:6" hidden="1">
      <c r="A1320" t="s">
        <v>3281</v>
      </c>
      <c r="B1320" t="s">
        <v>3282</v>
      </c>
      <c r="C1320">
        <v>76191358</v>
      </c>
      <c r="D1320">
        <v>2501444</v>
      </c>
      <c r="E1320" t="s">
        <v>39</v>
      </c>
      <c r="F1320" s="5">
        <v>400</v>
      </c>
    </row>
    <row r="1321" spans="1:6">
      <c r="A1321" t="s">
        <v>3281</v>
      </c>
      <c r="B1321" t="s">
        <v>3282</v>
      </c>
      <c r="C1321">
        <v>76191358</v>
      </c>
      <c r="D1321">
        <v>2501444</v>
      </c>
      <c r="E1321" t="s">
        <v>729</v>
      </c>
      <c r="F1321" s="5">
        <v>200</v>
      </c>
    </row>
    <row r="1322" spans="1:6" hidden="1">
      <c r="A1322" t="s">
        <v>3953</v>
      </c>
      <c r="B1322" t="s">
        <v>3954</v>
      </c>
      <c r="C1322">
        <v>76227829</v>
      </c>
      <c r="D1322">
        <v>2502334</v>
      </c>
      <c r="E1322" t="s">
        <v>39</v>
      </c>
      <c r="F1322" s="5">
        <v>400</v>
      </c>
    </row>
    <row r="1323" spans="1:6">
      <c r="A1323" t="s">
        <v>3953</v>
      </c>
      <c r="B1323" t="s">
        <v>3954</v>
      </c>
      <c r="C1323">
        <v>76227829</v>
      </c>
      <c r="D1323">
        <v>2502334</v>
      </c>
      <c r="E1323" t="s">
        <v>729</v>
      </c>
      <c r="F1323" s="5">
        <v>200</v>
      </c>
    </row>
    <row r="1324" spans="1:6" hidden="1">
      <c r="A1324" t="s">
        <v>4404</v>
      </c>
      <c r="B1324" t="s">
        <v>4405</v>
      </c>
      <c r="C1324">
        <v>76244770</v>
      </c>
      <c r="D1324">
        <v>2503379</v>
      </c>
      <c r="E1324" t="s">
        <v>39</v>
      </c>
      <c r="F1324" s="5">
        <v>400</v>
      </c>
    </row>
    <row r="1325" spans="1:6">
      <c r="A1325" t="s">
        <v>4404</v>
      </c>
      <c r="B1325" t="s">
        <v>4405</v>
      </c>
      <c r="C1325">
        <v>76244770</v>
      </c>
      <c r="D1325">
        <v>2503379</v>
      </c>
      <c r="E1325" t="s">
        <v>729</v>
      </c>
      <c r="F1325" s="5">
        <v>200</v>
      </c>
    </row>
    <row r="1326" spans="1:6" hidden="1">
      <c r="A1326" t="s">
        <v>3343</v>
      </c>
      <c r="B1326" t="s">
        <v>3344</v>
      </c>
      <c r="C1326">
        <v>76200918</v>
      </c>
      <c r="D1326">
        <v>2501127</v>
      </c>
      <c r="E1326" t="s">
        <v>39</v>
      </c>
      <c r="F1326" s="5">
        <v>300</v>
      </c>
    </row>
    <row r="1327" spans="1:6">
      <c r="A1327" t="s">
        <v>3343</v>
      </c>
      <c r="B1327" t="s">
        <v>3344</v>
      </c>
      <c r="C1327">
        <v>76200918</v>
      </c>
      <c r="D1327">
        <v>2501127</v>
      </c>
      <c r="E1327" t="s">
        <v>729</v>
      </c>
      <c r="F1327" s="5">
        <v>200</v>
      </c>
    </row>
    <row r="1328" spans="1:6" hidden="1">
      <c r="A1328" t="s">
        <v>4424</v>
      </c>
      <c r="B1328" t="s">
        <v>4425</v>
      </c>
      <c r="C1328">
        <v>76246443</v>
      </c>
      <c r="D1328">
        <v>2503482</v>
      </c>
      <c r="E1328" t="s">
        <v>39</v>
      </c>
      <c r="F1328" s="5">
        <v>400</v>
      </c>
    </row>
    <row r="1329" spans="1:6">
      <c r="A1329" t="s">
        <v>4424</v>
      </c>
      <c r="B1329" t="s">
        <v>4425</v>
      </c>
      <c r="C1329">
        <v>76246443</v>
      </c>
      <c r="D1329">
        <v>2503482</v>
      </c>
      <c r="E1329" t="s">
        <v>729</v>
      </c>
      <c r="F1329" s="5">
        <v>200</v>
      </c>
    </row>
    <row r="1330" spans="1:6" hidden="1">
      <c r="A1330" t="s">
        <v>3283</v>
      </c>
      <c r="B1330" t="s">
        <v>3284</v>
      </c>
      <c r="C1330">
        <v>76191838</v>
      </c>
      <c r="D1330">
        <v>2500186</v>
      </c>
      <c r="E1330" t="s">
        <v>39</v>
      </c>
      <c r="F1330" s="5">
        <v>300</v>
      </c>
    </row>
    <row r="1331" spans="1:6">
      <c r="A1331" t="s">
        <v>3283</v>
      </c>
      <c r="B1331" t="s">
        <v>3284</v>
      </c>
      <c r="C1331">
        <v>76191838</v>
      </c>
      <c r="D1331">
        <v>2500186</v>
      </c>
      <c r="E1331" t="s">
        <v>729</v>
      </c>
      <c r="F1331" s="5">
        <v>200</v>
      </c>
    </row>
    <row r="1332" spans="1:6" hidden="1">
      <c r="A1332" t="s">
        <v>1859</v>
      </c>
      <c r="B1332" t="s">
        <v>1860</v>
      </c>
      <c r="C1332">
        <v>25299004</v>
      </c>
      <c r="D1332">
        <v>390</v>
      </c>
      <c r="E1332" t="s">
        <v>39</v>
      </c>
      <c r="F1332" s="5">
        <v>300</v>
      </c>
    </row>
    <row r="1333" spans="1:6">
      <c r="A1333" t="s">
        <v>1859</v>
      </c>
      <c r="B1333" t="s">
        <v>1860</v>
      </c>
      <c r="C1333">
        <v>25299004</v>
      </c>
      <c r="D1333">
        <v>390</v>
      </c>
      <c r="E1333" t="s">
        <v>729</v>
      </c>
      <c r="F1333" s="5">
        <v>200</v>
      </c>
    </row>
    <row r="1334" spans="1:6" hidden="1">
      <c r="A1334" t="s">
        <v>4278</v>
      </c>
      <c r="B1334" t="s">
        <v>4279</v>
      </c>
      <c r="C1334">
        <v>76237108</v>
      </c>
      <c r="D1334">
        <v>2502964</v>
      </c>
      <c r="E1334" t="s">
        <v>39</v>
      </c>
      <c r="F1334" s="5">
        <v>400</v>
      </c>
    </row>
    <row r="1335" spans="1:6">
      <c r="A1335" t="s">
        <v>4278</v>
      </c>
      <c r="B1335" t="s">
        <v>4279</v>
      </c>
      <c r="C1335">
        <v>76237108</v>
      </c>
      <c r="D1335">
        <v>2502964</v>
      </c>
      <c r="E1335" t="s">
        <v>729</v>
      </c>
      <c r="F1335" s="5">
        <v>200</v>
      </c>
    </row>
    <row r="1336" spans="1:6" hidden="1">
      <c r="A1336" t="s">
        <v>3173</v>
      </c>
      <c r="B1336" t="s">
        <v>3174</v>
      </c>
      <c r="C1336">
        <v>76177688</v>
      </c>
      <c r="D1336">
        <v>2500031</v>
      </c>
      <c r="E1336" t="s">
        <v>39</v>
      </c>
      <c r="F1336" s="5">
        <v>300</v>
      </c>
    </row>
    <row r="1337" spans="1:6">
      <c r="A1337" t="s">
        <v>3173</v>
      </c>
      <c r="B1337" t="s">
        <v>3174</v>
      </c>
      <c r="C1337">
        <v>76177688</v>
      </c>
      <c r="D1337">
        <v>2500031</v>
      </c>
      <c r="E1337" t="s">
        <v>729</v>
      </c>
      <c r="F1337" s="5">
        <v>200</v>
      </c>
    </row>
    <row r="1338" spans="1:6" hidden="1">
      <c r="A1338" t="s">
        <v>1637</v>
      </c>
      <c r="B1338" t="s">
        <v>1638</v>
      </c>
      <c r="C1338">
        <v>6610123</v>
      </c>
      <c r="D1338">
        <v>3000323</v>
      </c>
      <c r="E1338" t="s">
        <v>39</v>
      </c>
      <c r="F1338" s="5">
        <v>300</v>
      </c>
    </row>
    <row r="1339" spans="1:6">
      <c r="A1339" t="s">
        <v>1637</v>
      </c>
      <c r="B1339" t="s">
        <v>1638</v>
      </c>
      <c r="C1339">
        <v>6610123</v>
      </c>
      <c r="D1339">
        <v>3000323</v>
      </c>
      <c r="E1339" t="s">
        <v>729</v>
      </c>
      <c r="F1339" s="5">
        <v>200</v>
      </c>
    </row>
    <row r="1340" spans="1:6" hidden="1">
      <c r="A1340" t="s">
        <v>2434</v>
      </c>
      <c r="B1340" t="s">
        <v>2435</v>
      </c>
      <c r="C1340">
        <v>76036439</v>
      </c>
      <c r="D1340">
        <v>3373</v>
      </c>
      <c r="E1340" t="s">
        <v>39</v>
      </c>
      <c r="F1340" s="5">
        <v>300</v>
      </c>
    </row>
    <row r="1341" spans="1:6">
      <c r="A1341" t="s">
        <v>2434</v>
      </c>
      <c r="B1341" t="s">
        <v>2435</v>
      </c>
      <c r="C1341">
        <v>76036439</v>
      </c>
      <c r="D1341">
        <v>3373</v>
      </c>
      <c r="E1341" t="s">
        <v>729</v>
      </c>
      <c r="F1341" s="5">
        <v>200</v>
      </c>
    </row>
    <row r="1342" spans="1:6" hidden="1">
      <c r="A1342" t="s">
        <v>563</v>
      </c>
      <c r="B1342" t="s">
        <v>564</v>
      </c>
      <c r="C1342">
        <v>76181398</v>
      </c>
      <c r="D1342">
        <v>3002455</v>
      </c>
      <c r="E1342" t="s">
        <v>39</v>
      </c>
      <c r="F1342" s="5">
        <v>300</v>
      </c>
    </row>
    <row r="1343" spans="1:6">
      <c r="A1343" t="s">
        <v>563</v>
      </c>
      <c r="B1343" t="s">
        <v>564</v>
      </c>
      <c r="C1343">
        <v>76181398</v>
      </c>
      <c r="D1343">
        <v>3002455</v>
      </c>
      <c r="E1343" t="s">
        <v>729</v>
      </c>
      <c r="F1343" s="5">
        <v>200</v>
      </c>
    </row>
    <row r="1344" spans="1:6" hidden="1">
      <c r="A1344" t="s">
        <v>267</v>
      </c>
      <c r="B1344" t="s">
        <v>268</v>
      </c>
      <c r="C1344">
        <v>76245003</v>
      </c>
      <c r="D1344">
        <v>2002906</v>
      </c>
      <c r="E1344" t="s">
        <v>39</v>
      </c>
      <c r="F1344" s="5">
        <v>300</v>
      </c>
    </row>
    <row r="1345" spans="1:6">
      <c r="A1345" t="s">
        <v>267</v>
      </c>
      <c r="B1345" t="s">
        <v>268</v>
      </c>
      <c r="C1345">
        <v>76245003</v>
      </c>
      <c r="D1345">
        <v>2002906</v>
      </c>
      <c r="E1345" t="s">
        <v>729</v>
      </c>
      <c r="F1345" s="5">
        <v>200</v>
      </c>
    </row>
    <row r="1346" spans="1:6" hidden="1">
      <c r="A1346" t="s">
        <v>3461</v>
      </c>
      <c r="B1346" t="s">
        <v>3462</v>
      </c>
      <c r="C1346">
        <v>76207062</v>
      </c>
      <c r="D1346">
        <v>3001021</v>
      </c>
      <c r="E1346" t="s">
        <v>39</v>
      </c>
      <c r="F1346" s="5">
        <v>300</v>
      </c>
    </row>
    <row r="1347" spans="1:6">
      <c r="A1347" t="s">
        <v>3461</v>
      </c>
      <c r="B1347" t="s">
        <v>3462</v>
      </c>
      <c r="C1347">
        <v>76207062</v>
      </c>
      <c r="D1347">
        <v>3001021</v>
      </c>
      <c r="E1347" t="s">
        <v>729</v>
      </c>
      <c r="F1347" s="5">
        <v>200</v>
      </c>
    </row>
    <row r="1348" spans="1:6" hidden="1">
      <c r="A1348" t="s">
        <v>1986</v>
      </c>
      <c r="B1348" t="s">
        <v>1987</v>
      </c>
      <c r="C1348">
        <v>52694201</v>
      </c>
      <c r="D1348">
        <v>7037</v>
      </c>
      <c r="E1348" t="s">
        <v>39</v>
      </c>
      <c r="F1348" s="5">
        <v>300</v>
      </c>
    </row>
    <row r="1349" spans="1:6">
      <c r="A1349" t="s">
        <v>1986</v>
      </c>
      <c r="B1349" t="s">
        <v>1987</v>
      </c>
      <c r="C1349">
        <v>52694201</v>
      </c>
      <c r="D1349">
        <v>7037</v>
      </c>
      <c r="E1349" t="s">
        <v>729</v>
      </c>
      <c r="F1349" s="5">
        <v>200</v>
      </c>
    </row>
    <row r="1350" spans="1:6" hidden="1">
      <c r="A1350" t="s">
        <v>2214</v>
      </c>
      <c r="B1350" t="s">
        <v>2215</v>
      </c>
      <c r="C1350">
        <v>71061708</v>
      </c>
      <c r="D1350">
        <v>2500648</v>
      </c>
      <c r="E1350" t="s">
        <v>39</v>
      </c>
      <c r="F1350" s="5">
        <v>300</v>
      </c>
    </row>
    <row r="1351" spans="1:6">
      <c r="A1351" t="s">
        <v>2214</v>
      </c>
      <c r="B1351" t="s">
        <v>2215</v>
      </c>
      <c r="C1351">
        <v>71061708</v>
      </c>
      <c r="D1351">
        <v>2500648</v>
      </c>
      <c r="E1351" t="s">
        <v>729</v>
      </c>
      <c r="F1351" s="5">
        <v>200</v>
      </c>
    </row>
    <row r="1352" spans="1:6" hidden="1">
      <c r="A1352" t="s">
        <v>3853</v>
      </c>
      <c r="B1352" t="s">
        <v>3854</v>
      </c>
      <c r="C1352">
        <v>76223828</v>
      </c>
      <c r="D1352">
        <v>2502264</v>
      </c>
      <c r="E1352" t="s">
        <v>39</v>
      </c>
      <c r="F1352" s="5">
        <v>300</v>
      </c>
    </row>
    <row r="1353" spans="1:6">
      <c r="A1353" t="s">
        <v>3853</v>
      </c>
      <c r="B1353" t="s">
        <v>3854</v>
      </c>
      <c r="C1353">
        <v>76223828</v>
      </c>
      <c r="D1353">
        <v>2502264</v>
      </c>
      <c r="E1353" t="s">
        <v>729</v>
      </c>
      <c r="F1353" s="5">
        <v>200</v>
      </c>
    </row>
    <row r="1354" spans="1:6" hidden="1">
      <c r="A1354" t="s">
        <v>4066</v>
      </c>
      <c r="B1354" t="s">
        <v>4067</v>
      </c>
      <c r="C1354">
        <v>76230102</v>
      </c>
      <c r="D1354">
        <v>2503511</v>
      </c>
      <c r="E1354" t="s">
        <v>39</v>
      </c>
      <c r="F1354" s="5">
        <v>400</v>
      </c>
    </row>
    <row r="1355" spans="1:6">
      <c r="A1355" t="s">
        <v>4066</v>
      </c>
      <c r="B1355" t="s">
        <v>4067</v>
      </c>
      <c r="C1355">
        <v>76230102</v>
      </c>
      <c r="D1355">
        <v>2503511</v>
      </c>
      <c r="E1355" t="s">
        <v>729</v>
      </c>
      <c r="F1355" s="5">
        <v>200</v>
      </c>
    </row>
    <row r="1356" spans="1:6" hidden="1">
      <c r="A1356" t="s">
        <v>4064</v>
      </c>
      <c r="B1356" t="s">
        <v>4065</v>
      </c>
      <c r="C1356">
        <v>76230100</v>
      </c>
      <c r="D1356">
        <v>2503497</v>
      </c>
      <c r="E1356" t="s">
        <v>39</v>
      </c>
      <c r="F1356" s="5">
        <v>400</v>
      </c>
    </row>
    <row r="1357" spans="1:6">
      <c r="A1357" t="s">
        <v>4064</v>
      </c>
      <c r="B1357" t="s">
        <v>4065</v>
      </c>
      <c r="C1357">
        <v>76230100</v>
      </c>
      <c r="D1357">
        <v>2503497</v>
      </c>
      <c r="E1357" t="s">
        <v>729</v>
      </c>
      <c r="F1357" s="5">
        <v>200</v>
      </c>
    </row>
    <row r="1358" spans="1:6" hidden="1">
      <c r="A1358" t="s">
        <v>168</v>
      </c>
      <c r="B1358" t="s">
        <v>169</v>
      </c>
      <c r="C1358">
        <v>76228727</v>
      </c>
      <c r="D1358">
        <v>8054</v>
      </c>
      <c r="E1358" t="s">
        <v>39</v>
      </c>
      <c r="F1358" s="5">
        <v>300</v>
      </c>
    </row>
    <row r="1359" spans="1:6">
      <c r="A1359" t="s">
        <v>168</v>
      </c>
      <c r="B1359" t="s">
        <v>169</v>
      </c>
      <c r="C1359">
        <v>76228727</v>
      </c>
      <c r="D1359">
        <v>8054</v>
      </c>
      <c r="E1359" t="s">
        <v>729</v>
      </c>
      <c r="F1359" s="5">
        <v>200</v>
      </c>
    </row>
    <row r="1360" spans="1:6" hidden="1">
      <c r="A1360" t="s">
        <v>1895</v>
      </c>
      <c r="B1360" t="s">
        <v>1896</v>
      </c>
      <c r="C1360">
        <v>33071001</v>
      </c>
      <c r="D1360">
        <v>2003021</v>
      </c>
      <c r="E1360" t="s">
        <v>39</v>
      </c>
      <c r="F1360" s="5">
        <v>300</v>
      </c>
    </row>
    <row r="1361" spans="1:6">
      <c r="A1361" t="s">
        <v>1895</v>
      </c>
      <c r="B1361" t="s">
        <v>1896</v>
      </c>
      <c r="C1361">
        <v>33071001</v>
      </c>
      <c r="D1361">
        <v>2003021</v>
      </c>
      <c r="E1361" t="s">
        <v>729</v>
      </c>
      <c r="F1361" s="5">
        <v>200</v>
      </c>
    </row>
    <row r="1362" spans="1:6" hidden="1">
      <c r="A1362" t="s">
        <v>391</v>
      </c>
      <c r="B1362" t="s">
        <v>392</v>
      </c>
      <c r="C1362">
        <v>1029501</v>
      </c>
      <c r="D1362">
        <v>2001100</v>
      </c>
      <c r="E1362" t="s">
        <v>39</v>
      </c>
      <c r="F1362" s="5">
        <v>300</v>
      </c>
    </row>
    <row r="1363" spans="1:6">
      <c r="A1363" t="s">
        <v>391</v>
      </c>
      <c r="B1363" t="s">
        <v>392</v>
      </c>
      <c r="C1363">
        <v>1029501</v>
      </c>
      <c r="D1363">
        <v>2001100</v>
      </c>
      <c r="E1363" t="s">
        <v>729</v>
      </c>
      <c r="F1363" s="5">
        <v>200</v>
      </c>
    </row>
    <row r="1364" spans="1:6" hidden="1">
      <c r="A1364" t="s">
        <v>2390</v>
      </c>
      <c r="B1364" t="s">
        <v>2391</v>
      </c>
      <c r="C1364">
        <v>76028944</v>
      </c>
      <c r="D1364">
        <v>12120</v>
      </c>
      <c r="E1364" t="s">
        <v>39</v>
      </c>
      <c r="F1364" s="5">
        <v>300</v>
      </c>
    </row>
    <row r="1365" spans="1:6">
      <c r="A1365" t="s">
        <v>2390</v>
      </c>
      <c r="B1365" t="s">
        <v>2391</v>
      </c>
      <c r="C1365">
        <v>76028944</v>
      </c>
      <c r="D1365">
        <v>12120</v>
      </c>
      <c r="E1365" t="s">
        <v>729</v>
      </c>
      <c r="F1365" s="5">
        <v>200</v>
      </c>
    </row>
    <row r="1366" spans="1:6" hidden="1">
      <c r="A1366" t="s">
        <v>679</v>
      </c>
      <c r="B1366" t="s">
        <v>680</v>
      </c>
      <c r="C1366">
        <v>76240343</v>
      </c>
      <c r="D1366">
        <v>3000814</v>
      </c>
      <c r="E1366" t="s">
        <v>39</v>
      </c>
      <c r="F1366" s="5">
        <v>300</v>
      </c>
    </row>
    <row r="1367" spans="1:6">
      <c r="A1367" t="s">
        <v>679</v>
      </c>
      <c r="B1367" t="s">
        <v>680</v>
      </c>
      <c r="C1367">
        <v>76240343</v>
      </c>
      <c r="D1367">
        <v>3000814</v>
      </c>
      <c r="E1367" t="s">
        <v>729</v>
      </c>
      <c r="F1367" s="5">
        <v>200</v>
      </c>
    </row>
    <row r="1368" spans="1:6" hidden="1">
      <c r="A1368" t="s">
        <v>4551</v>
      </c>
      <c r="B1368" t="s">
        <v>4552</v>
      </c>
      <c r="C1368">
        <v>76254740</v>
      </c>
      <c r="D1368">
        <v>3000994</v>
      </c>
      <c r="E1368" t="s">
        <v>39</v>
      </c>
      <c r="F1368" s="5">
        <v>300</v>
      </c>
    </row>
    <row r="1369" spans="1:6">
      <c r="A1369" t="s">
        <v>4551</v>
      </c>
      <c r="B1369" t="s">
        <v>4552</v>
      </c>
      <c r="C1369">
        <v>76254740</v>
      </c>
      <c r="D1369">
        <v>3000994</v>
      </c>
      <c r="E1369" t="s">
        <v>729</v>
      </c>
      <c r="F1369" s="5">
        <v>200</v>
      </c>
    </row>
    <row r="1370" spans="1:6" hidden="1">
      <c r="A1370" t="s">
        <v>2132</v>
      </c>
      <c r="B1370" t="s">
        <v>2133</v>
      </c>
      <c r="C1370">
        <v>71050674</v>
      </c>
      <c r="D1370">
        <v>2503487</v>
      </c>
      <c r="E1370" t="s">
        <v>39</v>
      </c>
      <c r="F1370" s="5">
        <v>300</v>
      </c>
    </row>
    <row r="1371" spans="1:6">
      <c r="A1371" t="s">
        <v>2132</v>
      </c>
      <c r="B1371" t="s">
        <v>2133</v>
      </c>
      <c r="C1371">
        <v>71050674</v>
      </c>
      <c r="D1371">
        <v>2503487</v>
      </c>
      <c r="E1371" t="s">
        <v>729</v>
      </c>
      <c r="F1371" s="5">
        <v>200</v>
      </c>
    </row>
    <row r="1372" spans="1:6" hidden="1">
      <c r="A1372" t="s">
        <v>1573</v>
      </c>
      <c r="B1372" t="s">
        <v>1574</v>
      </c>
      <c r="C1372">
        <v>1327499</v>
      </c>
      <c r="D1372">
        <v>2001702</v>
      </c>
      <c r="E1372" t="s">
        <v>39</v>
      </c>
      <c r="F1372" s="5">
        <v>300</v>
      </c>
    </row>
    <row r="1373" spans="1:6">
      <c r="A1373" t="s">
        <v>1573</v>
      </c>
      <c r="B1373" t="s">
        <v>1574</v>
      </c>
      <c r="C1373">
        <v>1327499</v>
      </c>
      <c r="D1373">
        <v>2001702</v>
      </c>
      <c r="E1373" t="s">
        <v>729</v>
      </c>
      <c r="F1373" s="5">
        <v>200</v>
      </c>
    </row>
    <row r="1374" spans="1:6" hidden="1">
      <c r="A1374" t="s">
        <v>3973</v>
      </c>
      <c r="B1374" t="s">
        <v>3974</v>
      </c>
      <c r="C1374">
        <v>76228449</v>
      </c>
      <c r="D1374">
        <v>2502663</v>
      </c>
      <c r="E1374" t="s">
        <v>39</v>
      </c>
      <c r="F1374" s="5">
        <v>300</v>
      </c>
    </row>
    <row r="1375" spans="1:6">
      <c r="A1375" t="s">
        <v>3973</v>
      </c>
      <c r="B1375" t="s">
        <v>3974</v>
      </c>
      <c r="C1375">
        <v>76228449</v>
      </c>
      <c r="D1375">
        <v>2502663</v>
      </c>
      <c r="E1375" t="s">
        <v>729</v>
      </c>
      <c r="F1375" s="5">
        <v>200</v>
      </c>
    </row>
    <row r="1376" spans="1:6" hidden="1">
      <c r="A1376" t="s">
        <v>4480</v>
      </c>
      <c r="B1376" t="s">
        <v>4481</v>
      </c>
      <c r="C1376">
        <v>76251551</v>
      </c>
      <c r="D1376">
        <v>2503469</v>
      </c>
      <c r="E1376" t="s">
        <v>39</v>
      </c>
      <c r="F1376" s="5">
        <v>300</v>
      </c>
    </row>
    <row r="1377" spans="1:6">
      <c r="A1377" t="s">
        <v>4480</v>
      </c>
      <c r="B1377" t="s">
        <v>4481</v>
      </c>
      <c r="C1377">
        <v>76251551</v>
      </c>
      <c r="D1377">
        <v>2503469</v>
      </c>
      <c r="E1377" t="s">
        <v>729</v>
      </c>
      <c r="F1377" s="5">
        <v>200</v>
      </c>
    </row>
    <row r="1378" spans="1:6" hidden="1">
      <c r="A1378" t="s">
        <v>2721</v>
      </c>
      <c r="B1378" t="s">
        <v>2722</v>
      </c>
      <c r="C1378">
        <v>76067802</v>
      </c>
      <c r="D1378">
        <v>2001117</v>
      </c>
      <c r="E1378" t="s">
        <v>39</v>
      </c>
      <c r="F1378" s="5">
        <v>300</v>
      </c>
    </row>
    <row r="1379" spans="1:6">
      <c r="A1379" t="s">
        <v>2721</v>
      </c>
      <c r="B1379" t="s">
        <v>2722</v>
      </c>
      <c r="C1379">
        <v>76067802</v>
      </c>
      <c r="D1379">
        <v>2001117</v>
      </c>
      <c r="E1379" t="s">
        <v>729</v>
      </c>
      <c r="F1379" s="5">
        <v>200</v>
      </c>
    </row>
    <row r="1380" spans="1:6" hidden="1">
      <c r="A1380" t="s">
        <v>2987</v>
      </c>
      <c r="B1380" t="s">
        <v>2988</v>
      </c>
      <c r="C1380">
        <v>76156785</v>
      </c>
      <c r="D1380">
        <v>2001117</v>
      </c>
      <c r="E1380" t="s">
        <v>39</v>
      </c>
      <c r="F1380" s="5">
        <v>300</v>
      </c>
    </row>
    <row r="1381" spans="1:6">
      <c r="A1381" t="s">
        <v>2987</v>
      </c>
      <c r="B1381" t="s">
        <v>2988</v>
      </c>
      <c r="C1381">
        <v>76156785</v>
      </c>
      <c r="D1381">
        <v>2001117</v>
      </c>
      <c r="E1381" t="s">
        <v>729</v>
      </c>
      <c r="F1381" s="5">
        <v>200</v>
      </c>
    </row>
    <row r="1382" spans="1:6" hidden="1">
      <c r="A1382" t="s">
        <v>3581</v>
      </c>
      <c r="B1382" t="s">
        <v>3582</v>
      </c>
      <c r="C1382">
        <v>76212103</v>
      </c>
      <c r="D1382">
        <v>2001430</v>
      </c>
      <c r="E1382" t="s">
        <v>39</v>
      </c>
      <c r="F1382" s="5">
        <v>300</v>
      </c>
    </row>
    <row r="1383" spans="1:6">
      <c r="A1383" t="s">
        <v>3581</v>
      </c>
      <c r="B1383" t="s">
        <v>3582</v>
      </c>
      <c r="C1383">
        <v>76212103</v>
      </c>
      <c r="D1383">
        <v>2001430</v>
      </c>
      <c r="E1383" t="s">
        <v>729</v>
      </c>
      <c r="F1383" s="5">
        <v>200</v>
      </c>
    </row>
    <row r="1384" spans="1:6" hidden="1">
      <c r="A1384" t="s">
        <v>1541</v>
      </c>
      <c r="B1384" t="s">
        <v>1542</v>
      </c>
      <c r="C1384">
        <v>1262401</v>
      </c>
      <c r="D1384">
        <v>2000706</v>
      </c>
      <c r="E1384" t="s">
        <v>39</v>
      </c>
      <c r="F1384" s="5">
        <v>300</v>
      </c>
    </row>
    <row r="1385" spans="1:6">
      <c r="A1385" t="s">
        <v>1541</v>
      </c>
      <c r="B1385" t="s">
        <v>1542</v>
      </c>
      <c r="C1385">
        <v>1262401</v>
      </c>
      <c r="D1385">
        <v>2000706</v>
      </c>
      <c r="E1385" t="s">
        <v>729</v>
      </c>
      <c r="F1385" s="5">
        <v>200</v>
      </c>
    </row>
    <row r="1386" spans="1:6" hidden="1">
      <c r="A1386" t="s">
        <v>4573</v>
      </c>
      <c r="B1386" t="s">
        <v>4574</v>
      </c>
      <c r="C1386">
        <v>76255694</v>
      </c>
      <c r="D1386">
        <v>3000436</v>
      </c>
      <c r="E1386" t="s">
        <v>39</v>
      </c>
      <c r="F1386" s="5">
        <v>400</v>
      </c>
    </row>
    <row r="1387" spans="1:6">
      <c r="A1387" t="s">
        <v>4573</v>
      </c>
      <c r="B1387" t="s">
        <v>4574</v>
      </c>
      <c r="C1387">
        <v>76255694</v>
      </c>
      <c r="D1387">
        <v>3000436</v>
      </c>
      <c r="E1387" t="s">
        <v>729</v>
      </c>
      <c r="F1387" s="5">
        <v>200</v>
      </c>
    </row>
    <row r="1388" spans="1:6" hidden="1">
      <c r="A1388" t="s">
        <v>3447</v>
      </c>
      <c r="B1388" t="s">
        <v>3448</v>
      </c>
      <c r="C1388">
        <v>76206489</v>
      </c>
      <c r="D1388">
        <v>2000862</v>
      </c>
      <c r="E1388" t="s">
        <v>39</v>
      </c>
      <c r="F1388" s="5">
        <v>300</v>
      </c>
    </row>
    <row r="1389" spans="1:6">
      <c r="A1389" t="s">
        <v>3447</v>
      </c>
      <c r="B1389" t="s">
        <v>3448</v>
      </c>
      <c r="C1389">
        <v>76206489</v>
      </c>
      <c r="D1389">
        <v>2000862</v>
      </c>
      <c r="E1389" t="s">
        <v>729</v>
      </c>
      <c r="F1389" s="5">
        <v>200</v>
      </c>
    </row>
    <row r="1390" spans="1:6" hidden="1">
      <c r="A1390" t="s">
        <v>2827</v>
      </c>
      <c r="B1390" t="s">
        <v>2828</v>
      </c>
      <c r="C1390">
        <v>76097838</v>
      </c>
      <c r="D1390">
        <v>9083</v>
      </c>
      <c r="E1390" t="s">
        <v>39</v>
      </c>
      <c r="F1390" s="5">
        <v>300</v>
      </c>
    </row>
    <row r="1391" spans="1:6">
      <c r="A1391" t="s">
        <v>2827</v>
      </c>
      <c r="B1391" t="s">
        <v>2828</v>
      </c>
      <c r="C1391">
        <v>76097838</v>
      </c>
      <c r="D1391">
        <v>9083</v>
      </c>
      <c r="E1391" t="s">
        <v>729</v>
      </c>
      <c r="F1391" s="5">
        <v>200</v>
      </c>
    </row>
    <row r="1392" spans="1:6" hidden="1">
      <c r="A1392" t="s">
        <v>2280</v>
      </c>
      <c r="B1392" t="s">
        <v>2281</v>
      </c>
      <c r="C1392">
        <v>76011134</v>
      </c>
      <c r="D1392">
        <v>9008</v>
      </c>
      <c r="E1392" t="s">
        <v>39</v>
      </c>
      <c r="F1392" s="5">
        <v>300</v>
      </c>
    </row>
    <row r="1393" spans="1:6">
      <c r="A1393" t="s">
        <v>2280</v>
      </c>
      <c r="B1393" t="s">
        <v>2281</v>
      </c>
      <c r="C1393">
        <v>76011134</v>
      </c>
      <c r="D1393">
        <v>9008</v>
      </c>
      <c r="E1393" t="s">
        <v>729</v>
      </c>
      <c r="F1393" s="5">
        <v>200</v>
      </c>
    </row>
    <row r="1394" spans="1:6" hidden="1">
      <c r="A1394" t="s">
        <v>2282</v>
      </c>
      <c r="B1394" t="s">
        <v>2283</v>
      </c>
      <c r="C1394">
        <v>76011141</v>
      </c>
      <c r="D1394">
        <v>10124</v>
      </c>
      <c r="E1394" t="s">
        <v>39</v>
      </c>
      <c r="F1394" s="5">
        <v>300</v>
      </c>
    </row>
    <row r="1395" spans="1:6">
      <c r="A1395" t="s">
        <v>2282</v>
      </c>
      <c r="B1395" t="s">
        <v>2283</v>
      </c>
      <c r="C1395">
        <v>76011141</v>
      </c>
      <c r="D1395">
        <v>10124</v>
      </c>
      <c r="E1395" t="s">
        <v>729</v>
      </c>
      <c r="F1395" s="5">
        <v>200</v>
      </c>
    </row>
    <row r="1396" spans="1:6" hidden="1">
      <c r="A1396" t="s">
        <v>4016</v>
      </c>
      <c r="B1396" t="s">
        <v>4017</v>
      </c>
      <c r="C1396">
        <v>76229450</v>
      </c>
      <c r="D1396">
        <v>9023</v>
      </c>
      <c r="E1396" t="s">
        <v>39</v>
      </c>
      <c r="F1396" s="5">
        <v>300</v>
      </c>
    </row>
    <row r="1397" spans="1:6">
      <c r="A1397" t="s">
        <v>4016</v>
      </c>
      <c r="B1397" t="s">
        <v>4017</v>
      </c>
      <c r="C1397">
        <v>76229450</v>
      </c>
      <c r="D1397">
        <v>9023</v>
      </c>
      <c r="E1397" t="s">
        <v>729</v>
      </c>
      <c r="F1397" s="5">
        <v>200</v>
      </c>
    </row>
    <row r="1398" spans="1:6" hidden="1">
      <c r="A1398" t="s">
        <v>2380</v>
      </c>
      <c r="B1398" t="s">
        <v>2381</v>
      </c>
      <c r="C1398">
        <v>76026920</v>
      </c>
      <c r="D1398">
        <v>3000857</v>
      </c>
      <c r="E1398" t="s">
        <v>39</v>
      </c>
      <c r="F1398" s="5">
        <v>300</v>
      </c>
    </row>
    <row r="1399" spans="1:6">
      <c r="A1399" t="s">
        <v>2380</v>
      </c>
      <c r="B1399" t="s">
        <v>2381</v>
      </c>
      <c r="C1399">
        <v>76026920</v>
      </c>
      <c r="D1399">
        <v>3000857</v>
      </c>
      <c r="E1399" t="s">
        <v>729</v>
      </c>
      <c r="F1399" s="5">
        <v>200</v>
      </c>
    </row>
    <row r="1400" spans="1:6" hidden="1">
      <c r="A1400" t="s">
        <v>649</v>
      </c>
      <c r="B1400" t="s">
        <v>650</v>
      </c>
      <c r="C1400">
        <v>76229011</v>
      </c>
      <c r="D1400">
        <v>0</v>
      </c>
      <c r="E1400" t="s">
        <v>39</v>
      </c>
      <c r="F1400" s="5">
        <v>450</v>
      </c>
    </row>
    <row r="1401" spans="1:6">
      <c r="A1401" t="s">
        <v>649</v>
      </c>
      <c r="B1401" t="s">
        <v>650</v>
      </c>
      <c r="C1401">
        <v>76229011</v>
      </c>
      <c r="D1401">
        <v>0</v>
      </c>
      <c r="E1401" t="s">
        <v>729</v>
      </c>
      <c r="F1401" s="5">
        <v>200</v>
      </c>
    </row>
    <row r="1402" spans="1:6" hidden="1">
      <c r="A1402" t="s">
        <v>2230</v>
      </c>
      <c r="B1402" t="s">
        <v>2231</v>
      </c>
      <c r="C1402">
        <v>71063396</v>
      </c>
      <c r="D1402">
        <v>2503238</v>
      </c>
      <c r="E1402" t="s">
        <v>39</v>
      </c>
      <c r="F1402" s="5">
        <v>300</v>
      </c>
    </row>
    <row r="1403" spans="1:6">
      <c r="A1403" t="s">
        <v>2230</v>
      </c>
      <c r="B1403" t="s">
        <v>2231</v>
      </c>
      <c r="C1403">
        <v>71063396</v>
      </c>
      <c r="D1403">
        <v>2503238</v>
      </c>
      <c r="E1403" t="s">
        <v>729</v>
      </c>
      <c r="F1403" s="5">
        <v>200</v>
      </c>
    </row>
    <row r="1404" spans="1:6" hidden="1">
      <c r="A1404" t="s">
        <v>2476</v>
      </c>
      <c r="B1404" t="s">
        <v>2477</v>
      </c>
      <c r="C1404">
        <v>76039938</v>
      </c>
      <c r="D1404">
        <v>13078</v>
      </c>
      <c r="E1404" t="s">
        <v>39</v>
      </c>
      <c r="F1404" s="5">
        <v>300</v>
      </c>
    </row>
    <row r="1405" spans="1:6">
      <c r="A1405" t="s">
        <v>2476</v>
      </c>
      <c r="B1405" t="s">
        <v>2477</v>
      </c>
      <c r="C1405">
        <v>76039938</v>
      </c>
      <c r="D1405">
        <v>13078</v>
      </c>
      <c r="E1405" t="s">
        <v>729</v>
      </c>
      <c r="F1405" s="5">
        <v>200</v>
      </c>
    </row>
    <row r="1406" spans="1:6" hidden="1">
      <c r="A1406" t="s">
        <v>4316</v>
      </c>
      <c r="B1406" t="s">
        <v>4317</v>
      </c>
      <c r="C1406">
        <v>76240107</v>
      </c>
      <c r="D1406">
        <v>2002760</v>
      </c>
      <c r="E1406" t="s">
        <v>39</v>
      </c>
      <c r="F1406" s="5">
        <v>400</v>
      </c>
    </row>
    <row r="1407" spans="1:6">
      <c r="A1407" t="s">
        <v>4316</v>
      </c>
      <c r="B1407" t="s">
        <v>4317</v>
      </c>
      <c r="C1407">
        <v>76240107</v>
      </c>
      <c r="D1407">
        <v>2002760</v>
      </c>
      <c r="E1407" t="s">
        <v>729</v>
      </c>
      <c r="F1407" s="5">
        <v>200</v>
      </c>
    </row>
    <row r="1408" spans="1:6" hidden="1">
      <c r="A1408" t="s">
        <v>1545</v>
      </c>
      <c r="B1408" t="s">
        <v>1546</v>
      </c>
      <c r="C1408">
        <v>1312701</v>
      </c>
      <c r="D1408">
        <v>2502652</v>
      </c>
      <c r="E1408" t="s">
        <v>39</v>
      </c>
      <c r="F1408" s="5">
        <v>300</v>
      </c>
    </row>
    <row r="1409" spans="1:6">
      <c r="A1409" t="s">
        <v>1545</v>
      </c>
      <c r="B1409" t="s">
        <v>1546</v>
      </c>
      <c r="C1409">
        <v>1312701</v>
      </c>
      <c r="D1409">
        <v>2502652</v>
      </c>
      <c r="E1409" t="s">
        <v>729</v>
      </c>
      <c r="F1409" s="5">
        <v>200</v>
      </c>
    </row>
    <row r="1410" spans="1:6" hidden="1">
      <c r="A1410" t="s">
        <v>1839</v>
      </c>
      <c r="B1410" t="s">
        <v>1840</v>
      </c>
      <c r="C1410">
        <v>25298067</v>
      </c>
      <c r="D1410">
        <v>13055</v>
      </c>
      <c r="E1410" t="s">
        <v>39</v>
      </c>
      <c r="F1410" s="5">
        <v>300</v>
      </c>
    </row>
    <row r="1411" spans="1:6">
      <c r="A1411" t="s">
        <v>1839</v>
      </c>
      <c r="B1411" t="s">
        <v>1840</v>
      </c>
      <c r="C1411">
        <v>25298067</v>
      </c>
      <c r="D1411">
        <v>13055</v>
      </c>
      <c r="E1411" t="s">
        <v>729</v>
      </c>
      <c r="F1411" s="5">
        <v>200</v>
      </c>
    </row>
    <row r="1412" spans="1:6" hidden="1">
      <c r="A1412" t="s">
        <v>1841</v>
      </c>
      <c r="B1412" t="s">
        <v>1842</v>
      </c>
      <c r="C1412">
        <v>25298068</v>
      </c>
      <c r="D1412">
        <v>9096</v>
      </c>
      <c r="E1412" t="s">
        <v>39</v>
      </c>
      <c r="F1412" s="5">
        <v>300</v>
      </c>
    </row>
    <row r="1413" spans="1:6">
      <c r="A1413" t="s">
        <v>1841</v>
      </c>
      <c r="B1413" t="s">
        <v>1842</v>
      </c>
      <c r="C1413">
        <v>25298068</v>
      </c>
      <c r="D1413">
        <v>9096</v>
      </c>
      <c r="E1413" t="s">
        <v>729</v>
      </c>
      <c r="F1413" s="5">
        <v>200</v>
      </c>
    </row>
    <row r="1414" spans="1:6" hidden="1">
      <c r="A1414" t="s">
        <v>1639</v>
      </c>
      <c r="B1414" t="s">
        <v>1640</v>
      </c>
      <c r="C1414">
        <v>8300012</v>
      </c>
      <c r="D1414">
        <v>2502436</v>
      </c>
      <c r="E1414" t="s">
        <v>39</v>
      </c>
      <c r="F1414" s="5">
        <v>450</v>
      </c>
    </row>
    <row r="1415" spans="1:6">
      <c r="A1415" t="s">
        <v>1639</v>
      </c>
      <c r="B1415" t="s">
        <v>1640</v>
      </c>
      <c r="C1415">
        <v>8300012</v>
      </c>
      <c r="D1415">
        <v>2502436</v>
      </c>
      <c r="E1415" t="s">
        <v>729</v>
      </c>
      <c r="F1415" s="5">
        <v>200</v>
      </c>
    </row>
    <row r="1416" spans="1:6" hidden="1">
      <c r="A1416" t="s">
        <v>141</v>
      </c>
      <c r="B1416" t="s">
        <v>142</v>
      </c>
      <c r="C1416">
        <v>76225712</v>
      </c>
      <c r="D1416">
        <v>2502268</v>
      </c>
      <c r="E1416" t="s">
        <v>39</v>
      </c>
      <c r="F1416" s="5">
        <v>450</v>
      </c>
    </row>
    <row r="1417" spans="1:6">
      <c r="A1417" t="s">
        <v>141</v>
      </c>
      <c r="B1417" t="s">
        <v>142</v>
      </c>
      <c r="C1417">
        <v>76225712</v>
      </c>
      <c r="D1417">
        <v>2502268</v>
      </c>
      <c r="E1417" t="s">
        <v>729</v>
      </c>
      <c r="F1417" s="5">
        <v>200</v>
      </c>
    </row>
    <row r="1418" spans="1:6" hidden="1">
      <c r="A1418" t="s">
        <v>1669</v>
      </c>
      <c r="B1418" t="s">
        <v>1670</v>
      </c>
      <c r="C1418">
        <v>9014501</v>
      </c>
      <c r="D1418">
        <v>3000950</v>
      </c>
      <c r="E1418" t="s">
        <v>39</v>
      </c>
      <c r="F1418" s="5">
        <v>300</v>
      </c>
    </row>
    <row r="1419" spans="1:6">
      <c r="A1419" t="s">
        <v>1669</v>
      </c>
      <c r="B1419" t="s">
        <v>1670</v>
      </c>
      <c r="C1419">
        <v>9014501</v>
      </c>
      <c r="D1419">
        <v>3000950</v>
      </c>
      <c r="E1419" t="s">
        <v>729</v>
      </c>
      <c r="F1419" s="5">
        <v>200</v>
      </c>
    </row>
    <row r="1420" spans="1:6" hidden="1">
      <c r="A1420" t="s">
        <v>1835</v>
      </c>
      <c r="B1420" t="s">
        <v>1836</v>
      </c>
      <c r="C1420">
        <v>25297615</v>
      </c>
      <c r="D1420">
        <v>2503474</v>
      </c>
      <c r="E1420" t="s">
        <v>39</v>
      </c>
      <c r="F1420" s="5">
        <v>300</v>
      </c>
    </row>
    <row r="1421" spans="1:6">
      <c r="A1421" t="s">
        <v>1835</v>
      </c>
      <c r="B1421" t="s">
        <v>1836</v>
      </c>
      <c r="C1421">
        <v>25297615</v>
      </c>
      <c r="D1421">
        <v>2503474</v>
      </c>
      <c r="E1421" t="s">
        <v>729</v>
      </c>
      <c r="F1421" s="5">
        <v>200</v>
      </c>
    </row>
    <row r="1422" spans="1:6" hidden="1">
      <c r="A1422" t="s">
        <v>1899</v>
      </c>
      <c r="B1422" t="s">
        <v>1900</v>
      </c>
      <c r="C1422">
        <v>33101301</v>
      </c>
      <c r="D1422">
        <v>2503353</v>
      </c>
      <c r="E1422" t="s">
        <v>39</v>
      </c>
      <c r="F1422" s="5">
        <v>300</v>
      </c>
    </row>
    <row r="1423" spans="1:6">
      <c r="A1423" t="s">
        <v>1899</v>
      </c>
      <c r="B1423" t="s">
        <v>1900</v>
      </c>
      <c r="C1423">
        <v>33101301</v>
      </c>
      <c r="D1423">
        <v>2503353</v>
      </c>
      <c r="E1423" t="s">
        <v>729</v>
      </c>
      <c r="F1423" s="5">
        <v>200</v>
      </c>
    </row>
    <row r="1424" spans="1:6" hidden="1">
      <c r="A1424" t="s">
        <v>2647</v>
      </c>
      <c r="B1424" t="s">
        <v>2648</v>
      </c>
      <c r="C1424">
        <v>76062764</v>
      </c>
      <c r="D1424">
        <v>3078</v>
      </c>
      <c r="E1424" t="s">
        <v>39</v>
      </c>
      <c r="F1424" s="5">
        <v>400</v>
      </c>
    </row>
    <row r="1425" spans="1:6">
      <c r="A1425" t="s">
        <v>2647</v>
      </c>
      <c r="B1425" t="s">
        <v>2648</v>
      </c>
      <c r="C1425">
        <v>76062764</v>
      </c>
      <c r="D1425">
        <v>3078</v>
      </c>
      <c r="E1425" t="s">
        <v>729</v>
      </c>
      <c r="F1425" s="5">
        <v>200</v>
      </c>
    </row>
    <row r="1426" spans="1:6" hidden="1">
      <c r="A1426" t="s">
        <v>2931</v>
      </c>
      <c r="B1426" t="s">
        <v>2932</v>
      </c>
      <c r="C1426">
        <v>76149709</v>
      </c>
      <c r="D1426">
        <v>3000669</v>
      </c>
      <c r="E1426" t="s">
        <v>39</v>
      </c>
      <c r="F1426" s="5">
        <v>300</v>
      </c>
    </row>
    <row r="1427" spans="1:6">
      <c r="A1427" t="s">
        <v>2931</v>
      </c>
      <c r="B1427" t="s">
        <v>2932</v>
      </c>
      <c r="C1427">
        <v>76149709</v>
      </c>
      <c r="D1427">
        <v>3000669</v>
      </c>
      <c r="E1427" t="s">
        <v>729</v>
      </c>
      <c r="F1427" s="5">
        <v>200</v>
      </c>
    </row>
    <row r="1428" spans="1:6" hidden="1">
      <c r="A1428" t="s">
        <v>1936</v>
      </c>
      <c r="B1428" t="s">
        <v>1937</v>
      </c>
      <c r="C1428">
        <v>37216292</v>
      </c>
      <c r="D1428">
        <v>3176</v>
      </c>
      <c r="E1428" t="s">
        <v>39</v>
      </c>
      <c r="F1428" s="5">
        <v>300</v>
      </c>
    </row>
    <row r="1429" spans="1:6">
      <c r="A1429" t="s">
        <v>1936</v>
      </c>
      <c r="B1429" t="s">
        <v>1937</v>
      </c>
      <c r="C1429">
        <v>37216292</v>
      </c>
      <c r="D1429">
        <v>3176</v>
      </c>
      <c r="E1429" t="s">
        <v>729</v>
      </c>
      <c r="F1429" s="5">
        <v>200</v>
      </c>
    </row>
    <row r="1430" spans="1:6" hidden="1">
      <c r="A1430" t="s">
        <v>536</v>
      </c>
      <c r="B1430" t="s">
        <v>537</v>
      </c>
      <c r="C1430">
        <v>76159913</v>
      </c>
      <c r="D1430">
        <v>2500592</v>
      </c>
      <c r="E1430" t="s">
        <v>39</v>
      </c>
      <c r="F1430" s="5">
        <v>300</v>
      </c>
    </row>
    <row r="1431" spans="1:6">
      <c r="A1431" t="s">
        <v>536</v>
      </c>
      <c r="B1431" t="s">
        <v>537</v>
      </c>
      <c r="C1431">
        <v>76159913</v>
      </c>
      <c r="D1431">
        <v>2500592</v>
      </c>
      <c r="E1431" t="s">
        <v>729</v>
      </c>
      <c r="F1431" s="5">
        <v>200</v>
      </c>
    </row>
    <row r="1432" spans="1:6" hidden="1">
      <c r="A1432" t="s">
        <v>397</v>
      </c>
      <c r="B1432" t="s">
        <v>398</v>
      </c>
      <c r="C1432">
        <v>1326145</v>
      </c>
      <c r="D1432">
        <v>2500576</v>
      </c>
      <c r="E1432" t="s">
        <v>39</v>
      </c>
      <c r="F1432" s="5">
        <v>300</v>
      </c>
    </row>
    <row r="1433" spans="1:6">
      <c r="A1433" t="s">
        <v>397</v>
      </c>
      <c r="B1433" t="s">
        <v>398</v>
      </c>
      <c r="C1433">
        <v>1326145</v>
      </c>
      <c r="D1433">
        <v>2500576</v>
      </c>
      <c r="E1433" t="s">
        <v>729</v>
      </c>
      <c r="F1433" s="5">
        <v>200</v>
      </c>
    </row>
    <row r="1434" spans="1:6" hidden="1">
      <c r="A1434" t="s">
        <v>4096</v>
      </c>
      <c r="B1434" t="s">
        <v>4097</v>
      </c>
      <c r="C1434">
        <v>76231116</v>
      </c>
      <c r="D1434">
        <v>2003026</v>
      </c>
      <c r="E1434" t="s">
        <v>39</v>
      </c>
      <c r="F1434" s="5">
        <v>300</v>
      </c>
    </row>
    <row r="1435" spans="1:6">
      <c r="A1435" t="s">
        <v>4096</v>
      </c>
      <c r="B1435" t="s">
        <v>4097</v>
      </c>
      <c r="C1435">
        <v>76231116</v>
      </c>
      <c r="D1435">
        <v>2003026</v>
      </c>
      <c r="E1435" t="s">
        <v>729</v>
      </c>
      <c r="F1435" s="5">
        <v>200</v>
      </c>
    </row>
    <row r="1436" spans="1:6" hidden="1">
      <c r="A1436" t="s">
        <v>3985</v>
      </c>
      <c r="B1436" t="s">
        <v>3986</v>
      </c>
      <c r="C1436">
        <v>76228685</v>
      </c>
      <c r="D1436">
        <v>2001951</v>
      </c>
      <c r="E1436" t="s">
        <v>39</v>
      </c>
      <c r="F1436" s="5">
        <v>300</v>
      </c>
    </row>
    <row r="1437" spans="1:6">
      <c r="A1437" t="s">
        <v>3985</v>
      </c>
      <c r="B1437" t="s">
        <v>3986</v>
      </c>
      <c r="C1437">
        <v>76228685</v>
      </c>
      <c r="D1437">
        <v>2001951</v>
      </c>
      <c r="E1437" t="s">
        <v>729</v>
      </c>
      <c r="F1437" s="5">
        <v>200</v>
      </c>
    </row>
    <row r="1438" spans="1:6" hidden="1">
      <c r="A1438" t="s">
        <v>1938</v>
      </c>
      <c r="B1438" t="s">
        <v>1939</v>
      </c>
      <c r="C1438">
        <v>37216293</v>
      </c>
      <c r="D1438">
        <v>2502430</v>
      </c>
      <c r="E1438" t="s">
        <v>39</v>
      </c>
      <c r="F1438" s="5">
        <v>300</v>
      </c>
    </row>
    <row r="1439" spans="1:6">
      <c r="A1439" t="s">
        <v>1938</v>
      </c>
      <c r="B1439" t="s">
        <v>1939</v>
      </c>
      <c r="C1439">
        <v>37216293</v>
      </c>
      <c r="D1439">
        <v>2502430</v>
      </c>
      <c r="E1439" t="s">
        <v>729</v>
      </c>
      <c r="F1439" s="5">
        <v>200</v>
      </c>
    </row>
    <row r="1440" spans="1:6" hidden="1">
      <c r="A1440" t="s">
        <v>2562</v>
      </c>
      <c r="B1440" t="s">
        <v>2563</v>
      </c>
      <c r="C1440">
        <v>76055037</v>
      </c>
      <c r="D1440">
        <v>2501148</v>
      </c>
      <c r="E1440" t="s">
        <v>39</v>
      </c>
      <c r="F1440" s="5">
        <v>300</v>
      </c>
    </row>
    <row r="1441" spans="1:6">
      <c r="A1441" t="s">
        <v>2562</v>
      </c>
      <c r="B1441" t="s">
        <v>2563</v>
      </c>
      <c r="C1441">
        <v>76055037</v>
      </c>
      <c r="D1441">
        <v>2501148</v>
      </c>
      <c r="E1441" t="s">
        <v>729</v>
      </c>
      <c r="F1441" s="5">
        <v>200</v>
      </c>
    </row>
    <row r="1442" spans="1:6" hidden="1">
      <c r="A1442" t="s">
        <v>560</v>
      </c>
      <c r="B1442" t="s">
        <v>561</v>
      </c>
      <c r="C1442">
        <v>76180102</v>
      </c>
      <c r="D1442">
        <v>2502528</v>
      </c>
      <c r="E1442" t="s">
        <v>39</v>
      </c>
      <c r="F1442" s="5">
        <v>300</v>
      </c>
    </row>
    <row r="1443" spans="1:6">
      <c r="A1443" t="s">
        <v>560</v>
      </c>
      <c r="B1443" t="s">
        <v>561</v>
      </c>
      <c r="C1443">
        <v>76180102</v>
      </c>
      <c r="D1443">
        <v>2502528</v>
      </c>
      <c r="E1443" t="s">
        <v>729</v>
      </c>
      <c r="F1443" s="5">
        <v>200</v>
      </c>
    </row>
    <row r="1444" spans="1:6" hidden="1">
      <c r="A1444" t="s">
        <v>4509</v>
      </c>
      <c r="B1444" t="s">
        <v>4510</v>
      </c>
      <c r="C1444">
        <v>76252397</v>
      </c>
      <c r="D1444">
        <v>2503525</v>
      </c>
      <c r="E1444" t="s">
        <v>39</v>
      </c>
      <c r="F1444" s="5">
        <v>300</v>
      </c>
    </row>
    <row r="1445" spans="1:6">
      <c r="A1445" t="s">
        <v>4509</v>
      </c>
      <c r="B1445" t="s">
        <v>4510</v>
      </c>
      <c r="C1445">
        <v>76252397</v>
      </c>
      <c r="D1445">
        <v>2503525</v>
      </c>
      <c r="E1445" t="s">
        <v>729</v>
      </c>
      <c r="F1445" s="5">
        <v>200</v>
      </c>
    </row>
    <row r="1446" spans="1:6" hidden="1">
      <c r="A1446" t="s">
        <v>3589</v>
      </c>
      <c r="B1446" t="s">
        <v>3590</v>
      </c>
      <c r="C1446">
        <v>76212775</v>
      </c>
      <c r="D1446">
        <v>8097</v>
      </c>
      <c r="E1446" t="s">
        <v>39</v>
      </c>
      <c r="F1446" s="5">
        <v>300</v>
      </c>
    </row>
    <row r="1447" spans="1:6">
      <c r="A1447" t="s">
        <v>3589</v>
      </c>
      <c r="B1447" t="s">
        <v>3590</v>
      </c>
      <c r="C1447">
        <v>76212775</v>
      </c>
      <c r="D1447">
        <v>8097</v>
      </c>
      <c r="E1447" t="s">
        <v>729</v>
      </c>
      <c r="F1447" s="5">
        <v>200</v>
      </c>
    </row>
    <row r="1448" spans="1:6" hidden="1">
      <c r="A1448" t="s">
        <v>2298</v>
      </c>
      <c r="B1448" t="s">
        <v>2299</v>
      </c>
      <c r="C1448">
        <v>76018560</v>
      </c>
      <c r="D1448">
        <v>2002559</v>
      </c>
      <c r="E1448" t="s">
        <v>39</v>
      </c>
      <c r="F1448" s="5">
        <v>300</v>
      </c>
    </row>
    <row r="1449" spans="1:6">
      <c r="A1449" t="s">
        <v>2298</v>
      </c>
      <c r="B1449" t="s">
        <v>2299</v>
      </c>
      <c r="C1449">
        <v>76018560</v>
      </c>
      <c r="D1449">
        <v>2002559</v>
      </c>
      <c r="E1449" t="s">
        <v>729</v>
      </c>
      <c r="F1449" s="5">
        <v>200</v>
      </c>
    </row>
    <row r="1450" spans="1:6" hidden="1">
      <c r="A1450" t="s">
        <v>2518</v>
      </c>
      <c r="B1450" t="s">
        <v>2519</v>
      </c>
      <c r="C1450">
        <v>76043002</v>
      </c>
      <c r="D1450">
        <v>2501826</v>
      </c>
      <c r="E1450" t="s">
        <v>39</v>
      </c>
      <c r="F1450" s="5">
        <v>300</v>
      </c>
    </row>
    <row r="1451" spans="1:6">
      <c r="A1451" t="s">
        <v>2518</v>
      </c>
      <c r="B1451" t="s">
        <v>2519</v>
      </c>
      <c r="C1451">
        <v>76043002</v>
      </c>
      <c r="D1451">
        <v>2501826</v>
      </c>
      <c r="E1451" t="s">
        <v>729</v>
      </c>
      <c r="F1451" s="5">
        <v>200</v>
      </c>
    </row>
    <row r="1452" spans="1:6" hidden="1">
      <c r="A1452" t="s">
        <v>4336</v>
      </c>
      <c r="B1452" t="s">
        <v>4337</v>
      </c>
      <c r="C1452">
        <v>76240943</v>
      </c>
      <c r="D1452">
        <v>2002834</v>
      </c>
      <c r="E1452" t="s">
        <v>39</v>
      </c>
      <c r="F1452" s="5">
        <v>300</v>
      </c>
    </row>
    <row r="1453" spans="1:6">
      <c r="A1453" t="s">
        <v>4336</v>
      </c>
      <c r="B1453" t="s">
        <v>4337</v>
      </c>
      <c r="C1453">
        <v>76240943</v>
      </c>
      <c r="D1453">
        <v>2002834</v>
      </c>
      <c r="E1453" t="s">
        <v>729</v>
      </c>
      <c r="F1453" s="5">
        <v>200</v>
      </c>
    </row>
    <row r="1454" spans="1:6" hidden="1">
      <c r="A1454" t="s">
        <v>415</v>
      </c>
      <c r="B1454" t="s">
        <v>416</v>
      </c>
      <c r="C1454">
        <v>25149302</v>
      </c>
      <c r="D1454">
        <v>2501174</v>
      </c>
      <c r="E1454" t="s">
        <v>39</v>
      </c>
      <c r="F1454" s="5">
        <v>300</v>
      </c>
    </row>
    <row r="1455" spans="1:6">
      <c r="A1455" t="s">
        <v>415</v>
      </c>
      <c r="B1455" t="s">
        <v>416</v>
      </c>
      <c r="C1455">
        <v>25149302</v>
      </c>
      <c r="D1455">
        <v>2501174</v>
      </c>
      <c r="E1455" t="s">
        <v>729</v>
      </c>
      <c r="F1455" s="5">
        <v>200</v>
      </c>
    </row>
    <row r="1456" spans="1:6" hidden="1">
      <c r="A1456" t="s">
        <v>2514</v>
      </c>
      <c r="B1456" t="s">
        <v>2515</v>
      </c>
      <c r="C1456">
        <v>76042992</v>
      </c>
      <c r="D1456">
        <v>2502301</v>
      </c>
      <c r="E1456" t="s">
        <v>39</v>
      </c>
      <c r="F1456" s="5">
        <v>450</v>
      </c>
    </row>
    <row r="1457" spans="1:6">
      <c r="A1457" t="s">
        <v>2514</v>
      </c>
      <c r="B1457" t="s">
        <v>2515</v>
      </c>
      <c r="C1457">
        <v>76042992</v>
      </c>
      <c r="D1457">
        <v>2502301</v>
      </c>
      <c r="E1457" t="s">
        <v>729</v>
      </c>
      <c r="F1457" s="5">
        <v>200</v>
      </c>
    </row>
    <row r="1458" spans="1:6" hidden="1">
      <c r="A1458" t="s">
        <v>3903</v>
      </c>
      <c r="B1458" t="s">
        <v>3904</v>
      </c>
      <c r="C1458">
        <v>76226068</v>
      </c>
      <c r="D1458">
        <v>2002629</v>
      </c>
      <c r="E1458" t="s">
        <v>39</v>
      </c>
      <c r="F1458" s="5">
        <v>300</v>
      </c>
    </row>
    <row r="1459" spans="1:6">
      <c r="A1459" t="s">
        <v>3903</v>
      </c>
      <c r="B1459" t="s">
        <v>3904</v>
      </c>
      <c r="C1459">
        <v>76226068</v>
      </c>
      <c r="D1459">
        <v>2002629</v>
      </c>
      <c r="E1459" t="s">
        <v>729</v>
      </c>
      <c r="F1459" s="5">
        <v>200</v>
      </c>
    </row>
    <row r="1460" spans="1:6" hidden="1">
      <c r="A1460" t="s">
        <v>1525</v>
      </c>
      <c r="B1460" t="s">
        <v>1526</v>
      </c>
      <c r="C1460">
        <v>1046402</v>
      </c>
      <c r="D1460">
        <v>2003102</v>
      </c>
      <c r="E1460" t="s">
        <v>39</v>
      </c>
      <c r="F1460" s="5">
        <v>300</v>
      </c>
    </row>
    <row r="1461" spans="1:6">
      <c r="A1461" t="s">
        <v>1525</v>
      </c>
      <c r="B1461" t="s">
        <v>1526</v>
      </c>
      <c r="C1461">
        <v>1046402</v>
      </c>
      <c r="D1461">
        <v>2003102</v>
      </c>
      <c r="E1461" t="s">
        <v>729</v>
      </c>
      <c r="F1461" s="5">
        <v>200</v>
      </c>
    </row>
    <row r="1462" spans="1:6" hidden="1">
      <c r="A1462" t="s">
        <v>2452</v>
      </c>
      <c r="B1462" t="s">
        <v>2453</v>
      </c>
      <c r="C1462">
        <v>76037519</v>
      </c>
      <c r="D1462">
        <v>1500232</v>
      </c>
      <c r="E1462" t="s">
        <v>39</v>
      </c>
      <c r="F1462" s="5">
        <v>450</v>
      </c>
    </row>
    <row r="1463" spans="1:6">
      <c r="A1463" t="s">
        <v>2452</v>
      </c>
      <c r="B1463" t="s">
        <v>2453</v>
      </c>
      <c r="C1463">
        <v>76037519</v>
      </c>
      <c r="D1463">
        <v>1500232</v>
      </c>
      <c r="E1463" t="s">
        <v>729</v>
      </c>
      <c r="F1463" s="5">
        <v>200</v>
      </c>
    </row>
    <row r="1464" spans="1:6" hidden="1">
      <c r="A1464" t="s">
        <v>421</v>
      </c>
      <c r="B1464" t="s">
        <v>422</v>
      </c>
      <c r="C1464">
        <v>25298998</v>
      </c>
      <c r="D1464">
        <v>2000882</v>
      </c>
      <c r="E1464" t="s">
        <v>39</v>
      </c>
      <c r="F1464" s="5">
        <v>300</v>
      </c>
    </row>
    <row r="1465" spans="1:6">
      <c r="A1465" t="s">
        <v>421</v>
      </c>
      <c r="B1465" t="s">
        <v>422</v>
      </c>
      <c r="C1465">
        <v>25298998</v>
      </c>
      <c r="D1465">
        <v>2000882</v>
      </c>
      <c r="E1465" t="s">
        <v>729</v>
      </c>
      <c r="F1465" s="5">
        <v>200</v>
      </c>
    </row>
    <row r="1466" spans="1:6" hidden="1">
      <c r="A1466" t="s">
        <v>3561</v>
      </c>
      <c r="B1466" t="s">
        <v>3562</v>
      </c>
      <c r="C1466">
        <v>76210315</v>
      </c>
      <c r="D1466">
        <v>2503239</v>
      </c>
      <c r="E1466" t="s">
        <v>39</v>
      </c>
      <c r="F1466" s="5">
        <v>300</v>
      </c>
    </row>
    <row r="1467" spans="1:6">
      <c r="A1467" t="s">
        <v>3561</v>
      </c>
      <c r="B1467" t="s">
        <v>3562</v>
      </c>
      <c r="C1467">
        <v>76210315</v>
      </c>
      <c r="D1467">
        <v>2503239</v>
      </c>
      <c r="E1467" t="s">
        <v>729</v>
      </c>
      <c r="F1467" s="5">
        <v>200</v>
      </c>
    </row>
    <row r="1468" spans="1:6" hidden="1">
      <c r="A1468" t="s">
        <v>3489</v>
      </c>
      <c r="B1468" t="s">
        <v>3490</v>
      </c>
      <c r="C1468">
        <v>76208742</v>
      </c>
      <c r="D1468">
        <v>2501234</v>
      </c>
      <c r="E1468" t="s">
        <v>39</v>
      </c>
      <c r="F1468" s="5">
        <v>400</v>
      </c>
    </row>
    <row r="1469" spans="1:6">
      <c r="A1469" t="s">
        <v>3489</v>
      </c>
      <c r="B1469" t="s">
        <v>3490</v>
      </c>
      <c r="C1469">
        <v>76208742</v>
      </c>
      <c r="D1469">
        <v>2501234</v>
      </c>
      <c r="E1469" t="s">
        <v>729</v>
      </c>
      <c r="F1469" s="5">
        <v>200</v>
      </c>
    </row>
    <row r="1470" spans="1:6" hidden="1">
      <c r="A1470" t="s">
        <v>3491</v>
      </c>
      <c r="B1470" t="s">
        <v>3492</v>
      </c>
      <c r="C1470">
        <v>76208742</v>
      </c>
      <c r="D1470">
        <v>2501234</v>
      </c>
      <c r="E1470" t="s">
        <v>39</v>
      </c>
      <c r="F1470" s="5">
        <v>400</v>
      </c>
    </row>
    <row r="1471" spans="1:6">
      <c r="A1471" t="s">
        <v>3491</v>
      </c>
      <c r="B1471" t="s">
        <v>3492</v>
      </c>
      <c r="C1471">
        <v>76208742</v>
      </c>
      <c r="D1471">
        <v>2501234</v>
      </c>
      <c r="E1471" t="s">
        <v>729</v>
      </c>
      <c r="F1471" s="5">
        <v>200</v>
      </c>
    </row>
    <row r="1472" spans="1:6" hidden="1">
      <c r="A1472" t="s">
        <v>3495</v>
      </c>
      <c r="B1472" t="s">
        <v>3496</v>
      </c>
      <c r="C1472">
        <v>76208744</v>
      </c>
      <c r="D1472">
        <v>2501231</v>
      </c>
      <c r="E1472" t="s">
        <v>39</v>
      </c>
      <c r="F1472" s="5">
        <v>400</v>
      </c>
    </row>
    <row r="1473" spans="1:6">
      <c r="A1473" t="s">
        <v>3495</v>
      </c>
      <c r="B1473" t="s">
        <v>3496</v>
      </c>
      <c r="C1473">
        <v>76208744</v>
      </c>
      <c r="D1473">
        <v>2501231</v>
      </c>
      <c r="E1473" t="s">
        <v>729</v>
      </c>
      <c r="F1473" s="5">
        <v>200</v>
      </c>
    </row>
    <row r="1474" spans="1:6" hidden="1">
      <c r="A1474" t="s">
        <v>2576</v>
      </c>
      <c r="B1474" t="s">
        <v>2577</v>
      </c>
      <c r="C1474">
        <v>76055620</v>
      </c>
      <c r="D1474">
        <v>2501624</v>
      </c>
      <c r="E1474" t="s">
        <v>39</v>
      </c>
      <c r="F1474" s="5">
        <v>300</v>
      </c>
    </row>
    <row r="1475" spans="1:6">
      <c r="A1475" t="s">
        <v>2576</v>
      </c>
      <c r="B1475" t="s">
        <v>2577</v>
      </c>
      <c r="C1475">
        <v>76055620</v>
      </c>
      <c r="D1475">
        <v>2501624</v>
      </c>
      <c r="E1475" t="s">
        <v>729</v>
      </c>
      <c r="F1475" s="5">
        <v>200</v>
      </c>
    </row>
    <row r="1476" spans="1:6" hidden="1">
      <c r="A1476" t="s">
        <v>3493</v>
      </c>
      <c r="B1476" t="s">
        <v>3494</v>
      </c>
      <c r="C1476">
        <v>76208743</v>
      </c>
      <c r="D1476">
        <v>2501230</v>
      </c>
      <c r="E1476" t="s">
        <v>39</v>
      </c>
      <c r="F1476" s="5">
        <v>400</v>
      </c>
    </row>
    <row r="1477" spans="1:6">
      <c r="A1477" t="s">
        <v>3493</v>
      </c>
      <c r="B1477" t="s">
        <v>3494</v>
      </c>
      <c r="C1477">
        <v>76208743</v>
      </c>
      <c r="D1477">
        <v>2501230</v>
      </c>
      <c r="E1477" t="s">
        <v>729</v>
      </c>
      <c r="F1477" s="5">
        <v>200</v>
      </c>
    </row>
    <row r="1478" spans="1:6" hidden="1">
      <c r="A1478" t="s">
        <v>4240</v>
      </c>
      <c r="B1478" t="s">
        <v>4241</v>
      </c>
      <c r="C1478">
        <v>76235265</v>
      </c>
      <c r="D1478">
        <v>2002561</v>
      </c>
      <c r="E1478" t="s">
        <v>39</v>
      </c>
      <c r="F1478" s="5">
        <v>300</v>
      </c>
    </row>
    <row r="1479" spans="1:6">
      <c r="A1479" t="s">
        <v>4240</v>
      </c>
      <c r="B1479" t="s">
        <v>4241</v>
      </c>
      <c r="C1479">
        <v>76235265</v>
      </c>
      <c r="D1479">
        <v>2002561</v>
      </c>
      <c r="E1479" t="s">
        <v>729</v>
      </c>
      <c r="F1479" s="5">
        <v>200</v>
      </c>
    </row>
    <row r="1480" spans="1:6" hidden="1">
      <c r="A1480" t="s">
        <v>3875</v>
      </c>
      <c r="B1480" t="s">
        <v>3876</v>
      </c>
      <c r="C1480">
        <v>76225349</v>
      </c>
      <c r="D1480">
        <v>2001942</v>
      </c>
      <c r="E1480" t="s">
        <v>39</v>
      </c>
      <c r="F1480" s="5">
        <v>300</v>
      </c>
    </row>
    <row r="1481" spans="1:6">
      <c r="A1481" t="s">
        <v>3875</v>
      </c>
      <c r="B1481" t="s">
        <v>3876</v>
      </c>
      <c r="C1481">
        <v>76225349</v>
      </c>
      <c r="D1481">
        <v>2001942</v>
      </c>
      <c r="E1481" t="s">
        <v>729</v>
      </c>
      <c r="F1481" s="5">
        <v>200</v>
      </c>
    </row>
    <row r="1482" spans="1:6" hidden="1">
      <c r="A1482" t="s">
        <v>2462</v>
      </c>
      <c r="B1482" t="s">
        <v>2463</v>
      </c>
      <c r="C1482">
        <v>76038514</v>
      </c>
      <c r="D1482">
        <v>2001282</v>
      </c>
      <c r="E1482" t="s">
        <v>39</v>
      </c>
      <c r="F1482" s="5">
        <v>300</v>
      </c>
    </row>
    <row r="1483" spans="1:6">
      <c r="A1483" t="s">
        <v>2462</v>
      </c>
      <c r="B1483" t="s">
        <v>2463</v>
      </c>
      <c r="C1483">
        <v>76038514</v>
      </c>
      <c r="D1483">
        <v>2001282</v>
      </c>
      <c r="E1483" t="s">
        <v>729</v>
      </c>
      <c r="F1483" s="5">
        <v>200</v>
      </c>
    </row>
    <row r="1484" spans="1:6" hidden="1">
      <c r="A1484" t="s">
        <v>3353</v>
      </c>
      <c r="B1484" t="s">
        <v>3354</v>
      </c>
      <c r="C1484">
        <v>76201531</v>
      </c>
      <c r="D1484">
        <v>2500320</v>
      </c>
      <c r="E1484" t="s">
        <v>39</v>
      </c>
      <c r="F1484" s="5">
        <v>300</v>
      </c>
    </row>
    <row r="1485" spans="1:6">
      <c r="A1485" t="s">
        <v>3353</v>
      </c>
      <c r="B1485" t="s">
        <v>3354</v>
      </c>
      <c r="C1485">
        <v>76201531</v>
      </c>
      <c r="D1485">
        <v>2500320</v>
      </c>
      <c r="E1485" t="s">
        <v>729</v>
      </c>
      <c r="F1485" s="5">
        <v>200</v>
      </c>
    </row>
    <row r="1486" spans="1:6" hidden="1">
      <c r="A1486" t="s">
        <v>3519</v>
      </c>
      <c r="B1486" t="s">
        <v>3520</v>
      </c>
      <c r="C1486">
        <v>76209254</v>
      </c>
      <c r="D1486">
        <v>2501327</v>
      </c>
      <c r="E1486" t="s">
        <v>39</v>
      </c>
      <c r="F1486" s="5">
        <v>300</v>
      </c>
    </row>
    <row r="1487" spans="1:6">
      <c r="A1487" t="s">
        <v>3519</v>
      </c>
      <c r="B1487" t="s">
        <v>3520</v>
      </c>
      <c r="C1487">
        <v>76209254</v>
      </c>
      <c r="D1487">
        <v>2501327</v>
      </c>
      <c r="E1487" t="s">
        <v>729</v>
      </c>
      <c r="F1487" s="5">
        <v>200</v>
      </c>
    </row>
    <row r="1488" spans="1:6" hidden="1">
      <c r="A1488" t="s">
        <v>3351</v>
      </c>
      <c r="B1488" t="s">
        <v>3352</v>
      </c>
      <c r="C1488">
        <v>76201530</v>
      </c>
      <c r="D1488">
        <v>2500251</v>
      </c>
      <c r="E1488" t="s">
        <v>39</v>
      </c>
      <c r="F1488" s="5">
        <v>300</v>
      </c>
    </row>
    <row r="1489" spans="1:6">
      <c r="A1489" t="s">
        <v>3351</v>
      </c>
      <c r="B1489" t="s">
        <v>3352</v>
      </c>
      <c r="C1489">
        <v>76201530</v>
      </c>
      <c r="D1489">
        <v>2500251</v>
      </c>
      <c r="E1489" t="s">
        <v>729</v>
      </c>
      <c r="F1489" s="5">
        <v>200</v>
      </c>
    </row>
    <row r="1490" spans="1:6" hidden="1">
      <c r="A1490" t="s">
        <v>3459</v>
      </c>
      <c r="B1490" t="s">
        <v>3460</v>
      </c>
      <c r="C1490">
        <v>76206958</v>
      </c>
      <c r="D1490">
        <v>2500647</v>
      </c>
      <c r="E1490" t="s">
        <v>39</v>
      </c>
      <c r="F1490" s="5">
        <v>300</v>
      </c>
    </row>
    <row r="1491" spans="1:6">
      <c r="A1491" t="s">
        <v>3459</v>
      </c>
      <c r="B1491" t="s">
        <v>3460</v>
      </c>
      <c r="C1491">
        <v>76206958</v>
      </c>
      <c r="D1491">
        <v>2500647</v>
      </c>
      <c r="E1491" t="s">
        <v>729</v>
      </c>
      <c r="F1491" s="5">
        <v>200</v>
      </c>
    </row>
    <row r="1492" spans="1:6" hidden="1">
      <c r="A1492" t="s">
        <v>1845</v>
      </c>
      <c r="B1492" t="s">
        <v>1846</v>
      </c>
      <c r="C1492">
        <v>25298174</v>
      </c>
      <c r="D1492">
        <v>2503063</v>
      </c>
      <c r="E1492" t="s">
        <v>39</v>
      </c>
      <c r="F1492" s="5">
        <v>300</v>
      </c>
    </row>
    <row r="1493" spans="1:6">
      <c r="A1493" t="s">
        <v>1845</v>
      </c>
      <c r="B1493" t="s">
        <v>1846</v>
      </c>
      <c r="C1493">
        <v>25298174</v>
      </c>
      <c r="D1493">
        <v>2503063</v>
      </c>
      <c r="E1493" t="s">
        <v>729</v>
      </c>
      <c r="F1493" s="5">
        <v>200</v>
      </c>
    </row>
    <row r="1494" spans="1:6" hidden="1">
      <c r="A1494" t="s">
        <v>1757</v>
      </c>
      <c r="B1494" t="s">
        <v>1758</v>
      </c>
      <c r="C1494">
        <v>14610612</v>
      </c>
      <c r="D1494">
        <v>2501730</v>
      </c>
      <c r="E1494" t="s">
        <v>39</v>
      </c>
      <c r="F1494" s="5">
        <v>300</v>
      </c>
    </row>
    <row r="1495" spans="1:6">
      <c r="A1495" t="s">
        <v>1757</v>
      </c>
      <c r="B1495" t="s">
        <v>1758</v>
      </c>
      <c r="C1495">
        <v>14610612</v>
      </c>
      <c r="D1495">
        <v>2501730</v>
      </c>
      <c r="E1495" t="s">
        <v>729</v>
      </c>
      <c r="F1495" s="5">
        <v>200</v>
      </c>
    </row>
    <row r="1496" spans="1:6" hidden="1">
      <c r="A1496" t="s">
        <v>3761</v>
      </c>
      <c r="B1496" t="s">
        <v>3762</v>
      </c>
      <c r="C1496">
        <v>76220359</v>
      </c>
      <c r="D1496">
        <v>2502013</v>
      </c>
      <c r="E1496" t="s">
        <v>39</v>
      </c>
      <c r="F1496" s="5">
        <v>300</v>
      </c>
    </row>
    <row r="1497" spans="1:6">
      <c r="A1497" t="s">
        <v>3761</v>
      </c>
      <c r="B1497" t="s">
        <v>3762</v>
      </c>
      <c r="C1497">
        <v>76220359</v>
      </c>
      <c r="D1497">
        <v>2502013</v>
      </c>
      <c r="E1497" t="s">
        <v>729</v>
      </c>
      <c r="F1497" s="5">
        <v>200</v>
      </c>
    </row>
    <row r="1498" spans="1:6" hidden="1">
      <c r="A1498" t="s">
        <v>4048</v>
      </c>
      <c r="B1498" t="s">
        <v>4049</v>
      </c>
      <c r="C1498">
        <v>76229750</v>
      </c>
      <c r="D1498">
        <v>2502394</v>
      </c>
      <c r="E1498" t="s">
        <v>39</v>
      </c>
      <c r="F1498" s="5">
        <v>300</v>
      </c>
    </row>
    <row r="1499" spans="1:6">
      <c r="A1499" t="s">
        <v>4048</v>
      </c>
      <c r="B1499" t="s">
        <v>4049</v>
      </c>
      <c r="C1499">
        <v>76229750</v>
      </c>
      <c r="D1499">
        <v>2502394</v>
      </c>
      <c r="E1499" t="s">
        <v>729</v>
      </c>
      <c r="F1499" s="5">
        <v>200</v>
      </c>
    </row>
    <row r="1500" spans="1:6" hidden="1">
      <c r="A1500" t="s">
        <v>4547</v>
      </c>
      <c r="B1500" t="s">
        <v>4548</v>
      </c>
      <c r="C1500">
        <v>76254334</v>
      </c>
      <c r="D1500">
        <v>2503597</v>
      </c>
      <c r="E1500" t="s">
        <v>39</v>
      </c>
      <c r="F1500" s="5">
        <v>300</v>
      </c>
    </row>
    <row r="1501" spans="1:6">
      <c r="A1501" t="s">
        <v>4547</v>
      </c>
      <c r="B1501" t="s">
        <v>4548</v>
      </c>
      <c r="C1501">
        <v>76254334</v>
      </c>
      <c r="D1501">
        <v>2503597</v>
      </c>
      <c r="E1501" t="s">
        <v>729</v>
      </c>
      <c r="F1501" s="5">
        <v>200</v>
      </c>
    </row>
    <row r="1502" spans="1:6" hidden="1">
      <c r="A1502" t="s">
        <v>3259</v>
      </c>
      <c r="B1502" t="s">
        <v>3260</v>
      </c>
      <c r="C1502">
        <v>76189422</v>
      </c>
      <c r="D1502">
        <v>2500102</v>
      </c>
      <c r="E1502" t="s">
        <v>39</v>
      </c>
      <c r="F1502" s="5">
        <v>300</v>
      </c>
    </row>
    <row r="1503" spans="1:6">
      <c r="A1503" t="s">
        <v>3259</v>
      </c>
      <c r="B1503" t="s">
        <v>3260</v>
      </c>
      <c r="C1503">
        <v>76189422</v>
      </c>
      <c r="D1503">
        <v>2500102</v>
      </c>
      <c r="E1503" t="s">
        <v>729</v>
      </c>
      <c r="F1503" s="5">
        <v>200</v>
      </c>
    </row>
    <row r="1504" spans="1:6" hidden="1">
      <c r="A1504" t="s">
        <v>2637</v>
      </c>
      <c r="B1504" t="s">
        <v>2638</v>
      </c>
      <c r="C1504">
        <v>76060791</v>
      </c>
      <c r="D1504">
        <v>2002879</v>
      </c>
      <c r="E1504" t="s">
        <v>39</v>
      </c>
      <c r="F1504" s="5">
        <v>300</v>
      </c>
    </row>
    <row r="1505" spans="1:6">
      <c r="A1505" t="s">
        <v>2637</v>
      </c>
      <c r="B1505" t="s">
        <v>2638</v>
      </c>
      <c r="C1505">
        <v>76060791</v>
      </c>
      <c r="D1505">
        <v>2002879</v>
      </c>
      <c r="E1505" t="s">
        <v>729</v>
      </c>
      <c r="F1505" s="5">
        <v>200</v>
      </c>
    </row>
    <row r="1506" spans="1:6" hidden="1">
      <c r="A1506" t="s">
        <v>4232</v>
      </c>
      <c r="B1506" t="s">
        <v>4233</v>
      </c>
      <c r="C1506">
        <v>76235225</v>
      </c>
      <c r="D1506">
        <v>3001703</v>
      </c>
      <c r="E1506" t="s">
        <v>39</v>
      </c>
      <c r="F1506" s="5">
        <v>300</v>
      </c>
    </row>
    <row r="1507" spans="1:6">
      <c r="A1507" t="s">
        <v>4232</v>
      </c>
      <c r="B1507" t="s">
        <v>4233</v>
      </c>
      <c r="C1507">
        <v>76235225</v>
      </c>
      <c r="D1507">
        <v>3001703</v>
      </c>
      <c r="E1507" t="s">
        <v>729</v>
      </c>
      <c r="F1507" s="5">
        <v>200</v>
      </c>
    </row>
    <row r="1508" spans="1:6" hidden="1">
      <c r="A1508" t="s">
        <v>4260</v>
      </c>
      <c r="B1508" t="s">
        <v>4261</v>
      </c>
      <c r="C1508">
        <v>76236030</v>
      </c>
      <c r="D1508">
        <v>2002521</v>
      </c>
      <c r="E1508" t="s">
        <v>39</v>
      </c>
      <c r="F1508" s="5">
        <v>300</v>
      </c>
    </row>
    <row r="1509" spans="1:6">
      <c r="A1509" t="s">
        <v>4260</v>
      </c>
      <c r="B1509" t="s">
        <v>4261</v>
      </c>
      <c r="C1509">
        <v>76236030</v>
      </c>
      <c r="D1509">
        <v>2002521</v>
      </c>
      <c r="E1509" t="s">
        <v>729</v>
      </c>
      <c r="F1509" s="5">
        <v>200</v>
      </c>
    </row>
    <row r="1510" spans="1:6" hidden="1">
      <c r="A1510" t="s">
        <v>4142</v>
      </c>
      <c r="B1510" t="s">
        <v>4143</v>
      </c>
      <c r="C1510">
        <v>76232066</v>
      </c>
      <c r="D1510">
        <v>2503325</v>
      </c>
      <c r="E1510" t="s">
        <v>39</v>
      </c>
      <c r="F1510" s="5">
        <v>300</v>
      </c>
    </row>
    <row r="1511" spans="1:6">
      <c r="A1511" t="s">
        <v>4142</v>
      </c>
      <c r="B1511" t="s">
        <v>4143</v>
      </c>
      <c r="C1511">
        <v>76232066</v>
      </c>
      <c r="D1511">
        <v>2503325</v>
      </c>
      <c r="E1511" t="s">
        <v>729</v>
      </c>
      <c r="F1511" s="5">
        <v>200</v>
      </c>
    </row>
    <row r="1512" spans="1:6" hidden="1">
      <c r="A1512" t="s">
        <v>4328</v>
      </c>
      <c r="B1512" t="s">
        <v>4329</v>
      </c>
      <c r="C1512">
        <v>76240524</v>
      </c>
      <c r="D1512">
        <v>3001714</v>
      </c>
      <c r="E1512" t="s">
        <v>39</v>
      </c>
      <c r="F1512" s="5">
        <v>300</v>
      </c>
    </row>
    <row r="1513" spans="1:6">
      <c r="A1513" t="s">
        <v>4328</v>
      </c>
      <c r="B1513" t="s">
        <v>4329</v>
      </c>
      <c r="C1513">
        <v>76240524</v>
      </c>
      <c r="D1513">
        <v>3001714</v>
      </c>
      <c r="E1513" t="s">
        <v>729</v>
      </c>
      <c r="F1513" s="5">
        <v>200</v>
      </c>
    </row>
    <row r="1514" spans="1:6" hidden="1">
      <c r="A1514" t="s">
        <v>3499</v>
      </c>
      <c r="B1514" t="s">
        <v>3500</v>
      </c>
      <c r="C1514">
        <v>76209027</v>
      </c>
      <c r="D1514">
        <v>2503480</v>
      </c>
      <c r="E1514" t="s">
        <v>39</v>
      </c>
      <c r="F1514" s="5">
        <v>300</v>
      </c>
    </row>
    <row r="1515" spans="1:6">
      <c r="A1515" t="s">
        <v>3499</v>
      </c>
      <c r="B1515" t="s">
        <v>3500</v>
      </c>
      <c r="C1515">
        <v>76209027</v>
      </c>
      <c r="D1515">
        <v>2503480</v>
      </c>
      <c r="E1515" t="s">
        <v>729</v>
      </c>
      <c r="F1515" s="5">
        <v>200</v>
      </c>
    </row>
    <row r="1516" spans="1:6" hidden="1">
      <c r="A1516" t="s">
        <v>156</v>
      </c>
      <c r="B1516" t="s">
        <v>157</v>
      </c>
      <c r="C1516">
        <v>76228229</v>
      </c>
      <c r="D1516">
        <v>2502240</v>
      </c>
      <c r="E1516" t="s">
        <v>39</v>
      </c>
      <c r="F1516" s="5">
        <v>300</v>
      </c>
    </row>
    <row r="1517" spans="1:6">
      <c r="A1517" t="s">
        <v>156</v>
      </c>
      <c r="B1517" t="s">
        <v>157</v>
      </c>
      <c r="C1517">
        <v>76228229</v>
      </c>
      <c r="D1517">
        <v>2502240</v>
      </c>
      <c r="E1517" t="s">
        <v>729</v>
      </c>
      <c r="F1517" s="5">
        <v>200</v>
      </c>
    </row>
    <row r="1518" spans="1:6" hidden="1">
      <c r="A1518" t="s">
        <v>3171</v>
      </c>
      <c r="B1518" t="s">
        <v>3172</v>
      </c>
      <c r="C1518">
        <v>76177663</v>
      </c>
      <c r="D1518">
        <v>2000154</v>
      </c>
      <c r="E1518" t="s">
        <v>39</v>
      </c>
      <c r="F1518" s="5">
        <v>300</v>
      </c>
    </row>
    <row r="1519" spans="1:6">
      <c r="A1519" t="s">
        <v>3171</v>
      </c>
      <c r="B1519" t="s">
        <v>3172</v>
      </c>
      <c r="C1519">
        <v>76177663</v>
      </c>
      <c r="D1519">
        <v>2000154</v>
      </c>
      <c r="E1519" t="s">
        <v>729</v>
      </c>
      <c r="F1519" s="5">
        <v>200</v>
      </c>
    </row>
    <row r="1520" spans="1:6" hidden="1">
      <c r="A1520" t="s">
        <v>147</v>
      </c>
      <c r="B1520" t="s">
        <v>148</v>
      </c>
      <c r="C1520">
        <v>76227134</v>
      </c>
      <c r="D1520">
        <v>2503481</v>
      </c>
      <c r="E1520" t="s">
        <v>39</v>
      </c>
      <c r="F1520" s="5">
        <v>300</v>
      </c>
    </row>
    <row r="1521" spans="1:6">
      <c r="A1521" t="s">
        <v>147</v>
      </c>
      <c r="B1521" t="s">
        <v>148</v>
      </c>
      <c r="C1521">
        <v>76227134</v>
      </c>
      <c r="D1521">
        <v>2503481</v>
      </c>
      <c r="E1521" t="s">
        <v>729</v>
      </c>
      <c r="F1521" s="5">
        <v>200</v>
      </c>
    </row>
    <row r="1522" spans="1:6" hidden="1">
      <c r="A1522" t="s">
        <v>2118</v>
      </c>
      <c r="B1522" t="s">
        <v>2119</v>
      </c>
      <c r="C1522">
        <v>71049257</v>
      </c>
      <c r="D1522">
        <v>2502438</v>
      </c>
      <c r="E1522" t="s">
        <v>39</v>
      </c>
      <c r="F1522" s="5">
        <v>450</v>
      </c>
    </row>
    <row r="1523" spans="1:6">
      <c r="A1523" t="s">
        <v>2118</v>
      </c>
      <c r="B1523" t="s">
        <v>2119</v>
      </c>
      <c r="C1523">
        <v>71049257</v>
      </c>
      <c r="D1523">
        <v>2502438</v>
      </c>
      <c r="E1523" t="s">
        <v>729</v>
      </c>
      <c r="F1523" s="5">
        <v>200</v>
      </c>
    </row>
    <row r="1524" spans="1:6" hidden="1">
      <c r="A1524" t="s">
        <v>3637</v>
      </c>
      <c r="B1524" t="s">
        <v>3638</v>
      </c>
      <c r="C1524">
        <v>76214412</v>
      </c>
      <c r="D1524">
        <v>3001809</v>
      </c>
      <c r="E1524" t="s">
        <v>39</v>
      </c>
      <c r="F1524" s="5">
        <v>300</v>
      </c>
    </row>
    <row r="1525" spans="1:6">
      <c r="A1525" t="s">
        <v>3637</v>
      </c>
      <c r="B1525" t="s">
        <v>3638</v>
      </c>
      <c r="C1525">
        <v>76214412</v>
      </c>
      <c r="D1525">
        <v>3001809</v>
      </c>
      <c r="E1525" t="s">
        <v>729</v>
      </c>
      <c r="F1525" s="5">
        <v>200</v>
      </c>
    </row>
    <row r="1526" spans="1:6" hidden="1">
      <c r="A1526" t="s">
        <v>2126</v>
      </c>
      <c r="B1526" t="s">
        <v>2127</v>
      </c>
      <c r="C1526">
        <v>71049915</v>
      </c>
      <c r="D1526">
        <v>2000210</v>
      </c>
      <c r="E1526" t="s">
        <v>39</v>
      </c>
      <c r="F1526" s="5">
        <v>450</v>
      </c>
    </row>
    <row r="1527" spans="1:6">
      <c r="A1527" t="s">
        <v>2126</v>
      </c>
      <c r="B1527" t="s">
        <v>2127</v>
      </c>
      <c r="C1527">
        <v>71049915</v>
      </c>
      <c r="D1527">
        <v>2000210</v>
      </c>
      <c r="E1527" t="s">
        <v>729</v>
      </c>
      <c r="F1527" s="5">
        <v>200</v>
      </c>
    </row>
    <row r="1528" spans="1:6" hidden="1">
      <c r="A1528" t="s">
        <v>2941</v>
      </c>
      <c r="B1528" t="s">
        <v>2942</v>
      </c>
      <c r="C1528">
        <v>76151592</v>
      </c>
      <c r="D1528">
        <v>8101</v>
      </c>
      <c r="E1528" t="s">
        <v>39</v>
      </c>
      <c r="F1528" s="5">
        <v>300</v>
      </c>
    </row>
    <row r="1529" spans="1:6">
      <c r="A1529" t="s">
        <v>2941</v>
      </c>
      <c r="B1529" t="s">
        <v>2942</v>
      </c>
      <c r="C1529">
        <v>76151592</v>
      </c>
      <c r="D1529">
        <v>8101</v>
      </c>
      <c r="E1529" t="s">
        <v>729</v>
      </c>
      <c r="F1529" s="5">
        <v>200</v>
      </c>
    </row>
    <row r="1530" spans="1:6" hidden="1">
      <c r="A1530" t="s">
        <v>4486</v>
      </c>
      <c r="B1530" t="s">
        <v>4487</v>
      </c>
      <c r="C1530">
        <v>76251793</v>
      </c>
      <c r="D1530">
        <v>2003077</v>
      </c>
      <c r="E1530" t="s">
        <v>39</v>
      </c>
      <c r="F1530" s="5">
        <v>300</v>
      </c>
    </row>
    <row r="1531" spans="1:6">
      <c r="A1531" t="s">
        <v>4486</v>
      </c>
      <c r="B1531" t="s">
        <v>4487</v>
      </c>
      <c r="C1531">
        <v>76251793</v>
      </c>
      <c r="D1531">
        <v>2003077</v>
      </c>
      <c r="E1531" t="s">
        <v>729</v>
      </c>
      <c r="F1531" s="5">
        <v>200</v>
      </c>
    </row>
    <row r="1532" spans="1:6" hidden="1">
      <c r="A1532" t="s">
        <v>3009</v>
      </c>
      <c r="B1532" t="s">
        <v>3010</v>
      </c>
      <c r="C1532">
        <v>76158989</v>
      </c>
      <c r="D1532">
        <v>2502284</v>
      </c>
      <c r="E1532" t="s">
        <v>39</v>
      </c>
      <c r="F1532" s="5">
        <v>450</v>
      </c>
    </row>
    <row r="1533" spans="1:6">
      <c r="A1533" t="s">
        <v>3009</v>
      </c>
      <c r="B1533" t="s">
        <v>3010</v>
      </c>
      <c r="C1533">
        <v>76158989</v>
      </c>
      <c r="D1533">
        <v>2502284</v>
      </c>
      <c r="E1533" t="s">
        <v>729</v>
      </c>
      <c r="F1533" s="5">
        <v>200</v>
      </c>
    </row>
    <row r="1534" spans="1:6" hidden="1">
      <c r="A1534" t="s">
        <v>2356</v>
      </c>
      <c r="B1534" t="s">
        <v>2357</v>
      </c>
      <c r="C1534">
        <v>76024834</v>
      </c>
      <c r="D1534">
        <v>2501869</v>
      </c>
      <c r="E1534" t="s">
        <v>39</v>
      </c>
      <c r="F1534" s="5">
        <v>450</v>
      </c>
    </row>
    <row r="1535" spans="1:6">
      <c r="A1535" t="s">
        <v>2356</v>
      </c>
      <c r="B1535" t="s">
        <v>2357</v>
      </c>
      <c r="C1535">
        <v>76024834</v>
      </c>
      <c r="D1535">
        <v>2501869</v>
      </c>
      <c r="E1535" t="s">
        <v>729</v>
      </c>
      <c r="F1535" s="5">
        <v>200</v>
      </c>
    </row>
    <row r="1536" spans="1:6" hidden="1">
      <c r="A1536" t="s">
        <v>2615</v>
      </c>
      <c r="B1536" t="s">
        <v>2616</v>
      </c>
      <c r="C1536">
        <v>76058883</v>
      </c>
      <c r="D1536">
        <v>2502339</v>
      </c>
      <c r="E1536" t="s">
        <v>39</v>
      </c>
      <c r="F1536" s="5">
        <v>450</v>
      </c>
    </row>
    <row r="1537" spans="1:6">
      <c r="A1537" t="s">
        <v>2615</v>
      </c>
      <c r="B1537" t="s">
        <v>2616</v>
      </c>
      <c r="C1537">
        <v>76058883</v>
      </c>
      <c r="D1537">
        <v>2502339</v>
      </c>
      <c r="E1537" t="s">
        <v>729</v>
      </c>
      <c r="F1537" s="5">
        <v>200</v>
      </c>
    </row>
    <row r="1538" spans="1:6" hidden="1">
      <c r="A1538" t="s">
        <v>2270</v>
      </c>
      <c r="B1538" t="s">
        <v>2271</v>
      </c>
      <c r="C1538">
        <v>76003331</v>
      </c>
      <c r="D1538">
        <v>2502203</v>
      </c>
      <c r="E1538" t="s">
        <v>39</v>
      </c>
      <c r="F1538" s="5">
        <v>450</v>
      </c>
    </row>
    <row r="1539" spans="1:6">
      <c r="A1539" t="s">
        <v>2270</v>
      </c>
      <c r="B1539" t="s">
        <v>2271</v>
      </c>
      <c r="C1539">
        <v>76003331</v>
      </c>
      <c r="D1539">
        <v>2502203</v>
      </c>
      <c r="E1539" t="s">
        <v>729</v>
      </c>
      <c r="F1539" s="5">
        <v>200</v>
      </c>
    </row>
    <row r="1540" spans="1:6" hidden="1">
      <c r="A1540" t="s">
        <v>1958</v>
      </c>
      <c r="B1540" t="s">
        <v>1959</v>
      </c>
      <c r="C1540">
        <v>42944601</v>
      </c>
      <c r="D1540">
        <v>2502113</v>
      </c>
      <c r="E1540" t="s">
        <v>39</v>
      </c>
      <c r="F1540" s="5">
        <v>450</v>
      </c>
    </row>
    <row r="1541" spans="1:6">
      <c r="A1541" t="s">
        <v>1958</v>
      </c>
      <c r="B1541" t="s">
        <v>1959</v>
      </c>
      <c r="C1541">
        <v>42944601</v>
      </c>
      <c r="D1541">
        <v>2502113</v>
      </c>
      <c r="E1541" t="s">
        <v>729</v>
      </c>
      <c r="F1541" s="5">
        <v>200</v>
      </c>
    </row>
    <row r="1542" spans="1:6" hidden="1">
      <c r="A1542" t="s">
        <v>3689</v>
      </c>
      <c r="B1542" t="s">
        <v>3690</v>
      </c>
      <c r="C1542">
        <v>76217846</v>
      </c>
      <c r="D1542">
        <v>3002010</v>
      </c>
      <c r="E1542" t="s">
        <v>39</v>
      </c>
      <c r="F1542" s="5">
        <v>300</v>
      </c>
    </row>
    <row r="1543" spans="1:6">
      <c r="A1543" t="s">
        <v>3689</v>
      </c>
      <c r="B1543" t="s">
        <v>3690</v>
      </c>
      <c r="C1543">
        <v>76217846</v>
      </c>
      <c r="D1543">
        <v>3002010</v>
      </c>
      <c r="E1543" t="s">
        <v>729</v>
      </c>
      <c r="F1543" s="5">
        <v>200</v>
      </c>
    </row>
    <row r="1544" spans="1:6" hidden="1">
      <c r="A1544" t="s">
        <v>3777</v>
      </c>
      <c r="B1544" t="s">
        <v>3778</v>
      </c>
      <c r="C1544">
        <v>76220492</v>
      </c>
      <c r="D1544">
        <v>3001973</v>
      </c>
      <c r="E1544" t="s">
        <v>39</v>
      </c>
      <c r="F1544" s="5">
        <v>300</v>
      </c>
    </row>
    <row r="1545" spans="1:6">
      <c r="A1545" t="s">
        <v>3777</v>
      </c>
      <c r="B1545" t="s">
        <v>3778</v>
      </c>
      <c r="C1545">
        <v>76220492</v>
      </c>
      <c r="D1545">
        <v>3001973</v>
      </c>
      <c r="E1545" t="s">
        <v>729</v>
      </c>
      <c r="F1545" s="5">
        <v>200</v>
      </c>
    </row>
    <row r="1546" spans="1:6" hidden="1">
      <c r="A1546" t="s">
        <v>3775</v>
      </c>
      <c r="B1546" t="s">
        <v>3776</v>
      </c>
      <c r="C1546">
        <v>76220436</v>
      </c>
      <c r="D1546">
        <v>3001971</v>
      </c>
      <c r="E1546" t="s">
        <v>39</v>
      </c>
      <c r="F1546" s="5">
        <v>300</v>
      </c>
    </row>
    <row r="1547" spans="1:6">
      <c r="A1547" t="s">
        <v>3775</v>
      </c>
      <c r="B1547" t="s">
        <v>3776</v>
      </c>
      <c r="C1547">
        <v>76220436</v>
      </c>
      <c r="D1547">
        <v>3001971</v>
      </c>
      <c r="E1547" t="s">
        <v>729</v>
      </c>
      <c r="F1547" s="5">
        <v>200</v>
      </c>
    </row>
    <row r="1548" spans="1:6" hidden="1">
      <c r="A1548" t="s">
        <v>4651</v>
      </c>
      <c r="B1548" t="s">
        <v>4652</v>
      </c>
      <c r="C1548">
        <v>76259370</v>
      </c>
      <c r="D1548">
        <v>3002017</v>
      </c>
      <c r="E1548" t="s">
        <v>39</v>
      </c>
      <c r="F1548" s="5">
        <v>300</v>
      </c>
    </row>
    <row r="1549" spans="1:6">
      <c r="A1549" t="s">
        <v>4651</v>
      </c>
      <c r="B1549" t="s">
        <v>4652</v>
      </c>
      <c r="C1549">
        <v>76259370</v>
      </c>
      <c r="D1549">
        <v>3002017</v>
      </c>
      <c r="E1549" t="s">
        <v>729</v>
      </c>
      <c r="F1549" s="5">
        <v>200</v>
      </c>
    </row>
    <row r="1550" spans="1:6" hidden="1">
      <c r="A1550" t="s">
        <v>625</v>
      </c>
      <c r="B1550" t="s">
        <v>626</v>
      </c>
      <c r="C1550">
        <v>76220873</v>
      </c>
      <c r="D1550" t="s">
        <v>438</v>
      </c>
      <c r="E1550" t="s">
        <v>39</v>
      </c>
      <c r="F1550" s="5">
        <v>300</v>
      </c>
    </row>
    <row r="1551" spans="1:6">
      <c r="A1551" t="s">
        <v>625</v>
      </c>
      <c r="B1551" t="s">
        <v>626</v>
      </c>
      <c r="C1551">
        <v>76220873</v>
      </c>
      <c r="D1551" t="s">
        <v>438</v>
      </c>
      <c r="E1551" t="s">
        <v>729</v>
      </c>
      <c r="F1551" s="5">
        <v>200</v>
      </c>
    </row>
    <row r="1552" spans="1:6" hidden="1">
      <c r="A1552" t="s">
        <v>622</v>
      </c>
      <c r="B1552" t="s">
        <v>623</v>
      </c>
      <c r="C1552">
        <v>76220871</v>
      </c>
      <c r="D1552" t="s">
        <v>438</v>
      </c>
      <c r="E1552" t="s">
        <v>39</v>
      </c>
      <c r="F1552" s="5">
        <v>300</v>
      </c>
    </row>
    <row r="1553" spans="1:6">
      <c r="A1553" t="s">
        <v>622</v>
      </c>
      <c r="B1553" t="s">
        <v>623</v>
      </c>
      <c r="C1553">
        <v>76220871</v>
      </c>
      <c r="D1553" t="s">
        <v>438</v>
      </c>
      <c r="E1553" t="s">
        <v>729</v>
      </c>
      <c r="F1553" s="5">
        <v>200</v>
      </c>
    </row>
    <row r="1554" spans="1:6" hidden="1">
      <c r="A1554" t="s">
        <v>3873</v>
      </c>
      <c r="B1554" t="s">
        <v>3874</v>
      </c>
      <c r="C1554">
        <v>76224904</v>
      </c>
      <c r="D1554">
        <v>2001885</v>
      </c>
      <c r="E1554" t="s">
        <v>39</v>
      </c>
      <c r="F1554" s="5">
        <v>300</v>
      </c>
    </row>
    <row r="1555" spans="1:6">
      <c r="A1555" t="s">
        <v>3873</v>
      </c>
      <c r="B1555" t="s">
        <v>3874</v>
      </c>
      <c r="C1555">
        <v>76224904</v>
      </c>
      <c r="D1555">
        <v>2001885</v>
      </c>
      <c r="E1555" t="s">
        <v>729</v>
      </c>
      <c r="F1555" s="5">
        <v>200</v>
      </c>
    </row>
    <row r="1556" spans="1:6" hidden="1">
      <c r="A1556" t="s">
        <v>2651</v>
      </c>
      <c r="B1556" t="s">
        <v>2652</v>
      </c>
      <c r="C1556">
        <v>76063223</v>
      </c>
      <c r="D1556">
        <v>2502969</v>
      </c>
      <c r="E1556" t="s">
        <v>39</v>
      </c>
      <c r="F1556" s="5">
        <v>300</v>
      </c>
    </row>
    <row r="1557" spans="1:6">
      <c r="A1557" t="s">
        <v>2651</v>
      </c>
      <c r="B1557" t="s">
        <v>2652</v>
      </c>
      <c r="C1557">
        <v>76063223</v>
      </c>
      <c r="D1557">
        <v>2502969</v>
      </c>
      <c r="E1557" t="s">
        <v>729</v>
      </c>
      <c r="F1557" s="5">
        <v>200</v>
      </c>
    </row>
    <row r="1558" spans="1:6" hidden="1">
      <c r="A1558" t="s">
        <v>4144</v>
      </c>
      <c r="B1558" t="s">
        <v>4145</v>
      </c>
      <c r="C1558">
        <v>76232569</v>
      </c>
      <c r="D1558">
        <v>2002206</v>
      </c>
      <c r="E1558" t="s">
        <v>39</v>
      </c>
      <c r="F1558" s="5">
        <v>400</v>
      </c>
    </row>
    <row r="1559" spans="1:6">
      <c r="A1559" t="s">
        <v>4144</v>
      </c>
      <c r="B1559" t="s">
        <v>4145</v>
      </c>
      <c r="C1559">
        <v>76232569</v>
      </c>
      <c r="D1559">
        <v>2002206</v>
      </c>
      <c r="E1559" t="s">
        <v>729</v>
      </c>
      <c r="F1559" s="5">
        <v>200</v>
      </c>
    </row>
    <row r="1560" spans="1:6" hidden="1">
      <c r="A1560" t="s">
        <v>3757</v>
      </c>
      <c r="B1560" t="s">
        <v>3758</v>
      </c>
      <c r="C1560">
        <v>76220316</v>
      </c>
      <c r="D1560">
        <v>2502461</v>
      </c>
      <c r="E1560" t="s">
        <v>39</v>
      </c>
      <c r="F1560" s="5">
        <v>450</v>
      </c>
    </row>
    <row r="1561" spans="1:6">
      <c r="A1561" t="s">
        <v>3757</v>
      </c>
      <c r="B1561" t="s">
        <v>3758</v>
      </c>
      <c r="C1561">
        <v>76220316</v>
      </c>
      <c r="D1561">
        <v>2502461</v>
      </c>
      <c r="E1561" t="s">
        <v>729</v>
      </c>
      <c r="F1561" s="5">
        <v>200</v>
      </c>
    </row>
    <row r="1562" spans="1:6" hidden="1">
      <c r="A1562" t="s">
        <v>1661</v>
      </c>
      <c r="B1562" t="s">
        <v>1662</v>
      </c>
      <c r="C1562">
        <v>8310123</v>
      </c>
      <c r="D1562">
        <v>2500745</v>
      </c>
      <c r="E1562" t="s">
        <v>39</v>
      </c>
      <c r="F1562" s="5">
        <v>300</v>
      </c>
    </row>
    <row r="1563" spans="1:6">
      <c r="A1563" t="s">
        <v>1661</v>
      </c>
      <c r="B1563" t="s">
        <v>1662</v>
      </c>
      <c r="C1563">
        <v>8310123</v>
      </c>
      <c r="D1563">
        <v>2500745</v>
      </c>
      <c r="E1563" t="s">
        <v>729</v>
      </c>
      <c r="F1563" s="5">
        <v>200</v>
      </c>
    </row>
    <row r="1564" spans="1:6" hidden="1">
      <c r="A1564" t="s">
        <v>3145</v>
      </c>
      <c r="B1564" t="s">
        <v>3146</v>
      </c>
      <c r="C1564">
        <v>76172298</v>
      </c>
      <c r="D1564">
        <v>2500778</v>
      </c>
      <c r="E1564" t="s">
        <v>39</v>
      </c>
      <c r="F1564" s="5">
        <v>300</v>
      </c>
    </row>
    <row r="1565" spans="1:6">
      <c r="A1565" t="s">
        <v>3145</v>
      </c>
      <c r="B1565" t="s">
        <v>3146</v>
      </c>
      <c r="C1565">
        <v>76172298</v>
      </c>
      <c r="D1565">
        <v>2500778</v>
      </c>
      <c r="E1565" t="s">
        <v>729</v>
      </c>
      <c r="F1565" s="5">
        <v>200</v>
      </c>
    </row>
    <row r="1566" spans="1:6" hidden="1">
      <c r="A1566" t="s">
        <v>3143</v>
      </c>
      <c r="B1566" t="s">
        <v>3144</v>
      </c>
      <c r="C1566">
        <v>76172296</v>
      </c>
      <c r="D1566">
        <v>2500817</v>
      </c>
      <c r="E1566" t="s">
        <v>39</v>
      </c>
      <c r="F1566" s="5">
        <v>300</v>
      </c>
    </row>
    <row r="1567" spans="1:6">
      <c r="A1567" t="s">
        <v>3143</v>
      </c>
      <c r="B1567" t="s">
        <v>3144</v>
      </c>
      <c r="C1567">
        <v>76172296</v>
      </c>
      <c r="D1567">
        <v>2500817</v>
      </c>
      <c r="E1567" t="s">
        <v>729</v>
      </c>
      <c r="F1567" s="5">
        <v>200</v>
      </c>
    </row>
    <row r="1568" spans="1:6" hidden="1">
      <c r="A1568" t="s">
        <v>1569</v>
      </c>
      <c r="B1568" t="s">
        <v>1570</v>
      </c>
      <c r="C1568">
        <v>1326917</v>
      </c>
      <c r="D1568">
        <v>2500240</v>
      </c>
      <c r="E1568" t="s">
        <v>39</v>
      </c>
      <c r="F1568" s="5">
        <v>300</v>
      </c>
    </row>
    <row r="1569" spans="1:6">
      <c r="A1569" t="s">
        <v>1569</v>
      </c>
      <c r="B1569" t="s">
        <v>1570</v>
      </c>
      <c r="C1569">
        <v>1326917</v>
      </c>
      <c r="D1569">
        <v>2500240</v>
      </c>
      <c r="E1569" t="s">
        <v>729</v>
      </c>
      <c r="F1569" s="5">
        <v>200</v>
      </c>
    </row>
    <row r="1570" spans="1:6" hidden="1">
      <c r="A1570" t="s">
        <v>3449</v>
      </c>
      <c r="B1570" t="s">
        <v>3450</v>
      </c>
      <c r="C1570">
        <v>76206565</v>
      </c>
      <c r="D1570">
        <v>2502715</v>
      </c>
      <c r="E1570" t="s">
        <v>39</v>
      </c>
      <c r="F1570" s="5">
        <v>300</v>
      </c>
    </row>
    <row r="1571" spans="1:6">
      <c r="A1571" t="s">
        <v>3449</v>
      </c>
      <c r="B1571" t="s">
        <v>3450</v>
      </c>
      <c r="C1571">
        <v>76206565</v>
      </c>
      <c r="D1571">
        <v>2502715</v>
      </c>
      <c r="E1571" t="s">
        <v>729</v>
      </c>
      <c r="F1571" s="5">
        <v>200</v>
      </c>
    </row>
    <row r="1572" spans="1:6" hidden="1">
      <c r="A1572" t="s">
        <v>3123</v>
      </c>
      <c r="B1572" t="s">
        <v>3124</v>
      </c>
      <c r="C1572">
        <v>76171023</v>
      </c>
      <c r="D1572">
        <v>2502147</v>
      </c>
      <c r="E1572" t="s">
        <v>39</v>
      </c>
      <c r="F1572" s="5">
        <v>300</v>
      </c>
    </row>
    <row r="1573" spans="1:6">
      <c r="A1573" t="s">
        <v>3123</v>
      </c>
      <c r="B1573" t="s">
        <v>3124</v>
      </c>
      <c r="C1573">
        <v>76171023</v>
      </c>
      <c r="D1573">
        <v>2502147</v>
      </c>
      <c r="E1573" t="s">
        <v>729</v>
      </c>
      <c r="F1573" s="5">
        <v>200</v>
      </c>
    </row>
    <row r="1574" spans="1:6" hidden="1">
      <c r="A1574" t="s">
        <v>2350</v>
      </c>
      <c r="B1574" t="s">
        <v>2351</v>
      </c>
      <c r="C1574">
        <v>76023859</v>
      </c>
      <c r="D1574">
        <v>396</v>
      </c>
      <c r="E1574" t="s">
        <v>39</v>
      </c>
      <c r="F1574" s="5">
        <v>300</v>
      </c>
    </row>
    <row r="1575" spans="1:6">
      <c r="A1575" t="s">
        <v>2350</v>
      </c>
      <c r="B1575" t="s">
        <v>2351</v>
      </c>
      <c r="C1575">
        <v>76023859</v>
      </c>
      <c r="D1575">
        <v>396</v>
      </c>
      <c r="E1575" t="s">
        <v>729</v>
      </c>
      <c r="F1575" s="5">
        <v>200</v>
      </c>
    </row>
    <row r="1576" spans="1:6" hidden="1">
      <c r="A1576" t="s">
        <v>3005</v>
      </c>
      <c r="B1576" t="s">
        <v>3006</v>
      </c>
      <c r="C1576">
        <v>76158627</v>
      </c>
      <c r="D1576">
        <v>2002029</v>
      </c>
      <c r="E1576" t="s">
        <v>39</v>
      </c>
      <c r="F1576" s="5">
        <v>450</v>
      </c>
    </row>
    <row r="1577" spans="1:6">
      <c r="A1577" t="s">
        <v>3005</v>
      </c>
      <c r="B1577" t="s">
        <v>3006</v>
      </c>
      <c r="C1577">
        <v>76158627</v>
      </c>
      <c r="D1577">
        <v>2002029</v>
      </c>
      <c r="E1577" t="s">
        <v>729</v>
      </c>
      <c r="F1577" s="5">
        <v>200</v>
      </c>
    </row>
    <row r="1578" spans="1:6" hidden="1">
      <c r="A1578" t="s">
        <v>3147</v>
      </c>
      <c r="B1578" t="s">
        <v>3148</v>
      </c>
      <c r="C1578">
        <v>76172299</v>
      </c>
      <c r="D1578">
        <v>2500794</v>
      </c>
      <c r="E1578" t="s">
        <v>39</v>
      </c>
      <c r="F1578" s="5">
        <v>300</v>
      </c>
    </row>
    <row r="1579" spans="1:6">
      <c r="A1579" t="s">
        <v>3147</v>
      </c>
      <c r="B1579" t="s">
        <v>3148</v>
      </c>
      <c r="C1579">
        <v>76172299</v>
      </c>
      <c r="D1579">
        <v>2500794</v>
      </c>
      <c r="E1579" t="s">
        <v>729</v>
      </c>
      <c r="F1579" s="5">
        <v>200</v>
      </c>
    </row>
    <row r="1580" spans="1:6" hidden="1">
      <c r="A1580" t="s">
        <v>4116</v>
      </c>
      <c r="B1580" t="s">
        <v>4117</v>
      </c>
      <c r="C1580">
        <v>76231554</v>
      </c>
      <c r="D1580">
        <v>2503070</v>
      </c>
      <c r="E1580" t="s">
        <v>39</v>
      </c>
      <c r="F1580" s="5">
        <v>300</v>
      </c>
    </row>
    <row r="1581" spans="1:6">
      <c r="A1581" t="s">
        <v>4116</v>
      </c>
      <c r="B1581" t="s">
        <v>4117</v>
      </c>
      <c r="C1581">
        <v>76231554</v>
      </c>
      <c r="D1581">
        <v>2503070</v>
      </c>
      <c r="E1581" t="s">
        <v>729</v>
      </c>
      <c r="F1581" s="5">
        <v>200</v>
      </c>
    </row>
    <row r="1582" spans="1:6" hidden="1">
      <c r="A1582" t="s">
        <v>3331</v>
      </c>
      <c r="B1582" t="s">
        <v>3332</v>
      </c>
      <c r="C1582">
        <v>76199615</v>
      </c>
      <c r="D1582">
        <v>2500598</v>
      </c>
      <c r="E1582" t="s">
        <v>39</v>
      </c>
      <c r="F1582" s="5">
        <v>300</v>
      </c>
    </row>
    <row r="1583" spans="1:6">
      <c r="A1583" t="s">
        <v>3331</v>
      </c>
      <c r="B1583" t="s">
        <v>3332</v>
      </c>
      <c r="C1583">
        <v>76199615</v>
      </c>
      <c r="D1583">
        <v>2500598</v>
      </c>
      <c r="E1583" t="s">
        <v>729</v>
      </c>
      <c r="F1583" s="5">
        <v>200</v>
      </c>
    </row>
    <row r="1584" spans="1:6" hidden="1">
      <c r="A1584" t="s">
        <v>443</v>
      </c>
      <c r="B1584" t="s">
        <v>444</v>
      </c>
      <c r="C1584">
        <v>71052261</v>
      </c>
      <c r="D1584">
        <v>3002167</v>
      </c>
      <c r="E1584" t="s">
        <v>39</v>
      </c>
      <c r="F1584" s="5">
        <v>300</v>
      </c>
    </row>
    <row r="1585" spans="1:6">
      <c r="A1585" t="s">
        <v>443</v>
      </c>
      <c r="B1585" t="s">
        <v>444</v>
      </c>
      <c r="C1585">
        <v>71052261</v>
      </c>
      <c r="D1585">
        <v>3002167</v>
      </c>
      <c r="E1585" t="s">
        <v>729</v>
      </c>
      <c r="F1585" s="5">
        <v>200</v>
      </c>
    </row>
    <row r="1586" spans="1:6" hidden="1">
      <c r="A1586" t="s">
        <v>590</v>
      </c>
      <c r="B1586" t="s">
        <v>591</v>
      </c>
      <c r="C1586">
        <v>76210834</v>
      </c>
      <c r="D1586">
        <v>3002830</v>
      </c>
      <c r="E1586" t="s">
        <v>39</v>
      </c>
      <c r="F1586" s="5">
        <v>300</v>
      </c>
    </row>
    <row r="1587" spans="1:6">
      <c r="A1587" t="s">
        <v>590</v>
      </c>
      <c r="B1587" t="s">
        <v>591</v>
      </c>
      <c r="C1587">
        <v>76210834</v>
      </c>
      <c r="D1587">
        <v>3002830</v>
      </c>
      <c r="E1587" t="s">
        <v>729</v>
      </c>
      <c r="F1587" s="5">
        <v>200</v>
      </c>
    </row>
    <row r="1588" spans="1:6" hidden="1">
      <c r="A1588" t="s">
        <v>2116</v>
      </c>
      <c r="B1588" t="s">
        <v>2117</v>
      </c>
      <c r="C1588">
        <v>71048539</v>
      </c>
      <c r="D1588">
        <v>3001338</v>
      </c>
      <c r="E1588" t="s">
        <v>39</v>
      </c>
      <c r="F1588" s="5">
        <v>300</v>
      </c>
    </row>
    <row r="1589" spans="1:6">
      <c r="A1589" t="s">
        <v>2116</v>
      </c>
      <c r="B1589" t="s">
        <v>2117</v>
      </c>
      <c r="C1589">
        <v>71048539</v>
      </c>
      <c r="D1589">
        <v>3001338</v>
      </c>
      <c r="E1589" t="s">
        <v>729</v>
      </c>
      <c r="F1589" s="5">
        <v>200</v>
      </c>
    </row>
    <row r="1590" spans="1:6" hidden="1">
      <c r="A1590" t="s">
        <v>2142</v>
      </c>
      <c r="B1590" t="s">
        <v>2143</v>
      </c>
      <c r="C1590">
        <v>71052266</v>
      </c>
      <c r="D1590">
        <v>2503552</v>
      </c>
      <c r="E1590" t="s">
        <v>39</v>
      </c>
      <c r="F1590" s="5">
        <v>300</v>
      </c>
    </row>
    <row r="1591" spans="1:6">
      <c r="A1591" t="s">
        <v>2142</v>
      </c>
      <c r="B1591" t="s">
        <v>2143</v>
      </c>
      <c r="C1591">
        <v>71052266</v>
      </c>
      <c r="D1591">
        <v>2503552</v>
      </c>
      <c r="E1591" t="s">
        <v>729</v>
      </c>
      <c r="F1591" s="5">
        <v>200</v>
      </c>
    </row>
    <row r="1592" spans="1:6" hidden="1">
      <c r="A1592" t="s">
        <v>2659</v>
      </c>
      <c r="B1592" t="s">
        <v>2660</v>
      </c>
      <c r="C1592">
        <v>76064072</v>
      </c>
      <c r="D1592">
        <v>0</v>
      </c>
      <c r="E1592" t="s">
        <v>39</v>
      </c>
      <c r="F1592" s="5">
        <v>450</v>
      </c>
    </row>
    <row r="1593" spans="1:6">
      <c r="A1593" t="s">
        <v>2659</v>
      </c>
      <c r="B1593" t="s">
        <v>2660</v>
      </c>
      <c r="C1593">
        <v>76064072</v>
      </c>
      <c r="D1593">
        <v>0</v>
      </c>
      <c r="E1593" t="s">
        <v>729</v>
      </c>
      <c r="F1593" s="5">
        <v>200</v>
      </c>
    </row>
    <row r="1594" spans="1:6" hidden="1">
      <c r="A1594" t="s">
        <v>3587</v>
      </c>
      <c r="B1594" t="s">
        <v>3588</v>
      </c>
      <c r="C1594">
        <v>76212611</v>
      </c>
      <c r="D1594">
        <v>2002537</v>
      </c>
      <c r="E1594" t="s">
        <v>39</v>
      </c>
      <c r="F1594" s="5">
        <v>300</v>
      </c>
    </row>
    <row r="1595" spans="1:6">
      <c r="A1595" t="s">
        <v>3587</v>
      </c>
      <c r="B1595" t="s">
        <v>3588</v>
      </c>
      <c r="C1595">
        <v>76212611</v>
      </c>
      <c r="D1595">
        <v>2002537</v>
      </c>
      <c r="E1595" t="s">
        <v>729</v>
      </c>
      <c r="F1595" s="5">
        <v>200</v>
      </c>
    </row>
    <row r="1596" spans="1:6" hidden="1">
      <c r="A1596" t="s">
        <v>3905</v>
      </c>
      <c r="B1596" t="s">
        <v>3906</v>
      </c>
      <c r="C1596">
        <v>76226228</v>
      </c>
      <c r="D1596">
        <v>2001934</v>
      </c>
      <c r="E1596" t="s">
        <v>39</v>
      </c>
      <c r="F1596" s="5">
        <v>300</v>
      </c>
    </row>
    <row r="1597" spans="1:6">
      <c r="A1597" t="s">
        <v>3905</v>
      </c>
      <c r="B1597" t="s">
        <v>3906</v>
      </c>
      <c r="C1597">
        <v>76226228</v>
      </c>
      <c r="D1597">
        <v>2001934</v>
      </c>
      <c r="E1597" t="s">
        <v>729</v>
      </c>
      <c r="F1597" s="5">
        <v>200</v>
      </c>
    </row>
    <row r="1598" spans="1:6" hidden="1">
      <c r="A1598" t="s">
        <v>2661</v>
      </c>
      <c r="B1598" t="s">
        <v>2662</v>
      </c>
      <c r="C1598">
        <v>76064083</v>
      </c>
      <c r="D1598">
        <v>0</v>
      </c>
      <c r="E1598" t="s">
        <v>39</v>
      </c>
      <c r="F1598" s="5">
        <v>450</v>
      </c>
    </row>
    <row r="1599" spans="1:6">
      <c r="A1599" t="s">
        <v>2661</v>
      </c>
      <c r="B1599" t="s">
        <v>2662</v>
      </c>
      <c r="C1599">
        <v>76064083</v>
      </c>
      <c r="D1599">
        <v>0</v>
      </c>
      <c r="E1599" t="s">
        <v>729</v>
      </c>
      <c r="F1599" s="5">
        <v>200</v>
      </c>
    </row>
    <row r="1600" spans="1:6" hidden="1">
      <c r="A1600" t="s">
        <v>3127</v>
      </c>
      <c r="B1600" t="s">
        <v>3128</v>
      </c>
      <c r="C1600">
        <v>76171550</v>
      </c>
      <c r="D1600">
        <v>2501107</v>
      </c>
      <c r="E1600" t="s">
        <v>39</v>
      </c>
      <c r="F1600" s="5">
        <v>300</v>
      </c>
    </row>
    <row r="1601" spans="1:6">
      <c r="A1601" t="s">
        <v>3127</v>
      </c>
      <c r="B1601" t="s">
        <v>3128</v>
      </c>
      <c r="C1601">
        <v>76171550</v>
      </c>
      <c r="D1601">
        <v>2501107</v>
      </c>
      <c r="E1601" t="s">
        <v>729</v>
      </c>
      <c r="F1601" s="5">
        <v>200</v>
      </c>
    </row>
    <row r="1602" spans="1:6" hidden="1">
      <c r="A1602" t="s">
        <v>3577</v>
      </c>
      <c r="B1602" t="s">
        <v>3578</v>
      </c>
      <c r="C1602">
        <v>76211393</v>
      </c>
      <c r="D1602">
        <v>2501116</v>
      </c>
      <c r="E1602" t="s">
        <v>39</v>
      </c>
      <c r="F1602" s="5">
        <v>300</v>
      </c>
    </row>
    <row r="1603" spans="1:6">
      <c r="A1603" t="s">
        <v>3577</v>
      </c>
      <c r="B1603" t="s">
        <v>3578</v>
      </c>
      <c r="C1603">
        <v>76211393</v>
      </c>
      <c r="D1603">
        <v>2501116</v>
      </c>
      <c r="E1603" t="s">
        <v>729</v>
      </c>
      <c r="F1603" s="5">
        <v>200</v>
      </c>
    </row>
    <row r="1604" spans="1:6" hidden="1">
      <c r="A1604" t="s">
        <v>479</v>
      </c>
      <c r="B1604" t="s">
        <v>480</v>
      </c>
      <c r="C1604">
        <v>76041535</v>
      </c>
      <c r="D1604" t="s">
        <v>438</v>
      </c>
      <c r="E1604" t="s">
        <v>39</v>
      </c>
      <c r="F1604" s="5">
        <v>300</v>
      </c>
    </row>
    <row r="1605" spans="1:6">
      <c r="A1605" t="s">
        <v>479</v>
      </c>
      <c r="B1605" t="s">
        <v>480</v>
      </c>
      <c r="C1605">
        <v>76041535</v>
      </c>
      <c r="D1605" t="s">
        <v>438</v>
      </c>
      <c r="E1605" t="s">
        <v>729</v>
      </c>
      <c r="F1605" s="5">
        <v>200</v>
      </c>
    </row>
    <row r="1606" spans="1:6" hidden="1">
      <c r="A1606" t="s">
        <v>661</v>
      </c>
      <c r="B1606" t="s">
        <v>662</v>
      </c>
      <c r="C1606">
        <v>76231546</v>
      </c>
      <c r="D1606">
        <v>2002201</v>
      </c>
      <c r="E1606" t="s">
        <v>39</v>
      </c>
      <c r="F1606" s="5">
        <v>300</v>
      </c>
    </row>
    <row r="1607" spans="1:6">
      <c r="A1607" t="s">
        <v>661</v>
      </c>
      <c r="B1607" t="s">
        <v>662</v>
      </c>
      <c r="C1607">
        <v>76231546</v>
      </c>
      <c r="D1607">
        <v>2002201</v>
      </c>
      <c r="E1607" t="s">
        <v>729</v>
      </c>
      <c r="F1607" s="5">
        <v>200</v>
      </c>
    </row>
    <row r="1608" spans="1:6" hidden="1">
      <c r="A1608" t="s">
        <v>3109</v>
      </c>
      <c r="B1608" t="s">
        <v>3110</v>
      </c>
      <c r="C1608">
        <v>76169223</v>
      </c>
      <c r="D1608">
        <v>2000229</v>
      </c>
      <c r="E1608" t="s">
        <v>39</v>
      </c>
      <c r="F1608" s="5">
        <v>300</v>
      </c>
    </row>
    <row r="1609" spans="1:6">
      <c r="A1609" t="s">
        <v>3109</v>
      </c>
      <c r="B1609" t="s">
        <v>3110</v>
      </c>
      <c r="C1609">
        <v>76169223</v>
      </c>
      <c r="D1609">
        <v>2000229</v>
      </c>
      <c r="E1609" t="s">
        <v>729</v>
      </c>
      <c r="F1609" s="5">
        <v>200</v>
      </c>
    </row>
    <row r="1610" spans="1:6" hidden="1">
      <c r="A1610" t="s">
        <v>3107</v>
      </c>
      <c r="B1610" t="s">
        <v>3108</v>
      </c>
      <c r="C1610">
        <v>76169221</v>
      </c>
      <c r="D1610">
        <v>2000227</v>
      </c>
      <c r="E1610" t="s">
        <v>39</v>
      </c>
      <c r="F1610" s="5">
        <v>300</v>
      </c>
    </row>
    <row r="1611" spans="1:6">
      <c r="A1611" t="s">
        <v>3107</v>
      </c>
      <c r="B1611" t="s">
        <v>3108</v>
      </c>
      <c r="C1611">
        <v>76169221</v>
      </c>
      <c r="D1611">
        <v>2000227</v>
      </c>
      <c r="E1611" t="s">
        <v>729</v>
      </c>
      <c r="F1611" s="5">
        <v>200</v>
      </c>
    </row>
    <row r="1612" spans="1:6" hidden="1">
      <c r="A1612" t="s">
        <v>4154</v>
      </c>
      <c r="B1612" t="s">
        <v>4155</v>
      </c>
      <c r="C1612">
        <v>76232990</v>
      </c>
      <c r="D1612">
        <v>2502714</v>
      </c>
      <c r="E1612" t="s">
        <v>39</v>
      </c>
      <c r="F1612" s="5">
        <v>300</v>
      </c>
    </row>
    <row r="1613" spans="1:6">
      <c r="A1613" t="s">
        <v>4154</v>
      </c>
      <c r="B1613" t="s">
        <v>4155</v>
      </c>
      <c r="C1613">
        <v>76232990</v>
      </c>
      <c r="D1613">
        <v>2502714</v>
      </c>
      <c r="E1613" t="s">
        <v>729</v>
      </c>
      <c r="F1613" s="5">
        <v>200</v>
      </c>
    </row>
    <row r="1614" spans="1:6" hidden="1">
      <c r="A1614" t="s">
        <v>1531</v>
      </c>
      <c r="B1614" t="s">
        <v>1532</v>
      </c>
      <c r="C1614">
        <v>1154301</v>
      </c>
      <c r="D1614">
        <v>3000851</v>
      </c>
      <c r="E1614" t="s">
        <v>39</v>
      </c>
      <c r="F1614" s="5">
        <v>300</v>
      </c>
    </row>
    <row r="1615" spans="1:6">
      <c r="A1615" t="s">
        <v>1531</v>
      </c>
      <c r="B1615" t="s">
        <v>1532</v>
      </c>
      <c r="C1615">
        <v>1154301</v>
      </c>
      <c r="D1615">
        <v>3000851</v>
      </c>
      <c r="E1615" t="s">
        <v>729</v>
      </c>
      <c r="F1615" s="5">
        <v>200</v>
      </c>
    </row>
    <row r="1616" spans="1:6" hidden="1">
      <c r="A1616" t="s">
        <v>2851</v>
      </c>
      <c r="B1616" t="s">
        <v>2852</v>
      </c>
      <c r="C1616">
        <v>76135482</v>
      </c>
      <c r="D1616">
        <v>2003140</v>
      </c>
      <c r="E1616" t="s">
        <v>39</v>
      </c>
      <c r="F1616" s="5">
        <v>300</v>
      </c>
    </row>
    <row r="1617" spans="1:6">
      <c r="A1617" t="s">
        <v>2851</v>
      </c>
      <c r="B1617" t="s">
        <v>2852</v>
      </c>
      <c r="C1617">
        <v>76135482</v>
      </c>
      <c r="D1617">
        <v>2003140</v>
      </c>
      <c r="E1617" t="s">
        <v>729</v>
      </c>
      <c r="F1617" s="5">
        <v>200</v>
      </c>
    </row>
    <row r="1618" spans="1:6" hidden="1">
      <c r="A1618" t="s">
        <v>628</v>
      </c>
      <c r="B1618" t="s">
        <v>629</v>
      </c>
      <c r="C1618">
        <v>76221156</v>
      </c>
      <c r="D1618">
        <v>2001555</v>
      </c>
      <c r="E1618" t="s">
        <v>39</v>
      </c>
      <c r="F1618" s="5">
        <v>300</v>
      </c>
    </row>
    <row r="1619" spans="1:6">
      <c r="A1619" t="s">
        <v>628</v>
      </c>
      <c r="B1619" t="s">
        <v>629</v>
      </c>
      <c r="C1619">
        <v>76221156</v>
      </c>
      <c r="D1619">
        <v>2001555</v>
      </c>
      <c r="E1619" t="s">
        <v>729</v>
      </c>
      <c r="F1619" s="5">
        <v>200</v>
      </c>
    </row>
    <row r="1620" spans="1:6" hidden="1">
      <c r="A1620" t="s">
        <v>527</v>
      </c>
      <c r="B1620" t="s">
        <v>528</v>
      </c>
      <c r="C1620">
        <v>76146350</v>
      </c>
      <c r="D1620">
        <v>11106</v>
      </c>
      <c r="E1620" t="s">
        <v>39</v>
      </c>
      <c r="F1620" s="5">
        <v>300</v>
      </c>
    </row>
    <row r="1621" spans="1:6">
      <c r="A1621" t="s">
        <v>527</v>
      </c>
      <c r="B1621" t="s">
        <v>528</v>
      </c>
      <c r="C1621">
        <v>76146350</v>
      </c>
      <c r="D1621">
        <v>11106</v>
      </c>
      <c r="E1621" t="s">
        <v>729</v>
      </c>
      <c r="F1621" s="5">
        <v>200</v>
      </c>
    </row>
    <row r="1622" spans="1:6" hidden="1">
      <c r="A1622" t="s">
        <v>1974</v>
      </c>
      <c r="B1622" t="s">
        <v>1975</v>
      </c>
      <c r="C1622">
        <v>52161001</v>
      </c>
      <c r="D1622">
        <v>2503412</v>
      </c>
      <c r="E1622" t="s">
        <v>39</v>
      </c>
      <c r="F1622" s="5">
        <v>300</v>
      </c>
    </row>
    <row r="1623" spans="1:6">
      <c r="A1623" t="s">
        <v>1974</v>
      </c>
      <c r="B1623" t="s">
        <v>1975</v>
      </c>
      <c r="C1623">
        <v>52161001</v>
      </c>
      <c r="D1623">
        <v>2503412</v>
      </c>
      <c r="E1623" t="s">
        <v>729</v>
      </c>
      <c r="F1623" s="5">
        <v>200</v>
      </c>
    </row>
    <row r="1624" spans="1:6" hidden="1">
      <c r="A1624" t="s">
        <v>2094</v>
      </c>
      <c r="B1624" t="s">
        <v>2095</v>
      </c>
      <c r="C1624">
        <v>71047155</v>
      </c>
      <c r="D1624">
        <v>2503504</v>
      </c>
      <c r="E1624" t="s">
        <v>39</v>
      </c>
      <c r="F1624" s="5">
        <v>300</v>
      </c>
    </row>
    <row r="1625" spans="1:6">
      <c r="A1625" t="s">
        <v>2094</v>
      </c>
      <c r="B1625" t="s">
        <v>2095</v>
      </c>
      <c r="C1625">
        <v>71047155</v>
      </c>
      <c r="D1625">
        <v>2503504</v>
      </c>
      <c r="E1625" t="s">
        <v>729</v>
      </c>
      <c r="F1625" s="5">
        <v>200</v>
      </c>
    </row>
    <row r="1626" spans="1:6" hidden="1">
      <c r="A1626" t="s">
        <v>3253</v>
      </c>
      <c r="B1626" t="s">
        <v>3254</v>
      </c>
      <c r="C1626">
        <v>76189122</v>
      </c>
      <c r="D1626">
        <v>2001377</v>
      </c>
      <c r="E1626" t="s">
        <v>39</v>
      </c>
      <c r="F1626" s="5">
        <v>300</v>
      </c>
    </row>
    <row r="1627" spans="1:6">
      <c r="A1627" t="s">
        <v>3253</v>
      </c>
      <c r="B1627" t="s">
        <v>3254</v>
      </c>
      <c r="C1627">
        <v>76189122</v>
      </c>
      <c r="D1627">
        <v>2001377</v>
      </c>
      <c r="E1627" t="s">
        <v>729</v>
      </c>
      <c r="F1627" s="5">
        <v>200</v>
      </c>
    </row>
    <row r="1628" spans="1:6" hidden="1">
      <c r="A1628" t="s">
        <v>2841</v>
      </c>
      <c r="B1628" t="s">
        <v>2842</v>
      </c>
      <c r="C1628">
        <v>76117703</v>
      </c>
      <c r="D1628">
        <v>13097</v>
      </c>
      <c r="E1628" t="s">
        <v>39</v>
      </c>
      <c r="F1628" s="5">
        <v>300</v>
      </c>
    </row>
    <row r="1629" spans="1:6">
      <c r="A1629" t="s">
        <v>2841</v>
      </c>
      <c r="B1629" t="s">
        <v>2842</v>
      </c>
      <c r="C1629">
        <v>76117703</v>
      </c>
      <c r="D1629">
        <v>13097</v>
      </c>
      <c r="E1629" t="s">
        <v>729</v>
      </c>
      <c r="F1629" s="5">
        <v>200</v>
      </c>
    </row>
    <row r="1630" spans="1:6" hidden="1">
      <c r="A1630" t="s">
        <v>2839</v>
      </c>
      <c r="B1630" t="s">
        <v>2840</v>
      </c>
      <c r="C1630">
        <v>76117702</v>
      </c>
      <c r="D1630">
        <v>13096</v>
      </c>
      <c r="E1630" t="s">
        <v>39</v>
      </c>
      <c r="F1630" s="5">
        <v>300</v>
      </c>
    </row>
    <row r="1631" spans="1:6">
      <c r="A1631" t="s">
        <v>2839</v>
      </c>
      <c r="B1631" t="s">
        <v>2840</v>
      </c>
      <c r="C1631">
        <v>76117702</v>
      </c>
      <c r="D1631">
        <v>13096</v>
      </c>
      <c r="E1631" t="s">
        <v>729</v>
      </c>
      <c r="F1631" s="5">
        <v>200</v>
      </c>
    </row>
    <row r="1632" spans="1:6" hidden="1">
      <c r="A1632" t="s">
        <v>3139</v>
      </c>
      <c r="B1632" t="s">
        <v>3140</v>
      </c>
      <c r="C1632">
        <v>76171983</v>
      </c>
      <c r="D1632">
        <v>13099</v>
      </c>
      <c r="E1632" t="s">
        <v>39</v>
      </c>
      <c r="F1632" s="5">
        <v>300</v>
      </c>
    </row>
    <row r="1633" spans="1:6">
      <c r="A1633" t="s">
        <v>3139</v>
      </c>
      <c r="B1633" t="s">
        <v>3140</v>
      </c>
      <c r="C1633">
        <v>76171983</v>
      </c>
      <c r="D1633">
        <v>13099</v>
      </c>
      <c r="E1633" t="s">
        <v>729</v>
      </c>
      <c r="F1633" s="5">
        <v>200</v>
      </c>
    </row>
    <row r="1634" spans="1:6" hidden="1">
      <c r="A1634" t="s">
        <v>4136</v>
      </c>
      <c r="B1634" t="s">
        <v>4137</v>
      </c>
      <c r="C1634">
        <v>76231972</v>
      </c>
      <c r="D1634">
        <v>2002130</v>
      </c>
      <c r="E1634" t="s">
        <v>39</v>
      </c>
      <c r="F1634" s="5">
        <v>300</v>
      </c>
    </row>
    <row r="1635" spans="1:6">
      <c r="A1635" t="s">
        <v>4136</v>
      </c>
      <c r="B1635" t="s">
        <v>4137</v>
      </c>
      <c r="C1635">
        <v>76231972</v>
      </c>
      <c r="D1635">
        <v>2002130</v>
      </c>
      <c r="E1635" t="s">
        <v>729</v>
      </c>
      <c r="F1635" s="5">
        <v>200</v>
      </c>
    </row>
    <row r="1636" spans="1:6" hidden="1">
      <c r="A1636" t="s">
        <v>4134</v>
      </c>
      <c r="B1636" t="s">
        <v>4135</v>
      </c>
      <c r="C1636">
        <v>76231971</v>
      </c>
      <c r="D1636">
        <v>2002124</v>
      </c>
      <c r="E1636" t="s">
        <v>39</v>
      </c>
      <c r="F1636" s="5">
        <v>300</v>
      </c>
    </row>
    <row r="1637" spans="1:6">
      <c r="A1637" t="s">
        <v>4134</v>
      </c>
      <c r="B1637" t="s">
        <v>4135</v>
      </c>
      <c r="C1637">
        <v>76231971</v>
      </c>
      <c r="D1637">
        <v>2002124</v>
      </c>
      <c r="E1637" t="s">
        <v>729</v>
      </c>
      <c r="F1637" s="5">
        <v>200</v>
      </c>
    </row>
    <row r="1638" spans="1:6" hidden="1">
      <c r="A1638" t="s">
        <v>4138</v>
      </c>
      <c r="B1638" t="s">
        <v>4139</v>
      </c>
      <c r="C1638">
        <v>76231978</v>
      </c>
      <c r="D1638">
        <v>2002121</v>
      </c>
      <c r="E1638" t="s">
        <v>39</v>
      </c>
      <c r="F1638" s="5">
        <v>300</v>
      </c>
    </row>
    <row r="1639" spans="1:6">
      <c r="A1639" t="s">
        <v>4138</v>
      </c>
      <c r="B1639" t="s">
        <v>4139</v>
      </c>
      <c r="C1639">
        <v>76231978</v>
      </c>
      <c r="D1639">
        <v>2002121</v>
      </c>
      <c r="E1639" t="s">
        <v>729</v>
      </c>
      <c r="F1639" s="5">
        <v>200</v>
      </c>
    </row>
    <row r="1640" spans="1:6" hidden="1">
      <c r="A1640" t="s">
        <v>2837</v>
      </c>
      <c r="B1640" t="s">
        <v>2838</v>
      </c>
      <c r="C1640">
        <v>76117440</v>
      </c>
      <c r="D1640">
        <v>13094</v>
      </c>
      <c r="E1640" t="s">
        <v>39</v>
      </c>
      <c r="F1640" s="5">
        <v>300</v>
      </c>
    </row>
    <row r="1641" spans="1:6">
      <c r="A1641" t="s">
        <v>2837</v>
      </c>
      <c r="B1641" t="s">
        <v>2838</v>
      </c>
      <c r="C1641">
        <v>76117440</v>
      </c>
      <c r="D1641">
        <v>13094</v>
      </c>
      <c r="E1641" t="s">
        <v>729</v>
      </c>
      <c r="F1641" s="5">
        <v>200</v>
      </c>
    </row>
    <row r="1642" spans="1:6" hidden="1">
      <c r="A1642" t="s">
        <v>2865</v>
      </c>
      <c r="B1642" t="s">
        <v>2866</v>
      </c>
      <c r="C1642">
        <v>76137624</v>
      </c>
      <c r="D1642">
        <v>13098</v>
      </c>
      <c r="E1642" t="s">
        <v>39</v>
      </c>
      <c r="F1642" s="5">
        <v>300</v>
      </c>
    </row>
    <row r="1643" spans="1:6">
      <c r="A1643" t="s">
        <v>2865</v>
      </c>
      <c r="B1643" t="s">
        <v>2866</v>
      </c>
      <c r="C1643">
        <v>76137624</v>
      </c>
      <c r="D1643">
        <v>13098</v>
      </c>
      <c r="E1643" t="s">
        <v>729</v>
      </c>
      <c r="F1643" s="5">
        <v>200</v>
      </c>
    </row>
    <row r="1644" spans="1:6" hidden="1">
      <c r="A1644" t="s">
        <v>3429</v>
      </c>
      <c r="B1644" t="s">
        <v>3430</v>
      </c>
      <c r="C1644">
        <v>76205554</v>
      </c>
      <c r="D1644">
        <v>2001376</v>
      </c>
      <c r="E1644" t="s">
        <v>39</v>
      </c>
      <c r="F1644" s="5">
        <v>300</v>
      </c>
    </row>
    <row r="1645" spans="1:6">
      <c r="A1645" t="s">
        <v>3429</v>
      </c>
      <c r="B1645" t="s">
        <v>3430</v>
      </c>
      <c r="C1645">
        <v>76205554</v>
      </c>
      <c r="D1645">
        <v>2001376</v>
      </c>
      <c r="E1645" t="s">
        <v>729</v>
      </c>
      <c r="F1645" s="5">
        <v>200</v>
      </c>
    </row>
    <row r="1646" spans="1:6" hidden="1">
      <c r="A1646" t="s">
        <v>4434</v>
      </c>
      <c r="B1646" t="s">
        <v>4435</v>
      </c>
      <c r="C1646">
        <v>76246769</v>
      </c>
      <c r="D1646">
        <v>2003037</v>
      </c>
      <c r="E1646" t="s">
        <v>39</v>
      </c>
      <c r="F1646" s="5">
        <v>400</v>
      </c>
    </row>
    <row r="1647" spans="1:6">
      <c r="A1647" t="s">
        <v>4434</v>
      </c>
      <c r="B1647" t="s">
        <v>4435</v>
      </c>
      <c r="C1647">
        <v>76246769</v>
      </c>
      <c r="D1647">
        <v>2003037</v>
      </c>
      <c r="E1647" t="s">
        <v>729</v>
      </c>
      <c r="F1647" s="5">
        <v>200</v>
      </c>
    </row>
    <row r="1648" spans="1:6" hidden="1">
      <c r="A1648" t="s">
        <v>3631</v>
      </c>
      <c r="B1648" t="s">
        <v>3632</v>
      </c>
      <c r="C1648">
        <v>76213958</v>
      </c>
      <c r="D1648">
        <v>2001107</v>
      </c>
      <c r="E1648" t="s">
        <v>39</v>
      </c>
      <c r="F1648" s="5">
        <v>300</v>
      </c>
    </row>
    <row r="1649" spans="1:6">
      <c r="A1649" t="s">
        <v>3631</v>
      </c>
      <c r="B1649" t="s">
        <v>3632</v>
      </c>
      <c r="C1649">
        <v>76213958</v>
      </c>
      <c r="D1649">
        <v>2001107</v>
      </c>
      <c r="E1649" t="s">
        <v>729</v>
      </c>
      <c r="F1649" s="5">
        <v>200</v>
      </c>
    </row>
    <row r="1650" spans="1:6" hidden="1">
      <c r="A1650" t="s">
        <v>3807</v>
      </c>
      <c r="B1650" t="s">
        <v>3808</v>
      </c>
      <c r="C1650">
        <v>76221694</v>
      </c>
      <c r="D1650">
        <v>2001581</v>
      </c>
      <c r="E1650" t="s">
        <v>39</v>
      </c>
      <c r="F1650" s="5">
        <v>400</v>
      </c>
    </row>
    <row r="1651" spans="1:6">
      <c r="A1651" t="s">
        <v>3807</v>
      </c>
      <c r="B1651" t="s">
        <v>3808</v>
      </c>
      <c r="C1651">
        <v>76221694</v>
      </c>
      <c r="D1651">
        <v>2001581</v>
      </c>
      <c r="E1651" t="s">
        <v>729</v>
      </c>
      <c r="F1651" s="5">
        <v>200</v>
      </c>
    </row>
    <row r="1652" spans="1:6" hidden="1">
      <c r="A1652" t="s">
        <v>3809</v>
      </c>
      <c r="B1652" t="s">
        <v>3810</v>
      </c>
      <c r="C1652">
        <v>76221956</v>
      </c>
      <c r="D1652">
        <v>2001614</v>
      </c>
      <c r="E1652" t="s">
        <v>39</v>
      </c>
      <c r="F1652" s="5">
        <v>400</v>
      </c>
    </row>
    <row r="1653" spans="1:6">
      <c r="A1653" t="s">
        <v>3809</v>
      </c>
      <c r="B1653" t="s">
        <v>3810</v>
      </c>
      <c r="C1653">
        <v>76221956</v>
      </c>
      <c r="D1653">
        <v>2001614</v>
      </c>
      <c r="E1653" t="s">
        <v>729</v>
      </c>
      <c r="F1653" s="5">
        <v>200</v>
      </c>
    </row>
    <row r="1654" spans="1:6" hidden="1">
      <c r="A1654" t="s">
        <v>4591</v>
      </c>
      <c r="B1654" t="s">
        <v>4592</v>
      </c>
      <c r="C1654">
        <v>76256714</v>
      </c>
      <c r="D1654">
        <v>3001296</v>
      </c>
      <c r="E1654" t="s">
        <v>39</v>
      </c>
      <c r="F1654" s="5">
        <v>300</v>
      </c>
    </row>
    <row r="1655" spans="1:6">
      <c r="A1655" t="s">
        <v>4591</v>
      </c>
      <c r="B1655" t="s">
        <v>4592</v>
      </c>
      <c r="C1655">
        <v>76256714</v>
      </c>
      <c r="D1655">
        <v>3001296</v>
      </c>
      <c r="E1655" t="s">
        <v>729</v>
      </c>
      <c r="F1655" s="5">
        <v>200</v>
      </c>
    </row>
    <row r="1656" spans="1:6" hidden="1">
      <c r="A1656" t="s">
        <v>3403</v>
      </c>
      <c r="B1656" t="s">
        <v>3404</v>
      </c>
      <c r="C1656">
        <v>76205075</v>
      </c>
      <c r="D1656">
        <v>2000676</v>
      </c>
      <c r="E1656" t="s">
        <v>39</v>
      </c>
      <c r="F1656" s="5">
        <v>300</v>
      </c>
    </row>
    <row r="1657" spans="1:6">
      <c r="A1657" t="s">
        <v>3403</v>
      </c>
      <c r="B1657" t="s">
        <v>3404</v>
      </c>
      <c r="C1657">
        <v>76205075</v>
      </c>
      <c r="D1657">
        <v>2000676</v>
      </c>
      <c r="E1657" t="s">
        <v>729</v>
      </c>
      <c r="F1657" s="5">
        <v>200</v>
      </c>
    </row>
    <row r="1658" spans="1:6" hidden="1">
      <c r="A1658" t="s">
        <v>4605</v>
      </c>
      <c r="B1658" t="s">
        <v>4606</v>
      </c>
      <c r="C1658">
        <v>76257075</v>
      </c>
      <c r="D1658">
        <v>3000913</v>
      </c>
      <c r="E1658" t="s">
        <v>39</v>
      </c>
      <c r="F1658" s="5">
        <v>300</v>
      </c>
    </row>
    <row r="1659" spans="1:6">
      <c r="A1659" t="s">
        <v>4605</v>
      </c>
      <c r="B1659" t="s">
        <v>4606</v>
      </c>
      <c r="C1659">
        <v>76257075</v>
      </c>
      <c r="D1659">
        <v>3000913</v>
      </c>
      <c r="E1659" t="s">
        <v>729</v>
      </c>
      <c r="F1659" s="5">
        <v>200</v>
      </c>
    </row>
    <row r="1660" spans="1:6" hidden="1">
      <c r="A1660" t="s">
        <v>4494</v>
      </c>
      <c r="B1660" t="s">
        <v>4495</v>
      </c>
      <c r="C1660">
        <v>76251901</v>
      </c>
      <c r="D1660">
        <v>2503550</v>
      </c>
      <c r="E1660" t="s">
        <v>39</v>
      </c>
      <c r="F1660" s="5">
        <v>300</v>
      </c>
    </row>
    <row r="1661" spans="1:6">
      <c r="A1661" t="s">
        <v>4494</v>
      </c>
      <c r="B1661" t="s">
        <v>4495</v>
      </c>
      <c r="C1661">
        <v>76251901</v>
      </c>
      <c r="D1661">
        <v>2503550</v>
      </c>
      <c r="E1661" t="s">
        <v>729</v>
      </c>
      <c r="F1661" s="5">
        <v>200</v>
      </c>
    </row>
    <row r="1662" spans="1:6" hidden="1">
      <c r="A1662" t="s">
        <v>1831</v>
      </c>
      <c r="B1662" t="s">
        <v>1832</v>
      </c>
      <c r="C1662">
        <v>25258301</v>
      </c>
      <c r="D1662">
        <v>2503451</v>
      </c>
      <c r="E1662" t="s">
        <v>39</v>
      </c>
      <c r="F1662" s="5">
        <v>300</v>
      </c>
    </row>
    <row r="1663" spans="1:6">
      <c r="A1663" t="s">
        <v>1831</v>
      </c>
      <c r="B1663" t="s">
        <v>1832</v>
      </c>
      <c r="C1663">
        <v>25258301</v>
      </c>
      <c r="D1663">
        <v>2503451</v>
      </c>
      <c r="E1663" t="s">
        <v>729</v>
      </c>
      <c r="F1663" s="5">
        <v>200</v>
      </c>
    </row>
    <row r="1664" spans="1:6" hidden="1">
      <c r="A1664" t="s">
        <v>1968</v>
      </c>
      <c r="B1664" t="s">
        <v>1969</v>
      </c>
      <c r="C1664">
        <v>47001927</v>
      </c>
      <c r="D1664">
        <v>2001893</v>
      </c>
      <c r="E1664" t="s">
        <v>39</v>
      </c>
      <c r="F1664" s="5">
        <v>300</v>
      </c>
    </row>
    <row r="1665" spans="1:6">
      <c r="A1665" t="s">
        <v>1968</v>
      </c>
      <c r="B1665" t="s">
        <v>1969</v>
      </c>
      <c r="C1665">
        <v>47001927</v>
      </c>
      <c r="D1665">
        <v>2001893</v>
      </c>
      <c r="E1665" t="s">
        <v>729</v>
      </c>
      <c r="F1665" s="5">
        <v>200</v>
      </c>
    </row>
    <row r="1666" spans="1:6" hidden="1">
      <c r="A1666" t="s">
        <v>1984</v>
      </c>
      <c r="B1666" t="s">
        <v>1985</v>
      </c>
      <c r="C1666">
        <v>52484601</v>
      </c>
      <c r="D1666">
        <v>8099</v>
      </c>
      <c r="E1666" t="s">
        <v>39</v>
      </c>
      <c r="F1666" s="5">
        <v>300</v>
      </c>
    </row>
    <row r="1667" spans="1:6">
      <c r="A1667" t="s">
        <v>1984</v>
      </c>
      <c r="B1667" t="s">
        <v>1985</v>
      </c>
      <c r="C1667">
        <v>52484601</v>
      </c>
      <c r="D1667">
        <v>8099</v>
      </c>
      <c r="E1667" t="s">
        <v>729</v>
      </c>
      <c r="F1667" s="5">
        <v>200</v>
      </c>
    </row>
    <row r="1668" spans="1:6" hidden="1">
      <c r="A1668" t="s">
        <v>1695</v>
      </c>
      <c r="B1668" t="s">
        <v>1696</v>
      </c>
      <c r="C1668">
        <v>13326501</v>
      </c>
      <c r="D1668">
        <v>2001367</v>
      </c>
      <c r="E1668" t="s">
        <v>39</v>
      </c>
      <c r="F1668" s="5">
        <v>300</v>
      </c>
    </row>
    <row r="1669" spans="1:6">
      <c r="A1669" t="s">
        <v>1695</v>
      </c>
      <c r="B1669" t="s">
        <v>1696</v>
      </c>
      <c r="C1669">
        <v>13326501</v>
      </c>
      <c r="D1669">
        <v>2001367</v>
      </c>
      <c r="E1669" t="s">
        <v>729</v>
      </c>
      <c r="F1669" s="5">
        <v>200</v>
      </c>
    </row>
    <row r="1670" spans="1:6" hidden="1">
      <c r="A1670" t="s">
        <v>2220</v>
      </c>
      <c r="B1670" t="s">
        <v>2221</v>
      </c>
      <c r="C1670">
        <v>71062899</v>
      </c>
      <c r="D1670">
        <v>2001398</v>
      </c>
      <c r="E1670" t="s">
        <v>39</v>
      </c>
      <c r="F1670" s="5">
        <v>300</v>
      </c>
    </row>
    <row r="1671" spans="1:6">
      <c r="A1671" t="s">
        <v>2220</v>
      </c>
      <c r="B1671" t="s">
        <v>2221</v>
      </c>
      <c r="C1671">
        <v>71062899</v>
      </c>
      <c r="D1671">
        <v>2001398</v>
      </c>
      <c r="E1671" t="s">
        <v>729</v>
      </c>
      <c r="F1671" s="5">
        <v>200</v>
      </c>
    </row>
    <row r="1672" spans="1:6" hidden="1">
      <c r="A1672" t="s">
        <v>2855</v>
      </c>
      <c r="B1672" t="s">
        <v>2856</v>
      </c>
      <c r="C1672">
        <v>76135923</v>
      </c>
      <c r="D1672">
        <v>2000324</v>
      </c>
      <c r="E1672" t="s">
        <v>39</v>
      </c>
      <c r="F1672" s="5">
        <v>300</v>
      </c>
    </row>
    <row r="1673" spans="1:6">
      <c r="A1673" t="s">
        <v>2855</v>
      </c>
      <c r="B1673" t="s">
        <v>2856</v>
      </c>
      <c r="C1673">
        <v>76135923</v>
      </c>
      <c r="D1673">
        <v>2000324</v>
      </c>
      <c r="E1673" t="s">
        <v>729</v>
      </c>
      <c r="F1673" s="5">
        <v>200</v>
      </c>
    </row>
    <row r="1674" spans="1:6" hidden="1">
      <c r="A1674" t="s">
        <v>2957</v>
      </c>
      <c r="B1674" t="s">
        <v>2958</v>
      </c>
      <c r="C1674">
        <v>76152875</v>
      </c>
      <c r="D1674">
        <v>2000325</v>
      </c>
      <c r="E1674" t="s">
        <v>39</v>
      </c>
      <c r="F1674" s="5">
        <v>300</v>
      </c>
    </row>
    <row r="1675" spans="1:6">
      <c r="A1675" t="s">
        <v>2957</v>
      </c>
      <c r="B1675" t="s">
        <v>2958</v>
      </c>
      <c r="C1675">
        <v>76152875</v>
      </c>
      <c r="D1675">
        <v>2000325</v>
      </c>
      <c r="E1675" t="s">
        <v>729</v>
      </c>
      <c r="F1675" s="5">
        <v>200</v>
      </c>
    </row>
    <row r="1676" spans="1:6" hidden="1">
      <c r="A1676" t="s">
        <v>4555</v>
      </c>
      <c r="B1676" t="s">
        <v>4556</v>
      </c>
      <c r="C1676">
        <v>76255008</v>
      </c>
      <c r="D1676">
        <v>3002019</v>
      </c>
      <c r="E1676" t="s">
        <v>39</v>
      </c>
      <c r="F1676" s="5">
        <v>300</v>
      </c>
    </row>
    <row r="1677" spans="1:6">
      <c r="A1677" t="s">
        <v>4555</v>
      </c>
      <c r="B1677" t="s">
        <v>4556</v>
      </c>
      <c r="C1677">
        <v>76255008</v>
      </c>
      <c r="D1677">
        <v>3002019</v>
      </c>
      <c r="E1677" t="s">
        <v>729</v>
      </c>
      <c r="F1677" s="5">
        <v>200</v>
      </c>
    </row>
    <row r="1678" spans="1:6" hidden="1">
      <c r="A1678" t="s">
        <v>724</v>
      </c>
      <c r="B1678" t="s">
        <v>725</v>
      </c>
      <c r="C1678">
        <v>76257826</v>
      </c>
      <c r="D1678">
        <v>3002020</v>
      </c>
      <c r="E1678" t="s">
        <v>39</v>
      </c>
      <c r="F1678" s="5">
        <v>300</v>
      </c>
    </row>
    <row r="1679" spans="1:6">
      <c r="A1679" t="s">
        <v>724</v>
      </c>
      <c r="B1679" t="s">
        <v>725</v>
      </c>
      <c r="C1679">
        <v>76257826</v>
      </c>
      <c r="D1679">
        <v>3002020</v>
      </c>
      <c r="E1679" t="s">
        <v>729</v>
      </c>
      <c r="F1679" s="5">
        <v>200</v>
      </c>
    </row>
    <row r="1680" spans="1:6" hidden="1">
      <c r="A1680" t="s">
        <v>3703</v>
      </c>
      <c r="B1680" t="s">
        <v>3704</v>
      </c>
      <c r="C1680">
        <v>76218881</v>
      </c>
      <c r="D1680">
        <v>2001522</v>
      </c>
      <c r="E1680" t="s">
        <v>39</v>
      </c>
      <c r="F1680" s="5">
        <v>300</v>
      </c>
    </row>
    <row r="1681" spans="1:6">
      <c r="A1681" t="s">
        <v>3703</v>
      </c>
      <c r="B1681" t="s">
        <v>3704</v>
      </c>
      <c r="C1681">
        <v>76218881</v>
      </c>
      <c r="D1681">
        <v>2001522</v>
      </c>
      <c r="E1681" t="s">
        <v>729</v>
      </c>
      <c r="F1681" s="5">
        <v>200</v>
      </c>
    </row>
    <row r="1682" spans="1:6" hidden="1">
      <c r="A1682" t="s">
        <v>1505</v>
      </c>
      <c r="B1682" t="s">
        <v>1506</v>
      </c>
      <c r="C1682">
        <v>1017901</v>
      </c>
      <c r="D1682">
        <v>123013</v>
      </c>
      <c r="E1682" t="s">
        <v>39</v>
      </c>
      <c r="F1682" s="5">
        <v>300</v>
      </c>
    </row>
    <row r="1683" spans="1:6">
      <c r="A1683" t="s">
        <v>1505</v>
      </c>
      <c r="B1683" t="s">
        <v>1506</v>
      </c>
      <c r="C1683">
        <v>1017901</v>
      </c>
      <c r="D1683">
        <v>123013</v>
      </c>
      <c r="E1683" t="s">
        <v>729</v>
      </c>
      <c r="F1683" s="5">
        <v>200</v>
      </c>
    </row>
    <row r="1684" spans="1:6" hidden="1">
      <c r="A1684" t="s">
        <v>3371</v>
      </c>
      <c r="B1684" t="s">
        <v>3372</v>
      </c>
      <c r="C1684">
        <v>76203096</v>
      </c>
      <c r="D1684">
        <v>2003085</v>
      </c>
      <c r="E1684" t="s">
        <v>39</v>
      </c>
      <c r="F1684" s="5">
        <v>400</v>
      </c>
    </row>
    <row r="1685" spans="1:6">
      <c r="A1685" t="s">
        <v>3371</v>
      </c>
      <c r="B1685" t="s">
        <v>3372</v>
      </c>
      <c r="C1685">
        <v>76203096</v>
      </c>
      <c r="D1685">
        <v>2003085</v>
      </c>
      <c r="E1685" t="s">
        <v>729</v>
      </c>
      <c r="F1685" s="5">
        <v>200</v>
      </c>
    </row>
    <row r="1686" spans="1:6" hidden="1">
      <c r="A1686" t="s">
        <v>3861</v>
      </c>
      <c r="B1686" t="s">
        <v>3862</v>
      </c>
      <c r="C1686">
        <v>76224736</v>
      </c>
      <c r="D1686">
        <v>2503514</v>
      </c>
      <c r="E1686" t="s">
        <v>39</v>
      </c>
      <c r="F1686" s="5">
        <v>300</v>
      </c>
    </row>
    <row r="1687" spans="1:6">
      <c r="A1687" t="s">
        <v>3861</v>
      </c>
      <c r="B1687" t="s">
        <v>3862</v>
      </c>
      <c r="C1687">
        <v>76224736</v>
      </c>
      <c r="D1687">
        <v>2503514</v>
      </c>
      <c r="E1687" t="s">
        <v>729</v>
      </c>
      <c r="F1687" s="5">
        <v>200</v>
      </c>
    </row>
    <row r="1688" spans="1:6" hidden="1">
      <c r="A1688" t="s">
        <v>3041</v>
      </c>
      <c r="B1688" t="s">
        <v>3042</v>
      </c>
      <c r="C1688">
        <v>76162825</v>
      </c>
      <c r="D1688">
        <v>2002165</v>
      </c>
      <c r="E1688" t="s">
        <v>39</v>
      </c>
      <c r="F1688" s="5">
        <v>300</v>
      </c>
    </row>
    <row r="1689" spans="1:6">
      <c r="A1689" t="s">
        <v>3041</v>
      </c>
      <c r="B1689" t="s">
        <v>3042</v>
      </c>
      <c r="C1689">
        <v>76162825</v>
      </c>
      <c r="D1689">
        <v>2002165</v>
      </c>
      <c r="E1689" t="s">
        <v>729</v>
      </c>
      <c r="F1689" s="5">
        <v>200</v>
      </c>
    </row>
    <row r="1690" spans="1:6" hidden="1">
      <c r="A1690" t="s">
        <v>2767</v>
      </c>
      <c r="B1690" t="s">
        <v>2768</v>
      </c>
      <c r="C1690">
        <v>76074251</v>
      </c>
      <c r="D1690">
        <v>2002731</v>
      </c>
      <c r="E1690" t="s">
        <v>39</v>
      </c>
      <c r="F1690" s="5">
        <v>300</v>
      </c>
    </row>
    <row r="1691" spans="1:6">
      <c r="A1691" t="s">
        <v>2767</v>
      </c>
      <c r="B1691" t="s">
        <v>2768</v>
      </c>
      <c r="C1691">
        <v>76074251</v>
      </c>
      <c r="D1691">
        <v>2002731</v>
      </c>
      <c r="E1691" t="s">
        <v>729</v>
      </c>
      <c r="F1691" s="5">
        <v>200</v>
      </c>
    </row>
    <row r="1692" spans="1:6" hidden="1">
      <c r="A1692" t="s">
        <v>75</v>
      </c>
      <c r="B1692" t="s">
        <v>76</v>
      </c>
      <c r="C1692">
        <v>76028715</v>
      </c>
      <c r="D1692">
        <v>2000422</v>
      </c>
      <c r="E1692" t="s">
        <v>39</v>
      </c>
      <c r="F1692" s="5">
        <v>450</v>
      </c>
    </row>
    <row r="1693" spans="1:6">
      <c r="A1693" t="s">
        <v>75</v>
      </c>
      <c r="B1693" t="s">
        <v>76</v>
      </c>
      <c r="C1693">
        <v>76028715</v>
      </c>
      <c r="D1693">
        <v>2000422</v>
      </c>
      <c r="E1693" t="s">
        <v>729</v>
      </c>
      <c r="F1693" s="5">
        <v>200</v>
      </c>
    </row>
    <row r="1694" spans="1:6" hidden="1">
      <c r="A1694" t="s">
        <v>3751</v>
      </c>
      <c r="B1694" t="s">
        <v>3752</v>
      </c>
      <c r="C1694">
        <v>76219798</v>
      </c>
      <c r="D1694">
        <v>2001409</v>
      </c>
      <c r="E1694" t="s">
        <v>39</v>
      </c>
      <c r="F1694" s="5">
        <v>450</v>
      </c>
    </row>
    <row r="1695" spans="1:6">
      <c r="A1695" t="s">
        <v>3751</v>
      </c>
      <c r="B1695" t="s">
        <v>3752</v>
      </c>
      <c r="C1695">
        <v>76219798</v>
      </c>
      <c r="D1695">
        <v>2001409</v>
      </c>
      <c r="E1695" t="s">
        <v>729</v>
      </c>
      <c r="F1695" s="5">
        <v>200</v>
      </c>
    </row>
    <row r="1696" spans="1:6" hidden="1">
      <c r="A1696" t="s">
        <v>4182</v>
      </c>
      <c r="B1696" t="s">
        <v>4183</v>
      </c>
      <c r="C1696">
        <v>76233741</v>
      </c>
      <c r="D1696">
        <v>2002193</v>
      </c>
      <c r="E1696" t="s">
        <v>39</v>
      </c>
      <c r="F1696" s="5">
        <v>400</v>
      </c>
    </row>
    <row r="1697" spans="1:6">
      <c r="A1697" t="s">
        <v>4182</v>
      </c>
      <c r="B1697" t="s">
        <v>4183</v>
      </c>
      <c r="C1697">
        <v>76233741</v>
      </c>
      <c r="D1697">
        <v>2002193</v>
      </c>
      <c r="E1697" t="s">
        <v>729</v>
      </c>
      <c r="F1697" s="5">
        <v>200</v>
      </c>
    </row>
    <row r="1698" spans="1:6" hidden="1">
      <c r="A1698" t="s">
        <v>2294</v>
      </c>
      <c r="B1698" t="s">
        <v>2295</v>
      </c>
      <c r="C1698">
        <v>76017151</v>
      </c>
      <c r="D1698">
        <v>2000271</v>
      </c>
      <c r="E1698" t="s">
        <v>39</v>
      </c>
      <c r="F1698" s="5">
        <v>400</v>
      </c>
    </row>
    <row r="1699" spans="1:6">
      <c r="A1699" t="s">
        <v>2294</v>
      </c>
      <c r="B1699" t="s">
        <v>2295</v>
      </c>
      <c r="C1699">
        <v>76017151</v>
      </c>
      <c r="D1699">
        <v>2000271</v>
      </c>
      <c r="E1699" t="s">
        <v>729</v>
      </c>
      <c r="F1699" s="5">
        <v>200</v>
      </c>
    </row>
    <row r="1700" spans="1:6" hidden="1">
      <c r="A1700" t="s">
        <v>2218</v>
      </c>
      <c r="B1700" t="s">
        <v>2219</v>
      </c>
      <c r="C1700">
        <v>71062452</v>
      </c>
      <c r="D1700">
        <v>2000273</v>
      </c>
      <c r="E1700" t="s">
        <v>39</v>
      </c>
      <c r="F1700" s="5">
        <v>400</v>
      </c>
    </row>
    <row r="1701" spans="1:6">
      <c r="A1701" t="s">
        <v>2218</v>
      </c>
      <c r="B1701" t="s">
        <v>2219</v>
      </c>
      <c r="C1701">
        <v>71062452</v>
      </c>
      <c r="D1701">
        <v>2000273</v>
      </c>
      <c r="E1701" t="s">
        <v>729</v>
      </c>
      <c r="F1701" s="5">
        <v>200</v>
      </c>
    </row>
    <row r="1702" spans="1:6" hidden="1">
      <c r="A1702" t="s">
        <v>4196</v>
      </c>
      <c r="B1702" t="s">
        <v>4197</v>
      </c>
      <c r="C1702">
        <v>76234273</v>
      </c>
      <c r="D1702">
        <v>2002316</v>
      </c>
      <c r="E1702" t="s">
        <v>39</v>
      </c>
      <c r="F1702" s="5">
        <v>450</v>
      </c>
    </row>
    <row r="1703" spans="1:6">
      <c r="A1703" t="s">
        <v>4196</v>
      </c>
      <c r="B1703" t="s">
        <v>4197</v>
      </c>
      <c r="C1703">
        <v>76234273</v>
      </c>
      <c r="D1703">
        <v>2002316</v>
      </c>
      <c r="E1703" t="s">
        <v>729</v>
      </c>
      <c r="F1703" s="5">
        <v>200</v>
      </c>
    </row>
    <row r="1704" spans="1:6" hidden="1">
      <c r="A1704" t="s">
        <v>1972</v>
      </c>
      <c r="B1704" t="s">
        <v>1973</v>
      </c>
      <c r="C1704">
        <v>52082501</v>
      </c>
      <c r="D1704">
        <v>2502688</v>
      </c>
      <c r="E1704" t="s">
        <v>39</v>
      </c>
      <c r="F1704" s="5">
        <v>300</v>
      </c>
    </row>
    <row r="1705" spans="1:6">
      <c r="A1705" t="s">
        <v>1972</v>
      </c>
      <c r="B1705" t="s">
        <v>1973</v>
      </c>
      <c r="C1705">
        <v>52082501</v>
      </c>
      <c r="D1705">
        <v>2502688</v>
      </c>
      <c r="E1705" t="s">
        <v>729</v>
      </c>
      <c r="F1705" s="5">
        <v>200</v>
      </c>
    </row>
    <row r="1706" spans="1:6" hidden="1">
      <c r="A1706" t="s">
        <v>2546</v>
      </c>
      <c r="B1706" t="s">
        <v>2547</v>
      </c>
      <c r="C1706">
        <v>76048459</v>
      </c>
      <c r="D1706">
        <v>2000881</v>
      </c>
      <c r="E1706" t="s">
        <v>39</v>
      </c>
      <c r="F1706" s="5">
        <v>450</v>
      </c>
    </row>
    <row r="1707" spans="1:6">
      <c r="A1707" t="s">
        <v>2546</v>
      </c>
      <c r="B1707" t="s">
        <v>2547</v>
      </c>
      <c r="C1707">
        <v>76048459</v>
      </c>
      <c r="D1707">
        <v>2000881</v>
      </c>
      <c r="E1707" t="s">
        <v>729</v>
      </c>
      <c r="F1707" s="5">
        <v>200</v>
      </c>
    </row>
    <row r="1708" spans="1:6" hidden="1">
      <c r="A1708" t="s">
        <v>3505</v>
      </c>
      <c r="B1708" t="s">
        <v>3506</v>
      </c>
      <c r="C1708">
        <v>76209039</v>
      </c>
      <c r="D1708">
        <v>2000921</v>
      </c>
      <c r="E1708" t="s">
        <v>39</v>
      </c>
      <c r="F1708" s="5">
        <v>450</v>
      </c>
    </row>
    <row r="1709" spans="1:6">
      <c r="A1709" t="s">
        <v>3505</v>
      </c>
      <c r="B1709" t="s">
        <v>3506</v>
      </c>
      <c r="C1709">
        <v>76209039</v>
      </c>
      <c r="D1709">
        <v>2000921</v>
      </c>
      <c r="E1709" t="s">
        <v>729</v>
      </c>
      <c r="F1709" s="5">
        <v>200</v>
      </c>
    </row>
    <row r="1710" spans="1:6" hidden="1">
      <c r="A1710" t="s">
        <v>1940</v>
      </c>
      <c r="B1710" t="s">
        <v>1941</v>
      </c>
      <c r="C1710">
        <v>41002497</v>
      </c>
      <c r="D1710">
        <v>2001235</v>
      </c>
      <c r="E1710" t="s">
        <v>39</v>
      </c>
      <c r="F1710" s="5">
        <v>300</v>
      </c>
    </row>
    <row r="1711" spans="1:6">
      <c r="A1711" t="s">
        <v>1940</v>
      </c>
      <c r="B1711" t="s">
        <v>1941</v>
      </c>
      <c r="C1711">
        <v>41002497</v>
      </c>
      <c r="D1711">
        <v>2001235</v>
      </c>
      <c r="E1711" t="s">
        <v>729</v>
      </c>
      <c r="F1711" s="5">
        <v>200</v>
      </c>
    </row>
    <row r="1712" spans="1:6" hidden="1">
      <c r="A1712" t="s">
        <v>2873</v>
      </c>
      <c r="B1712" t="s">
        <v>2874</v>
      </c>
      <c r="C1712">
        <v>76140202</v>
      </c>
      <c r="D1712">
        <v>2001740</v>
      </c>
      <c r="E1712" t="s">
        <v>39</v>
      </c>
      <c r="F1712" s="5">
        <v>300</v>
      </c>
    </row>
    <row r="1713" spans="1:6">
      <c r="A1713" t="s">
        <v>2873</v>
      </c>
      <c r="B1713" t="s">
        <v>2874</v>
      </c>
      <c r="C1713">
        <v>76140202</v>
      </c>
      <c r="D1713">
        <v>2001740</v>
      </c>
      <c r="E1713" t="s">
        <v>729</v>
      </c>
      <c r="F1713" s="5">
        <v>200</v>
      </c>
    </row>
    <row r="1714" spans="1:6" hidden="1">
      <c r="A1714" t="s">
        <v>4537</v>
      </c>
      <c r="B1714" t="s">
        <v>4538</v>
      </c>
      <c r="C1714">
        <v>76253645</v>
      </c>
      <c r="D1714">
        <v>2503598</v>
      </c>
      <c r="E1714" t="s">
        <v>39</v>
      </c>
      <c r="F1714" s="5">
        <v>300</v>
      </c>
    </row>
    <row r="1715" spans="1:6">
      <c r="A1715" t="s">
        <v>4537</v>
      </c>
      <c r="B1715" t="s">
        <v>4538</v>
      </c>
      <c r="C1715">
        <v>76253645</v>
      </c>
      <c r="D1715">
        <v>2503598</v>
      </c>
      <c r="E1715" t="s">
        <v>729</v>
      </c>
      <c r="F1715" s="5">
        <v>200</v>
      </c>
    </row>
    <row r="1716" spans="1:6" hidden="1">
      <c r="A1716" t="s">
        <v>3559</v>
      </c>
      <c r="B1716" t="s">
        <v>3560</v>
      </c>
      <c r="C1716">
        <v>76210307</v>
      </c>
      <c r="D1716">
        <v>2501236</v>
      </c>
      <c r="E1716" t="s">
        <v>39</v>
      </c>
      <c r="F1716" s="5">
        <v>300</v>
      </c>
    </row>
    <row r="1717" spans="1:6">
      <c r="A1717" t="s">
        <v>3559</v>
      </c>
      <c r="B1717" t="s">
        <v>3560</v>
      </c>
      <c r="C1717">
        <v>76210307</v>
      </c>
      <c r="D1717">
        <v>2501236</v>
      </c>
      <c r="E1717" t="s">
        <v>729</v>
      </c>
      <c r="F1717" s="5">
        <v>200</v>
      </c>
    </row>
    <row r="1718" spans="1:6" hidden="1">
      <c r="A1718" t="s">
        <v>2468</v>
      </c>
      <c r="B1718" t="s">
        <v>2469</v>
      </c>
      <c r="C1718">
        <v>76039024</v>
      </c>
      <c r="D1718">
        <v>487</v>
      </c>
      <c r="E1718" t="s">
        <v>39</v>
      </c>
      <c r="F1718" s="5">
        <v>450</v>
      </c>
    </row>
    <row r="1719" spans="1:6">
      <c r="A1719" t="s">
        <v>2468</v>
      </c>
      <c r="B1719" t="s">
        <v>2469</v>
      </c>
      <c r="C1719">
        <v>76039024</v>
      </c>
      <c r="D1719">
        <v>487</v>
      </c>
      <c r="E1719" t="s">
        <v>729</v>
      </c>
      <c r="F1719" s="5">
        <v>200</v>
      </c>
    </row>
    <row r="1720" spans="1:6" hidden="1">
      <c r="A1720" t="s">
        <v>640</v>
      </c>
      <c r="B1720" t="s">
        <v>641</v>
      </c>
      <c r="C1720">
        <v>76225720</v>
      </c>
      <c r="D1720">
        <v>2502191</v>
      </c>
      <c r="E1720" t="s">
        <v>39</v>
      </c>
      <c r="F1720" s="5">
        <v>300</v>
      </c>
    </row>
    <row r="1721" spans="1:6">
      <c r="A1721" t="s">
        <v>640</v>
      </c>
      <c r="B1721" t="s">
        <v>641</v>
      </c>
      <c r="C1721">
        <v>76225720</v>
      </c>
      <c r="D1721">
        <v>2502191</v>
      </c>
      <c r="E1721" t="s">
        <v>729</v>
      </c>
      <c r="F1721" s="5">
        <v>200</v>
      </c>
    </row>
    <row r="1722" spans="1:6" hidden="1">
      <c r="A1722" t="s">
        <v>596</v>
      </c>
      <c r="B1722" t="s">
        <v>597</v>
      </c>
      <c r="C1722">
        <v>76213077</v>
      </c>
      <c r="D1722">
        <v>2502928</v>
      </c>
      <c r="E1722" t="s">
        <v>39</v>
      </c>
      <c r="F1722" s="5">
        <v>300</v>
      </c>
    </row>
    <row r="1723" spans="1:6">
      <c r="A1723" t="s">
        <v>596</v>
      </c>
      <c r="B1723" t="s">
        <v>597</v>
      </c>
      <c r="C1723">
        <v>76213077</v>
      </c>
      <c r="D1723">
        <v>2502928</v>
      </c>
      <c r="E1723" t="s">
        <v>729</v>
      </c>
      <c r="F1723" s="5">
        <v>200</v>
      </c>
    </row>
    <row r="1724" spans="1:6" hidden="1">
      <c r="A1724" t="s">
        <v>4406</v>
      </c>
      <c r="B1724" t="s">
        <v>4407</v>
      </c>
      <c r="C1724">
        <v>76244797</v>
      </c>
      <c r="D1724">
        <v>2002920</v>
      </c>
      <c r="E1724" t="s">
        <v>39</v>
      </c>
      <c r="F1724" s="5">
        <v>300</v>
      </c>
    </row>
    <row r="1725" spans="1:6">
      <c r="A1725" t="s">
        <v>4406</v>
      </c>
      <c r="B1725" t="s">
        <v>4407</v>
      </c>
      <c r="C1725">
        <v>76244797</v>
      </c>
      <c r="D1725">
        <v>2002920</v>
      </c>
      <c r="E1725" t="s">
        <v>729</v>
      </c>
      <c r="F1725" s="5">
        <v>200</v>
      </c>
    </row>
    <row r="1726" spans="1:6" hidden="1">
      <c r="A1726" t="s">
        <v>4356</v>
      </c>
      <c r="B1726" t="s">
        <v>4357</v>
      </c>
      <c r="C1726">
        <v>76241560</v>
      </c>
      <c r="D1726">
        <v>1500048</v>
      </c>
      <c r="E1726" t="s">
        <v>39</v>
      </c>
      <c r="F1726" s="5">
        <v>300</v>
      </c>
    </row>
    <row r="1727" spans="1:6">
      <c r="A1727" t="s">
        <v>4356</v>
      </c>
      <c r="B1727" t="s">
        <v>4357</v>
      </c>
      <c r="C1727">
        <v>76241560</v>
      </c>
      <c r="D1727">
        <v>1500048</v>
      </c>
      <c r="E1727" t="s">
        <v>729</v>
      </c>
      <c r="F1727" s="5">
        <v>200</v>
      </c>
    </row>
    <row r="1728" spans="1:6" hidden="1">
      <c r="A1728" t="s">
        <v>3285</v>
      </c>
      <c r="B1728" t="s">
        <v>3286</v>
      </c>
      <c r="C1728">
        <v>76192281</v>
      </c>
      <c r="D1728">
        <v>2000735</v>
      </c>
      <c r="E1728" t="s">
        <v>39</v>
      </c>
      <c r="F1728" s="5">
        <v>400</v>
      </c>
    </row>
    <row r="1729" spans="1:6">
      <c r="A1729" t="s">
        <v>3285</v>
      </c>
      <c r="B1729" t="s">
        <v>3286</v>
      </c>
      <c r="C1729">
        <v>76192281</v>
      </c>
      <c r="D1729">
        <v>2000735</v>
      </c>
      <c r="E1729" t="s">
        <v>729</v>
      </c>
      <c r="F1729" s="5">
        <v>200</v>
      </c>
    </row>
    <row r="1730" spans="1:6" hidden="1">
      <c r="A1730" t="s">
        <v>4553</v>
      </c>
      <c r="B1730" t="s">
        <v>4554</v>
      </c>
      <c r="C1730">
        <v>76254751</v>
      </c>
      <c r="D1730">
        <v>2600002</v>
      </c>
      <c r="E1730" t="s">
        <v>39</v>
      </c>
      <c r="F1730" s="5">
        <v>300</v>
      </c>
    </row>
    <row r="1731" spans="1:6">
      <c r="A1731" t="s">
        <v>4553</v>
      </c>
      <c r="B1731" t="s">
        <v>4554</v>
      </c>
      <c r="C1731">
        <v>76254751</v>
      </c>
      <c r="D1731">
        <v>2600002</v>
      </c>
      <c r="E1731" t="s">
        <v>729</v>
      </c>
      <c r="F1731" s="5">
        <v>200</v>
      </c>
    </row>
    <row r="1732" spans="1:6" hidden="1">
      <c r="A1732" t="s">
        <v>3287</v>
      </c>
      <c r="B1732" t="s">
        <v>3288</v>
      </c>
      <c r="C1732">
        <v>76192284</v>
      </c>
      <c r="D1732">
        <v>2000757</v>
      </c>
      <c r="E1732" t="s">
        <v>39</v>
      </c>
      <c r="F1732" s="5">
        <v>300</v>
      </c>
    </row>
    <row r="1733" spans="1:6">
      <c r="A1733" t="s">
        <v>3287</v>
      </c>
      <c r="B1733" t="s">
        <v>3288</v>
      </c>
      <c r="C1733">
        <v>76192284</v>
      </c>
      <c r="D1733">
        <v>2000757</v>
      </c>
      <c r="E1733" t="s">
        <v>729</v>
      </c>
      <c r="F1733" s="5">
        <v>200</v>
      </c>
    </row>
    <row r="1734" spans="1:6" hidden="1">
      <c r="A1734" t="s">
        <v>4402</v>
      </c>
      <c r="B1734" t="s">
        <v>4403</v>
      </c>
      <c r="C1734">
        <v>76244766</v>
      </c>
      <c r="D1734">
        <v>2503262</v>
      </c>
      <c r="E1734" t="s">
        <v>39</v>
      </c>
      <c r="F1734" s="5">
        <v>300</v>
      </c>
    </row>
    <row r="1735" spans="1:6">
      <c r="A1735" t="s">
        <v>4402</v>
      </c>
      <c r="B1735" t="s">
        <v>4403</v>
      </c>
      <c r="C1735">
        <v>76244766</v>
      </c>
      <c r="D1735">
        <v>2503262</v>
      </c>
      <c r="E1735" t="s">
        <v>729</v>
      </c>
      <c r="F1735" s="5">
        <v>200</v>
      </c>
    </row>
    <row r="1736" spans="1:6" hidden="1">
      <c r="A1736" t="s">
        <v>2609</v>
      </c>
      <c r="B1736" t="s">
        <v>2610</v>
      </c>
      <c r="C1736">
        <v>76058287</v>
      </c>
      <c r="D1736">
        <v>2501143</v>
      </c>
      <c r="E1736" t="s">
        <v>39</v>
      </c>
      <c r="F1736" s="5">
        <v>300</v>
      </c>
    </row>
    <row r="1737" spans="1:6">
      <c r="A1737" t="s">
        <v>2609</v>
      </c>
      <c r="B1737" t="s">
        <v>2610</v>
      </c>
      <c r="C1737">
        <v>76058287</v>
      </c>
      <c r="D1737">
        <v>2501143</v>
      </c>
      <c r="E1737" t="s">
        <v>729</v>
      </c>
      <c r="F1737" s="5">
        <v>200</v>
      </c>
    </row>
    <row r="1738" spans="1:6" hidden="1">
      <c r="A1738" t="s">
        <v>2611</v>
      </c>
      <c r="B1738" t="s">
        <v>2612</v>
      </c>
      <c r="C1738">
        <v>76058289</v>
      </c>
      <c r="D1738">
        <v>2501152</v>
      </c>
      <c r="E1738" t="s">
        <v>39</v>
      </c>
      <c r="F1738" s="5">
        <v>300</v>
      </c>
    </row>
    <row r="1739" spans="1:6">
      <c r="A1739" t="s">
        <v>2611</v>
      </c>
      <c r="B1739" t="s">
        <v>2612</v>
      </c>
      <c r="C1739">
        <v>76058289</v>
      </c>
      <c r="D1739">
        <v>2501152</v>
      </c>
      <c r="E1739" t="s">
        <v>729</v>
      </c>
      <c r="F1739" s="5">
        <v>200</v>
      </c>
    </row>
    <row r="1740" spans="1:6" hidden="1">
      <c r="A1740" t="s">
        <v>2613</v>
      </c>
      <c r="B1740" t="s">
        <v>2614</v>
      </c>
      <c r="C1740">
        <v>76058290</v>
      </c>
      <c r="D1740">
        <v>13142</v>
      </c>
      <c r="E1740" t="s">
        <v>39</v>
      </c>
      <c r="F1740" s="5">
        <v>400</v>
      </c>
    </row>
    <row r="1741" spans="1:6">
      <c r="A1741" t="s">
        <v>2613</v>
      </c>
      <c r="B1741" t="s">
        <v>2614</v>
      </c>
      <c r="C1741">
        <v>76058290</v>
      </c>
      <c r="D1741">
        <v>13142</v>
      </c>
      <c r="E1741" t="s">
        <v>729</v>
      </c>
      <c r="F1741" s="5">
        <v>200</v>
      </c>
    </row>
    <row r="1742" spans="1:6" hidden="1">
      <c r="A1742" t="s">
        <v>3841</v>
      </c>
      <c r="B1742" t="s">
        <v>3842</v>
      </c>
      <c r="C1742">
        <v>76223536</v>
      </c>
      <c r="D1742">
        <v>2000235</v>
      </c>
      <c r="E1742" t="s">
        <v>39</v>
      </c>
      <c r="F1742" s="5">
        <v>300</v>
      </c>
    </row>
    <row r="1743" spans="1:6">
      <c r="A1743" t="s">
        <v>3841</v>
      </c>
      <c r="B1743" t="s">
        <v>3842</v>
      </c>
      <c r="C1743">
        <v>76223536</v>
      </c>
      <c r="D1743">
        <v>2000235</v>
      </c>
      <c r="E1743" t="s">
        <v>729</v>
      </c>
      <c r="F1743" s="5">
        <v>200</v>
      </c>
    </row>
    <row r="1744" spans="1:6" hidden="1">
      <c r="A1744" t="s">
        <v>3843</v>
      </c>
      <c r="B1744" t="s">
        <v>3844</v>
      </c>
      <c r="C1744">
        <v>76223538</v>
      </c>
      <c r="D1744">
        <v>2000236</v>
      </c>
      <c r="E1744" t="s">
        <v>39</v>
      </c>
      <c r="F1744" s="5">
        <v>300</v>
      </c>
    </row>
    <row r="1745" spans="1:6">
      <c r="A1745" t="s">
        <v>3843</v>
      </c>
      <c r="B1745" t="s">
        <v>3844</v>
      </c>
      <c r="C1745">
        <v>76223538</v>
      </c>
      <c r="D1745">
        <v>2000236</v>
      </c>
      <c r="E1745" t="s">
        <v>729</v>
      </c>
      <c r="F1745" s="5">
        <v>200</v>
      </c>
    </row>
    <row r="1746" spans="1:6" hidden="1">
      <c r="A1746" t="s">
        <v>2090</v>
      </c>
      <c r="B1746" t="s">
        <v>2091</v>
      </c>
      <c r="C1746">
        <v>71046703</v>
      </c>
      <c r="D1746">
        <v>3249</v>
      </c>
      <c r="E1746" t="s">
        <v>39</v>
      </c>
      <c r="F1746" s="5">
        <v>400</v>
      </c>
    </row>
    <row r="1747" spans="1:6">
      <c r="A1747" t="s">
        <v>2090</v>
      </c>
      <c r="B1747" t="s">
        <v>2091</v>
      </c>
      <c r="C1747">
        <v>71046703</v>
      </c>
      <c r="D1747">
        <v>3249</v>
      </c>
      <c r="E1747" t="s">
        <v>729</v>
      </c>
      <c r="F1747" s="5">
        <v>200</v>
      </c>
    </row>
    <row r="1748" spans="1:6" hidden="1">
      <c r="A1748" t="s">
        <v>114</v>
      </c>
      <c r="B1748" t="s">
        <v>115</v>
      </c>
      <c r="C1748">
        <v>76202516</v>
      </c>
      <c r="D1748">
        <v>1500109</v>
      </c>
      <c r="E1748" t="s">
        <v>39</v>
      </c>
      <c r="F1748" s="5">
        <v>300</v>
      </c>
    </row>
    <row r="1749" spans="1:6">
      <c r="A1749" t="s">
        <v>114</v>
      </c>
      <c r="B1749" t="s">
        <v>115</v>
      </c>
      <c r="C1749">
        <v>76202516</v>
      </c>
      <c r="D1749">
        <v>1500109</v>
      </c>
      <c r="E1749" t="s">
        <v>729</v>
      </c>
      <c r="F1749" s="5">
        <v>200</v>
      </c>
    </row>
    <row r="1750" spans="1:6" hidden="1">
      <c r="A1750" t="s">
        <v>2152</v>
      </c>
      <c r="B1750" t="s">
        <v>2153</v>
      </c>
      <c r="C1750">
        <v>71053433</v>
      </c>
      <c r="D1750">
        <v>2001968</v>
      </c>
      <c r="E1750" t="s">
        <v>39</v>
      </c>
      <c r="F1750" s="5">
        <v>450</v>
      </c>
    </row>
    <row r="1751" spans="1:6">
      <c r="A1751" t="s">
        <v>2152</v>
      </c>
      <c r="B1751" t="s">
        <v>2153</v>
      </c>
      <c r="C1751">
        <v>71053433</v>
      </c>
      <c r="D1751">
        <v>2001968</v>
      </c>
      <c r="E1751" t="s">
        <v>729</v>
      </c>
      <c r="F1751" s="5">
        <v>200</v>
      </c>
    </row>
    <row r="1752" spans="1:6" hidden="1">
      <c r="A1752" t="s">
        <v>2382</v>
      </c>
      <c r="B1752" t="s">
        <v>2383</v>
      </c>
      <c r="C1752">
        <v>76027143</v>
      </c>
      <c r="D1752">
        <v>2000763</v>
      </c>
      <c r="E1752" t="s">
        <v>39</v>
      </c>
      <c r="F1752" s="5">
        <v>450</v>
      </c>
    </row>
    <row r="1753" spans="1:6">
      <c r="A1753" t="s">
        <v>2382</v>
      </c>
      <c r="B1753" t="s">
        <v>2383</v>
      </c>
      <c r="C1753">
        <v>76027143</v>
      </c>
      <c r="D1753">
        <v>2000763</v>
      </c>
      <c r="E1753" t="s">
        <v>729</v>
      </c>
      <c r="F1753" s="5">
        <v>200</v>
      </c>
    </row>
    <row r="1754" spans="1:6" hidden="1">
      <c r="A1754" t="s">
        <v>2112</v>
      </c>
      <c r="B1754" t="s">
        <v>2113</v>
      </c>
      <c r="C1754">
        <v>71048225</v>
      </c>
      <c r="D1754">
        <v>2500972</v>
      </c>
      <c r="E1754" t="s">
        <v>39</v>
      </c>
      <c r="F1754" s="5">
        <v>300</v>
      </c>
    </row>
    <row r="1755" spans="1:6">
      <c r="A1755" t="s">
        <v>2112</v>
      </c>
      <c r="B1755" t="s">
        <v>2113</v>
      </c>
      <c r="C1755">
        <v>71048225</v>
      </c>
      <c r="D1755">
        <v>2500972</v>
      </c>
      <c r="E1755" t="s">
        <v>729</v>
      </c>
      <c r="F1755" s="5">
        <v>200</v>
      </c>
    </row>
    <row r="1756" spans="1:6" hidden="1">
      <c r="A1756" t="s">
        <v>3927</v>
      </c>
      <c r="B1756" t="s">
        <v>3928</v>
      </c>
      <c r="C1756">
        <v>76226764</v>
      </c>
      <c r="D1756">
        <v>2002023</v>
      </c>
      <c r="E1756" t="s">
        <v>39</v>
      </c>
      <c r="F1756" s="5">
        <v>450</v>
      </c>
    </row>
    <row r="1757" spans="1:6">
      <c r="A1757" t="s">
        <v>3927</v>
      </c>
      <c r="B1757" t="s">
        <v>3928</v>
      </c>
      <c r="C1757">
        <v>76226764</v>
      </c>
      <c r="D1757">
        <v>2002023</v>
      </c>
      <c r="E1757" t="s">
        <v>729</v>
      </c>
      <c r="F1757" s="5">
        <v>200</v>
      </c>
    </row>
    <row r="1758" spans="1:6" hidden="1">
      <c r="A1758" t="s">
        <v>1723</v>
      </c>
      <c r="B1758" t="s">
        <v>1724</v>
      </c>
      <c r="C1758">
        <v>13494512</v>
      </c>
      <c r="D1758">
        <v>3001447</v>
      </c>
      <c r="E1758" t="s">
        <v>39</v>
      </c>
      <c r="F1758" s="5">
        <v>300</v>
      </c>
    </row>
    <row r="1759" spans="1:6">
      <c r="A1759" t="s">
        <v>1723</v>
      </c>
      <c r="B1759" t="s">
        <v>1724</v>
      </c>
      <c r="C1759">
        <v>13494512</v>
      </c>
      <c r="D1759">
        <v>3001447</v>
      </c>
      <c r="E1759" t="s">
        <v>729</v>
      </c>
      <c r="F1759" s="5">
        <v>200</v>
      </c>
    </row>
    <row r="1760" spans="1:6" hidden="1">
      <c r="A1760" t="s">
        <v>4611</v>
      </c>
      <c r="B1760" t="s">
        <v>4612</v>
      </c>
      <c r="C1760">
        <v>76257241</v>
      </c>
      <c r="D1760">
        <v>3002040</v>
      </c>
      <c r="E1760" t="s">
        <v>39</v>
      </c>
      <c r="F1760" s="5">
        <v>300</v>
      </c>
    </row>
    <row r="1761" spans="1:6">
      <c r="A1761" t="s">
        <v>4611</v>
      </c>
      <c r="B1761" t="s">
        <v>4612</v>
      </c>
      <c r="C1761">
        <v>76257241</v>
      </c>
      <c r="D1761">
        <v>3002040</v>
      </c>
      <c r="E1761" t="s">
        <v>729</v>
      </c>
      <c r="F1761" s="5">
        <v>200</v>
      </c>
    </row>
    <row r="1762" spans="1:6" hidden="1">
      <c r="A1762" t="s">
        <v>718</v>
      </c>
      <c r="B1762" t="s">
        <v>719</v>
      </c>
      <c r="C1762">
        <v>76257108</v>
      </c>
      <c r="D1762">
        <v>3000642</v>
      </c>
      <c r="E1762" t="s">
        <v>39</v>
      </c>
      <c r="F1762" s="5">
        <v>300</v>
      </c>
    </row>
    <row r="1763" spans="1:6">
      <c r="A1763" t="s">
        <v>718</v>
      </c>
      <c r="B1763" t="s">
        <v>719</v>
      </c>
      <c r="C1763">
        <v>76257108</v>
      </c>
      <c r="D1763">
        <v>3000642</v>
      </c>
      <c r="E1763" t="s">
        <v>729</v>
      </c>
      <c r="F1763" s="5">
        <v>200</v>
      </c>
    </row>
    <row r="1764" spans="1:6" hidden="1">
      <c r="A1764" t="s">
        <v>727</v>
      </c>
      <c r="B1764" t="s">
        <v>728</v>
      </c>
      <c r="C1764">
        <v>97000001</v>
      </c>
      <c r="D1764">
        <v>2500664</v>
      </c>
      <c r="E1764" t="s">
        <v>39</v>
      </c>
      <c r="F1764" s="5">
        <v>300</v>
      </c>
    </row>
    <row r="1765" spans="1:6">
      <c r="A1765" t="s">
        <v>727</v>
      </c>
      <c r="B1765" t="s">
        <v>728</v>
      </c>
      <c r="C1765">
        <v>97000001</v>
      </c>
      <c r="D1765">
        <v>2500664</v>
      </c>
      <c r="E1765" t="s">
        <v>729</v>
      </c>
      <c r="F1765" s="5">
        <v>200</v>
      </c>
    </row>
    <row r="1766" spans="1:6" hidden="1">
      <c r="A1766" t="s">
        <v>464</v>
      </c>
      <c r="B1766" t="s">
        <v>465</v>
      </c>
      <c r="C1766">
        <v>76032748</v>
      </c>
      <c r="D1766">
        <v>3002949</v>
      </c>
      <c r="E1766" t="s">
        <v>39</v>
      </c>
      <c r="F1766" s="5">
        <v>300</v>
      </c>
    </row>
    <row r="1767" spans="1:6">
      <c r="A1767" t="s">
        <v>464</v>
      </c>
      <c r="B1767" t="s">
        <v>465</v>
      </c>
      <c r="C1767">
        <v>76032748</v>
      </c>
      <c r="D1767">
        <v>3002949</v>
      </c>
      <c r="E1767" t="s">
        <v>729</v>
      </c>
      <c r="F1767" s="5">
        <v>200</v>
      </c>
    </row>
    <row r="1768" spans="1:6" hidden="1">
      <c r="A1768" t="s">
        <v>1551</v>
      </c>
      <c r="B1768" t="s">
        <v>1552</v>
      </c>
      <c r="C1768">
        <v>1325667</v>
      </c>
      <c r="D1768">
        <v>13103</v>
      </c>
      <c r="E1768" t="s">
        <v>39</v>
      </c>
      <c r="F1768" s="5">
        <v>450</v>
      </c>
    </row>
    <row r="1769" spans="1:6">
      <c r="A1769" t="s">
        <v>1551</v>
      </c>
      <c r="B1769" t="s">
        <v>1552</v>
      </c>
      <c r="C1769">
        <v>1325667</v>
      </c>
      <c r="D1769">
        <v>13103</v>
      </c>
      <c r="E1769" t="s">
        <v>729</v>
      </c>
      <c r="F1769" s="5">
        <v>200</v>
      </c>
    </row>
    <row r="1770" spans="1:6" hidden="1">
      <c r="A1770" t="s">
        <v>4152</v>
      </c>
      <c r="B1770" t="s">
        <v>4153</v>
      </c>
      <c r="C1770">
        <v>76232989</v>
      </c>
      <c r="D1770">
        <v>2502719</v>
      </c>
      <c r="E1770" t="s">
        <v>39</v>
      </c>
      <c r="F1770" s="5">
        <v>300</v>
      </c>
    </row>
    <row r="1771" spans="1:6">
      <c r="A1771" t="s">
        <v>4152</v>
      </c>
      <c r="B1771" t="s">
        <v>4153</v>
      </c>
      <c r="C1771">
        <v>76232989</v>
      </c>
      <c r="D1771">
        <v>2502719</v>
      </c>
      <c r="E1771" t="s">
        <v>729</v>
      </c>
      <c r="F1771" s="5">
        <v>200</v>
      </c>
    </row>
    <row r="1772" spans="1:6" hidden="1">
      <c r="A1772" t="s">
        <v>294</v>
      </c>
      <c r="B1772" t="s">
        <v>295</v>
      </c>
      <c r="C1772">
        <v>76257159</v>
      </c>
      <c r="D1772">
        <v>8038</v>
      </c>
      <c r="E1772" t="s">
        <v>39</v>
      </c>
      <c r="F1772" s="5">
        <v>400</v>
      </c>
    </row>
    <row r="1773" spans="1:6">
      <c r="A1773" t="s">
        <v>294</v>
      </c>
      <c r="B1773" t="s">
        <v>295</v>
      </c>
      <c r="C1773">
        <v>76257159</v>
      </c>
      <c r="D1773">
        <v>8038</v>
      </c>
      <c r="E1773" t="s">
        <v>729</v>
      </c>
      <c r="F1773" s="5">
        <v>200</v>
      </c>
    </row>
    <row r="1774" spans="1:6" hidden="1">
      <c r="A1774" t="s">
        <v>4575</v>
      </c>
      <c r="B1774" t="s">
        <v>4576</v>
      </c>
      <c r="C1774">
        <v>76255877</v>
      </c>
      <c r="D1774">
        <v>3000391</v>
      </c>
      <c r="E1774" t="s">
        <v>39</v>
      </c>
      <c r="F1774" s="5">
        <v>300</v>
      </c>
    </row>
    <row r="1775" spans="1:6">
      <c r="A1775" t="s">
        <v>4575</v>
      </c>
      <c r="B1775" t="s">
        <v>4576</v>
      </c>
      <c r="C1775">
        <v>76255877</v>
      </c>
      <c r="D1775">
        <v>3000391</v>
      </c>
      <c r="E1775" t="s">
        <v>729</v>
      </c>
      <c r="F1775" s="5">
        <v>200</v>
      </c>
    </row>
    <row r="1776" spans="1:6" hidden="1">
      <c r="A1776" t="s">
        <v>3273</v>
      </c>
      <c r="B1776" t="s">
        <v>3274</v>
      </c>
      <c r="C1776">
        <v>76190341</v>
      </c>
      <c r="D1776">
        <v>2502699</v>
      </c>
      <c r="E1776" t="s">
        <v>39</v>
      </c>
      <c r="F1776" s="5">
        <v>300</v>
      </c>
    </row>
    <row r="1777" spans="1:6">
      <c r="A1777" t="s">
        <v>3273</v>
      </c>
      <c r="B1777" t="s">
        <v>3274</v>
      </c>
      <c r="C1777">
        <v>76190341</v>
      </c>
      <c r="D1777">
        <v>2502699</v>
      </c>
      <c r="E1777" t="s">
        <v>729</v>
      </c>
      <c r="F1777" s="5">
        <v>200</v>
      </c>
    </row>
    <row r="1778" spans="1:6" hidden="1">
      <c r="A1778" t="s">
        <v>2374</v>
      </c>
      <c r="B1778" t="s">
        <v>2375</v>
      </c>
      <c r="C1778">
        <v>76026210</v>
      </c>
      <c r="D1778">
        <v>2503541</v>
      </c>
      <c r="E1778" t="s">
        <v>39</v>
      </c>
      <c r="F1778" s="5">
        <v>300</v>
      </c>
    </row>
    <row r="1779" spans="1:6">
      <c r="A1779" t="s">
        <v>2374</v>
      </c>
      <c r="B1779" t="s">
        <v>2375</v>
      </c>
      <c r="C1779">
        <v>76026210</v>
      </c>
      <c r="D1779">
        <v>2503541</v>
      </c>
      <c r="E1779" t="s">
        <v>729</v>
      </c>
      <c r="F1779" s="5">
        <v>200</v>
      </c>
    </row>
    <row r="1780" spans="1:6" hidden="1">
      <c r="A1780" t="s">
        <v>4284</v>
      </c>
      <c r="B1780" t="s">
        <v>4285</v>
      </c>
      <c r="C1780">
        <v>76237652</v>
      </c>
      <c r="D1780">
        <v>3001070</v>
      </c>
      <c r="E1780" t="s">
        <v>39</v>
      </c>
      <c r="F1780" s="5">
        <v>300</v>
      </c>
    </row>
    <row r="1781" spans="1:6">
      <c r="A1781" t="s">
        <v>4284</v>
      </c>
      <c r="B1781" t="s">
        <v>4285</v>
      </c>
      <c r="C1781">
        <v>76237652</v>
      </c>
      <c r="D1781">
        <v>3001070</v>
      </c>
      <c r="E1781" t="s">
        <v>729</v>
      </c>
      <c r="F1781" s="5">
        <v>200</v>
      </c>
    </row>
    <row r="1782" spans="1:6" hidden="1">
      <c r="A1782" t="s">
        <v>3395</v>
      </c>
      <c r="B1782" t="s">
        <v>3396</v>
      </c>
      <c r="C1782">
        <v>76204189</v>
      </c>
      <c r="D1782">
        <v>2002157</v>
      </c>
      <c r="E1782" t="s">
        <v>39</v>
      </c>
      <c r="F1782" s="5">
        <v>300</v>
      </c>
    </row>
    <row r="1783" spans="1:6">
      <c r="A1783" t="s">
        <v>3395</v>
      </c>
      <c r="B1783" t="s">
        <v>3396</v>
      </c>
      <c r="C1783">
        <v>76204189</v>
      </c>
      <c r="D1783">
        <v>2002157</v>
      </c>
      <c r="E1783" t="s">
        <v>729</v>
      </c>
      <c r="F1783" s="5">
        <v>200</v>
      </c>
    </row>
    <row r="1784" spans="1:6" hidden="1">
      <c r="A1784" t="s">
        <v>2919</v>
      </c>
      <c r="B1784" t="s">
        <v>2920</v>
      </c>
      <c r="C1784">
        <v>76148335</v>
      </c>
      <c r="D1784">
        <v>2502488</v>
      </c>
      <c r="E1784" t="s">
        <v>39</v>
      </c>
      <c r="F1784" s="5">
        <v>300</v>
      </c>
    </row>
    <row r="1785" spans="1:6">
      <c r="A1785" t="s">
        <v>2919</v>
      </c>
      <c r="B1785" t="s">
        <v>2920</v>
      </c>
      <c r="C1785">
        <v>76148335</v>
      </c>
      <c r="D1785">
        <v>2502488</v>
      </c>
      <c r="E1785" t="s">
        <v>729</v>
      </c>
      <c r="F1785" s="5">
        <v>200</v>
      </c>
    </row>
    <row r="1786" spans="1:6" hidden="1">
      <c r="A1786" t="s">
        <v>3879</v>
      </c>
      <c r="B1786" t="s">
        <v>3880</v>
      </c>
      <c r="C1786">
        <v>76225542</v>
      </c>
      <c r="D1786">
        <v>2503589</v>
      </c>
      <c r="E1786" t="s">
        <v>39</v>
      </c>
      <c r="F1786" s="5">
        <v>300</v>
      </c>
    </row>
    <row r="1787" spans="1:6">
      <c r="A1787" t="s">
        <v>3879</v>
      </c>
      <c r="B1787" t="s">
        <v>3880</v>
      </c>
      <c r="C1787">
        <v>76225542</v>
      </c>
      <c r="D1787">
        <v>2503589</v>
      </c>
      <c r="E1787" t="s">
        <v>729</v>
      </c>
      <c r="F1787" s="5">
        <v>200</v>
      </c>
    </row>
    <row r="1788" spans="1:6" hidden="1">
      <c r="A1788" t="s">
        <v>3269</v>
      </c>
      <c r="B1788" t="s">
        <v>3270</v>
      </c>
      <c r="C1788">
        <v>76190212</v>
      </c>
      <c r="D1788">
        <v>2001381</v>
      </c>
      <c r="E1788" t="s">
        <v>39</v>
      </c>
      <c r="F1788" s="5">
        <v>300</v>
      </c>
    </row>
    <row r="1789" spans="1:6">
      <c r="A1789" t="s">
        <v>3269</v>
      </c>
      <c r="B1789" t="s">
        <v>3270</v>
      </c>
      <c r="C1789">
        <v>76190212</v>
      </c>
      <c r="D1789">
        <v>2001381</v>
      </c>
      <c r="E1789" t="s">
        <v>729</v>
      </c>
      <c r="F1789" s="5">
        <v>200</v>
      </c>
    </row>
    <row r="1790" spans="1:6" hidden="1">
      <c r="A1790" t="s">
        <v>4438</v>
      </c>
      <c r="B1790" t="s">
        <v>4439</v>
      </c>
      <c r="C1790">
        <v>76246928</v>
      </c>
      <c r="D1790">
        <v>3001428</v>
      </c>
      <c r="E1790" t="s">
        <v>39</v>
      </c>
      <c r="F1790" s="5">
        <v>300</v>
      </c>
    </row>
    <row r="1791" spans="1:6">
      <c r="A1791" t="s">
        <v>4438</v>
      </c>
      <c r="B1791" t="s">
        <v>4439</v>
      </c>
      <c r="C1791">
        <v>76246928</v>
      </c>
      <c r="D1791">
        <v>3001428</v>
      </c>
      <c r="E1791" t="s">
        <v>729</v>
      </c>
      <c r="F1791" s="5">
        <v>200</v>
      </c>
    </row>
    <row r="1792" spans="1:6" hidden="1">
      <c r="A1792" t="s">
        <v>3999</v>
      </c>
      <c r="B1792" t="s">
        <v>4000</v>
      </c>
      <c r="C1792">
        <v>76228901</v>
      </c>
      <c r="D1792">
        <v>2001993</v>
      </c>
      <c r="E1792" t="s">
        <v>39</v>
      </c>
      <c r="F1792" s="5">
        <v>450</v>
      </c>
    </row>
    <row r="1793" spans="1:6">
      <c r="A1793" t="s">
        <v>3999</v>
      </c>
      <c r="B1793" t="s">
        <v>4000</v>
      </c>
      <c r="C1793">
        <v>76228901</v>
      </c>
      <c r="D1793">
        <v>2001993</v>
      </c>
      <c r="E1793" t="s">
        <v>729</v>
      </c>
      <c r="F1793" s="5">
        <v>200</v>
      </c>
    </row>
    <row r="1794" spans="1:6" hidden="1">
      <c r="A1794" t="s">
        <v>4001</v>
      </c>
      <c r="B1794" t="s">
        <v>4002</v>
      </c>
      <c r="C1794">
        <v>76228906</v>
      </c>
      <c r="D1794">
        <v>2002005</v>
      </c>
      <c r="E1794" t="s">
        <v>39</v>
      </c>
      <c r="F1794" s="5">
        <v>450</v>
      </c>
    </row>
    <row r="1795" spans="1:6">
      <c r="A1795" t="s">
        <v>4001</v>
      </c>
      <c r="B1795" t="s">
        <v>4002</v>
      </c>
      <c r="C1795">
        <v>76228906</v>
      </c>
      <c r="D1795">
        <v>2002005</v>
      </c>
      <c r="E1795" t="s">
        <v>729</v>
      </c>
      <c r="F1795" s="5">
        <v>200</v>
      </c>
    </row>
    <row r="1796" spans="1:6" hidden="1">
      <c r="A1796" t="s">
        <v>4003</v>
      </c>
      <c r="B1796" t="s">
        <v>4004</v>
      </c>
      <c r="C1796">
        <v>76228906</v>
      </c>
      <c r="D1796">
        <v>2002005</v>
      </c>
      <c r="E1796" t="s">
        <v>39</v>
      </c>
      <c r="F1796" s="5">
        <v>450</v>
      </c>
    </row>
    <row r="1797" spans="1:6">
      <c r="A1797" t="s">
        <v>4003</v>
      </c>
      <c r="B1797" t="s">
        <v>4004</v>
      </c>
      <c r="C1797">
        <v>76228906</v>
      </c>
      <c r="D1797">
        <v>2002005</v>
      </c>
      <c r="E1797" t="s">
        <v>729</v>
      </c>
      <c r="F1797" s="5">
        <v>200</v>
      </c>
    </row>
    <row r="1798" spans="1:6" hidden="1">
      <c r="A1798" t="s">
        <v>1733</v>
      </c>
      <c r="B1798" t="s">
        <v>1734</v>
      </c>
      <c r="C1798">
        <v>13495513</v>
      </c>
      <c r="D1798">
        <v>2503571</v>
      </c>
      <c r="E1798" t="s">
        <v>39</v>
      </c>
      <c r="F1798" s="5">
        <v>300</v>
      </c>
    </row>
    <row r="1799" spans="1:6">
      <c r="A1799" t="s">
        <v>1733</v>
      </c>
      <c r="B1799" t="s">
        <v>1734</v>
      </c>
      <c r="C1799">
        <v>13495513</v>
      </c>
      <c r="D1799">
        <v>2503571</v>
      </c>
      <c r="E1799" t="s">
        <v>729</v>
      </c>
      <c r="F1799" s="5">
        <v>200</v>
      </c>
    </row>
    <row r="1800" spans="1:6" hidden="1">
      <c r="A1800" t="s">
        <v>2472</v>
      </c>
      <c r="B1800" t="s">
        <v>2473</v>
      </c>
      <c r="C1800">
        <v>76039050</v>
      </c>
      <c r="D1800">
        <v>493</v>
      </c>
      <c r="E1800" t="s">
        <v>39</v>
      </c>
      <c r="F1800" s="5">
        <v>450</v>
      </c>
    </row>
    <row r="1801" spans="1:6">
      <c r="A1801" t="s">
        <v>2472</v>
      </c>
      <c r="B1801" t="s">
        <v>2473</v>
      </c>
      <c r="C1801">
        <v>76039050</v>
      </c>
      <c r="D1801">
        <v>493</v>
      </c>
      <c r="E1801" t="s">
        <v>729</v>
      </c>
      <c r="F1801" s="5">
        <v>200</v>
      </c>
    </row>
    <row r="1802" spans="1:6" hidden="1">
      <c r="A1802" t="s">
        <v>4340</v>
      </c>
      <c r="B1802" t="s">
        <v>4341</v>
      </c>
      <c r="C1802">
        <v>76241119</v>
      </c>
      <c r="D1802">
        <v>2002775</v>
      </c>
      <c r="E1802" t="s">
        <v>39</v>
      </c>
      <c r="F1802" s="5">
        <v>300</v>
      </c>
    </row>
    <row r="1803" spans="1:6">
      <c r="A1803" t="s">
        <v>4340</v>
      </c>
      <c r="B1803" t="s">
        <v>4341</v>
      </c>
      <c r="C1803">
        <v>76241119</v>
      </c>
      <c r="D1803">
        <v>2002775</v>
      </c>
      <c r="E1803" t="s">
        <v>729</v>
      </c>
      <c r="F1803" s="5">
        <v>200</v>
      </c>
    </row>
    <row r="1804" spans="1:6" hidden="1">
      <c r="A1804" t="s">
        <v>2474</v>
      </c>
      <c r="B1804" t="s">
        <v>2475</v>
      </c>
      <c r="C1804">
        <v>76039060</v>
      </c>
      <c r="D1804">
        <v>2001414</v>
      </c>
      <c r="E1804" t="s">
        <v>39</v>
      </c>
      <c r="F1804" s="5">
        <v>450</v>
      </c>
    </row>
    <row r="1805" spans="1:6">
      <c r="A1805" t="s">
        <v>2474</v>
      </c>
      <c r="B1805" t="s">
        <v>2475</v>
      </c>
      <c r="C1805">
        <v>76039060</v>
      </c>
      <c r="D1805">
        <v>2001414</v>
      </c>
      <c r="E1805" t="s">
        <v>729</v>
      </c>
      <c r="F1805" s="5">
        <v>200</v>
      </c>
    </row>
    <row r="1806" spans="1:6" hidden="1">
      <c r="A1806" t="s">
        <v>4132</v>
      </c>
      <c r="B1806" t="s">
        <v>4133</v>
      </c>
      <c r="C1806">
        <v>76231949</v>
      </c>
      <c r="D1806">
        <v>2700011</v>
      </c>
      <c r="E1806" t="s">
        <v>39</v>
      </c>
      <c r="F1806" s="5">
        <v>300</v>
      </c>
    </row>
    <row r="1807" spans="1:6">
      <c r="A1807" t="s">
        <v>4132</v>
      </c>
      <c r="B1807" t="s">
        <v>4133</v>
      </c>
      <c r="C1807">
        <v>76231949</v>
      </c>
      <c r="D1807">
        <v>2700011</v>
      </c>
      <c r="E1807" t="s">
        <v>729</v>
      </c>
      <c r="F1807" s="5">
        <v>200</v>
      </c>
    </row>
    <row r="1808" spans="1:6" hidden="1">
      <c r="A1808" t="s">
        <v>177</v>
      </c>
      <c r="B1808" t="s">
        <v>178</v>
      </c>
      <c r="C1808">
        <v>76229942</v>
      </c>
      <c r="D1808">
        <v>2502402</v>
      </c>
      <c r="E1808" t="s">
        <v>39</v>
      </c>
      <c r="F1808" s="5">
        <v>450</v>
      </c>
    </row>
    <row r="1809" spans="1:6">
      <c r="A1809" t="s">
        <v>177</v>
      </c>
      <c r="B1809" t="s">
        <v>178</v>
      </c>
      <c r="C1809">
        <v>76229942</v>
      </c>
      <c r="D1809">
        <v>2502402</v>
      </c>
      <c r="E1809" t="s">
        <v>729</v>
      </c>
      <c r="F1809" s="5">
        <v>200</v>
      </c>
    </row>
    <row r="1810" spans="1:6" hidden="1">
      <c r="A1810" t="s">
        <v>3911</v>
      </c>
      <c r="B1810" t="s">
        <v>3912</v>
      </c>
      <c r="C1810">
        <v>76226286</v>
      </c>
      <c r="D1810">
        <v>2502459</v>
      </c>
      <c r="E1810" t="s">
        <v>39</v>
      </c>
      <c r="F1810" s="5">
        <v>300</v>
      </c>
    </row>
    <row r="1811" spans="1:6">
      <c r="A1811" t="s">
        <v>3911</v>
      </c>
      <c r="B1811" t="s">
        <v>3912</v>
      </c>
      <c r="C1811">
        <v>76226286</v>
      </c>
      <c r="D1811">
        <v>2502459</v>
      </c>
      <c r="E1811" t="s">
        <v>729</v>
      </c>
      <c r="F1811" s="5">
        <v>200</v>
      </c>
    </row>
    <row r="1812" spans="1:6" hidden="1">
      <c r="A1812" t="s">
        <v>65</v>
      </c>
      <c r="B1812" t="s">
        <v>66</v>
      </c>
      <c r="C1812">
        <v>76001666</v>
      </c>
      <c r="D1812">
        <v>2501710</v>
      </c>
      <c r="E1812" t="s">
        <v>39</v>
      </c>
      <c r="F1812" s="5">
        <v>450</v>
      </c>
    </row>
    <row r="1813" spans="1:6">
      <c r="A1813" t="s">
        <v>65</v>
      </c>
      <c r="B1813" t="s">
        <v>66</v>
      </c>
      <c r="C1813">
        <v>76001666</v>
      </c>
      <c r="D1813">
        <v>2501710</v>
      </c>
      <c r="E1813" t="s">
        <v>729</v>
      </c>
      <c r="F1813" s="5">
        <v>200</v>
      </c>
    </row>
    <row r="1814" spans="1:6" hidden="1">
      <c r="A1814" t="s">
        <v>3933</v>
      </c>
      <c r="B1814" t="s">
        <v>3934</v>
      </c>
      <c r="C1814">
        <v>76226785</v>
      </c>
      <c r="D1814">
        <v>2503411</v>
      </c>
      <c r="E1814" t="s">
        <v>39</v>
      </c>
      <c r="F1814" s="5">
        <v>300</v>
      </c>
    </row>
    <row r="1815" spans="1:6">
      <c r="A1815" t="s">
        <v>3933</v>
      </c>
      <c r="B1815" t="s">
        <v>3934</v>
      </c>
      <c r="C1815">
        <v>76226785</v>
      </c>
      <c r="D1815">
        <v>2503411</v>
      </c>
      <c r="E1815" t="s">
        <v>729</v>
      </c>
      <c r="F1815" s="5">
        <v>200</v>
      </c>
    </row>
    <row r="1816" spans="1:6" hidden="1">
      <c r="A1816" t="s">
        <v>1889</v>
      </c>
      <c r="B1816" t="s">
        <v>1890</v>
      </c>
      <c r="C1816">
        <v>33056001</v>
      </c>
      <c r="D1816">
        <v>2003132</v>
      </c>
      <c r="E1816" t="s">
        <v>39</v>
      </c>
      <c r="F1816" s="5">
        <v>300</v>
      </c>
    </row>
    <row r="1817" spans="1:6">
      <c r="A1817" t="s">
        <v>1889</v>
      </c>
      <c r="B1817" t="s">
        <v>1890</v>
      </c>
      <c r="C1817">
        <v>33056001</v>
      </c>
      <c r="D1817">
        <v>2003132</v>
      </c>
      <c r="E1817" t="s">
        <v>729</v>
      </c>
      <c r="F1817" s="5">
        <v>200</v>
      </c>
    </row>
    <row r="1818" spans="1:6" hidden="1">
      <c r="A1818" t="s">
        <v>2188</v>
      </c>
      <c r="B1818" t="s">
        <v>2189</v>
      </c>
      <c r="C1818">
        <v>71057449</v>
      </c>
      <c r="D1818">
        <v>2002896</v>
      </c>
      <c r="E1818" t="s">
        <v>39</v>
      </c>
      <c r="F1818" s="5">
        <v>300</v>
      </c>
    </row>
    <row r="1819" spans="1:6">
      <c r="A1819" t="s">
        <v>2188</v>
      </c>
      <c r="B1819" t="s">
        <v>2189</v>
      </c>
      <c r="C1819">
        <v>71057449</v>
      </c>
      <c r="D1819">
        <v>2002896</v>
      </c>
      <c r="E1819" t="s">
        <v>729</v>
      </c>
      <c r="F1819" s="5">
        <v>200</v>
      </c>
    </row>
    <row r="1820" spans="1:6" hidden="1">
      <c r="A1820" t="s">
        <v>2178</v>
      </c>
      <c r="B1820" t="s">
        <v>2179</v>
      </c>
      <c r="C1820">
        <v>71055796</v>
      </c>
      <c r="D1820">
        <v>2002046</v>
      </c>
      <c r="E1820" t="s">
        <v>39</v>
      </c>
      <c r="F1820" s="5">
        <v>300</v>
      </c>
    </row>
    <row r="1821" spans="1:6">
      <c r="A1821" t="s">
        <v>2178</v>
      </c>
      <c r="B1821" t="s">
        <v>2179</v>
      </c>
      <c r="C1821">
        <v>71055796</v>
      </c>
      <c r="D1821">
        <v>2002046</v>
      </c>
      <c r="E1821" t="s">
        <v>729</v>
      </c>
      <c r="F1821" s="5">
        <v>200</v>
      </c>
    </row>
    <row r="1822" spans="1:6" hidden="1">
      <c r="A1822" t="s">
        <v>2530</v>
      </c>
      <c r="B1822" t="s">
        <v>2531</v>
      </c>
      <c r="C1822">
        <v>76043967</v>
      </c>
      <c r="D1822">
        <v>1500173</v>
      </c>
      <c r="E1822" t="s">
        <v>39</v>
      </c>
      <c r="F1822" s="5">
        <v>300</v>
      </c>
    </row>
    <row r="1823" spans="1:6">
      <c r="A1823" t="s">
        <v>2530</v>
      </c>
      <c r="B1823" t="s">
        <v>2531</v>
      </c>
      <c r="C1823">
        <v>76043967</v>
      </c>
      <c r="D1823">
        <v>1500173</v>
      </c>
      <c r="E1823" t="s">
        <v>729</v>
      </c>
      <c r="F1823" s="5">
        <v>200</v>
      </c>
    </row>
    <row r="1824" spans="1:6" hidden="1">
      <c r="A1824" t="s">
        <v>4272</v>
      </c>
      <c r="B1824" t="s">
        <v>4273</v>
      </c>
      <c r="C1824">
        <v>76236781</v>
      </c>
      <c r="D1824">
        <v>2502929</v>
      </c>
      <c r="E1824" t="s">
        <v>39</v>
      </c>
      <c r="F1824" s="5">
        <v>300</v>
      </c>
    </row>
    <row r="1825" spans="1:6">
      <c r="A1825" t="s">
        <v>4272</v>
      </c>
      <c r="B1825" t="s">
        <v>4273</v>
      </c>
      <c r="C1825">
        <v>76236781</v>
      </c>
      <c r="D1825">
        <v>2502929</v>
      </c>
      <c r="E1825" t="s">
        <v>729</v>
      </c>
      <c r="F1825" s="5">
        <v>200</v>
      </c>
    </row>
    <row r="1826" spans="1:6" hidden="1">
      <c r="A1826" t="s">
        <v>3595</v>
      </c>
      <c r="B1826" t="s">
        <v>3596</v>
      </c>
      <c r="C1826">
        <v>76213141</v>
      </c>
      <c r="D1826">
        <v>2001224</v>
      </c>
      <c r="E1826" t="s">
        <v>39</v>
      </c>
      <c r="F1826" s="5">
        <v>450</v>
      </c>
    </row>
    <row r="1827" spans="1:6">
      <c r="A1827" t="s">
        <v>3595</v>
      </c>
      <c r="B1827" t="s">
        <v>3596</v>
      </c>
      <c r="C1827">
        <v>76213141</v>
      </c>
      <c r="D1827">
        <v>2001224</v>
      </c>
      <c r="E1827" t="s">
        <v>729</v>
      </c>
      <c r="F1827" s="5">
        <v>200</v>
      </c>
    </row>
    <row r="1828" spans="1:6" hidden="1">
      <c r="A1828" t="s">
        <v>2757</v>
      </c>
      <c r="B1828" t="s">
        <v>2758</v>
      </c>
      <c r="C1828">
        <v>76073359</v>
      </c>
      <c r="D1828">
        <v>2501486</v>
      </c>
      <c r="E1828" t="s">
        <v>39</v>
      </c>
      <c r="F1828" s="5">
        <v>300</v>
      </c>
    </row>
    <row r="1829" spans="1:6">
      <c r="A1829" t="s">
        <v>2757</v>
      </c>
      <c r="B1829" t="s">
        <v>2758</v>
      </c>
      <c r="C1829">
        <v>76073359</v>
      </c>
      <c r="D1829">
        <v>2501486</v>
      </c>
      <c r="E1829" t="s">
        <v>729</v>
      </c>
      <c r="F1829" s="5">
        <v>200</v>
      </c>
    </row>
    <row r="1830" spans="1:6" hidden="1">
      <c r="A1830" t="s">
        <v>1777</v>
      </c>
      <c r="B1830" t="s">
        <v>1778</v>
      </c>
      <c r="C1830">
        <v>17253201</v>
      </c>
      <c r="D1830">
        <v>2000898</v>
      </c>
      <c r="E1830" t="s">
        <v>39</v>
      </c>
      <c r="F1830" s="5">
        <v>450</v>
      </c>
    </row>
    <row r="1831" spans="1:6">
      <c r="A1831" t="s">
        <v>1777</v>
      </c>
      <c r="B1831" t="s">
        <v>1778</v>
      </c>
      <c r="C1831">
        <v>17253201</v>
      </c>
      <c r="D1831">
        <v>2000898</v>
      </c>
      <c r="E1831" t="s">
        <v>729</v>
      </c>
      <c r="F1831" s="5">
        <v>200</v>
      </c>
    </row>
    <row r="1832" spans="1:6" hidden="1">
      <c r="A1832" t="s">
        <v>3957</v>
      </c>
      <c r="B1832" t="s">
        <v>3958</v>
      </c>
      <c r="C1832">
        <v>76228008</v>
      </c>
      <c r="D1832">
        <v>2502573</v>
      </c>
      <c r="E1832" t="s">
        <v>39</v>
      </c>
      <c r="F1832" s="5">
        <v>300</v>
      </c>
    </row>
    <row r="1833" spans="1:6">
      <c r="A1833" t="s">
        <v>3957</v>
      </c>
      <c r="B1833" t="s">
        <v>3958</v>
      </c>
      <c r="C1833">
        <v>76228008</v>
      </c>
      <c r="D1833">
        <v>2502573</v>
      </c>
      <c r="E1833" t="s">
        <v>729</v>
      </c>
      <c r="F1833" s="5">
        <v>200</v>
      </c>
    </row>
    <row r="1834" spans="1:6" hidden="1">
      <c r="A1834" t="s">
        <v>3187</v>
      </c>
      <c r="B1834" t="s">
        <v>3188</v>
      </c>
      <c r="C1834">
        <v>76179491</v>
      </c>
      <c r="D1834">
        <v>2500266</v>
      </c>
      <c r="E1834" t="s">
        <v>39</v>
      </c>
      <c r="F1834" s="5">
        <v>300</v>
      </c>
    </row>
    <row r="1835" spans="1:6">
      <c r="A1835" t="s">
        <v>3187</v>
      </c>
      <c r="B1835" t="s">
        <v>3188</v>
      </c>
      <c r="C1835">
        <v>76179491</v>
      </c>
      <c r="D1835">
        <v>2500266</v>
      </c>
      <c r="E1835" t="s">
        <v>729</v>
      </c>
      <c r="F1835" s="5">
        <v>200</v>
      </c>
    </row>
    <row r="1836" spans="1:6" hidden="1">
      <c r="A1836" t="s">
        <v>4400</v>
      </c>
      <c r="B1836" t="s">
        <v>4401</v>
      </c>
      <c r="C1836">
        <v>76244703</v>
      </c>
      <c r="D1836">
        <v>2002887</v>
      </c>
      <c r="E1836" t="s">
        <v>39</v>
      </c>
      <c r="F1836" s="5">
        <v>300</v>
      </c>
    </row>
    <row r="1837" spans="1:6">
      <c r="A1837" t="s">
        <v>4400</v>
      </c>
      <c r="B1837" t="s">
        <v>4401</v>
      </c>
      <c r="C1837">
        <v>76244703</v>
      </c>
      <c r="D1837">
        <v>2002887</v>
      </c>
      <c r="E1837" t="s">
        <v>729</v>
      </c>
      <c r="F1837" s="5">
        <v>200</v>
      </c>
    </row>
    <row r="1838" spans="1:6" hidden="1">
      <c r="A1838" t="s">
        <v>557</v>
      </c>
      <c r="B1838" t="s">
        <v>558</v>
      </c>
      <c r="C1838">
        <v>76174651</v>
      </c>
      <c r="D1838">
        <v>3000945</v>
      </c>
      <c r="E1838" t="s">
        <v>39</v>
      </c>
      <c r="F1838" s="5">
        <v>300</v>
      </c>
    </row>
    <row r="1839" spans="1:6">
      <c r="A1839" t="s">
        <v>557</v>
      </c>
      <c r="B1839" t="s">
        <v>558</v>
      </c>
      <c r="C1839">
        <v>76174651</v>
      </c>
      <c r="D1839">
        <v>3000945</v>
      </c>
      <c r="E1839" t="s">
        <v>729</v>
      </c>
      <c r="F1839" s="5">
        <v>200</v>
      </c>
    </row>
    <row r="1840" spans="1:6" hidden="1">
      <c r="A1840" t="s">
        <v>3749</v>
      </c>
      <c r="B1840" t="s">
        <v>3750</v>
      </c>
      <c r="C1840">
        <v>76219761</v>
      </c>
      <c r="D1840">
        <v>2500816</v>
      </c>
      <c r="E1840" t="s">
        <v>39</v>
      </c>
      <c r="F1840" s="5">
        <v>300</v>
      </c>
    </row>
    <row r="1841" spans="1:6">
      <c r="A1841" t="s">
        <v>3749</v>
      </c>
      <c r="B1841" t="s">
        <v>3750</v>
      </c>
      <c r="C1841">
        <v>76219761</v>
      </c>
      <c r="D1841">
        <v>2500816</v>
      </c>
      <c r="E1841" t="s">
        <v>729</v>
      </c>
      <c r="F1841" s="5">
        <v>200</v>
      </c>
    </row>
    <row r="1842" spans="1:6" hidden="1">
      <c r="A1842" t="s">
        <v>3529</v>
      </c>
      <c r="B1842" t="s">
        <v>3530</v>
      </c>
      <c r="C1842">
        <v>76209577</v>
      </c>
      <c r="D1842">
        <v>2500987</v>
      </c>
      <c r="E1842" t="s">
        <v>39</v>
      </c>
      <c r="F1842" s="5">
        <v>300</v>
      </c>
    </row>
    <row r="1843" spans="1:6">
      <c r="A1843" t="s">
        <v>3529</v>
      </c>
      <c r="B1843" t="s">
        <v>3530</v>
      </c>
      <c r="C1843">
        <v>76209577</v>
      </c>
      <c r="D1843">
        <v>2500987</v>
      </c>
      <c r="E1843" t="s">
        <v>729</v>
      </c>
      <c r="F1843" s="5">
        <v>200</v>
      </c>
    </row>
    <row r="1844" spans="1:6" hidden="1">
      <c r="A1844" t="s">
        <v>219</v>
      </c>
      <c r="B1844" t="s">
        <v>220</v>
      </c>
      <c r="C1844">
        <v>76236622</v>
      </c>
      <c r="D1844">
        <v>2503117</v>
      </c>
      <c r="E1844" t="s">
        <v>39</v>
      </c>
      <c r="F1844" s="5">
        <v>300</v>
      </c>
    </row>
    <row r="1845" spans="1:6">
      <c r="A1845" t="s">
        <v>219</v>
      </c>
      <c r="B1845" t="s">
        <v>220</v>
      </c>
      <c r="C1845">
        <v>76236622</v>
      </c>
      <c r="D1845">
        <v>2503117</v>
      </c>
      <c r="E1845" t="s">
        <v>729</v>
      </c>
      <c r="F1845" s="5">
        <v>200</v>
      </c>
    </row>
    <row r="1846" spans="1:6" hidden="1">
      <c r="A1846" t="s">
        <v>3453</v>
      </c>
      <c r="B1846" t="s">
        <v>3454</v>
      </c>
      <c r="C1846">
        <v>76206626</v>
      </c>
      <c r="D1846">
        <v>2503222</v>
      </c>
      <c r="E1846" t="s">
        <v>39</v>
      </c>
      <c r="F1846" s="5">
        <v>300</v>
      </c>
    </row>
    <row r="1847" spans="1:6">
      <c r="A1847" t="s">
        <v>3453</v>
      </c>
      <c r="B1847" t="s">
        <v>3454</v>
      </c>
      <c r="C1847">
        <v>76206626</v>
      </c>
      <c r="D1847">
        <v>2503222</v>
      </c>
      <c r="E1847" t="s">
        <v>729</v>
      </c>
      <c r="F1847" s="5">
        <v>200</v>
      </c>
    </row>
    <row r="1848" spans="1:6" hidden="1">
      <c r="A1848" t="s">
        <v>4156</v>
      </c>
      <c r="B1848" t="s">
        <v>4157</v>
      </c>
      <c r="C1848">
        <v>76233044</v>
      </c>
      <c r="D1848">
        <v>2502072</v>
      </c>
      <c r="E1848" t="s">
        <v>39</v>
      </c>
      <c r="F1848" s="5">
        <v>300</v>
      </c>
    </row>
    <row r="1849" spans="1:6">
      <c r="A1849" t="s">
        <v>4156</v>
      </c>
      <c r="B1849" t="s">
        <v>4157</v>
      </c>
      <c r="C1849">
        <v>76233044</v>
      </c>
      <c r="D1849">
        <v>2502072</v>
      </c>
      <c r="E1849" t="s">
        <v>729</v>
      </c>
      <c r="F1849" s="5">
        <v>200</v>
      </c>
    </row>
    <row r="1850" spans="1:6" hidden="1">
      <c r="A1850" t="s">
        <v>2470</v>
      </c>
      <c r="B1850" t="s">
        <v>2471</v>
      </c>
      <c r="C1850">
        <v>76039025</v>
      </c>
      <c r="D1850">
        <v>488</v>
      </c>
      <c r="E1850" t="s">
        <v>39</v>
      </c>
      <c r="F1850" s="5">
        <v>450</v>
      </c>
    </row>
    <row r="1851" spans="1:6">
      <c r="A1851" t="s">
        <v>2470</v>
      </c>
      <c r="B1851" t="s">
        <v>2471</v>
      </c>
      <c r="C1851">
        <v>76039025</v>
      </c>
      <c r="D1851">
        <v>488</v>
      </c>
      <c r="E1851" t="s">
        <v>729</v>
      </c>
      <c r="F1851" s="5">
        <v>200</v>
      </c>
    </row>
    <row r="1852" spans="1:6" hidden="1">
      <c r="A1852" t="s">
        <v>4643</v>
      </c>
      <c r="B1852" t="s">
        <v>4644</v>
      </c>
      <c r="C1852">
        <v>76259156</v>
      </c>
      <c r="D1852">
        <v>3002007</v>
      </c>
      <c r="E1852" t="s">
        <v>39</v>
      </c>
      <c r="F1852" s="5">
        <v>300</v>
      </c>
    </row>
    <row r="1853" spans="1:6">
      <c r="A1853" t="s">
        <v>4643</v>
      </c>
      <c r="B1853" t="s">
        <v>4644</v>
      </c>
      <c r="C1853">
        <v>76259156</v>
      </c>
      <c r="D1853">
        <v>3002007</v>
      </c>
      <c r="E1853" t="s">
        <v>729</v>
      </c>
      <c r="F1853" s="5">
        <v>200</v>
      </c>
    </row>
    <row r="1854" spans="1:6" hidden="1">
      <c r="A1854" t="s">
        <v>3043</v>
      </c>
      <c r="B1854" t="s">
        <v>3044</v>
      </c>
      <c r="C1854">
        <v>76163027</v>
      </c>
      <c r="D1854">
        <v>2500795</v>
      </c>
      <c r="E1854" t="s">
        <v>39</v>
      </c>
      <c r="F1854" s="5">
        <v>300</v>
      </c>
    </row>
    <row r="1855" spans="1:6">
      <c r="A1855" t="s">
        <v>3043</v>
      </c>
      <c r="B1855" t="s">
        <v>3044</v>
      </c>
      <c r="C1855">
        <v>76163027</v>
      </c>
      <c r="D1855">
        <v>2500795</v>
      </c>
      <c r="E1855" t="s">
        <v>729</v>
      </c>
      <c r="F1855" s="5">
        <v>200</v>
      </c>
    </row>
    <row r="1856" spans="1:6" hidden="1">
      <c r="A1856" t="s">
        <v>252</v>
      </c>
      <c r="B1856" t="s">
        <v>253</v>
      </c>
      <c r="C1856">
        <v>76241447</v>
      </c>
      <c r="D1856">
        <v>2002789</v>
      </c>
      <c r="E1856" t="s">
        <v>39</v>
      </c>
      <c r="F1856" s="5">
        <v>300</v>
      </c>
    </row>
    <row r="1857" spans="1:6">
      <c r="A1857" t="s">
        <v>252</v>
      </c>
      <c r="B1857" t="s">
        <v>253</v>
      </c>
      <c r="C1857">
        <v>76241447</v>
      </c>
      <c r="D1857">
        <v>2002789</v>
      </c>
      <c r="E1857" t="s">
        <v>729</v>
      </c>
      <c r="F1857" s="5">
        <v>200</v>
      </c>
    </row>
    <row r="1858" spans="1:6" hidden="1">
      <c r="A1858" t="s">
        <v>4354</v>
      </c>
      <c r="B1858" t="s">
        <v>4355</v>
      </c>
      <c r="C1858">
        <v>76241446</v>
      </c>
      <c r="D1858">
        <v>2002808</v>
      </c>
      <c r="E1858" t="s">
        <v>39</v>
      </c>
      <c r="F1858" s="5">
        <v>300</v>
      </c>
    </row>
    <row r="1859" spans="1:6">
      <c r="A1859" t="s">
        <v>4354</v>
      </c>
      <c r="B1859" t="s">
        <v>4355</v>
      </c>
      <c r="C1859">
        <v>76241446</v>
      </c>
      <c r="D1859">
        <v>2002808</v>
      </c>
      <c r="E1859" t="s">
        <v>729</v>
      </c>
      <c r="F1859" s="5">
        <v>200</v>
      </c>
    </row>
    <row r="1860" spans="1:6" hidden="1">
      <c r="A1860" t="s">
        <v>1667</v>
      </c>
      <c r="B1860" t="s">
        <v>1668</v>
      </c>
      <c r="C1860">
        <v>8320151</v>
      </c>
      <c r="D1860">
        <v>2500259</v>
      </c>
      <c r="E1860" t="s">
        <v>39</v>
      </c>
      <c r="F1860" s="5">
        <v>300</v>
      </c>
    </row>
    <row r="1861" spans="1:6">
      <c r="A1861" t="s">
        <v>1667</v>
      </c>
      <c r="B1861" t="s">
        <v>1668</v>
      </c>
      <c r="C1861">
        <v>8320151</v>
      </c>
      <c r="D1861">
        <v>2500259</v>
      </c>
      <c r="E1861" t="s">
        <v>729</v>
      </c>
      <c r="F1861" s="5">
        <v>200</v>
      </c>
    </row>
    <row r="1862" spans="1:6" hidden="1">
      <c r="A1862" t="s">
        <v>4543</v>
      </c>
      <c r="B1862" t="s">
        <v>4544</v>
      </c>
      <c r="C1862">
        <v>76254172</v>
      </c>
      <c r="D1862">
        <v>3000809</v>
      </c>
      <c r="E1862" t="s">
        <v>39</v>
      </c>
      <c r="F1862" s="5">
        <v>300</v>
      </c>
    </row>
    <row r="1863" spans="1:6">
      <c r="A1863" t="s">
        <v>4543</v>
      </c>
      <c r="B1863" t="s">
        <v>4544</v>
      </c>
      <c r="C1863">
        <v>76254172</v>
      </c>
      <c r="D1863">
        <v>3000809</v>
      </c>
      <c r="E1863" t="s">
        <v>729</v>
      </c>
      <c r="F1863" s="5">
        <v>200</v>
      </c>
    </row>
    <row r="1864" spans="1:6" hidden="1">
      <c r="A1864" t="s">
        <v>2643</v>
      </c>
      <c r="B1864" t="s">
        <v>2644</v>
      </c>
      <c r="C1864">
        <v>76061499</v>
      </c>
      <c r="D1864">
        <v>12028</v>
      </c>
      <c r="E1864" t="s">
        <v>39</v>
      </c>
      <c r="F1864" s="5">
        <v>300</v>
      </c>
    </row>
    <row r="1865" spans="1:6">
      <c r="A1865" t="s">
        <v>2643</v>
      </c>
      <c r="B1865" t="s">
        <v>2644</v>
      </c>
      <c r="C1865">
        <v>76061499</v>
      </c>
      <c r="D1865">
        <v>12028</v>
      </c>
      <c r="E1865" t="s">
        <v>729</v>
      </c>
      <c r="F1865" s="5">
        <v>200</v>
      </c>
    </row>
    <row r="1866" spans="1:6" hidden="1">
      <c r="A1866" t="s">
        <v>3201</v>
      </c>
      <c r="B1866" t="s">
        <v>3202</v>
      </c>
      <c r="C1866">
        <v>76180284</v>
      </c>
      <c r="D1866">
        <v>2000925</v>
      </c>
      <c r="E1866" t="s">
        <v>39</v>
      </c>
      <c r="F1866" s="5">
        <v>300</v>
      </c>
    </row>
    <row r="1867" spans="1:6">
      <c r="A1867" t="s">
        <v>3201</v>
      </c>
      <c r="B1867" t="s">
        <v>3202</v>
      </c>
      <c r="C1867">
        <v>76180284</v>
      </c>
      <c r="D1867">
        <v>2000925</v>
      </c>
      <c r="E1867" t="s">
        <v>729</v>
      </c>
      <c r="F1867" s="5">
        <v>200</v>
      </c>
    </row>
    <row r="1868" spans="1:6" hidden="1">
      <c r="A1868" t="s">
        <v>1897</v>
      </c>
      <c r="B1868" t="s">
        <v>1898</v>
      </c>
      <c r="C1868">
        <v>33077301</v>
      </c>
      <c r="D1868">
        <v>2000224</v>
      </c>
      <c r="E1868" t="s">
        <v>39</v>
      </c>
      <c r="F1868" s="5">
        <v>400</v>
      </c>
    </row>
    <row r="1869" spans="1:6">
      <c r="A1869" t="s">
        <v>1897</v>
      </c>
      <c r="B1869" t="s">
        <v>1898</v>
      </c>
      <c r="C1869">
        <v>33077301</v>
      </c>
      <c r="D1869">
        <v>2000224</v>
      </c>
      <c r="E1869" t="s">
        <v>729</v>
      </c>
      <c r="F1869" s="5">
        <v>200</v>
      </c>
    </row>
    <row r="1870" spans="1:6" hidden="1">
      <c r="A1870" t="s">
        <v>3801</v>
      </c>
      <c r="B1870" t="s">
        <v>3802</v>
      </c>
      <c r="C1870">
        <v>76221438</v>
      </c>
      <c r="D1870">
        <v>2503424</v>
      </c>
      <c r="E1870" t="s">
        <v>39</v>
      </c>
      <c r="F1870" s="5">
        <v>300</v>
      </c>
    </row>
    <row r="1871" spans="1:6">
      <c r="A1871" t="s">
        <v>3801</v>
      </c>
      <c r="B1871" t="s">
        <v>3802</v>
      </c>
      <c r="C1871">
        <v>76221438</v>
      </c>
      <c r="D1871">
        <v>2503424</v>
      </c>
      <c r="E1871" t="s">
        <v>729</v>
      </c>
      <c r="F1871" s="5">
        <v>200</v>
      </c>
    </row>
    <row r="1872" spans="1:6" hidden="1">
      <c r="A1872" t="s">
        <v>655</v>
      </c>
      <c r="B1872" t="s">
        <v>656</v>
      </c>
      <c r="C1872">
        <v>76230520</v>
      </c>
      <c r="D1872">
        <v>2503257</v>
      </c>
      <c r="E1872" t="s">
        <v>39</v>
      </c>
      <c r="F1872" s="5">
        <v>300</v>
      </c>
    </row>
    <row r="1873" spans="1:6">
      <c r="A1873" t="s">
        <v>655</v>
      </c>
      <c r="B1873" t="s">
        <v>656</v>
      </c>
      <c r="C1873">
        <v>76230520</v>
      </c>
      <c r="D1873">
        <v>2503257</v>
      </c>
      <c r="E1873" t="s">
        <v>729</v>
      </c>
      <c r="F1873" s="5">
        <v>200</v>
      </c>
    </row>
    <row r="1874" spans="1:6" hidden="1">
      <c r="A1874" t="s">
        <v>2460</v>
      </c>
      <c r="B1874" t="s">
        <v>2461</v>
      </c>
      <c r="C1874">
        <v>76038006</v>
      </c>
      <c r="D1874">
        <v>2501750</v>
      </c>
      <c r="E1874" t="s">
        <v>39</v>
      </c>
      <c r="F1874" s="5">
        <v>300</v>
      </c>
    </row>
    <row r="1875" spans="1:6">
      <c r="A1875" t="s">
        <v>2460</v>
      </c>
      <c r="B1875" t="s">
        <v>2461</v>
      </c>
      <c r="C1875">
        <v>76038006</v>
      </c>
      <c r="D1875">
        <v>2501750</v>
      </c>
      <c r="E1875" t="s">
        <v>729</v>
      </c>
      <c r="F1875" s="5">
        <v>200</v>
      </c>
    </row>
    <row r="1876" spans="1:6" hidden="1">
      <c r="A1876" t="s">
        <v>4609</v>
      </c>
      <c r="B1876" t="s">
        <v>4610</v>
      </c>
      <c r="C1876">
        <v>76257238</v>
      </c>
      <c r="D1876">
        <v>3000873</v>
      </c>
      <c r="E1876" t="s">
        <v>39</v>
      </c>
      <c r="F1876" s="5">
        <v>300</v>
      </c>
    </row>
    <row r="1877" spans="1:6">
      <c r="A1877" t="s">
        <v>4609</v>
      </c>
      <c r="B1877" t="s">
        <v>4610</v>
      </c>
      <c r="C1877">
        <v>76257238</v>
      </c>
      <c r="D1877">
        <v>3000873</v>
      </c>
      <c r="E1877" t="s">
        <v>729</v>
      </c>
      <c r="F1877" s="5">
        <v>200</v>
      </c>
    </row>
    <row r="1878" spans="1:6" hidden="1">
      <c r="A1878" t="s">
        <v>473</v>
      </c>
      <c r="B1878" t="s">
        <v>474</v>
      </c>
      <c r="C1878">
        <v>76037591</v>
      </c>
      <c r="D1878">
        <v>6091</v>
      </c>
      <c r="E1878" t="s">
        <v>39</v>
      </c>
      <c r="F1878" s="5">
        <v>300</v>
      </c>
    </row>
    <row r="1879" spans="1:6">
      <c r="A1879" t="s">
        <v>473</v>
      </c>
      <c r="B1879" t="s">
        <v>474</v>
      </c>
      <c r="C1879">
        <v>76037591</v>
      </c>
      <c r="D1879">
        <v>6091</v>
      </c>
      <c r="E1879" t="s">
        <v>729</v>
      </c>
      <c r="F1879" s="5">
        <v>200</v>
      </c>
    </row>
    <row r="1880" spans="1:6" hidden="1">
      <c r="A1880" t="s">
        <v>2006</v>
      </c>
      <c r="B1880" t="s">
        <v>2007</v>
      </c>
      <c r="C1880">
        <v>71037241</v>
      </c>
      <c r="D1880">
        <v>2003025</v>
      </c>
      <c r="E1880" t="s">
        <v>39</v>
      </c>
      <c r="F1880" s="5">
        <v>300</v>
      </c>
    </row>
    <row r="1881" spans="1:6">
      <c r="A1881" t="s">
        <v>2006</v>
      </c>
      <c r="B1881" t="s">
        <v>2007</v>
      </c>
      <c r="C1881">
        <v>71037241</v>
      </c>
      <c r="D1881">
        <v>2003025</v>
      </c>
      <c r="E1881" t="s">
        <v>729</v>
      </c>
      <c r="F1881" s="5">
        <v>200</v>
      </c>
    </row>
    <row r="1882" spans="1:6" hidden="1">
      <c r="A1882" t="s">
        <v>3225</v>
      </c>
      <c r="B1882" t="s">
        <v>3226</v>
      </c>
      <c r="C1882">
        <v>76186840</v>
      </c>
      <c r="D1882">
        <v>2500099</v>
      </c>
      <c r="E1882" t="s">
        <v>39</v>
      </c>
      <c r="F1882" s="5">
        <v>300</v>
      </c>
    </row>
    <row r="1883" spans="1:6">
      <c r="A1883" t="s">
        <v>3225</v>
      </c>
      <c r="B1883" t="s">
        <v>3226</v>
      </c>
      <c r="C1883">
        <v>76186840</v>
      </c>
      <c r="D1883">
        <v>2500099</v>
      </c>
      <c r="E1883" t="s">
        <v>729</v>
      </c>
      <c r="F1883" s="5">
        <v>200</v>
      </c>
    </row>
    <row r="1884" spans="1:6" hidden="1">
      <c r="A1884" t="s">
        <v>2999</v>
      </c>
      <c r="B1884" t="s">
        <v>3000</v>
      </c>
      <c r="C1884">
        <v>76157889</v>
      </c>
      <c r="D1884">
        <v>2000307</v>
      </c>
      <c r="E1884" t="s">
        <v>39</v>
      </c>
      <c r="F1884" s="5">
        <v>400</v>
      </c>
    </row>
    <row r="1885" spans="1:6">
      <c r="A1885" t="s">
        <v>2999</v>
      </c>
      <c r="B1885" t="s">
        <v>3000</v>
      </c>
      <c r="C1885">
        <v>76157889</v>
      </c>
      <c r="D1885">
        <v>2000307</v>
      </c>
      <c r="E1885" t="s">
        <v>729</v>
      </c>
      <c r="F1885" s="5">
        <v>200</v>
      </c>
    </row>
    <row r="1886" spans="1:6" hidden="1">
      <c r="A1886" t="s">
        <v>2172</v>
      </c>
      <c r="B1886" t="s">
        <v>2173</v>
      </c>
      <c r="C1886">
        <v>71054998</v>
      </c>
      <c r="D1886">
        <v>432</v>
      </c>
      <c r="E1886" t="s">
        <v>39</v>
      </c>
      <c r="F1886" s="5">
        <v>300</v>
      </c>
    </row>
    <row r="1887" spans="1:6">
      <c r="A1887" t="s">
        <v>2172</v>
      </c>
      <c r="B1887" t="s">
        <v>2173</v>
      </c>
      <c r="C1887">
        <v>71054998</v>
      </c>
      <c r="D1887">
        <v>432</v>
      </c>
      <c r="E1887" t="s">
        <v>729</v>
      </c>
      <c r="F1887" s="5">
        <v>200</v>
      </c>
    </row>
    <row r="1888" spans="1:6" hidden="1">
      <c r="A1888" t="s">
        <v>682</v>
      </c>
      <c r="B1888" t="s">
        <v>683</v>
      </c>
      <c r="C1888">
        <v>76241159</v>
      </c>
      <c r="D1888">
        <v>3001147</v>
      </c>
      <c r="E1888" t="s">
        <v>39</v>
      </c>
      <c r="F1888" s="5">
        <v>300</v>
      </c>
    </row>
    <row r="1889" spans="1:6">
      <c r="A1889" t="s">
        <v>682</v>
      </c>
      <c r="B1889" t="s">
        <v>683</v>
      </c>
      <c r="C1889">
        <v>76241159</v>
      </c>
      <c r="D1889">
        <v>3001147</v>
      </c>
      <c r="E1889" t="s">
        <v>729</v>
      </c>
      <c r="F1889" s="5">
        <v>200</v>
      </c>
    </row>
    <row r="1890" spans="1:6" hidden="1">
      <c r="A1890" t="s">
        <v>3825</v>
      </c>
      <c r="B1890" t="s">
        <v>3826</v>
      </c>
      <c r="C1890">
        <v>76222437</v>
      </c>
      <c r="D1890">
        <v>2001759</v>
      </c>
      <c r="E1890" t="s">
        <v>39</v>
      </c>
      <c r="F1890" s="5">
        <v>300</v>
      </c>
    </row>
    <row r="1891" spans="1:6">
      <c r="A1891" t="s">
        <v>3825</v>
      </c>
      <c r="B1891" t="s">
        <v>3826</v>
      </c>
      <c r="C1891">
        <v>76222437</v>
      </c>
      <c r="D1891">
        <v>2001759</v>
      </c>
      <c r="E1891" t="s">
        <v>729</v>
      </c>
      <c r="F1891" s="5">
        <v>200</v>
      </c>
    </row>
    <row r="1892" spans="1:6" hidden="1">
      <c r="A1892" t="s">
        <v>1956</v>
      </c>
      <c r="B1892" t="s">
        <v>1957</v>
      </c>
      <c r="C1892">
        <v>42923501</v>
      </c>
      <c r="D1892">
        <v>2501559</v>
      </c>
      <c r="E1892" t="s">
        <v>39</v>
      </c>
      <c r="F1892" s="5">
        <v>300</v>
      </c>
    </row>
    <row r="1893" spans="1:6">
      <c r="A1893" t="s">
        <v>1956</v>
      </c>
      <c r="B1893" t="s">
        <v>1957</v>
      </c>
      <c r="C1893">
        <v>42923501</v>
      </c>
      <c r="D1893">
        <v>2501559</v>
      </c>
      <c r="E1893" t="s">
        <v>729</v>
      </c>
      <c r="F1893" s="5">
        <v>200</v>
      </c>
    </row>
    <row r="1894" spans="1:6" hidden="1">
      <c r="A1894" t="s">
        <v>2863</v>
      </c>
      <c r="B1894" t="s">
        <v>2864</v>
      </c>
      <c r="C1894">
        <v>76137617</v>
      </c>
      <c r="D1894">
        <v>6100</v>
      </c>
      <c r="E1894" t="s">
        <v>39</v>
      </c>
      <c r="F1894" s="5">
        <v>300</v>
      </c>
    </row>
    <row r="1895" spans="1:6">
      <c r="A1895" t="s">
        <v>2863</v>
      </c>
      <c r="B1895" t="s">
        <v>2864</v>
      </c>
      <c r="C1895">
        <v>76137617</v>
      </c>
      <c r="D1895">
        <v>6100</v>
      </c>
      <c r="E1895" t="s">
        <v>729</v>
      </c>
      <c r="F1895" s="5">
        <v>200</v>
      </c>
    </row>
    <row r="1896" spans="1:6" hidden="1">
      <c r="A1896" t="s">
        <v>4216</v>
      </c>
      <c r="B1896" t="s">
        <v>4217</v>
      </c>
      <c r="C1896">
        <v>76234882</v>
      </c>
      <c r="D1896">
        <v>3001898</v>
      </c>
      <c r="E1896" t="s">
        <v>39</v>
      </c>
      <c r="F1896" s="5">
        <v>300</v>
      </c>
    </row>
    <row r="1897" spans="1:6">
      <c r="A1897" t="s">
        <v>4216</v>
      </c>
      <c r="B1897" t="s">
        <v>4217</v>
      </c>
      <c r="C1897">
        <v>76234882</v>
      </c>
      <c r="D1897">
        <v>3001898</v>
      </c>
      <c r="E1897" t="s">
        <v>729</v>
      </c>
      <c r="F1897" s="5">
        <v>200</v>
      </c>
    </row>
    <row r="1898" spans="1:6" hidden="1">
      <c r="A1898" t="s">
        <v>3467</v>
      </c>
      <c r="B1898" t="s">
        <v>3468</v>
      </c>
      <c r="C1898">
        <v>76207218</v>
      </c>
      <c r="D1898">
        <v>2500680</v>
      </c>
      <c r="E1898" t="s">
        <v>39</v>
      </c>
      <c r="F1898" s="5">
        <v>300</v>
      </c>
    </row>
    <row r="1899" spans="1:6">
      <c r="A1899" t="s">
        <v>3467</v>
      </c>
      <c r="B1899" t="s">
        <v>3468</v>
      </c>
      <c r="C1899">
        <v>76207218</v>
      </c>
      <c r="D1899">
        <v>2500680</v>
      </c>
      <c r="E1899" t="s">
        <v>729</v>
      </c>
      <c r="F1899" s="5">
        <v>200</v>
      </c>
    </row>
    <row r="1900" spans="1:6" hidden="1">
      <c r="A1900" t="s">
        <v>3469</v>
      </c>
      <c r="B1900" t="s">
        <v>3470</v>
      </c>
      <c r="C1900">
        <v>76207219</v>
      </c>
      <c r="D1900">
        <v>2500681</v>
      </c>
      <c r="E1900" t="s">
        <v>39</v>
      </c>
      <c r="F1900" s="5">
        <v>300</v>
      </c>
    </row>
    <row r="1901" spans="1:6">
      <c r="A1901" t="s">
        <v>3469</v>
      </c>
      <c r="B1901" t="s">
        <v>3470</v>
      </c>
      <c r="C1901">
        <v>76207219</v>
      </c>
      <c r="D1901">
        <v>2500681</v>
      </c>
      <c r="E1901" t="s">
        <v>729</v>
      </c>
      <c r="F1901" s="5">
        <v>200</v>
      </c>
    </row>
    <row r="1902" spans="1:6" hidden="1">
      <c r="A1902" t="s">
        <v>3785</v>
      </c>
      <c r="B1902" t="s">
        <v>3786</v>
      </c>
      <c r="C1902">
        <v>76221166</v>
      </c>
      <c r="D1902">
        <v>2002176</v>
      </c>
      <c r="E1902" t="s">
        <v>39</v>
      </c>
      <c r="F1902" s="5">
        <v>300</v>
      </c>
    </row>
    <row r="1903" spans="1:6">
      <c r="A1903" t="s">
        <v>3785</v>
      </c>
      <c r="B1903" t="s">
        <v>3786</v>
      </c>
      <c r="C1903">
        <v>76221166</v>
      </c>
      <c r="D1903">
        <v>2002176</v>
      </c>
      <c r="E1903" t="s">
        <v>729</v>
      </c>
      <c r="F1903" s="5">
        <v>200</v>
      </c>
    </row>
    <row r="1904" spans="1:6" hidden="1">
      <c r="A1904" t="s">
        <v>3209</v>
      </c>
      <c r="B1904" t="s">
        <v>3210</v>
      </c>
      <c r="C1904">
        <v>76181308</v>
      </c>
      <c r="D1904">
        <v>2500908</v>
      </c>
      <c r="E1904" t="s">
        <v>39</v>
      </c>
      <c r="F1904" s="5">
        <v>300</v>
      </c>
    </row>
    <row r="1905" spans="1:6">
      <c r="A1905" t="s">
        <v>3209</v>
      </c>
      <c r="B1905" t="s">
        <v>3210</v>
      </c>
      <c r="C1905">
        <v>76181308</v>
      </c>
      <c r="D1905">
        <v>2500908</v>
      </c>
      <c r="E1905" t="s">
        <v>729</v>
      </c>
      <c r="F1905" s="5">
        <v>200</v>
      </c>
    </row>
    <row r="1906" spans="1:6" hidden="1">
      <c r="A1906" t="s">
        <v>3363</v>
      </c>
      <c r="B1906" t="s">
        <v>3364</v>
      </c>
      <c r="C1906">
        <v>76202167</v>
      </c>
      <c r="D1906">
        <v>2002307</v>
      </c>
      <c r="E1906" t="s">
        <v>39</v>
      </c>
      <c r="F1906" s="5">
        <v>300</v>
      </c>
    </row>
    <row r="1907" spans="1:6">
      <c r="A1907" t="s">
        <v>3363</v>
      </c>
      <c r="B1907" t="s">
        <v>3364</v>
      </c>
      <c r="C1907">
        <v>76202167</v>
      </c>
      <c r="D1907">
        <v>2002307</v>
      </c>
      <c r="E1907" t="s">
        <v>729</v>
      </c>
      <c r="F1907" s="5">
        <v>200</v>
      </c>
    </row>
    <row r="1908" spans="1:6" hidden="1">
      <c r="A1908" t="s">
        <v>3691</v>
      </c>
      <c r="B1908" t="s">
        <v>3692</v>
      </c>
      <c r="C1908">
        <v>76218340</v>
      </c>
      <c r="D1908">
        <v>2002785</v>
      </c>
      <c r="E1908" t="s">
        <v>39</v>
      </c>
      <c r="F1908" s="5">
        <v>300</v>
      </c>
    </row>
    <row r="1909" spans="1:6">
      <c r="A1909" t="s">
        <v>3691</v>
      </c>
      <c r="B1909" t="s">
        <v>3692</v>
      </c>
      <c r="C1909">
        <v>76218340</v>
      </c>
      <c r="D1909">
        <v>2002785</v>
      </c>
      <c r="E1909" t="s">
        <v>729</v>
      </c>
      <c r="F1909" s="5">
        <v>200</v>
      </c>
    </row>
    <row r="1910" spans="1:6" hidden="1">
      <c r="A1910" t="s">
        <v>108</v>
      </c>
      <c r="B1910" t="s">
        <v>109</v>
      </c>
      <c r="C1910">
        <v>76197109</v>
      </c>
      <c r="D1910">
        <v>2503116</v>
      </c>
      <c r="E1910" t="s">
        <v>39</v>
      </c>
      <c r="F1910" s="5">
        <v>300</v>
      </c>
    </row>
    <row r="1911" spans="1:6">
      <c r="A1911" t="s">
        <v>108</v>
      </c>
      <c r="B1911" t="s">
        <v>109</v>
      </c>
      <c r="C1911">
        <v>76197109</v>
      </c>
      <c r="D1911">
        <v>2503116</v>
      </c>
      <c r="E1911" t="s">
        <v>729</v>
      </c>
      <c r="F1911" s="5">
        <v>200</v>
      </c>
    </row>
    <row r="1912" spans="1:6" hidden="1">
      <c r="A1912" t="s">
        <v>3207</v>
      </c>
      <c r="B1912" t="s">
        <v>3208</v>
      </c>
      <c r="C1912">
        <v>76181307</v>
      </c>
      <c r="D1912">
        <v>2500980</v>
      </c>
      <c r="E1912" t="s">
        <v>39</v>
      </c>
      <c r="F1912" s="5">
        <v>300</v>
      </c>
    </row>
    <row r="1913" spans="1:6">
      <c r="A1913" t="s">
        <v>3207</v>
      </c>
      <c r="B1913" t="s">
        <v>3208</v>
      </c>
      <c r="C1913">
        <v>76181307</v>
      </c>
      <c r="D1913">
        <v>2500980</v>
      </c>
      <c r="E1913" t="s">
        <v>729</v>
      </c>
      <c r="F1913" s="5">
        <v>200</v>
      </c>
    </row>
    <row r="1914" spans="1:6" hidden="1">
      <c r="A1914" t="s">
        <v>3155</v>
      </c>
      <c r="B1914" t="s">
        <v>3156</v>
      </c>
      <c r="C1914">
        <v>76174241</v>
      </c>
      <c r="D1914">
        <v>8080</v>
      </c>
      <c r="E1914" t="s">
        <v>39</v>
      </c>
      <c r="F1914" s="5">
        <v>300</v>
      </c>
    </row>
    <row r="1915" spans="1:6">
      <c r="A1915" t="s">
        <v>3155</v>
      </c>
      <c r="B1915" t="s">
        <v>3156</v>
      </c>
      <c r="C1915">
        <v>76174241</v>
      </c>
      <c r="D1915">
        <v>8080</v>
      </c>
      <c r="E1915" t="s">
        <v>729</v>
      </c>
      <c r="F1915" s="5">
        <v>200</v>
      </c>
    </row>
    <row r="1916" spans="1:6" hidden="1">
      <c r="A1916" t="s">
        <v>2162</v>
      </c>
      <c r="B1916" t="s">
        <v>2163</v>
      </c>
      <c r="C1916">
        <v>71053936</v>
      </c>
      <c r="D1916">
        <v>2002663</v>
      </c>
      <c r="E1916" t="s">
        <v>39</v>
      </c>
      <c r="F1916" s="5">
        <v>300</v>
      </c>
    </row>
    <row r="1917" spans="1:6">
      <c r="A1917" t="s">
        <v>2162</v>
      </c>
      <c r="B1917" t="s">
        <v>2163</v>
      </c>
      <c r="C1917">
        <v>71053936</v>
      </c>
      <c r="D1917">
        <v>2002663</v>
      </c>
      <c r="E1917" t="s">
        <v>729</v>
      </c>
      <c r="F1917" s="5">
        <v>200</v>
      </c>
    </row>
    <row r="1918" spans="1:6" hidden="1">
      <c r="A1918" t="s">
        <v>2070</v>
      </c>
      <c r="B1918" t="s">
        <v>2071</v>
      </c>
      <c r="C1918">
        <v>71044900</v>
      </c>
      <c r="D1918">
        <v>2501741</v>
      </c>
      <c r="E1918" t="s">
        <v>39</v>
      </c>
      <c r="F1918" s="5">
        <v>300</v>
      </c>
    </row>
    <row r="1919" spans="1:6">
      <c r="A1919" t="s">
        <v>2070</v>
      </c>
      <c r="B1919" t="s">
        <v>2071</v>
      </c>
      <c r="C1919">
        <v>71044900</v>
      </c>
      <c r="D1919">
        <v>2501741</v>
      </c>
      <c r="E1919" t="s">
        <v>729</v>
      </c>
      <c r="F1919" s="5">
        <v>200</v>
      </c>
    </row>
    <row r="1920" spans="1:6" hidden="1">
      <c r="A1920" t="s">
        <v>2362</v>
      </c>
      <c r="B1920" t="s">
        <v>2363</v>
      </c>
      <c r="C1920">
        <v>76025457</v>
      </c>
      <c r="D1920">
        <v>3000815</v>
      </c>
      <c r="E1920" t="s">
        <v>39</v>
      </c>
      <c r="F1920" s="5">
        <v>300</v>
      </c>
    </row>
    <row r="1921" spans="1:6">
      <c r="A1921" t="s">
        <v>2362</v>
      </c>
      <c r="B1921" t="s">
        <v>2363</v>
      </c>
      <c r="C1921">
        <v>76025457</v>
      </c>
      <c r="D1921">
        <v>3000815</v>
      </c>
      <c r="E1921" t="s">
        <v>729</v>
      </c>
      <c r="F1921" s="5">
        <v>200</v>
      </c>
    </row>
    <row r="1922" spans="1:6" hidden="1">
      <c r="A1922" t="s">
        <v>3941</v>
      </c>
      <c r="B1922" t="s">
        <v>3942</v>
      </c>
      <c r="C1922">
        <v>76227130</v>
      </c>
      <c r="D1922">
        <v>3001006</v>
      </c>
      <c r="E1922" t="s">
        <v>39</v>
      </c>
      <c r="F1922" s="5">
        <v>300</v>
      </c>
    </row>
    <row r="1923" spans="1:6">
      <c r="A1923" t="s">
        <v>3941</v>
      </c>
      <c r="B1923" t="s">
        <v>3942</v>
      </c>
      <c r="C1923">
        <v>76227130</v>
      </c>
      <c r="D1923">
        <v>3001006</v>
      </c>
      <c r="E1923" t="s">
        <v>729</v>
      </c>
      <c r="F1923" s="5">
        <v>200</v>
      </c>
    </row>
    <row r="1924" spans="1:6" hidden="1">
      <c r="A1924" t="s">
        <v>2416</v>
      </c>
      <c r="B1924" t="s">
        <v>2417</v>
      </c>
      <c r="C1924">
        <v>76033116</v>
      </c>
      <c r="D1924">
        <v>2500704</v>
      </c>
      <c r="E1924" t="s">
        <v>39</v>
      </c>
      <c r="F1924" s="5">
        <v>300</v>
      </c>
    </row>
    <row r="1925" spans="1:6">
      <c r="A1925" t="s">
        <v>2416</v>
      </c>
      <c r="B1925" t="s">
        <v>2417</v>
      </c>
      <c r="C1925">
        <v>76033116</v>
      </c>
      <c r="D1925">
        <v>2500704</v>
      </c>
      <c r="E1925" t="s">
        <v>729</v>
      </c>
      <c r="F1925" s="5">
        <v>200</v>
      </c>
    </row>
    <row r="1926" spans="1:6" hidden="1">
      <c r="A1926" t="s">
        <v>2695</v>
      </c>
      <c r="B1926" t="s">
        <v>2696</v>
      </c>
      <c r="C1926">
        <v>76066101</v>
      </c>
      <c r="D1926">
        <v>3000789</v>
      </c>
      <c r="E1926" t="s">
        <v>39</v>
      </c>
      <c r="F1926" s="5">
        <v>300</v>
      </c>
    </row>
    <row r="1927" spans="1:6">
      <c r="A1927" t="s">
        <v>2695</v>
      </c>
      <c r="B1927" t="s">
        <v>2696</v>
      </c>
      <c r="C1927">
        <v>76066101</v>
      </c>
      <c r="D1927">
        <v>3000789</v>
      </c>
      <c r="E1927" t="s">
        <v>729</v>
      </c>
      <c r="F1927" s="5">
        <v>200</v>
      </c>
    </row>
    <row r="1928" spans="1:6" hidden="1">
      <c r="A1928" t="s">
        <v>2693</v>
      </c>
      <c r="B1928" t="s">
        <v>2694</v>
      </c>
      <c r="C1928">
        <v>76066100</v>
      </c>
      <c r="D1928">
        <v>143152</v>
      </c>
      <c r="E1928" t="s">
        <v>39</v>
      </c>
      <c r="F1928" s="5">
        <v>300</v>
      </c>
    </row>
    <row r="1929" spans="1:6">
      <c r="A1929" t="s">
        <v>2693</v>
      </c>
      <c r="B1929" t="s">
        <v>2694</v>
      </c>
      <c r="C1929">
        <v>76066100</v>
      </c>
      <c r="D1929">
        <v>143152</v>
      </c>
      <c r="E1929" t="s">
        <v>729</v>
      </c>
      <c r="F1929" s="5">
        <v>200</v>
      </c>
    </row>
    <row r="1930" spans="1:6" hidden="1">
      <c r="A1930" t="s">
        <v>4084</v>
      </c>
      <c r="B1930" t="s">
        <v>4085</v>
      </c>
      <c r="C1930">
        <v>76230543</v>
      </c>
      <c r="D1930">
        <v>2503506</v>
      </c>
      <c r="E1930" t="s">
        <v>39</v>
      </c>
      <c r="F1930" s="5">
        <v>300</v>
      </c>
    </row>
    <row r="1931" spans="1:6">
      <c r="A1931" t="s">
        <v>4084</v>
      </c>
      <c r="B1931" t="s">
        <v>4085</v>
      </c>
      <c r="C1931">
        <v>76230543</v>
      </c>
      <c r="D1931">
        <v>2503506</v>
      </c>
      <c r="E1931" t="s">
        <v>729</v>
      </c>
      <c r="F1931" s="5">
        <v>200</v>
      </c>
    </row>
    <row r="1932" spans="1:6" hidden="1">
      <c r="A1932" t="s">
        <v>2877</v>
      </c>
      <c r="B1932" t="s">
        <v>2878</v>
      </c>
      <c r="C1932">
        <v>76141509</v>
      </c>
      <c r="D1932">
        <v>2502363</v>
      </c>
      <c r="E1932" t="s">
        <v>39</v>
      </c>
      <c r="F1932" s="5">
        <v>300</v>
      </c>
    </row>
    <row r="1933" spans="1:6">
      <c r="A1933" t="s">
        <v>2877</v>
      </c>
      <c r="B1933" t="s">
        <v>2878</v>
      </c>
      <c r="C1933">
        <v>76141509</v>
      </c>
      <c r="D1933">
        <v>2502363</v>
      </c>
      <c r="E1933" t="s">
        <v>729</v>
      </c>
      <c r="F1933" s="5">
        <v>200</v>
      </c>
    </row>
    <row r="1934" spans="1:6" hidden="1">
      <c r="A1934" t="s">
        <v>3693</v>
      </c>
      <c r="B1934" t="s">
        <v>3694</v>
      </c>
      <c r="C1934">
        <v>76218663</v>
      </c>
      <c r="D1934">
        <v>2001803</v>
      </c>
      <c r="E1934" t="s">
        <v>39</v>
      </c>
      <c r="F1934" s="5">
        <v>300</v>
      </c>
    </row>
    <row r="1935" spans="1:6">
      <c r="A1935" t="s">
        <v>3693</v>
      </c>
      <c r="B1935" t="s">
        <v>3694</v>
      </c>
      <c r="C1935">
        <v>76218663</v>
      </c>
      <c r="D1935">
        <v>2001803</v>
      </c>
      <c r="E1935" t="s">
        <v>729</v>
      </c>
      <c r="F1935" s="5">
        <v>200</v>
      </c>
    </row>
    <row r="1936" spans="1:6" hidden="1">
      <c r="A1936" t="s">
        <v>3275</v>
      </c>
      <c r="B1936" t="s">
        <v>3276</v>
      </c>
      <c r="C1936">
        <v>76190434</v>
      </c>
      <c r="D1936">
        <v>2503651</v>
      </c>
      <c r="E1936" t="s">
        <v>39</v>
      </c>
      <c r="F1936" s="5">
        <v>300</v>
      </c>
    </row>
    <row r="1937" spans="1:6">
      <c r="A1937" t="s">
        <v>3275</v>
      </c>
      <c r="B1937" t="s">
        <v>3276</v>
      </c>
      <c r="C1937">
        <v>76190434</v>
      </c>
      <c r="D1937">
        <v>2503651</v>
      </c>
      <c r="E1937" t="s">
        <v>729</v>
      </c>
      <c r="F1937" s="5">
        <v>200</v>
      </c>
    </row>
    <row r="1938" spans="1:6" hidden="1">
      <c r="A1938" t="s">
        <v>3093</v>
      </c>
      <c r="B1938" t="s">
        <v>3094</v>
      </c>
      <c r="C1938">
        <v>76167668</v>
      </c>
      <c r="D1938">
        <v>2002627</v>
      </c>
      <c r="E1938" t="s">
        <v>39</v>
      </c>
      <c r="F1938" s="5">
        <v>400</v>
      </c>
    </row>
    <row r="1939" spans="1:6">
      <c r="A1939" t="s">
        <v>3093</v>
      </c>
      <c r="B1939" t="s">
        <v>3094</v>
      </c>
      <c r="C1939">
        <v>76167668</v>
      </c>
      <c r="D1939">
        <v>2002627</v>
      </c>
      <c r="E1939" t="s">
        <v>729</v>
      </c>
      <c r="F1939" s="5">
        <v>200</v>
      </c>
    </row>
    <row r="1940" spans="1:6" hidden="1">
      <c r="A1940" t="s">
        <v>1847</v>
      </c>
      <c r="B1940" t="s">
        <v>1848</v>
      </c>
      <c r="C1940">
        <v>25298565</v>
      </c>
      <c r="D1940">
        <v>0</v>
      </c>
      <c r="E1940" t="s">
        <v>39</v>
      </c>
      <c r="F1940" s="5">
        <v>400</v>
      </c>
    </row>
    <row r="1941" spans="1:6">
      <c r="A1941" t="s">
        <v>1847</v>
      </c>
      <c r="B1941" t="s">
        <v>1848</v>
      </c>
      <c r="C1941">
        <v>25298565</v>
      </c>
      <c r="D1941">
        <v>0</v>
      </c>
      <c r="E1941" t="s">
        <v>729</v>
      </c>
      <c r="F1941" s="5">
        <v>200</v>
      </c>
    </row>
    <row r="1942" spans="1:6" hidden="1">
      <c r="A1942" t="s">
        <v>4641</v>
      </c>
      <c r="B1942" t="s">
        <v>4642</v>
      </c>
      <c r="C1942">
        <v>76259155</v>
      </c>
      <c r="D1942">
        <v>3002032</v>
      </c>
      <c r="E1942" t="s">
        <v>39</v>
      </c>
      <c r="F1942" s="5">
        <v>300</v>
      </c>
    </row>
    <row r="1943" spans="1:6">
      <c r="A1943" t="s">
        <v>4641</v>
      </c>
      <c r="B1943" t="s">
        <v>4642</v>
      </c>
      <c r="C1943">
        <v>76259155</v>
      </c>
      <c r="D1943">
        <v>3002032</v>
      </c>
      <c r="E1943" t="s">
        <v>729</v>
      </c>
      <c r="F1943" s="5">
        <v>200</v>
      </c>
    </row>
    <row r="1944" spans="1:6" hidden="1">
      <c r="A1944" t="s">
        <v>4645</v>
      </c>
      <c r="B1944" t="s">
        <v>4646</v>
      </c>
      <c r="C1944">
        <v>76259165</v>
      </c>
      <c r="D1944">
        <v>3002018</v>
      </c>
      <c r="E1944" t="s">
        <v>39</v>
      </c>
      <c r="F1944" s="5">
        <v>300</v>
      </c>
    </row>
    <row r="1945" spans="1:6">
      <c r="A1945" t="s">
        <v>4645</v>
      </c>
      <c r="B1945" t="s">
        <v>4646</v>
      </c>
      <c r="C1945">
        <v>76259165</v>
      </c>
      <c r="D1945">
        <v>3002018</v>
      </c>
      <c r="E1945" t="s">
        <v>729</v>
      </c>
      <c r="F1945" s="5">
        <v>200</v>
      </c>
    </row>
    <row r="1946" spans="1:6" hidden="1">
      <c r="A1946" t="s">
        <v>1601</v>
      </c>
      <c r="B1946" t="s">
        <v>1602</v>
      </c>
      <c r="C1946">
        <v>5236492</v>
      </c>
      <c r="D1946">
        <v>2002178</v>
      </c>
      <c r="E1946" t="s">
        <v>39</v>
      </c>
      <c r="F1946" s="5">
        <v>450</v>
      </c>
    </row>
    <row r="1947" spans="1:6">
      <c r="A1947" t="s">
        <v>1601</v>
      </c>
      <c r="B1947" t="s">
        <v>1602</v>
      </c>
      <c r="C1947">
        <v>5236492</v>
      </c>
      <c r="D1947">
        <v>2002178</v>
      </c>
      <c r="E1947" t="s">
        <v>729</v>
      </c>
      <c r="F1947" s="5">
        <v>200</v>
      </c>
    </row>
    <row r="1948" spans="1:6" hidden="1">
      <c r="A1948" t="s">
        <v>4184</v>
      </c>
      <c r="B1948" t="s">
        <v>4185</v>
      </c>
      <c r="C1948">
        <v>76233858</v>
      </c>
      <c r="D1948">
        <v>2003127</v>
      </c>
      <c r="E1948" t="s">
        <v>39</v>
      </c>
      <c r="F1948" s="5">
        <v>300</v>
      </c>
    </row>
    <row r="1949" spans="1:6">
      <c r="A1949" t="s">
        <v>4184</v>
      </c>
      <c r="B1949" t="s">
        <v>4185</v>
      </c>
      <c r="C1949">
        <v>76233858</v>
      </c>
      <c r="D1949">
        <v>2003127</v>
      </c>
      <c r="E1949" t="s">
        <v>729</v>
      </c>
      <c r="F1949" s="5">
        <v>200</v>
      </c>
    </row>
    <row r="1950" spans="1:6" hidden="1">
      <c r="A1950" t="s">
        <v>2114</v>
      </c>
      <c r="B1950" t="s">
        <v>2115</v>
      </c>
      <c r="C1950">
        <v>71048536</v>
      </c>
      <c r="D1950">
        <v>2500966</v>
      </c>
      <c r="E1950" t="s">
        <v>39</v>
      </c>
      <c r="F1950" s="5">
        <v>300</v>
      </c>
    </row>
    <row r="1951" spans="1:6">
      <c r="A1951" t="s">
        <v>2114</v>
      </c>
      <c r="B1951" t="s">
        <v>2115</v>
      </c>
      <c r="C1951">
        <v>71048536</v>
      </c>
      <c r="D1951">
        <v>2500966</v>
      </c>
      <c r="E1951" t="s">
        <v>729</v>
      </c>
      <c r="F1951" s="5">
        <v>200</v>
      </c>
    </row>
    <row r="1952" spans="1:6" hidden="1">
      <c r="A1952" t="s">
        <v>186</v>
      </c>
      <c r="B1952" t="s">
        <v>187</v>
      </c>
      <c r="C1952">
        <v>76231689</v>
      </c>
      <c r="D1952">
        <v>2700004</v>
      </c>
      <c r="E1952" t="s">
        <v>39</v>
      </c>
      <c r="F1952" s="5">
        <v>300</v>
      </c>
    </row>
    <row r="1953" spans="1:6">
      <c r="A1953" t="s">
        <v>186</v>
      </c>
      <c r="B1953" t="s">
        <v>187</v>
      </c>
      <c r="C1953">
        <v>76231689</v>
      </c>
      <c r="D1953">
        <v>2700004</v>
      </c>
      <c r="E1953" t="s">
        <v>729</v>
      </c>
      <c r="F1953" s="5">
        <v>200</v>
      </c>
    </row>
    <row r="1954" spans="1:6" hidden="1">
      <c r="A1954" t="s">
        <v>3339</v>
      </c>
      <c r="B1954" t="s">
        <v>3340</v>
      </c>
      <c r="C1954">
        <v>76200704</v>
      </c>
      <c r="D1954">
        <v>2503572</v>
      </c>
      <c r="E1954" t="s">
        <v>39</v>
      </c>
      <c r="F1954" s="5">
        <v>300</v>
      </c>
    </row>
    <row r="1955" spans="1:6">
      <c r="A1955" t="s">
        <v>3339</v>
      </c>
      <c r="B1955" t="s">
        <v>3340</v>
      </c>
      <c r="C1955">
        <v>76200704</v>
      </c>
      <c r="D1955">
        <v>2503572</v>
      </c>
      <c r="E1955" t="s">
        <v>729</v>
      </c>
      <c r="F1955" s="5">
        <v>200</v>
      </c>
    </row>
    <row r="1956" spans="1:6" hidden="1">
      <c r="A1956" t="s">
        <v>3263</v>
      </c>
      <c r="B1956" t="s">
        <v>3264</v>
      </c>
      <c r="C1956">
        <v>76189730</v>
      </c>
      <c r="D1956">
        <v>2000093</v>
      </c>
      <c r="E1956" t="s">
        <v>39</v>
      </c>
      <c r="F1956" s="5">
        <v>300</v>
      </c>
    </row>
    <row r="1957" spans="1:6">
      <c r="A1957" t="s">
        <v>3263</v>
      </c>
      <c r="B1957" t="s">
        <v>3264</v>
      </c>
      <c r="C1957">
        <v>76189730</v>
      </c>
      <c r="D1957">
        <v>2000093</v>
      </c>
      <c r="E1957" t="s">
        <v>729</v>
      </c>
      <c r="F1957" s="5">
        <v>200</v>
      </c>
    </row>
    <row r="1958" spans="1:6" hidden="1">
      <c r="A1958" t="s">
        <v>3793</v>
      </c>
      <c r="B1958" t="s">
        <v>3794</v>
      </c>
      <c r="C1958">
        <v>76221221</v>
      </c>
      <c r="D1958">
        <v>2002060</v>
      </c>
      <c r="E1958" t="s">
        <v>39</v>
      </c>
      <c r="F1958" s="5">
        <v>300</v>
      </c>
    </row>
    <row r="1959" spans="1:6">
      <c r="A1959" t="s">
        <v>3793</v>
      </c>
      <c r="B1959" t="s">
        <v>3794</v>
      </c>
      <c r="C1959">
        <v>76221221</v>
      </c>
      <c r="D1959">
        <v>2002060</v>
      </c>
      <c r="E1959" t="s">
        <v>729</v>
      </c>
      <c r="F1959" s="5">
        <v>200</v>
      </c>
    </row>
    <row r="1960" spans="1:6" hidden="1">
      <c r="A1960" t="s">
        <v>3523</v>
      </c>
      <c r="B1960" t="s">
        <v>3524</v>
      </c>
      <c r="C1960">
        <v>76209505</v>
      </c>
      <c r="D1960">
        <v>2501680</v>
      </c>
      <c r="E1960" t="s">
        <v>39</v>
      </c>
      <c r="F1960" s="5">
        <v>300</v>
      </c>
    </row>
    <row r="1961" spans="1:6">
      <c r="A1961" t="s">
        <v>3523</v>
      </c>
      <c r="B1961" t="s">
        <v>3524</v>
      </c>
      <c r="C1961">
        <v>76209505</v>
      </c>
      <c r="D1961">
        <v>2501680</v>
      </c>
      <c r="E1961" t="s">
        <v>729</v>
      </c>
      <c r="F1961" s="5">
        <v>200</v>
      </c>
    </row>
    <row r="1962" spans="1:6" hidden="1">
      <c r="A1962" t="s">
        <v>2605</v>
      </c>
      <c r="B1962" t="s">
        <v>2606</v>
      </c>
      <c r="C1962">
        <v>76058173</v>
      </c>
      <c r="D1962">
        <v>2501823</v>
      </c>
      <c r="E1962" t="s">
        <v>39</v>
      </c>
      <c r="F1962" s="5">
        <v>300</v>
      </c>
    </row>
    <row r="1963" spans="1:6">
      <c r="A1963" t="s">
        <v>2605</v>
      </c>
      <c r="B1963" t="s">
        <v>2606</v>
      </c>
      <c r="C1963">
        <v>76058173</v>
      </c>
      <c r="D1963">
        <v>2501823</v>
      </c>
      <c r="E1963" t="s">
        <v>729</v>
      </c>
      <c r="F1963" s="5">
        <v>200</v>
      </c>
    </row>
    <row r="1964" spans="1:6" hidden="1">
      <c r="A1964" t="s">
        <v>2554</v>
      </c>
      <c r="B1964" t="s">
        <v>2555</v>
      </c>
      <c r="C1964">
        <v>76051494</v>
      </c>
      <c r="D1964">
        <v>2503310</v>
      </c>
      <c r="E1964" t="s">
        <v>39</v>
      </c>
      <c r="F1964" s="5">
        <v>300</v>
      </c>
    </row>
    <row r="1965" spans="1:6">
      <c r="A1965" t="s">
        <v>2554</v>
      </c>
      <c r="B1965" t="s">
        <v>2555</v>
      </c>
      <c r="C1965">
        <v>76051494</v>
      </c>
      <c r="D1965">
        <v>2503310</v>
      </c>
      <c r="E1965" t="s">
        <v>729</v>
      </c>
      <c r="F1965" s="5">
        <v>200</v>
      </c>
    </row>
    <row r="1966" spans="1:6" hidden="1">
      <c r="A1966" t="s">
        <v>2552</v>
      </c>
      <c r="B1966" t="s">
        <v>2553</v>
      </c>
      <c r="C1966">
        <v>76051491</v>
      </c>
      <c r="D1966">
        <v>2501823</v>
      </c>
      <c r="E1966" t="s">
        <v>39</v>
      </c>
      <c r="F1966" s="5">
        <v>300</v>
      </c>
    </row>
    <row r="1967" spans="1:6">
      <c r="A1967" t="s">
        <v>2552</v>
      </c>
      <c r="B1967" t="s">
        <v>2553</v>
      </c>
      <c r="C1967">
        <v>76051491</v>
      </c>
      <c r="D1967">
        <v>2501823</v>
      </c>
      <c r="E1967" t="s">
        <v>729</v>
      </c>
      <c r="F1967" s="5">
        <v>200</v>
      </c>
    </row>
    <row r="1968" spans="1:6" hidden="1">
      <c r="A1968" t="s">
        <v>2300</v>
      </c>
      <c r="B1968" t="s">
        <v>2301</v>
      </c>
      <c r="C1968">
        <v>76019351</v>
      </c>
      <c r="D1968">
        <v>1500066</v>
      </c>
      <c r="E1968" t="s">
        <v>39</v>
      </c>
      <c r="F1968" s="5">
        <v>300</v>
      </c>
    </row>
    <row r="1969" spans="1:6">
      <c r="A1969" t="s">
        <v>2300</v>
      </c>
      <c r="B1969" t="s">
        <v>2301</v>
      </c>
      <c r="C1969">
        <v>76019351</v>
      </c>
      <c r="D1969">
        <v>1500066</v>
      </c>
      <c r="E1969" t="s">
        <v>729</v>
      </c>
      <c r="F1969" s="5">
        <v>200</v>
      </c>
    </row>
    <row r="1970" spans="1:6" hidden="1">
      <c r="A1970" t="s">
        <v>4464</v>
      </c>
      <c r="B1970" t="s">
        <v>4465</v>
      </c>
      <c r="C1970">
        <v>76250898</v>
      </c>
      <c r="D1970">
        <v>2003008</v>
      </c>
      <c r="E1970" t="s">
        <v>39</v>
      </c>
      <c r="F1970" s="5">
        <v>300</v>
      </c>
    </row>
    <row r="1971" spans="1:6">
      <c r="A1971" t="s">
        <v>4464</v>
      </c>
      <c r="B1971" t="s">
        <v>4465</v>
      </c>
      <c r="C1971">
        <v>76250898</v>
      </c>
      <c r="D1971">
        <v>2003008</v>
      </c>
      <c r="E1971" t="s">
        <v>729</v>
      </c>
      <c r="F1971" s="5">
        <v>200</v>
      </c>
    </row>
    <row r="1972" spans="1:6" hidden="1">
      <c r="A1972" t="s">
        <v>382</v>
      </c>
      <c r="B1972" t="s">
        <v>383</v>
      </c>
      <c r="C1972">
        <v>1012202</v>
      </c>
      <c r="D1972">
        <v>3001510</v>
      </c>
      <c r="E1972" t="s">
        <v>39</v>
      </c>
      <c r="F1972" s="5">
        <v>300</v>
      </c>
    </row>
    <row r="1973" spans="1:6">
      <c r="A1973" t="s">
        <v>382</v>
      </c>
      <c r="B1973" t="s">
        <v>383</v>
      </c>
      <c r="C1973">
        <v>1012202</v>
      </c>
      <c r="D1973">
        <v>3001510</v>
      </c>
      <c r="E1973" t="s">
        <v>729</v>
      </c>
      <c r="F1973" s="5">
        <v>200</v>
      </c>
    </row>
    <row r="1974" spans="1:6" hidden="1">
      <c r="A1974" t="s">
        <v>379</v>
      </c>
      <c r="B1974" t="s">
        <v>380</v>
      </c>
      <c r="C1974">
        <v>1012201</v>
      </c>
      <c r="D1974">
        <v>3001502</v>
      </c>
      <c r="E1974" t="s">
        <v>39</v>
      </c>
      <c r="F1974" s="5">
        <v>300</v>
      </c>
    </row>
    <row r="1975" spans="1:6">
      <c r="A1975" t="s">
        <v>379</v>
      </c>
      <c r="B1975" t="s">
        <v>380</v>
      </c>
      <c r="C1975">
        <v>1012201</v>
      </c>
      <c r="D1975">
        <v>3001502</v>
      </c>
      <c r="E1975" t="s">
        <v>729</v>
      </c>
      <c r="F1975" s="5">
        <v>200</v>
      </c>
    </row>
    <row r="1976" spans="1:6" hidden="1">
      <c r="A1976" t="s">
        <v>3593</v>
      </c>
      <c r="B1976" t="s">
        <v>3594</v>
      </c>
      <c r="C1976">
        <v>76213117</v>
      </c>
      <c r="D1976">
        <v>2502608</v>
      </c>
      <c r="E1976" t="s">
        <v>39</v>
      </c>
      <c r="F1976" s="5">
        <v>300</v>
      </c>
    </row>
    <row r="1977" spans="1:6">
      <c r="A1977" t="s">
        <v>3593</v>
      </c>
      <c r="B1977" t="s">
        <v>3594</v>
      </c>
      <c r="C1977">
        <v>76213117</v>
      </c>
      <c r="D1977">
        <v>2502608</v>
      </c>
      <c r="E1977" t="s">
        <v>729</v>
      </c>
      <c r="F1977" s="5">
        <v>200</v>
      </c>
    </row>
    <row r="1978" spans="1:6" hidden="1">
      <c r="A1978" t="s">
        <v>3623</v>
      </c>
      <c r="B1978" t="s">
        <v>3624</v>
      </c>
      <c r="C1978">
        <v>76213673</v>
      </c>
      <c r="D1978">
        <v>2501883</v>
      </c>
      <c r="E1978" t="s">
        <v>39</v>
      </c>
      <c r="F1978" s="5">
        <v>300</v>
      </c>
    </row>
    <row r="1979" spans="1:6">
      <c r="A1979" t="s">
        <v>3623</v>
      </c>
      <c r="B1979" t="s">
        <v>3624</v>
      </c>
      <c r="C1979">
        <v>76213673</v>
      </c>
      <c r="D1979">
        <v>2501883</v>
      </c>
      <c r="E1979" t="s">
        <v>729</v>
      </c>
      <c r="F1979" s="5">
        <v>200</v>
      </c>
    </row>
    <row r="1980" spans="1:6" hidden="1">
      <c r="A1980" t="s">
        <v>1671</v>
      </c>
      <c r="B1980" t="s">
        <v>1672</v>
      </c>
      <c r="C1980">
        <v>9082601</v>
      </c>
      <c r="D1980">
        <v>3000737</v>
      </c>
      <c r="E1980" t="s">
        <v>39</v>
      </c>
      <c r="F1980" s="5">
        <v>300</v>
      </c>
    </row>
    <row r="1981" spans="1:6">
      <c r="A1981" t="s">
        <v>1671</v>
      </c>
      <c r="B1981" t="s">
        <v>1672</v>
      </c>
      <c r="C1981">
        <v>9082601</v>
      </c>
      <c r="D1981">
        <v>3000737</v>
      </c>
      <c r="E1981" t="s">
        <v>729</v>
      </c>
      <c r="F1981" s="5">
        <v>200</v>
      </c>
    </row>
    <row r="1982" spans="1:6" hidden="1">
      <c r="A1982" t="s">
        <v>2048</v>
      </c>
      <c r="B1982" t="s">
        <v>2049</v>
      </c>
      <c r="C1982">
        <v>71042591</v>
      </c>
      <c r="D1982">
        <v>3002002</v>
      </c>
      <c r="E1982" t="s">
        <v>39</v>
      </c>
      <c r="F1982" s="5">
        <v>400</v>
      </c>
    </row>
    <row r="1983" spans="1:6">
      <c r="A1983" t="s">
        <v>2048</v>
      </c>
      <c r="B1983" t="s">
        <v>2049</v>
      </c>
      <c r="C1983">
        <v>71042591</v>
      </c>
      <c r="D1983">
        <v>3002002</v>
      </c>
      <c r="E1983" t="s">
        <v>729</v>
      </c>
      <c r="F1983" s="5">
        <v>200</v>
      </c>
    </row>
    <row r="1984" spans="1:6" hidden="1">
      <c r="A1984" t="s">
        <v>2500</v>
      </c>
      <c r="B1984" t="s">
        <v>2501</v>
      </c>
      <c r="C1984">
        <v>76041932</v>
      </c>
      <c r="D1984">
        <v>2503590</v>
      </c>
      <c r="E1984" t="s">
        <v>39</v>
      </c>
      <c r="F1984" s="5">
        <v>300</v>
      </c>
    </row>
    <row r="1985" spans="1:6">
      <c r="A1985" t="s">
        <v>2500</v>
      </c>
      <c r="B1985" t="s">
        <v>2501</v>
      </c>
      <c r="C1985">
        <v>76041932</v>
      </c>
      <c r="D1985">
        <v>2503590</v>
      </c>
      <c r="E1985" t="s">
        <v>729</v>
      </c>
      <c r="F1985" s="5">
        <v>200</v>
      </c>
    </row>
    <row r="1986" spans="1:6" hidden="1">
      <c r="A1986" t="s">
        <v>4503</v>
      </c>
      <c r="B1986" t="s">
        <v>4504</v>
      </c>
      <c r="C1986">
        <v>76252222</v>
      </c>
      <c r="D1986">
        <v>2501457</v>
      </c>
      <c r="E1986" t="s">
        <v>39</v>
      </c>
      <c r="F1986" s="5">
        <v>300</v>
      </c>
    </row>
    <row r="1987" spans="1:6">
      <c r="A1987" t="s">
        <v>4503</v>
      </c>
      <c r="B1987" t="s">
        <v>4504</v>
      </c>
      <c r="C1987">
        <v>76252222</v>
      </c>
      <c r="D1987">
        <v>2501457</v>
      </c>
      <c r="E1987" t="s">
        <v>729</v>
      </c>
      <c r="F1987" s="5">
        <v>200</v>
      </c>
    </row>
    <row r="1988" spans="1:6" hidden="1">
      <c r="A1988" t="s">
        <v>4104</v>
      </c>
      <c r="B1988" t="s">
        <v>4105</v>
      </c>
      <c r="C1988">
        <v>76231347</v>
      </c>
      <c r="D1988">
        <v>2502824</v>
      </c>
      <c r="E1988" t="s">
        <v>39</v>
      </c>
      <c r="F1988" s="5">
        <v>300</v>
      </c>
    </row>
    <row r="1989" spans="1:6">
      <c r="A1989" t="s">
        <v>4104</v>
      </c>
      <c r="B1989" t="s">
        <v>4105</v>
      </c>
      <c r="C1989">
        <v>76231347</v>
      </c>
      <c r="D1989">
        <v>2502824</v>
      </c>
      <c r="E1989" t="s">
        <v>729</v>
      </c>
      <c r="F1989" s="5">
        <v>200</v>
      </c>
    </row>
    <row r="1990" spans="1:6" hidden="1">
      <c r="A1990" t="s">
        <v>4102</v>
      </c>
      <c r="B1990" t="s">
        <v>4103</v>
      </c>
      <c r="C1990">
        <v>76231336</v>
      </c>
      <c r="D1990">
        <v>2502751</v>
      </c>
      <c r="E1990" t="s">
        <v>39</v>
      </c>
      <c r="F1990" s="5">
        <v>300</v>
      </c>
    </row>
    <row r="1991" spans="1:6">
      <c r="A1991" t="s">
        <v>4102</v>
      </c>
      <c r="B1991" t="s">
        <v>4103</v>
      </c>
      <c r="C1991">
        <v>76231336</v>
      </c>
      <c r="D1991">
        <v>2502751</v>
      </c>
      <c r="E1991" t="s">
        <v>729</v>
      </c>
      <c r="F1991" s="5">
        <v>200</v>
      </c>
    </row>
    <row r="1992" spans="1:6" hidden="1">
      <c r="A1992" t="s">
        <v>1585</v>
      </c>
      <c r="B1992" t="s">
        <v>1586</v>
      </c>
      <c r="C1992">
        <v>5163202</v>
      </c>
      <c r="D1992">
        <v>2001237</v>
      </c>
      <c r="E1992" t="s">
        <v>39</v>
      </c>
      <c r="F1992" s="5">
        <v>300</v>
      </c>
    </row>
    <row r="1993" spans="1:6">
      <c r="A1993" t="s">
        <v>1585</v>
      </c>
      <c r="B1993" t="s">
        <v>1586</v>
      </c>
      <c r="C1993">
        <v>5163202</v>
      </c>
      <c r="D1993">
        <v>2001237</v>
      </c>
      <c r="E1993" t="s">
        <v>729</v>
      </c>
      <c r="F1993" s="5">
        <v>200</v>
      </c>
    </row>
    <row r="1994" spans="1:6" hidden="1">
      <c r="A1994" t="s">
        <v>1583</v>
      </c>
      <c r="B1994" t="s">
        <v>1584</v>
      </c>
      <c r="C1994">
        <v>5163201</v>
      </c>
      <c r="D1994">
        <v>2001236</v>
      </c>
      <c r="E1994" t="s">
        <v>39</v>
      </c>
      <c r="F1994" s="5">
        <v>300</v>
      </c>
    </row>
    <row r="1995" spans="1:6">
      <c r="A1995" t="s">
        <v>1583</v>
      </c>
      <c r="B1995" t="s">
        <v>1584</v>
      </c>
      <c r="C1995">
        <v>5163201</v>
      </c>
      <c r="D1995">
        <v>2001236</v>
      </c>
      <c r="E1995" t="s">
        <v>729</v>
      </c>
      <c r="F1995" s="5">
        <v>200</v>
      </c>
    </row>
    <row r="1996" spans="1:6" hidden="1">
      <c r="A1996" t="s">
        <v>2677</v>
      </c>
      <c r="B1996" t="s">
        <v>2678</v>
      </c>
      <c r="C1996">
        <v>76065889</v>
      </c>
      <c r="D1996">
        <v>2000860</v>
      </c>
      <c r="E1996" t="s">
        <v>39</v>
      </c>
      <c r="F1996" s="5">
        <v>300</v>
      </c>
    </row>
    <row r="1997" spans="1:6">
      <c r="A1997" t="s">
        <v>2677</v>
      </c>
      <c r="B1997" t="s">
        <v>2678</v>
      </c>
      <c r="C1997">
        <v>76065889</v>
      </c>
      <c r="D1997">
        <v>2000860</v>
      </c>
      <c r="E1997" t="s">
        <v>729</v>
      </c>
      <c r="F1997" s="5">
        <v>200</v>
      </c>
    </row>
    <row r="1998" spans="1:6" hidden="1">
      <c r="A1998" t="s">
        <v>4298</v>
      </c>
      <c r="B1998" t="s">
        <v>4299</v>
      </c>
      <c r="C1998">
        <v>76238621</v>
      </c>
      <c r="D1998">
        <v>2000200</v>
      </c>
      <c r="E1998" t="s">
        <v>39</v>
      </c>
      <c r="F1998" s="5">
        <v>300</v>
      </c>
    </row>
    <row r="1999" spans="1:6">
      <c r="A1999" t="s">
        <v>4298</v>
      </c>
      <c r="B1999" t="s">
        <v>4299</v>
      </c>
      <c r="C1999">
        <v>76238621</v>
      </c>
      <c r="D1999">
        <v>2000200</v>
      </c>
      <c r="E1999" t="s">
        <v>729</v>
      </c>
      <c r="F1999" s="5">
        <v>200</v>
      </c>
    </row>
    <row r="2000" spans="1:6" hidden="1">
      <c r="A2000" t="s">
        <v>2332</v>
      </c>
      <c r="B2000" t="s">
        <v>2333</v>
      </c>
      <c r="C2000">
        <v>76022801</v>
      </c>
      <c r="D2000">
        <v>2503466</v>
      </c>
      <c r="E2000" t="s">
        <v>39</v>
      </c>
      <c r="F2000" s="5">
        <v>300</v>
      </c>
    </row>
    <row r="2001" spans="1:6">
      <c r="A2001" t="s">
        <v>2332</v>
      </c>
      <c r="B2001" t="s">
        <v>2333</v>
      </c>
      <c r="C2001">
        <v>76022801</v>
      </c>
      <c r="D2001">
        <v>2503466</v>
      </c>
      <c r="E2001" t="s">
        <v>729</v>
      </c>
      <c r="F2001" s="5">
        <v>200</v>
      </c>
    </row>
    <row r="2002" spans="1:6" hidden="1">
      <c r="A2002" t="s">
        <v>2480</v>
      </c>
      <c r="B2002" t="s">
        <v>2481</v>
      </c>
      <c r="C2002">
        <v>76040188</v>
      </c>
      <c r="D2002">
        <v>2502703</v>
      </c>
      <c r="E2002" t="s">
        <v>39</v>
      </c>
      <c r="F2002" s="5">
        <v>300</v>
      </c>
    </row>
    <row r="2003" spans="1:6">
      <c r="A2003" t="s">
        <v>2480</v>
      </c>
      <c r="B2003" t="s">
        <v>2481</v>
      </c>
      <c r="C2003">
        <v>76040188</v>
      </c>
      <c r="D2003">
        <v>2502703</v>
      </c>
      <c r="E2003" t="s">
        <v>729</v>
      </c>
      <c r="F2003" s="5">
        <v>200</v>
      </c>
    </row>
    <row r="2004" spans="1:6" hidden="1">
      <c r="A2004" t="s">
        <v>608</v>
      </c>
      <c r="B2004" t="s">
        <v>609</v>
      </c>
      <c r="C2004">
        <v>76216978</v>
      </c>
      <c r="D2004">
        <v>2501512</v>
      </c>
      <c r="E2004" t="s">
        <v>39</v>
      </c>
      <c r="F2004" s="5">
        <v>300</v>
      </c>
    </row>
    <row r="2005" spans="1:6">
      <c r="A2005" t="s">
        <v>608</v>
      </c>
      <c r="B2005" t="s">
        <v>609</v>
      </c>
      <c r="C2005">
        <v>76216978</v>
      </c>
      <c r="D2005">
        <v>2501512</v>
      </c>
      <c r="E2005" t="s">
        <v>729</v>
      </c>
      <c r="F2005" s="5">
        <v>200</v>
      </c>
    </row>
    <row r="2006" spans="1:6" hidden="1">
      <c r="A2006" t="s">
        <v>605</v>
      </c>
      <c r="B2006" t="s">
        <v>606</v>
      </c>
      <c r="C2006">
        <v>76216971</v>
      </c>
      <c r="D2006">
        <v>2501498</v>
      </c>
      <c r="E2006" t="s">
        <v>39</v>
      </c>
      <c r="F2006" s="5">
        <v>300</v>
      </c>
    </row>
    <row r="2007" spans="1:6">
      <c r="A2007" t="s">
        <v>605</v>
      </c>
      <c r="B2007" t="s">
        <v>606</v>
      </c>
      <c r="C2007">
        <v>76216971</v>
      </c>
      <c r="D2007">
        <v>2501498</v>
      </c>
      <c r="E2007" t="s">
        <v>729</v>
      </c>
      <c r="F2007" s="5">
        <v>200</v>
      </c>
    </row>
    <row r="2008" spans="1:6" hidden="1">
      <c r="A2008" t="s">
        <v>578</v>
      </c>
      <c r="B2008" t="s">
        <v>579</v>
      </c>
      <c r="C2008">
        <v>76204610</v>
      </c>
      <c r="D2008">
        <v>2500558</v>
      </c>
      <c r="E2008" t="s">
        <v>39</v>
      </c>
      <c r="F2008" s="5">
        <v>300</v>
      </c>
    </row>
    <row r="2009" spans="1:6">
      <c r="A2009" t="s">
        <v>578</v>
      </c>
      <c r="B2009" t="s">
        <v>579</v>
      </c>
      <c r="C2009">
        <v>76204610</v>
      </c>
      <c r="D2009">
        <v>2500558</v>
      </c>
      <c r="E2009" t="s">
        <v>729</v>
      </c>
      <c r="F2009" s="5">
        <v>200</v>
      </c>
    </row>
    <row r="2010" spans="1:6" hidden="1">
      <c r="A2010" t="s">
        <v>643</v>
      </c>
      <c r="B2010" t="s">
        <v>644</v>
      </c>
      <c r="C2010">
        <v>76225949</v>
      </c>
      <c r="D2010">
        <v>2502146</v>
      </c>
      <c r="E2010" t="s">
        <v>39</v>
      </c>
      <c r="F2010" s="5">
        <v>300</v>
      </c>
    </row>
    <row r="2011" spans="1:6">
      <c r="A2011" t="s">
        <v>643</v>
      </c>
      <c r="B2011" t="s">
        <v>644</v>
      </c>
      <c r="C2011">
        <v>76225949</v>
      </c>
      <c r="D2011">
        <v>2502146</v>
      </c>
      <c r="E2011" t="s">
        <v>729</v>
      </c>
      <c r="F2011" s="5">
        <v>200</v>
      </c>
    </row>
    <row r="2012" spans="1:6" hidden="1">
      <c r="A2012" t="s">
        <v>2022</v>
      </c>
      <c r="B2012" t="s">
        <v>2023</v>
      </c>
      <c r="C2012">
        <v>71040180</v>
      </c>
      <c r="D2012">
        <v>2501391</v>
      </c>
      <c r="E2012" t="s">
        <v>39</v>
      </c>
      <c r="F2012" s="5">
        <v>300</v>
      </c>
    </row>
    <row r="2013" spans="1:6">
      <c r="A2013" t="s">
        <v>2022</v>
      </c>
      <c r="B2013" t="s">
        <v>2023</v>
      </c>
      <c r="C2013">
        <v>71040180</v>
      </c>
      <c r="D2013">
        <v>2501391</v>
      </c>
      <c r="E2013" t="s">
        <v>729</v>
      </c>
      <c r="F2013" s="5">
        <v>200</v>
      </c>
    </row>
    <row r="2014" spans="1:6" hidden="1">
      <c r="A2014" t="s">
        <v>1978</v>
      </c>
      <c r="B2014" t="s">
        <v>1979</v>
      </c>
      <c r="C2014">
        <v>52280001</v>
      </c>
      <c r="D2014">
        <v>4141</v>
      </c>
      <c r="E2014" t="s">
        <v>39</v>
      </c>
      <c r="F2014" s="5">
        <v>300</v>
      </c>
    </row>
    <row r="2015" spans="1:6">
      <c r="A2015" t="s">
        <v>1978</v>
      </c>
      <c r="B2015" t="s">
        <v>1979</v>
      </c>
      <c r="C2015">
        <v>52280001</v>
      </c>
      <c r="D2015">
        <v>4141</v>
      </c>
      <c r="E2015" t="s">
        <v>729</v>
      </c>
      <c r="F2015" s="5">
        <v>200</v>
      </c>
    </row>
    <row r="2016" spans="1:6" hidden="1">
      <c r="A2016" t="s">
        <v>461</v>
      </c>
      <c r="B2016" t="s">
        <v>462</v>
      </c>
      <c r="C2016">
        <v>76031206</v>
      </c>
      <c r="D2016">
        <v>903072</v>
      </c>
      <c r="E2016" t="s">
        <v>39</v>
      </c>
      <c r="F2016" s="5">
        <v>300</v>
      </c>
    </row>
    <row r="2017" spans="1:6">
      <c r="A2017" t="s">
        <v>461</v>
      </c>
      <c r="B2017" t="s">
        <v>462</v>
      </c>
      <c r="C2017">
        <v>76031206</v>
      </c>
      <c r="D2017">
        <v>903072</v>
      </c>
      <c r="E2017" t="s">
        <v>729</v>
      </c>
      <c r="F2017" s="5">
        <v>200</v>
      </c>
    </row>
    <row r="2018" spans="1:6" hidden="1">
      <c r="A2018" t="s">
        <v>144</v>
      </c>
      <c r="B2018" t="s">
        <v>145</v>
      </c>
      <c r="C2018">
        <v>76227121</v>
      </c>
      <c r="D2018">
        <v>2502262</v>
      </c>
      <c r="E2018" t="s">
        <v>39</v>
      </c>
      <c r="F2018" s="5">
        <v>450</v>
      </c>
    </row>
    <row r="2019" spans="1:6">
      <c r="A2019" t="s">
        <v>144</v>
      </c>
      <c r="B2019" t="s">
        <v>145</v>
      </c>
      <c r="C2019">
        <v>76227121</v>
      </c>
      <c r="D2019">
        <v>2502262</v>
      </c>
      <c r="E2019" t="s">
        <v>729</v>
      </c>
      <c r="F2019" s="5">
        <v>200</v>
      </c>
    </row>
    <row r="2020" spans="1:6" hidden="1">
      <c r="A2020" t="s">
        <v>4496</v>
      </c>
      <c r="B2020" t="s">
        <v>4497</v>
      </c>
      <c r="C2020">
        <v>76252038</v>
      </c>
      <c r="D2020">
        <v>2503501</v>
      </c>
      <c r="E2020" t="s">
        <v>39</v>
      </c>
      <c r="F2020" s="5">
        <v>300</v>
      </c>
    </row>
    <row r="2021" spans="1:6">
      <c r="A2021" t="s">
        <v>4496</v>
      </c>
      <c r="B2021" t="s">
        <v>4497</v>
      </c>
      <c r="C2021">
        <v>76252038</v>
      </c>
      <c r="D2021">
        <v>2503501</v>
      </c>
      <c r="E2021" t="s">
        <v>729</v>
      </c>
      <c r="F2021" s="5">
        <v>200</v>
      </c>
    </row>
    <row r="2022" spans="1:6" hidden="1">
      <c r="A2022" t="s">
        <v>3301</v>
      </c>
      <c r="B2022" t="s">
        <v>3302</v>
      </c>
      <c r="C2022">
        <v>76194724</v>
      </c>
      <c r="D2022">
        <v>2503191</v>
      </c>
      <c r="E2022" t="s">
        <v>39</v>
      </c>
      <c r="F2022" s="5">
        <v>450</v>
      </c>
    </row>
    <row r="2023" spans="1:6">
      <c r="A2023" t="s">
        <v>3301</v>
      </c>
      <c r="B2023" t="s">
        <v>3302</v>
      </c>
      <c r="C2023">
        <v>76194724</v>
      </c>
      <c r="D2023">
        <v>2503191</v>
      </c>
      <c r="E2023" t="s">
        <v>729</v>
      </c>
      <c r="F2023" s="5">
        <v>200</v>
      </c>
    </row>
    <row r="2024" spans="1:6" hidden="1">
      <c r="A2024" t="s">
        <v>4523</v>
      </c>
      <c r="B2024" t="s">
        <v>4524</v>
      </c>
      <c r="C2024">
        <v>76253254</v>
      </c>
      <c r="D2024">
        <v>2003123</v>
      </c>
      <c r="E2024" t="s">
        <v>39</v>
      </c>
      <c r="F2024" s="5">
        <v>300</v>
      </c>
    </row>
    <row r="2025" spans="1:6">
      <c r="A2025" t="s">
        <v>4523</v>
      </c>
      <c r="B2025" t="s">
        <v>4524</v>
      </c>
      <c r="C2025">
        <v>76253254</v>
      </c>
      <c r="D2025">
        <v>2003123</v>
      </c>
      <c r="E2025" t="s">
        <v>729</v>
      </c>
      <c r="F2025" s="5">
        <v>200</v>
      </c>
    </row>
    <row r="2026" spans="1:6" hidden="1">
      <c r="A2026" t="s">
        <v>3877</v>
      </c>
      <c r="B2026" t="s">
        <v>3878</v>
      </c>
      <c r="C2026">
        <v>76225413</v>
      </c>
      <c r="D2026">
        <v>2002113</v>
      </c>
      <c r="E2026" t="s">
        <v>39</v>
      </c>
      <c r="F2026" s="5">
        <v>450</v>
      </c>
    </row>
    <row r="2027" spans="1:6">
      <c r="A2027" t="s">
        <v>3877</v>
      </c>
      <c r="B2027" t="s">
        <v>3878</v>
      </c>
      <c r="C2027">
        <v>76225413</v>
      </c>
      <c r="D2027">
        <v>2002113</v>
      </c>
      <c r="E2027" t="s">
        <v>729</v>
      </c>
      <c r="F2027" s="5">
        <v>200</v>
      </c>
    </row>
    <row r="2028" spans="1:6" hidden="1">
      <c r="A2028" t="s">
        <v>2488</v>
      </c>
      <c r="B2028" t="s">
        <v>2489</v>
      </c>
      <c r="C2028">
        <v>76040897</v>
      </c>
      <c r="D2028">
        <v>2503006</v>
      </c>
      <c r="E2028" t="s">
        <v>39</v>
      </c>
      <c r="F2028" s="5">
        <v>300</v>
      </c>
    </row>
    <row r="2029" spans="1:6">
      <c r="A2029" t="s">
        <v>2488</v>
      </c>
      <c r="B2029" t="s">
        <v>2489</v>
      </c>
      <c r="C2029">
        <v>76040897</v>
      </c>
      <c r="D2029">
        <v>2503006</v>
      </c>
      <c r="E2029" t="s">
        <v>729</v>
      </c>
      <c r="F2029" s="5">
        <v>200</v>
      </c>
    </row>
    <row r="2030" spans="1:6" hidden="1">
      <c r="A2030" t="s">
        <v>2621</v>
      </c>
      <c r="B2030" t="s">
        <v>2622</v>
      </c>
      <c r="C2030">
        <v>76060058</v>
      </c>
      <c r="D2030">
        <v>3045</v>
      </c>
      <c r="E2030" t="s">
        <v>39</v>
      </c>
      <c r="F2030" s="5">
        <v>300</v>
      </c>
    </row>
    <row r="2031" spans="1:6">
      <c r="A2031" t="s">
        <v>2621</v>
      </c>
      <c r="B2031" t="s">
        <v>2622</v>
      </c>
      <c r="C2031">
        <v>76060058</v>
      </c>
      <c r="D2031">
        <v>3045</v>
      </c>
      <c r="E2031" t="s">
        <v>729</v>
      </c>
      <c r="F2031" s="5">
        <v>200</v>
      </c>
    </row>
    <row r="2032" spans="1:6" hidden="1">
      <c r="A2032" t="s">
        <v>1741</v>
      </c>
      <c r="B2032" t="s">
        <v>1742</v>
      </c>
      <c r="C2032">
        <v>13495591</v>
      </c>
      <c r="D2032">
        <v>2502382</v>
      </c>
      <c r="E2032" t="s">
        <v>39</v>
      </c>
      <c r="F2032" s="5">
        <v>300</v>
      </c>
    </row>
    <row r="2033" spans="1:6">
      <c r="A2033" t="s">
        <v>1741</v>
      </c>
      <c r="B2033" t="s">
        <v>1742</v>
      </c>
      <c r="C2033">
        <v>13495591</v>
      </c>
      <c r="D2033">
        <v>2502382</v>
      </c>
      <c r="E2033" t="s">
        <v>729</v>
      </c>
      <c r="F2033" s="5">
        <v>200</v>
      </c>
    </row>
    <row r="2034" spans="1:6" hidden="1">
      <c r="A2034" t="s">
        <v>1923</v>
      </c>
      <c r="B2034" t="s">
        <v>1924</v>
      </c>
      <c r="C2034">
        <v>37136401</v>
      </c>
      <c r="D2034">
        <v>9010</v>
      </c>
      <c r="E2034" t="s">
        <v>39</v>
      </c>
      <c r="F2034" s="5">
        <v>300</v>
      </c>
    </row>
    <row r="2035" spans="1:6">
      <c r="A2035" t="s">
        <v>1923</v>
      </c>
      <c r="B2035" t="s">
        <v>1924</v>
      </c>
      <c r="C2035">
        <v>37136401</v>
      </c>
      <c r="D2035">
        <v>9010</v>
      </c>
      <c r="E2035" t="s">
        <v>729</v>
      </c>
      <c r="F2035" s="5">
        <v>200</v>
      </c>
    </row>
    <row r="2036" spans="1:6" hidden="1">
      <c r="A2036" t="s">
        <v>4032</v>
      </c>
      <c r="B2036" t="s">
        <v>4033</v>
      </c>
      <c r="C2036">
        <v>76229603</v>
      </c>
      <c r="D2036">
        <v>2002073</v>
      </c>
      <c r="E2036" t="s">
        <v>39</v>
      </c>
      <c r="F2036" s="5">
        <v>450</v>
      </c>
    </row>
    <row r="2037" spans="1:6">
      <c r="A2037" t="s">
        <v>4032</v>
      </c>
      <c r="B2037" t="s">
        <v>4033</v>
      </c>
      <c r="C2037">
        <v>76229603</v>
      </c>
      <c r="D2037">
        <v>2002073</v>
      </c>
      <c r="E2037" t="s">
        <v>729</v>
      </c>
      <c r="F2037" s="5">
        <v>200</v>
      </c>
    </row>
    <row r="2038" spans="1:6" hidden="1">
      <c r="A2038" t="s">
        <v>3477</v>
      </c>
      <c r="B2038" t="s">
        <v>3478</v>
      </c>
      <c r="C2038">
        <v>76207710</v>
      </c>
      <c r="D2038">
        <v>3000548</v>
      </c>
      <c r="E2038" t="s">
        <v>39</v>
      </c>
      <c r="F2038" s="5">
        <v>300</v>
      </c>
    </row>
    <row r="2039" spans="1:6">
      <c r="A2039" t="s">
        <v>3477</v>
      </c>
      <c r="B2039" t="s">
        <v>3478</v>
      </c>
      <c r="C2039">
        <v>76207710</v>
      </c>
      <c r="D2039">
        <v>3000548</v>
      </c>
      <c r="E2039" t="s">
        <v>729</v>
      </c>
      <c r="F2039" s="5">
        <v>200</v>
      </c>
    </row>
    <row r="2040" spans="1:6" hidden="1">
      <c r="A2040" t="s">
        <v>3727</v>
      </c>
      <c r="B2040" t="s">
        <v>3728</v>
      </c>
      <c r="C2040">
        <v>76219392</v>
      </c>
      <c r="D2040">
        <v>2502095</v>
      </c>
      <c r="E2040" t="s">
        <v>39</v>
      </c>
      <c r="F2040" s="5">
        <v>450</v>
      </c>
    </row>
    <row r="2041" spans="1:6">
      <c r="A2041" t="s">
        <v>3727</v>
      </c>
      <c r="B2041" t="s">
        <v>3728</v>
      </c>
      <c r="C2041">
        <v>76219392</v>
      </c>
      <c r="D2041">
        <v>2502095</v>
      </c>
      <c r="E2041" t="s">
        <v>729</v>
      </c>
      <c r="F2041" s="5">
        <v>200</v>
      </c>
    </row>
    <row r="2042" spans="1:6" hidden="1">
      <c r="A2042" t="s">
        <v>658</v>
      </c>
      <c r="B2042" t="s">
        <v>659</v>
      </c>
      <c r="C2042">
        <v>76231277</v>
      </c>
      <c r="D2042">
        <v>2502635</v>
      </c>
      <c r="E2042" t="s">
        <v>39</v>
      </c>
      <c r="F2042" s="5">
        <v>300</v>
      </c>
    </row>
    <row r="2043" spans="1:6">
      <c r="A2043" t="s">
        <v>658</v>
      </c>
      <c r="B2043" t="s">
        <v>659</v>
      </c>
      <c r="C2043">
        <v>76231277</v>
      </c>
      <c r="D2043">
        <v>2502635</v>
      </c>
      <c r="E2043" t="s">
        <v>729</v>
      </c>
      <c r="F2043" s="5">
        <v>200</v>
      </c>
    </row>
    <row r="2044" spans="1:6" hidden="1">
      <c r="A2044" t="s">
        <v>4525</v>
      </c>
      <c r="B2044" t="s">
        <v>4526</v>
      </c>
      <c r="C2044">
        <v>76253262</v>
      </c>
      <c r="D2044">
        <v>3001701</v>
      </c>
      <c r="E2044" t="s">
        <v>39</v>
      </c>
      <c r="F2044" s="5">
        <v>400</v>
      </c>
    </row>
    <row r="2045" spans="1:6">
      <c r="A2045" t="s">
        <v>4525</v>
      </c>
      <c r="B2045" t="s">
        <v>4526</v>
      </c>
      <c r="C2045">
        <v>76253262</v>
      </c>
      <c r="D2045">
        <v>3001701</v>
      </c>
      <c r="E2045" t="s">
        <v>729</v>
      </c>
      <c r="F2045" s="5">
        <v>200</v>
      </c>
    </row>
    <row r="2046" spans="1:6" hidden="1">
      <c r="A2046" t="s">
        <v>3133</v>
      </c>
      <c r="B2046" t="s">
        <v>3134</v>
      </c>
      <c r="C2046">
        <v>76171630</v>
      </c>
      <c r="D2046">
        <v>143019</v>
      </c>
      <c r="E2046" t="s">
        <v>39</v>
      </c>
      <c r="F2046" s="5">
        <v>450</v>
      </c>
    </row>
    <row r="2047" spans="1:6">
      <c r="A2047" t="s">
        <v>3133</v>
      </c>
      <c r="B2047" t="s">
        <v>3134</v>
      </c>
      <c r="C2047">
        <v>76171630</v>
      </c>
      <c r="D2047">
        <v>143019</v>
      </c>
      <c r="E2047" t="s">
        <v>729</v>
      </c>
      <c r="F2047" s="5">
        <v>200</v>
      </c>
    </row>
    <row r="2048" spans="1:6" hidden="1">
      <c r="A2048" t="s">
        <v>2226</v>
      </c>
      <c r="B2048" t="s">
        <v>2227</v>
      </c>
      <c r="C2048">
        <v>71063347</v>
      </c>
      <c r="D2048">
        <v>0</v>
      </c>
      <c r="E2048" t="s">
        <v>39</v>
      </c>
      <c r="F2048" s="5">
        <v>450</v>
      </c>
    </row>
    <row r="2049" spans="1:6">
      <c r="A2049" t="s">
        <v>2226</v>
      </c>
      <c r="B2049" t="s">
        <v>2227</v>
      </c>
      <c r="C2049">
        <v>71063347</v>
      </c>
      <c r="D2049">
        <v>0</v>
      </c>
      <c r="E2049" t="s">
        <v>729</v>
      </c>
      <c r="F2049" s="5">
        <v>200</v>
      </c>
    </row>
    <row r="2050" spans="1:6" hidden="1">
      <c r="A2050" t="s">
        <v>84</v>
      </c>
      <c r="B2050" t="s">
        <v>85</v>
      </c>
      <c r="C2050">
        <v>76057672</v>
      </c>
      <c r="D2050">
        <v>2501660</v>
      </c>
      <c r="E2050" t="s">
        <v>39</v>
      </c>
      <c r="F2050" s="5">
        <v>450</v>
      </c>
    </row>
    <row r="2051" spans="1:6">
      <c r="A2051" t="s">
        <v>84</v>
      </c>
      <c r="B2051" t="s">
        <v>85</v>
      </c>
      <c r="C2051">
        <v>76057672</v>
      </c>
      <c r="D2051">
        <v>2501660</v>
      </c>
      <c r="E2051" t="s">
        <v>729</v>
      </c>
      <c r="F2051" s="5">
        <v>200</v>
      </c>
    </row>
    <row r="2052" spans="1:6" hidden="1">
      <c r="A2052" t="s">
        <v>2376</v>
      </c>
      <c r="B2052" t="s">
        <v>2377</v>
      </c>
      <c r="C2052">
        <v>76026362</v>
      </c>
      <c r="D2052">
        <v>2503444</v>
      </c>
      <c r="E2052" t="s">
        <v>39</v>
      </c>
      <c r="F2052" s="5">
        <v>300</v>
      </c>
    </row>
    <row r="2053" spans="1:6">
      <c r="A2053" t="s">
        <v>2376</v>
      </c>
      <c r="B2053" t="s">
        <v>2377</v>
      </c>
      <c r="C2053">
        <v>76026362</v>
      </c>
      <c r="D2053">
        <v>2503444</v>
      </c>
      <c r="E2053" t="s">
        <v>729</v>
      </c>
      <c r="F2053" s="5">
        <v>200</v>
      </c>
    </row>
    <row r="2054" spans="1:6" hidden="1">
      <c r="A2054" t="s">
        <v>99</v>
      </c>
      <c r="B2054" t="s">
        <v>100</v>
      </c>
      <c r="C2054">
        <v>76181139</v>
      </c>
      <c r="D2054">
        <v>3000966</v>
      </c>
      <c r="E2054" t="s">
        <v>39</v>
      </c>
      <c r="F2054" s="5">
        <v>300</v>
      </c>
    </row>
    <row r="2055" spans="1:6">
      <c r="A2055" t="s">
        <v>99</v>
      </c>
      <c r="B2055" t="s">
        <v>100</v>
      </c>
      <c r="C2055">
        <v>76181139</v>
      </c>
      <c r="D2055">
        <v>3000966</v>
      </c>
      <c r="E2055" t="s">
        <v>729</v>
      </c>
      <c r="F2055" s="5">
        <v>200</v>
      </c>
    </row>
    <row r="2056" spans="1:6" hidden="1">
      <c r="A2056" t="s">
        <v>1915</v>
      </c>
      <c r="B2056" t="s">
        <v>1916</v>
      </c>
      <c r="C2056">
        <v>37014101</v>
      </c>
      <c r="D2056">
        <v>3000747</v>
      </c>
      <c r="E2056" t="s">
        <v>39</v>
      </c>
      <c r="F2056" s="5">
        <v>450</v>
      </c>
    </row>
    <row r="2057" spans="1:6">
      <c r="A2057" t="s">
        <v>1915</v>
      </c>
      <c r="B2057" t="s">
        <v>1916</v>
      </c>
      <c r="C2057">
        <v>37014101</v>
      </c>
      <c r="D2057">
        <v>3000747</v>
      </c>
      <c r="E2057" t="s">
        <v>729</v>
      </c>
      <c r="F2057" s="5">
        <v>200</v>
      </c>
    </row>
    <row r="2058" spans="1:6" hidden="1">
      <c r="A2058" t="s">
        <v>2645</v>
      </c>
      <c r="B2058" t="s">
        <v>2646</v>
      </c>
      <c r="C2058">
        <v>76062737</v>
      </c>
      <c r="D2058">
        <v>3000748</v>
      </c>
      <c r="E2058" t="s">
        <v>39</v>
      </c>
      <c r="F2058" s="5">
        <v>300</v>
      </c>
    </row>
    <row r="2059" spans="1:6">
      <c r="A2059" t="s">
        <v>2645</v>
      </c>
      <c r="B2059" t="s">
        <v>2646</v>
      </c>
      <c r="C2059">
        <v>76062737</v>
      </c>
      <c r="D2059">
        <v>3000748</v>
      </c>
      <c r="E2059" t="s">
        <v>729</v>
      </c>
      <c r="F2059" s="5">
        <v>200</v>
      </c>
    </row>
    <row r="2060" spans="1:6" hidden="1">
      <c r="A2060" t="s">
        <v>4394</v>
      </c>
      <c r="B2060" t="s">
        <v>4395</v>
      </c>
      <c r="C2060">
        <v>76244010</v>
      </c>
      <c r="D2060">
        <v>3000742</v>
      </c>
      <c r="E2060" t="s">
        <v>39</v>
      </c>
      <c r="F2060" s="5">
        <v>300</v>
      </c>
    </row>
    <row r="2061" spans="1:6">
      <c r="A2061" t="s">
        <v>4394</v>
      </c>
      <c r="B2061" t="s">
        <v>4395</v>
      </c>
      <c r="C2061">
        <v>76244010</v>
      </c>
      <c r="D2061">
        <v>3000742</v>
      </c>
      <c r="E2061" t="s">
        <v>729</v>
      </c>
      <c r="F2061" s="5">
        <v>200</v>
      </c>
    </row>
    <row r="2062" spans="1:6" hidden="1">
      <c r="A2062" t="s">
        <v>3215</v>
      </c>
      <c r="B2062" t="s">
        <v>3216</v>
      </c>
      <c r="C2062">
        <v>76184827</v>
      </c>
      <c r="D2062">
        <v>3000752</v>
      </c>
      <c r="E2062" t="s">
        <v>39</v>
      </c>
      <c r="F2062" s="5">
        <v>300</v>
      </c>
    </row>
    <row r="2063" spans="1:6">
      <c r="A2063" t="s">
        <v>3215</v>
      </c>
      <c r="B2063" t="s">
        <v>3216</v>
      </c>
      <c r="C2063">
        <v>76184827</v>
      </c>
      <c r="D2063">
        <v>3000752</v>
      </c>
      <c r="E2063" t="s">
        <v>729</v>
      </c>
      <c r="F2063" s="5">
        <v>200</v>
      </c>
    </row>
    <row r="2064" spans="1:6" hidden="1">
      <c r="A2064" t="s">
        <v>3991</v>
      </c>
      <c r="B2064" t="s">
        <v>3992</v>
      </c>
      <c r="C2064">
        <v>76228794</v>
      </c>
      <c r="D2064">
        <v>3000749</v>
      </c>
      <c r="E2064" t="s">
        <v>39</v>
      </c>
      <c r="F2064" s="5">
        <v>300</v>
      </c>
    </row>
    <row r="2065" spans="1:6">
      <c r="A2065" t="s">
        <v>3991</v>
      </c>
      <c r="B2065" t="s">
        <v>3992</v>
      </c>
      <c r="C2065">
        <v>76228794</v>
      </c>
      <c r="D2065">
        <v>3000749</v>
      </c>
      <c r="E2065" t="s">
        <v>729</v>
      </c>
      <c r="F2065" s="5">
        <v>200</v>
      </c>
    </row>
    <row r="2066" spans="1:6" hidden="1">
      <c r="A2066" t="s">
        <v>3837</v>
      </c>
      <c r="B2066" t="s">
        <v>3838</v>
      </c>
      <c r="C2066">
        <v>76223373</v>
      </c>
      <c r="D2066">
        <v>2002254</v>
      </c>
      <c r="E2066" t="s">
        <v>39</v>
      </c>
      <c r="F2066" s="5">
        <v>300</v>
      </c>
    </row>
    <row r="2067" spans="1:6">
      <c r="A2067" t="s">
        <v>3837</v>
      </c>
      <c r="B2067" t="s">
        <v>3838</v>
      </c>
      <c r="C2067">
        <v>76223373</v>
      </c>
      <c r="D2067">
        <v>2002254</v>
      </c>
      <c r="E2067" t="s">
        <v>729</v>
      </c>
      <c r="F2067" s="5">
        <v>200</v>
      </c>
    </row>
    <row r="2068" spans="1:6" hidden="1">
      <c r="A2068" t="s">
        <v>291</v>
      </c>
      <c r="B2068" t="s">
        <v>292</v>
      </c>
      <c r="C2068">
        <v>76256562</v>
      </c>
      <c r="D2068">
        <v>3000496</v>
      </c>
      <c r="E2068" t="s">
        <v>39</v>
      </c>
      <c r="F2068" s="5">
        <v>300</v>
      </c>
    </row>
    <row r="2069" spans="1:6">
      <c r="A2069" t="s">
        <v>291</v>
      </c>
      <c r="B2069" t="s">
        <v>292</v>
      </c>
      <c r="C2069">
        <v>76256562</v>
      </c>
      <c r="D2069">
        <v>3000496</v>
      </c>
      <c r="E2069" t="s">
        <v>729</v>
      </c>
      <c r="F2069" s="5">
        <v>200</v>
      </c>
    </row>
    <row r="2070" spans="1:6" hidden="1">
      <c r="A2070" t="s">
        <v>1755</v>
      </c>
      <c r="B2070" t="s">
        <v>1756</v>
      </c>
      <c r="C2070">
        <v>14610284</v>
      </c>
      <c r="D2070">
        <v>3001702</v>
      </c>
      <c r="E2070" t="s">
        <v>39</v>
      </c>
      <c r="F2070" s="5">
        <v>300</v>
      </c>
    </row>
    <row r="2071" spans="1:6">
      <c r="A2071" t="s">
        <v>1755</v>
      </c>
      <c r="B2071" t="s">
        <v>1756</v>
      </c>
      <c r="C2071">
        <v>14610284</v>
      </c>
      <c r="D2071">
        <v>3001702</v>
      </c>
      <c r="E2071" t="s">
        <v>729</v>
      </c>
      <c r="F2071" s="5">
        <v>200</v>
      </c>
    </row>
    <row r="2072" spans="1:6" hidden="1">
      <c r="A2072" t="s">
        <v>2857</v>
      </c>
      <c r="B2072" t="s">
        <v>2858</v>
      </c>
      <c r="C2072">
        <v>76136145</v>
      </c>
      <c r="D2072">
        <v>1500231</v>
      </c>
      <c r="E2072" t="s">
        <v>39</v>
      </c>
      <c r="F2072" s="5">
        <v>300</v>
      </c>
    </row>
    <row r="2073" spans="1:6">
      <c r="A2073" t="s">
        <v>2857</v>
      </c>
      <c r="B2073" t="s">
        <v>2858</v>
      </c>
      <c r="C2073">
        <v>76136145</v>
      </c>
      <c r="D2073">
        <v>1500231</v>
      </c>
      <c r="E2073" t="s">
        <v>729</v>
      </c>
      <c r="F2073" s="5">
        <v>200</v>
      </c>
    </row>
    <row r="2074" spans="1:6" hidden="1">
      <c r="A2074" t="s">
        <v>2763</v>
      </c>
      <c r="B2074" t="s">
        <v>2764</v>
      </c>
      <c r="C2074">
        <v>76073738</v>
      </c>
      <c r="D2074">
        <v>2501509</v>
      </c>
      <c r="E2074" t="s">
        <v>39</v>
      </c>
      <c r="F2074" s="5">
        <v>300</v>
      </c>
    </row>
    <row r="2075" spans="1:6">
      <c r="A2075" t="s">
        <v>2763</v>
      </c>
      <c r="B2075" t="s">
        <v>2764</v>
      </c>
      <c r="C2075">
        <v>76073738</v>
      </c>
      <c r="D2075">
        <v>2501509</v>
      </c>
      <c r="E2075" t="s">
        <v>729</v>
      </c>
      <c r="F2075" s="5">
        <v>200</v>
      </c>
    </row>
    <row r="2076" spans="1:6" hidden="1">
      <c r="A2076" t="s">
        <v>3671</v>
      </c>
      <c r="B2076" t="s">
        <v>3672</v>
      </c>
      <c r="C2076">
        <v>76217037</v>
      </c>
      <c r="D2076">
        <v>2501507</v>
      </c>
      <c r="E2076" t="s">
        <v>39</v>
      </c>
      <c r="F2076" s="5">
        <v>300</v>
      </c>
    </row>
    <row r="2077" spans="1:6">
      <c r="A2077" t="s">
        <v>3671</v>
      </c>
      <c r="B2077" t="s">
        <v>3672</v>
      </c>
      <c r="C2077">
        <v>76217037</v>
      </c>
      <c r="D2077">
        <v>2501507</v>
      </c>
      <c r="E2077" t="s">
        <v>729</v>
      </c>
      <c r="F2077" s="5">
        <v>200</v>
      </c>
    </row>
    <row r="2078" spans="1:6" hidden="1">
      <c r="A2078" t="s">
        <v>1521</v>
      </c>
      <c r="B2078" t="s">
        <v>1522</v>
      </c>
      <c r="C2078">
        <v>1029905</v>
      </c>
      <c r="D2078">
        <v>2500591</v>
      </c>
      <c r="E2078" t="s">
        <v>39</v>
      </c>
      <c r="F2078" s="5">
        <v>300</v>
      </c>
    </row>
    <row r="2079" spans="1:6">
      <c r="A2079" t="s">
        <v>1521</v>
      </c>
      <c r="B2079" t="s">
        <v>1522</v>
      </c>
      <c r="C2079">
        <v>1029905</v>
      </c>
      <c r="D2079">
        <v>2500591</v>
      </c>
      <c r="E2079" t="s">
        <v>729</v>
      </c>
      <c r="F2079" s="5">
        <v>200</v>
      </c>
    </row>
    <row r="2080" spans="1:6" hidden="1">
      <c r="A2080" t="s">
        <v>1553</v>
      </c>
      <c r="B2080" t="s">
        <v>1554</v>
      </c>
      <c r="C2080">
        <v>1326209</v>
      </c>
      <c r="D2080">
        <v>2500593</v>
      </c>
      <c r="E2080" t="s">
        <v>39</v>
      </c>
      <c r="F2080" s="5">
        <v>300</v>
      </c>
    </row>
    <row r="2081" spans="1:6">
      <c r="A2081" t="s">
        <v>1553</v>
      </c>
      <c r="B2081" t="s">
        <v>1554</v>
      </c>
      <c r="C2081">
        <v>1326209</v>
      </c>
      <c r="D2081">
        <v>2500593</v>
      </c>
      <c r="E2081" t="s">
        <v>729</v>
      </c>
      <c r="F2081" s="5">
        <v>200</v>
      </c>
    </row>
    <row r="2082" spans="1:6" hidden="1">
      <c r="A2082" t="s">
        <v>2482</v>
      </c>
      <c r="B2082" t="s">
        <v>2483</v>
      </c>
      <c r="C2082">
        <v>76040505</v>
      </c>
      <c r="D2082">
        <v>3001302</v>
      </c>
      <c r="E2082" t="s">
        <v>39</v>
      </c>
      <c r="F2082" s="5">
        <v>400</v>
      </c>
    </row>
    <row r="2083" spans="1:6">
      <c r="A2083" t="s">
        <v>2482</v>
      </c>
      <c r="B2083" t="s">
        <v>2483</v>
      </c>
      <c r="C2083">
        <v>76040505</v>
      </c>
      <c r="D2083">
        <v>3001302</v>
      </c>
      <c r="E2083" t="s">
        <v>729</v>
      </c>
      <c r="F2083" s="5">
        <v>200</v>
      </c>
    </row>
    <row r="2084" spans="1:6" hidden="1">
      <c r="A2084" t="s">
        <v>198</v>
      </c>
      <c r="B2084" t="s">
        <v>199</v>
      </c>
      <c r="C2084">
        <v>76232596</v>
      </c>
      <c r="D2084">
        <v>2500144</v>
      </c>
      <c r="E2084" t="s">
        <v>39</v>
      </c>
      <c r="F2084" s="5">
        <v>450</v>
      </c>
    </row>
    <row r="2085" spans="1:6">
      <c r="A2085" t="s">
        <v>198</v>
      </c>
      <c r="B2085" t="s">
        <v>199</v>
      </c>
      <c r="C2085">
        <v>76232596</v>
      </c>
      <c r="D2085">
        <v>2500144</v>
      </c>
      <c r="E2085" t="s">
        <v>729</v>
      </c>
      <c r="F2085" s="5">
        <v>200</v>
      </c>
    </row>
    <row r="2086" spans="1:6" hidden="1">
      <c r="A2086" t="s">
        <v>1597</v>
      </c>
      <c r="B2086" t="s">
        <v>1598</v>
      </c>
      <c r="C2086">
        <v>5236216</v>
      </c>
      <c r="D2086">
        <v>2000368</v>
      </c>
      <c r="E2086" t="s">
        <v>39</v>
      </c>
      <c r="F2086" s="5">
        <v>300</v>
      </c>
    </row>
    <row r="2087" spans="1:6">
      <c r="A2087" t="s">
        <v>1597</v>
      </c>
      <c r="B2087" t="s">
        <v>1598</v>
      </c>
      <c r="C2087">
        <v>5236216</v>
      </c>
      <c r="D2087">
        <v>2000368</v>
      </c>
      <c r="E2087" t="s">
        <v>729</v>
      </c>
      <c r="F2087" s="5">
        <v>200</v>
      </c>
    </row>
    <row r="2088" spans="1:6" hidden="1">
      <c r="A2088" t="s">
        <v>4038</v>
      </c>
      <c r="B2088" t="s">
        <v>4039</v>
      </c>
      <c r="C2088">
        <v>76229670</v>
      </c>
      <c r="D2088">
        <v>3000645</v>
      </c>
      <c r="E2088" t="s">
        <v>39</v>
      </c>
      <c r="F2088" s="5">
        <v>300</v>
      </c>
    </row>
    <row r="2089" spans="1:6">
      <c r="A2089" t="s">
        <v>4038</v>
      </c>
      <c r="B2089" t="s">
        <v>4039</v>
      </c>
      <c r="C2089">
        <v>76229670</v>
      </c>
      <c r="D2089">
        <v>3000645</v>
      </c>
      <c r="E2089" t="s">
        <v>729</v>
      </c>
      <c r="F2089" s="5">
        <v>200</v>
      </c>
    </row>
    <row r="2090" spans="1:6" hidden="1">
      <c r="A2090" t="s">
        <v>4108</v>
      </c>
      <c r="B2090" t="s">
        <v>4109</v>
      </c>
      <c r="C2090">
        <v>76231389</v>
      </c>
      <c r="D2090">
        <v>2502555</v>
      </c>
      <c r="E2090" t="s">
        <v>39</v>
      </c>
      <c r="F2090" s="5">
        <v>400</v>
      </c>
    </row>
    <row r="2091" spans="1:6">
      <c r="A2091" t="s">
        <v>4108</v>
      </c>
      <c r="B2091" t="s">
        <v>4109</v>
      </c>
      <c r="C2091">
        <v>76231389</v>
      </c>
      <c r="D2091">
        <v>2502555</v>
      </c>
      <c r="E2091" t="s">
        <v>729</v>
      </c>
      <c r="F2091" s="5">
        <v>200</v>
      </c>
    </row>
    <row r="2092" spans="1:6" hidden="1">
      <c r="A2092" t="s">
        <v>4036</v>
      </c>
      <c r="B2092" t="s">
        <v>4037</v>
      </c>
      <c r="C2092">
        <v>76229664</v>
      </c>
      <c r="D2092">
        <v>2502778</v>
      </c>
      <c r="E2092" t="s">
        <v>39</v>
      </c>
      <c r="F2092" s="5">
        <v>300</v>
      </c>
    </row>
    <row r="2093" spans="1:6">
      <c r="A2093" t="s">
        <v>4036</v>
      </c>
      <c r="B2093" t="s">
        <v>4037</v>
      </c>
      <c r="C2093">
        <v>76229664</v>
      </c>
      <c r="D2093">
        <v>2502778</v>
      </c>
      <c r="E2093" t="s">
        <v>729</v>
      </c>
      <c r="F2093" s="5">
        <v>200</v>
      </c>
    </row>
    <row r="2094" spans="1:6" hidden="1">
      <c r="A2094" t="s">
        <v>4034</v>
      </c>
      <c r="B2094" t="s">
        <v>4035</v>
      </c>
      <c r="C2094">
        <v>76229663</v>
      </c>
      <c r="D2094">
        <v>2502777</v>
      </c>
      <c r="E2094" t="s">
        <v>39</v>
      </c>
      <c r="F2094" s="5">
        <v>300</v>
      </c>
    </row>
    <row r="2095" spans="1:6">
      <c r="A2095" t="s">
        <v>4034</v>
      </c>
      <c r="B2095" t="s">
        <v>4035</v>
      </c>
      <c r="C2095">
        <v>76229663</v>
      </c>
      <c r="D2095">
        <v>2502777</v>
      </c>
      <c r="E2095" t="s">
        <v>729</v>
      </c>
      <c r="F2095" s="5">
        <v>200</v>
      </c>
    </row>
    <row r="2096" spans="1:6" hidden="1">
      <c r="A2096" t="s">
        <v>4198</v>
      </c>
      <c r="B2096" t="s">
        <v>4199</v>
      </c>
      <c r="C2096">
        <v>76234387</v>
      </c>
      <c r="D2096">
        <v>2002403</v>
      </c>
      <c r="E2096" t="s">
        <v>39</v>
      </c>
      <c r="F2096" s="5">
        <v>300</v>
      </c>
    </row>
    <row r="2097" spans="1:6">
      <c r="A2097" t="s">
        <v>4198</v>
      </c>
      <c r="B2097" t="s">
        <v>4199</v>
      </c>
      <c r="C2097">
        <v>76234387</v>
      </c>
      <c r="D2097">
        <v>2002403</v>
      </c>
      <c r="E2097" t="s">
        <v>729</v>
      </c>
      <c r="F2097" s="5">
        <v>200</v>
      </c>
    </row>
    <row r="2098" spans="1:6" hidden="1">
      <c r="A2098" t="s">
        <v>4226</v>
      </c>
      <c r="B2098" t="s">
        <v>4227</v>
      </c>
      <c r="C2098">
        <v>76234978</v>
      </c>
      <c r="D2098">
        <v>2503130</v>
      </c>
      <c r="E2098" t="s">
        <v>39</v>
      </c>
      <c r="F2098" s="5">
        <v>400</v>
      </c>
    </row>
    <row r="2099" spans="1:6">
      <c r="A2099" t="s">
        <v>4226</v>
      </c>
      <c r="B2099" t="s">
        <v>4227</v>
      </c>
      <c r="C2099">
        <v>76234978</v>
      </c>
      <c r="D2099">
        <v>2503130</v>
      </c>
      <c r="E2099" t="s">
        <v>729</v>
      </c>
      <c r="F2099" s="5">
        <v>200</v>
      </c>
    </row>
    <row r="2100" spans="1:6" hidden="1">
      <c r="A2100" t="s">
        <v>2975</v>
      </c>
      <c r="B2100" t="s">
        <v>2976</v>
      </c>
      <c r="C2100">
        <v>76154763</v>
      </c>
      <c r="D2100">
        <v>2500848</v>
      </c>
      <c r="E2100" t="s">
        <v>39</v>
      </c>
      <c r="F2100" s="5">
        <v>300</v>
      </c>
    </row>
    <row r="2101" spans="1:6">
      <c r="A2101" t="s">
        <v>2975</v>
      </c>
      <c r="B2101" t="s">
        <v>2976</v>
      </c>
      <c r="C2101">
        <v>76154763</v>
      </c>
      <c r="D2101">
        <v>2500848</v>
      </c>
      <c r="E2101" t="s">
        <v>729</v>
      </c>
      <c r="F2101" s="5">
        <v>200</v>
      </c>
    </row>
    <row r="2102" spans="1:6" hidden="1">
      <c r="A2102" t="s">
        <v>2775</v>
      </c>
      <c r="B2102" t="s">
        <v>2776</v>
      </c>
      <c r="C2102">
        <v>76074728</v>
      </c>
      <c r="D2102">
        <v>2503343</v>
      </c>
      <c r="E2102" t="s">
        <v>39</v>
      </c>
      <c r="F2102" s="5">
        <v>300</v>
      </c>
    </row>
    <row r="2103" spans="1:6">
      <c r="A2103" t="s">
        <v>2775</v>
      </c>
      <c r="B2103" t="s">
        <v>2776</v>
      </c>
      <c r="C2103">
        <v>76074728</v>
      </c>
      <c r="D2103">
        <v>2503343</v>
      </c>
      <c r="E2103" t="s">
        <v>729</v>
      </c>
      <c r="F2103" s="5">
        <v>200</v>
      </c>
    </row>
    <row r="2104" spans="1:6" hidden="1">
      <c r="A2104" t="s">
        <v>3131</v>
      </c>
      <c r="B2104" t="s">
        <v>3132</v>
      </c>
      <c r="C2104">
        <v>76171629</v>
      </c>
      <c r="D2104">
        <v>143020</v>
      </c>
      <c r="E2104" t="s">
        <v>39</v>
      </c>
      <c r="F2104" s="5">
        <v>300</v>
      </c>
    </row>
    <row r="2105" spans="1:6">
      <c r="A2105" t="s">
        <v>3131</v>
      </c>
      <c r="B2105" t="s">
        <v>3132</v>
      </c>
      <c r="C2105">
        <v>76171629</v>
      </c>
      <c r="D2105">
        <v>143020</v>
      </c>
      <c r="E2105" t="s">
        <v>729</v>
      </c>
      <c r="F2105" s="5">
        <v>200</v>
      </c>
    </row>
    <row r="2106" spans="1:6" hidden="1">
      <c r="A2106" t="s">
        <v>3295</v>
      </c>
      <c r="B2106" t="s">
        <v>3296</v>
      </c>
      <c r="C2106">
        <v>76193780</v>
      </c>
      <c r="D2106">
        <v>2001583</v>
      </c>
      <c r="E2106" t="s">
        <v>39</v>
      </c>
      <c r="F2106" s="5">
        <v>300</v>
      </c>
    </row>
    <row r="2107" spans="1:6">
      <c r="A2107" t="s">
        <v>3295</v>
      </c>
      <c r="B2107" t="s">
        <v>3296</v>
      </c>
      <c r="C2107">
        <v>76193780</v>
      </c>
      <c r="D2107">
        <v>2001583</v>
      </c>
      <c r="E2107" t="s">
        <v>729</v>
      </c>
      <c r="F2107" s="5">
        <v>200</v>
      </c>
    </row>
    <row r="2108" spans="1:6" hidden="1">
      <c r="A2108" t="s">
        <v>3599</v>
      </c>
      <c r="B2108" t="s">
        <v>3600</v>
      </c>
      <c r="C2108">
        <v>76213165</v>
      </c>
      <c r="D2108">
        <v>2501301</v>
      </c>
      <c r="E2108" t="s">
        <v>39</v>
      </c>
      <c r="F2108" s="5">
        <v>450</v>
      </c>
    </row>
    <row r="2109" spans="1:6">
      <c r="A2109" t="s">
        <v>3599</v>
      </c>
      <c r="B2109" t="s">
        <v>3600</v>
      </c>
      <c r="C2109">
        <v>76213165</v>
      </c>
      <c r="D2109">
        <v>2501301</v>
      </c>
      <c r="E2109" t="s">
        <v>729</v>
      </c>
      <c r="F2109" s="5">
        <v>200</v>
      </c>
    </row>
    <row r="2110" spans="1:6" hidden="1">
      <c r="A2110" t="s">
        <v>249</v>
      </c>
      <c r="B2110" t="s">
        <v>250</v>
      </c>
      <c r="C2110">
        <v>76241172</v>
      </c>
      <c r="D2110">
        <v>2002773</v>
      </c>
      <c r="E2110" t="s">
        <v>39</v>
      </c>
      <c r="F2110" s="5">
        <v>400</v>
      </c>
    </row>
    <row r="2111" spans="1:6">
      <c r="A2111" t="s">
        <v>249</v>
      </c>
      <c r="B2111" t="s">
        <v>250</v>
      </c>
      <c r="C2111">
        <v>76241172</v>
      </c>
      <c r="D2111">
        <v>2002773</v>
      </c>
      <c r="E2111" t="s">
        <v>729</v>
      </c>
      <c r="F2111" s="5">
        <v>200</v>
      </c>
    </row>
    <row r="2112" spans="1:6" hidden="1">
      <c r="A2112" t="s">
        <v>518</v>
      </c>
      <c r="B2112" t="s">
        <v>519</v>
      </c>
      <c r="C2112">
        <v>76143293</v>
      </c>
      <c r="D2112">
        <v>3000102</v>
      </c>
      <c r="E2112" t="s">
        <v>39</v>
      </c>
      <c r="F2112" s="5">
        <v>300</v>
      </c>
    </row>
    <row r="2113" spans="1:6">
      <c r="A2113" t="s">
        <v>518</v>
      </c>
      <c r="B2113" t="s">
        <v>519</v>
      </c>
      <c r="C2113">
        <v>76143293</v>
      </c>
      <c r="D2113">
        <v>3000102</v>
      </c>
      <c r="E2113" t="s">
        <v>729</v>
      </c>
      <c r="F2113" s="5">
        <v>200</v>
      </c>
    </row>
    <row r="2114" spans="1:6" hidden="1">
      <c r="A2114" t="s">
        <v>3179</v>
      </c>
      <c r="B2114" t="s">
        <v>3180</v>
      </c>
      <c r="C2114">
        <v>76178011</v>
      </c>
      <c r="D2114">
        <v>2502891</v>
      </c>
      <c r="E2114" t="s">
        <v>39</v>
      </c>
      <c r="F2114" s="5">
        <v>300</v>
      </c>
    </row>
    <row r="2115" spans="1:6">
      <c r="A2115" t="s">
        <v>3179</v>
      </c>
      <c r="B2115" t="s">
        <v>3180</v>
      </c>
      <c r="C2115">
        <v>76178011</v>
      </c>
      <c r="D2115">
        <v>2502891</v>
      </c>
      <c r="E2115" t="s">
        <v>729</v>
      </c>
      <c r="F2115" s="5">
        <v>200</v>
      </c>
    </row>
    <row r="2116" spans="1:6" hidden="1">
      <c r="A2116" t="s">
        <v>246</v>
      </c>
      <c r="B2116" t="s">
        <v>247</v>
      </c>
      <c r="C2116">
        <v>76241171</v>
      </c>
      <c r="D2116">
        <v>2002774</v>
      </c>
      <c r="E2116" t="s">
        <v>39</v>
      </c>
      <c r="F2116" s="5">
        <v>300</v>
      </c>
    </row>
    <row r="2117" spans="1:6">
      <c r="A2117" t="s">
        <v>246</v>
      </c>
      <c r="B2117" t="s">
        <v>247</v>
      </c>
      <c r="C2117">
        <v>76241171</v>
      </c>
      <c r="D2117">
        <v>2002774</v>
      </c>
      <c r="E2117" t="s">
        <v>729</v>
      </c>
      <c r="F2117" s="5">
        <v>200</v>
      </c>
    </row>
    <row r="2118" spans="1:6" hidden="1">
      <c r="A2118" t="s">
        <v>2200</v>
      </c>
      <c r="B2118" t="s">
        <v>2201</v>
      </c>
      <c r="C2118">
        <v>71059593</v>
      </c>
      <c r="D2118">
        <v>2002511</v>
      </c>
      <c r="E2118" t="s">
        <v>39</v>
      </c>
      <c r="F2118" s="5">
        <v>400</v>
      </c>
    </row>
    <row r="2119" spans="1:6">
      <c r="A2119" t="s">
        <v>2200</v>
      </c>
      <c r="B2119" t="s">
        <v>2201</v>
      </c>
      <c r="C2119">
        <v>71059593</v>
      </c>
      <c r="D2119">
        <v>2002511</v>
      </c>
      <c r="E2119" t="s">
        <v>729</v>
      </c>
      <c r="F2119" s="5">
        <v>200</v>
      </c>
    </row>
    <row r="2120" spans="1:6" hidden="1">
      <c r="A2120" t="s">
        <v>3597</v>
      </c>
      <c r="B2120" t="s">
        <v>3598</v>
      </c>
      <c r="C2120">
        <v>76213159</v>
      </c>
      <c r="D2120">
        <v>2501310</v>
      </c>
      <c r="E2120" t="s">
        <v>39</v>
      </c>
      <c r="F2120" s="5">
        <v>450</v>
      </c>
    </row>
    <row r="2121" spans="1:6">
      <c r="A2121" t="s">
        <v>3597</v>
      </c>
      <c r="B2121" t="s">
        <v>3598</v>
      </c>
      <c r="C2121">
        <v>76213159</v>
      </c>
      <c r="D2121">
        <v>2501310</v>
      </c>
      <c r="E2121" t="s">
        <v>729</v>
      </c>
      <c r="F2121" s="5">
        <v>200</v>
      </c>
    </row>
    <row r="2122" spans="1:6" hidden="1">
      <c r="A2122" t="s">
        <v>452</v>
      </c>
      <c r="B2122" t="s">
        <v>453</v>
      </c>
      <c r="C2122">
        <v>71064116</v>
      </c>
      <c r="D2122">
        <v>8076</v>
      </c>
      <c r="E2122" t="s">
        <v>39</v>
      </c>
      <c r="F2122" s="5">
        <v>300</v>
      </c>
    </row>
    <row r="2123" spans="1:6">
      <c r="A2123" t="s">
        <v>452</v>
      </c>
      <c r="B2123" t="s">
        <v>453</v>
      </c>
      <c r="C2123">
        <v>71064116</v>
      </c>
      <c r="D2123">
        <v>8076</v>
      </c>
      <c r="E2123" t="s">
        <v>729</v>
      </c>
      <c r="F2123" s="5">
        <v>200</v>
      </c>
    </row>
    <row r="2124" spans="1:6" hidden="1">
      <c r="A2124" t="s">
        <v>4030</v>
      </c>
      <c r="B2124" t="s">
        <v>4031</v>
      </c>
      <c r="C2124">
        <v>76229569</v>
      </c>
      <c r="D2124">
        <v>0</v>
      </c>
      <c r="E2124" t="s">
        <v>39</v>
      </c>
      <c r="F2124" s="5">
        <v>400</v>
      </c>
    </row>
    <row r="2125" spans="1:6">
      <c r="A2125" t="s">
        <v>4030</v>
      </c>
      <c r="B2125" t="s">
        <v>4031</v>
      </c>
      <c r="C2125">
        <v>76229569</v>
      </c>
      <c r="D2125">
        <v>0</v>
      </c>
      <c r="E2125" t="s">
        <v>729</v>
      </c>
      <c r="F2125" s="5">
        <v>200</v>
      </c>
    </row>
    <row r="2126" spans="1:6" hidden="1">
      <c r="A2126" t="s">
        <v>2653</v>
      </c>
      <c r="B2126" t="s">
        <v>2654</v>
      </c>
      <c r="C2126">
        <v>76063507</v>
      </c>
      <c r="D2126">
        <v>2503234</v>
      </c>
      <c r="E2126" t="s">
        <v>39</v>
      </c>
      <c r="F2126" s="5">
        <v>300</v>
      </c>
    </row>
    <row r="2127" spans="1:6">
      <c r="A2127" t="s">
        <v>2653</v>
      </c>
      <c r="B2127" t="s">
        <v>2654</v>
      </c>
      <c r="C2127">
        <v>76063507</v>
      </c>
      <c r="D2127">
        <v>2503234</v>
      </c>
      <c r="E2127" t="s">
        <v>729</v>
      </c>
      <c r="F2127" s="5">
        <v>200</v>
      </c>
    </row>
    <row r="2128" spans="1:6" hidden="1">
      <c r="A2128" t="s">
        <v>3605</v>
      </c>
      <c r="B2128" t="s">
        <v>3606</v>
      </c>
      <c r="C2128">
        <v>76213296</v>
      </c>
      <c r="D2128">
        <v>2501716</v>
      </c>
      <c r="E2128" t="s">
        <v>39</v>
      </c>
      <c r="F2128" s="5">
        <v>300</v>
      </c>
    </row>
    <row r="2129" spans="1:6">
      <c r="A2129" t="s">
        <v>3605</v>
      </c>
      <c r="B2129" t="s">
        <v>3606</v>
      </c>
      <c r="C2129">
        <v>76213296</v>
      </c>
      <c r="D2129">
        <v>2501716</v>
      </c>
      <c r="E2129" t="s">
        <v>729</v>
      </c>
      <c r="F2129" s="5">
        <v>200</v>
      </c>
    </row>
    <row r="2130" spans="1:6" hidden="1">
      <c r="A2130" t="s">
        <v>3141</v>
      </c>
      <c r="B2130" t="s">
        <v>3142</v>
      </c>
      <c r="C2130">
        <v>76172218</v>
      </c>
      <c r="D2130">
        <v>2500846</v>
      </c>
      <c r="E2130" t="s">
        <v>39</v>
      </c>
      <c r="F2130" s="5">
        <v>300</v>
      </c>
    </row>
    <row r="2131" spans="1:6">
      <c r="A2131" t="s">
        <v>3141</v>
      </c>
      <c r="B2131" t="s">
        <v>3142</v>
      </c>
      <c r="C2131">
        <v>76172218</v>
      </c>
      <c r="D2131">
        <v>2500846</v>
      </c>
      <c r="E2131" t="s">
        <v>729</v>
      </c>
      <c r="F2131" s="5">
        <v>200</v>
      </c>
    </row>
    <row r="2132" spans="1:6" hidden="1">
      <c r="A2132" t="s">
        <v>3473</v>
      </c>
      <c r="B2132" t="s">
        <v>3474</v>
      </c>
      <c r="C2132">
        <v>76207640</v>
      </c>
      <c r="D2132">
        <v>2000849</v>
      </c>
      <c r="E2132" t="s">
        <v>39</v>
      </c>
      <c r="F2132" s="5">
        <v>300</v>
      </c>
    </row>
    <row r="2133" spans="1:6">
      <c r="A2133" t="s">
        <v>3473</v>
      </c>
      <c r="B2133" t="s">
        <v>3474</v>
      </c>
      <c r="C2133">
        <v>76207640</v>
      </c>
      <c r="D2133">
        <v>2000849</v>
      </c>
      <c r="E2133" t="s">
        <v>729</v>
      </c>
      <c r="F2133" s="5">
        <v>200</v>
      </c>
    </row>
    <row r="2134" spans="1:6" hidden="1">
      <c r="A2134" t="s">
        <v>4024</v>
      </c>
      <c r="B2134" t="s">
        <v>4025</v>
      </c>
      <c r="C2134">
        <v>76229491</v>
      </c>
      <c r="D2134">
        <v>2502453</v>
      </c>
      <c r="E2134" t="s">
        <v>39</v>
      </c>
      <c r="F2134" s="5">
        <v>450</v>
      </c>
    </row>
    <row r="2135" spans="1:6">
      <c r="A2135" t="s">
        <v>4024</v>
      </c>
      <c r="B2135" t="s">
        <v>4025</v>
      </c>
      <c r="C2135">
        <v>76229491</v>
      </c>
      <c r="D2135">
        <v>2502453</v>
      </c>
      <c r="E2135" t="s">
        <v>729</v>
      </c>
      <c r="F2135" s="5">
        <v>200</v>
      </c>
    </row>
    <row r="2136" spans="1:6" hidden="1">
      <c r="A2136" t="s">
        <v>4374</v>
      </c>
      <c r="B2136" t="s">
        <v>4375</v>
      </c>
      <c r="C2136">
        <v>76242987</v>
      </c>
      <c r="D2136">
        <v>3001906</v>
      </c>
      <c r="E2136" t="s">
        <v>39</v>
      </c>
      <c r="F2136" s="5">
        <v>300</v>
      </c>
    </row>
    <row r="2137" spans="1:6">
      <c r="A2137" t="s">
        <v>4374</v>
      </c>
      <c r="B2137" t="s">
        <v>4375</v>
      </c>
      <c r="C2137">
        <v>76242987</v>
      </c>
      <c r="D2137">
        <v>3001906</v>
      </c>
      <c r="E2137" t="s">
        <v>729</v>
      </c>
      <c r="F2137" s="5">
        <v>200</v>
      </c>
    </row>
    <row r="2138" spans="1:6" hidden="1">
      <c r="A2138" t="s">
        <v>2430</v>
      </c>
      <c r="B2138" t="s">
        <v>2431</v>
      </c>
      <c r="C2138">
        <v>76035061</v>
      </c>
      <c r="D2138">
        <v>2002610</v>
      </c>
      <c r="E2138" t="s">
        <v>39</v>
      </c>
      <c r="F2138" s="5">
        <v>400</v>
      </c>
    </row>
    <row r="2139" spans="1:6">
      <c r="A2139" t="s">
        <v>2430</v>
      </c>
      <c r="B2139" t="s">
        <v>2431</v>
      </c>
      <c r="C2139">
        <v>76035061</v>
      </c>
      <c r="D2139">
        <v>2002610</v>
      </c>
      <c r="E2139" t="s">
        <v>729</v>
      </c>
      <c r="F2139" s="5">
        <v>200</v>
      </c>
    </row>
    <row r="2140" spans="1:6" hidden="1">
      <c r="A2140" t="s">
        <v>3441</v>
      </c>
      <c r="B2140" t="s">
        <v>3442</v>
      </c>
      <c r="C2140">
        <v>76206366</v>
      </c>
      <c r="D2140">
        <v>2500854</v>
      </c>
      <c r="E2140" t="s">
        <v>39</v>
      </c>
      <c r="F2140" s="5">
        <v>400</v>
      </c>
    </row>
    <row r="2141" spans="1:6">
      <c r="A2141" t="s">
        <v>3441</v>
      </c>
      <c r="B2141" t="s">
        <v>3442</v>
      </c>
      <c r="C2141">
        <v>76206366</v>
      </c>
      <c r="D2141">
        <v>2500854</v>
      </c>
      <c r="E2141" t="s">
        <v>729</v>
      </c>
      <c r="F2141" s="5">
        <v>200</v>
      </c>
    </row>
    <row r="2142" spans="1:6" hidden="1">
      <c r="A2142" t="s">
        <v>2524</v>
      </c>
      <c r="B2142" t="s">
        <v>2525</v>
      </c>
      <c r="C2142">
        <v>76043778</v>
      </c>
      <c r="D2142">
        <v>2000918</v>
      </c>
      <c r="E2142" t="s">
        <v>39</v>
      </c>
      <c r="F2142" s="5">
        <v>400</v>
      </c>
    </row>
    <row r="2143" spans="1:6">
      <c r="A2143" t="s">
        <v>2524</v>
      </c>
      <c r="B2143" t="s">
        <v>2525</v>
      </c>
      <c r="C2143">
        <v>76043778</v>
      </c>
      <c r="D2143">
        <v>2000918</v>
      </c>
      <c r="E2143" t="s">
        <v>729</v>
      </c>
      <c r="F2143" s="5">
        <v>200</v>
      </c>
    </row>
    <row r="2144" spans="1:6" hidden="1">
      <c r="A2144" t="s">
        <v>3451</v>
      </c>
      <c r="B2144" t="s">
        <v>3452</v>
      </c>
      <c r="C2144">
        <v>76206566</v>
      </c>
      <c r="D2144">
        <v>2501577</v>
      </c>
      <c r="E2144" t="s">
        <v>39</v>
      </c>
      <c r="F2144" s="5">
        <v>300</v>
      </c>
    </row>
    <row r="2145" spans="1:6">
      <c r="A2145" t="s">
        <v>3451</v>
      </c>
      <c r="B2145" t="s">
        <v>3452</v>
      </c>
      <c r="C2145">
        <v>76206566</v>
      </c>
      <c r="D2145">
        <v>2501577</v>
      </c>
      <c r="E2145" t="s">
        <v>729</v>
      </c>
      <c r="F2145" s="5">
        <v>200</v>
      </c>
    </row>
    <row r="2146" spans="1:6" hidden="1">
      <c r="A2146" t="s">
        <v>2284</v>
      </c>
      <c r="B2146" t="s">
        <v>2285</v>
      </c>
      <c r="C2146">
        <v>76011323</v>
      </c>
      <c r="D2146">
        <v>3000739</v>
      </c>
      <c r="E2146" t="s">
        <v>39</v>
      </c>
      <c r="F2146" s="5">
        <v>300</v>
      </c>
    </row>
    <row r="2147" spans="1:6">
      <c r="A2147" t="s">
        <v>2284</v>
      </c>
      <c r="B2147" t="s">
        <v>2285</v>
      </c>
      <c r="C2147">
        <v>76011323</v>
      </c>
      <c r="D2147">
        <v>3000739</v>
      </c>
      <c r="E2147" t="s">
        <v>729</v>
      </c>
      <c r="F2147" s="5">
        <v>200</v>
      </c>
    </row>
    <row r="2148" spans="1:6" hidden="1">
      <c r="A2148" t="s">
        <v>2955</v>
      </c>
      <c r="B2148" t="s">
        <v>2956</v>
      </c>
      <c r="C2148">
        <v>76152864</v>
      </c>
      <c r="D2148">
        <v>1500133</v>
      </c>
      <c r="E2148" t="s">
        <v>39</v>
      </c>
      <c r="F2148" s="5">
        <v>300</v>
      </c>
    </row>
    <row r="2149" spans="1:6">
      <c r="A2149" t="s">
        <v>2955</v>
      </c>
      <c r="B2149" t="s">
        <v>2956</v>
      </c>
      <c r="C2149">
        <v>76152864</v>
      </c>
      <c r="D2149">
        <v>1500133</v>
      </c>
      <c r="E2149" t="s">
        <v>729</v>
      </c>
      <c r="F2149" s="5">
        <v>200</v>
      </c>
    </row>
    <row r="2150" spans="1:6" hidden="1">
      <c r="A2150" t="s">
        <v>4378</v>
      </c>
      <c r="B2150" t="s">
        <v>4379</v>
      </c>
      <c r="C2150">
        <v>76243303</v>
      </c>
      <c r="D2150">
        <v>3000733</v>
      </c>
      <c r="E2150" t="s">
        <v>39</v>
      </c>
      <c r="F2150" s="5">
        <v>300</v>
      </c>
    </row>
    <row r="2151" spans="1:6">
      <c r="A2151" t="s">
        <v>4378</v>
      </c>
      <c r="B2151" t="s">
        <v>4379</v>
      </c>
      <c r="C2151">
        <v>76243303</v>
      </c>
      <c r="D2151">
        <v>3000733</v>
      </c>
      <c r="E2151" t="s">
        <v>729</v>
      </c>
      <c r="F2151" s="5">
        <v>200</v>
      </c>
    </row>
    <row r="2152" spans="1:6" hidden="1">
      <c r="A2152" t="s">
        <v>703</v>
      </c>
      <c r="B2152" t="s">
        <v>704</v>
      </c>
      <c r="C2152">
        <v>76251805</v>
      </c>
      <c r="D2152">
        <v>2003023</v>
      </c>
      <c r="E2152" t="s">
        <v>39</v>
      </c>
      <c r="F2152" s="5">
        <v>300</v>
      </c>
    </row>
    <row r="2153" spans="1:6">
      <c r="A2153" t="s">
        <v>703</v>
      </c>
      <c r="B2153" t="s">
        <v>704</v>
      </c>
      <c r="C2153">
        <v>76251805</v>
      </c>
      <c r="D2153">
        <v>2003023</v>
      </c>
      <c r="E2153" t="s">
        <v>729</v>
      </c>
      <c r="F2153" s="5">
        <v>200</v>
      </c>
    </row>
    <row r="2154" spans="1:6" hidden="1">
      <c r="A2154" t="s">
        <v>2516</v>
      </c>
      <c r="B2154" t="s">
        <v>2517</v>
      </c>
      <c r="C2154">
        <v>76042993</v>
      </c>
      <c r="D2154">
        <v>2500843</v>
      </c>
      <c r="E2154" t="s">
        <v>39</v>
      </c>
      <c r="F2154" s="5">
        <v>300</v>
      </c>
    </row>
    <row r="2155" spans="1:6">
      <c r="A2155" t="s">
        <v>2516</v>
      </c>
      <c r="B2155" t="s">
        <v>2517</v>
      </c>
      <c r="C2155">
        <v>76042993</v>
      </c>
      <c r="D2155">
        <v>2500843</v>
      </c>
      <c r="E2155" t="s">
        <v>729</v>
      </c>
      <c r="F2155" s="5">
        <v>200</v>
      </c>
    </row>
    <row r="2156" spans="1:6" hidden="1">
      <c r="A2156" t="s">
        <v>2386</v>
      </c>
      <c r="B2156" t="s">
        <v>2387</v>
      </c>
      <c r="C2156">
        <v>76027522</v>
      </c>
      <c r="D2156">
        <v>2000259</v>
      </c>
      <c r="E2156" t="s">
        <v>39</v>
      </c>
      <c r="F2156" s="5">
        <v>300</v>
      </c>
    </row>
    <row r="2157" spans="1:6">
      <c r="A2157" t="s">
        <v>2386</v>
      </c>
      <c r="B2157" t="s">
        <v>2387</v>
      </c>
      <c r="C2157">
        <v>76027522</v>
      </c>
      <c r="D2157">
        <v>2000259</v>
      </c>
      <c r="E2157" t="s">
        <v>729</v>
      </c>
      <c r="F2157" s="5">
        <v>200</v>
      </c>
    </row>
    <row r="2158" spans="1:6" hidden="1">
      <c r="A2158" t="s">
        <v>2753</v>
      </c>
      <c r="B2158" t="s">
        <v>2754</v>
      </c>
      <c r="C2158">
        <v>76072815</v>
      </c>
      <c r="D2158">
        <v>2600019</v>
      </c>
      <c r="E2158" t="s">
        <v>39</v>
      </c>
      <c r="F2158" s="5">
        <v>300</v>
      </c>
    </row>
    <row r="2159" spans="1:6">
      <c r="A2159" t="s">
        <v>2753</v>
      </c>
      <c r="B2159" t="s">
        <v>2754</v>
      </c>
      <c r="C2159">
        <v>76072815</v>
      </c>
      <c r="D2159">
        <v>2600019</v>
      </c>
      <c r="E2159" t="s">
        <v>729</v>
      </c>
      <c r="F2159" s="5">
        <v>200</v>
      </c>
    </row>
    <row r="2160" spans="1:6" hidden="1">
      <c r="A2160" t="s">
        <v>3897</v>
      </c>
      <c r="B2160" t="s">
        <v>3898</v>
      </c>
      <c r="C2160">
        <v>76225923</v>
      </c>
      <c r="D2160">
        <v>2002908</v>
      </c>
      <c r="E2160" t="s">
        <v>39</v>
      </c>
      <c r="F2160" s="5">
        <v>400</v>
      </c>
    </row>
    <row r="2161" spans="1:6">
      <c r="A2161" t="s">
        <v>3897</v>
      </c>
      <c r="B2161" t="s">
        <v>3898</v>
      </c>
      <c r="C2161">
        <v>76225923</v>
      </c>
      <c r="D2161">
        <v>2002908</v>
      </c>
      <c r="E2161" t="s">
        <v>729</v>
      </c>
      <c r="F2161" s="5">
        <v>200</v>
      </c>
    </row>
    <row r="2162" spans="1:6" hidden="1">
      <c r="A2162" t="s">
        <v>3091</v>
      </c>
      <c r="B2162" t="s">
        <v>3092</v>
      </c>
      <c r="C2162">
        <v>76167157</v>
      </c>
      <c r="D2162">
        <v>8035</v>
      </c>
      <c r="E2162" t="s">
        <v>39</v>
      </c>
      <c r="F2162" s="5">
        <v>300</v>
      </c>
    </row>
    <row r="2163" spans="1:6">
      <c r="A2163" t="s">
        <v>3091</v>
      </c>
      <c r="B2163" t="s">
        <v>3092</v>
      </c>
      <c r="C2163">
        <v>76167157</v>
      </c>
      <c r="D2163">
        <v>8035</v>
      </c>
      <c r="E2163" t="s">
        <v>729</v>
      </c>
      <c r="F2163" s="5">
        <v>200</v>
      </c>
    </row>
    <row r="2164" spans="1:6" hidden="1">
      <c r="A2164" t="s">
        <v>2074</v>
      </c>
      <c r="B2164" t="s">
        <v>2075</v>
      </c>
      <c r="C2164">
        <v>71044943</v>
      </c>
      <c r="D2164">
        <v>2001141</v>
      </c>
      <c r="E2164" t="s">
        <v>39</v>
      </c>
      <c r="F2164" s="5">
        <v>300</v>
      </c>
    </row>
    <row r="2165" spans="1:6">
      <c r="A2165" t="s">
        <v>2074</v>
      </c>
      <c r="B2165" t="s">
        <v>2075</v>
      </c>
      <c r="C2165">
        <v>71044943</v>
      </c>
      <c r="D2165">
        <v>2001141</v>
      </c>
      <c r="E2165" t="s">
        <v>729</v>
      </c>
      <c r="F2165" s="5">
        <v>200</v>
      </c>
    </row>
    <row r="2166" spans="1:6" hidden="1">
      <c r="A2166" t="s">
        <v>165</v>
      </c>
      <c r="B2166" t="s">
        <v>166</v>
      </c>
      <c r="C2166">
        <v>76228629</v>
      </c>
      <c r="D2166">
        <v>2001956</v>
      </c>
      <c r="E2166" t="s">
        <v>39</v>
      </c>
      <c r="F2166" s="5">
        <v>450</v>
      </c>
    </row>
    <row r="2167" spans="1:6">
      <c r="A2167" t="s">
        <v>165</v>
      </c>
      <c r="B2167" t="s">
        <v>166</v>
      </c>
      <c r="C2167">
        <v>76228629</v>
      </c>
      <c r="D2167">
        <v>2001956</v>
      </c>
      <c r="E2167" t="s">
        <v>729</v>
      </c>
      <c r="F2167" s="5">
        <v>200</v>
      </c>
    </row>
    <row r="2168" spans="1:6" hidden="1">
      <c r="A2168" t="s">
        <v>1559</v>
      </c>
      <c r="B2168" t="s">
        <v>1560</v>
      </c>
      <c r="C2168">
        <v>1326343</v>
      </c>
      <c r="D2168">
        <v>3100</v>
      </c>
      <c r="E2168" t="s">
        <v>39</v>
      </c>
      <c r="F2168" s="5">
        <v>300</v>
      </c>
    </row>
    <row r="2169" spans="1:6">
      <c r="A2169" t="s">
        <v>1559</v>
      </c>
      <c r="B2169" t="s">
        <v>1560</v>
      </c>
      <c r="C2169">
        <v>1326343</v>
      </c>
      <c r="D2169">
        <v>3100</v>
      </c>
      <c r="E2169" t="s">
        <v>729</v>
      </c>
      <c r="F2169" s="5">
        <v>200</v>
      </c>
    </row>
    <row r="2170" spans="1:6" hidden="1">
      <c r="A2170" t="s">
        <v>2258</v>
      </c>
      <c r="B2170" t="s">
        <v>2259</v>
      </c>
      <c r="C2170">
        <v>76001728</v>
      </c>
      <c r="D2170">
        <v>2501713</v>
      </c>
      <c r="E2170" t="s">
        <v>39</v>
      </c>
      <c r="F2170" s="5">
        <v>300</v>
      </c>
    </row>
    <row r="2171" spans="1:6">
      <c r="A2171" t="s">
        <v>2258</v>
      </c>
      <c r="B2171" t="s">
        <v>2259</v>
      </c>
      <c r="C2171">
        <v>76001728</v>
      </c>
      <c r="D2171">
        <v>2501713</v>
      </c>
      <c r="E2171" t="s">
        <v>729</v>
      </c>
      <c r="F2171" s="5">
        <v>200</v>
      </c>
    </row>
    <row r="2172" spans="1:6" hidden="1">
      <c r="A2172" t="s">
        <v>2436</v>
      </c>
      <c r="B2172" t="s">
        <v>2437</v>
      </c>
      <c r="C2172">
        <v>76036962</v>
      </c>
      <c r="D2172">
        <v>143046</v>
      </c>
      <c r="E2172" t="s">
        <v>39</v>
      </c>
      <c r="F2172" s="5">
        <v>300</v>
      </c>
    </row>
    <row r="2173" spans="1:6">
      <c r="A2173" t="s">
        <v>2436</v>
      </c>
      <c r="B2173" t="s">
        <v>2437</v>
      </c>
      <c r="C2173">
        <v>76036962</v>
      </c>
      <c r="D2173">
        <v>143046</v>
      </c>
      <c r="E2173" t="s">
        <v>729</v>
      </c>
      <c r="F2173" s="5">
        <v>200</v>
      </c>
    </row>
    <row r="2174" spans="1:6" hidden="1">
      <c r="A2174" t="s">
        <v>2821</v>
      </c>
      <c r="B2174" t="s">
        <v>2822</v>
      </c>
      <c r="C2174">
        <v>76090518</v>
      </c>
      <c r="D2174">
        <v>143047</v>
      </c>
      <c r="E2174" t="s">
        <v>39</v>
      </c>
      <c r="F2174" s="5">
        <v>300</v>
      </c>
    </row>
    <row r="2175" spans="1:6">
      <c r="A2175" t="s">
        <v>2821</v>
      </c>
      <c r="B2175" t="s">
        <v>2822</v>
      </c>
      <c r="C2175">
        <v>76090518</v>
      </c>
      <c r="D2175">
        <v>143047</v>
      </c>
      <c r="E2175" t="s">
        <v>729</v>
      </c>
      <c r="F2175" s="5">
        <v>200</v>
      </c>
    </row>
    <row r="2176" spans="1:6" hidden="1">
      <c r="A2176" t="s">
        <v>3241</v>
      </c>
      <c r="B2176" t="s">
        <v>3242</v>
      </c>
      <c r="C2176">
        <v>76188034</v>
      </c>
      <c r="D2176">
        <v>2500285</v>
      </c>
      <c r="E2176" t="s">
        <v>39</v>
      </c>
      <c r="F2176" s="5">
        <v>400</v>
      </c>
    </row>
    <row r="2177" spans="1:6">
      <c r="A2177" t="s">
        <v>3241</v>
      </c>
      <c r="B2177" t="s">
        <v>3242</v>
      </c>
      <c r="C2177">
        <v>76188034</v>
      </c>
      <c r="D2177">
        <v>2500285</v>
      </c>
      <c r="E2177" t="s">
        <v>729</v>
      </c>
      <c r="F2177" s="5">
        <v>200</v>
      </c>
    </row>
    <row r="2178" spans="1:6" hidden="1">
      <c r="A2178" t="s">
        <v>2633</v>
      </c>
      <c r="B2178" t="s">
        <v>2634</v>
      </c>
      <c r="C2178">
        <v>76060545</v>
      </c>
      <c r="D2178">
        <v>143028</v>
      </c>
      <c r="E2178" t="s">
        <v>39</v>
      </c>
      <c r="F2178" s="5">
        <v>300</v>
      </c>
    </row>
    <row r="2179" spans="1:6">
      <c r="A2179" t="s">
        <v>2633</v>
      </c>
      <c r="B2179" t="s">
        <v>2634</v>
      </c>
      <c r="C2179">
        <v>76060545</v>
      </c>
      <c r="D2179">
        <v>143028</v>
      </c>
      <c r="E2179" t="s">
        <v>729</v>
      </c>
      <c r="F2179" s="5">
        <v>200</v>
      </c>
    </row>
    <row r="2180" spans="1:6" hidden="1">
      <c r="A2180" t="s">
        <v>3219</v>
      </c>
      <c r="B2180" t="s">
        <v>3220</v>
      </c>
      <c r="C2180">
        <v>76184940</v>
      </c>
      <c r="D2180">
        <v>143027</v>
      </c>
      <c r="E2180" t="s">
        <v>39</v>
      </c>
      <c r="F2180" s="5">
        <v>400</v>
      </c>
    </row>
    <row r="2181" spans="1:6">
      <c r="A2181" t="s">
        <v>3219</v>
      </c>
      <c r="B2181" t="s">
        <v>3220</v>
      </c>
      <c r="C2181">
        <v>76184940</v>
      </c>
      <c r="D2181">
        <v>143027</v>
      </c>
      <c r="E2181" t="s">
        <v>729</v>
      </c>
      <c r="F2181" s="5">
        <v>200</v>
      </c>
    </row>
    <row r="2182" spans="1:6" hidden="1">
      <c r="A2182" t="s">
        <v>3221</v>
      </c>
      <c r="B2182" t="s">
        <v>3222</v>
      </c>
      <c r="C2182">
        <v>76184940</v>
      </c>
      <c r="D2182">
        <v>143027</v>
      </c>
      <c r="E2182" t="s">
        <v>39</v>
      </c>
      <c r="F2182" s="5">
        <v>400</v>
      </c>
    </row>
    <row r="2183" spans="1:6">
      <c r="A2183" t="s">
        <v>3221</v>
      </c>
      <c r="B2183" t="s">
        <v>3222</v>
      </c>
      <c r="C2183">
        <v>76184940</v>
      </c>
      <c r="D2183">
        <v>143027</v>
      </c>
      <c r="E2183" t="s">
        <v>729</v>
      </c>
      <c r="F2183" s="5">
        <v>200</v>
      </c>
    </row>
    <row r="2184" spans="1:6" hidden="1">
      <c r="A2184" t="s">
        <v>47</v>
      </c>
      <c r="B2184" t="s">
        <v>48</v>
      </c>
      <c r="C2184">
        <v>13093301</v>
      </c>
      <c r="D2184">
        <v>2503593</v>
      </c>
      <c r="E2184" t="s">
        <v>39</v>
      </c>
      <c r="F2184" s="5">
        <v>300</v>
      </c>
    </row>
    <row r="2185" spans="1:6">
      <c r="A2185" t="s">
        <v>47</v>
      </c>
      <c r="B2185" t="s">
        <v>48</v>
      </c>
      <c r="C2185">
        <v>13093301</v>
      </c>
      <c r="D2185">
        <v>2503593</v>
      </c>
      <c r="E2185" t="s">
        <v>729</v>
      </c>
      <c r="F2185" s="5">
        <v>200</v>
      </c>
    </row>
    <row r="2186" spans="1:6" hidden="1">
      <c r="A2186" t="s">
        <v>1928</v>
      </c>
      <c r="B2186" t="s">
        <v>1929</v>
      </c>
      <c r="C2186">
        <v>37143501</v>
      </c>
      <c r="D2186">
        <v>2500199</v>
      </c>
      <c r="E2186" t="s">
        <v>39</v>
      </c>
      <c r="F2186" s="5">
        <v>300</v>
      </c>
    </row>
    <row r="2187" spans="1:6">
      <c r="A2187" t="s">
        <v>1928</v>
      </c>
      <c r="B2187" t="s">
        <v>1929</v>
      </c>
      <c r="C2187">
        <v>37143501</v>
      </c>
      <c r="D2187">
        <v>2500199</v>
      </c>
      <c r="E2187" t="s">
        <v>729</v>
      </c>
      <c r="F2187" s="5">
        <v>200</v>
      </c>
    </row>
    <row r="2188" spans="1:6" hidden="1">
      <c r="A2188" t="s">
        <v>3771</v>
      </c>
      <c r="B2188" t="s">
        <v>3772</v>
      </c>
      <c r="C2188">
        <v>76220394</v>
      </c>
      <c r="D2188">
        <v>2502748</v>
      </c>
      <c r="E2188" t="s">
        <v>39</v>
      </c>
      <c r="F2188" s="5">
        <v>300</v>
      </c>
    </row>
    <row r="2189" spans="1:6">
      <c r="A2189" t="s">
        <v>3771</v>
      </c>
      <c r="B2189" t="s">
        <v>3772</v>
      </c>
      <c r="C2189">
        <v>76220394</v>
      </c>
      <c r="D2189">
        <v>2502748</v>
      </c>
      <c r="E2189" t="s">
        <v>729</v>
      </c>
      <c r="F2189" s="5">
        <v>200</v>
      </c>
    </row>
    <row r="2190" spans="1:6" hidden="1">
      <c r="A2190" t="s">
        <v>494</v>
      </c>
      <c r="B2190" t="s">
        <v>495</v>
      </c>
      <c r="C2190">
        <v>76043468</v>
      </c>
      <c r="D2190">
        <v>2001550</v>
      </c>
      <c r="E2190" t="s">
        <v>39</v>
      </c>
      <c r="F2190" s="5">
        <v>300</v>
      </c>
    </row>
    <row r="2191" spans="1:6">
      <c r="A2191" t="s">
        <v>494</v>
      </c>
      <c r="B2191" t="s">
        <v>495</v>
      </c>
      <c r="C2191">
        <v>76043468</v>
      </c>
      <c r="D2191">
        <v>2001550</v>
      </c>
      <c r="E2191" t="s">
        <v>729</v>
      </c>
      <c r="F2191" s="5">
        <v>200</v>
      </c>
    </row>
    <row r="2192" spans="1:6" hidden="1">
      <c r="A2192" t="s">
        <v>521</v>
      </c>
      <c r="B2192" t="s">
        <v>522</v>
      </c>
      <c r="C2192">
        <v>76143376</v>
      </c>
      <c r="D2192">
        <v>3001863</v>
      </c>
      <c r="E2192" t="s">
        <v>39</v>
      </c>
      <c r="F2192" s="5">
        <v>300</v>
      </c>
    </row>
    <row r="2193" spans="1:6">
      <c r="A2193" t="s">
        <v>521</v>
      </c>
      <c r="B2193" t="s">
        <v>522</v>
      </c>
      <c r="C2193">
        <v>76143376</v>
      </c>
      <c r="D2193">
        <v>3001863</v>
      </c>
      <c r="E2193" t="s">
        <v>729</v>
      </c>
      <c r="F2193" s="5">
        <v>200</v>
      </c>
    </row>
    <row r="2194" spans="1:6" hidden="1">
      <c r="A2194" t="s">
        <v>4492</v>
      </c>
      <c r="B2194" t="s">
        <v>4493</v>
      </c>
      <c r="C2194">
        <v>76251883</v>
      </c>
      <c r="D2194">
        <v>2503457</v>
      </c>
      <c r="E2194" t="s">
        <v>39</v>
      </c>
      <c r="F2194" s="5">
        <v>300</v>
      </c>
    </row>
    <row r="2195" spans="1:6">
      <c r="A2195" t="s">
        <v>4492</v>
      </c>
      <c r="B2195" t="s">
        <v>4493</v>
      </c>
      <c r="C2195">
        <v>76251883</v>
      </c>
      <c r="D2195">
        <v>2503457</v>
      </c>
      <c r="E2195" t="s">
        <v>729</v>
      </c>
      <c r="F2195" s="5">
        <v>200</v>
      </c>
    </row>
    <row r="2196" spans="1:6" hidden="1">
      <c r="A2196" t="s">
        <v>1691</v>
      </c>
      <c r="B2196" t="s">
        <v>1692</v>
      </c>
      <c r="C2196">
        <v>13221101</v>
      </c>
      <c r="D2196">
        <v>2500334</v>
      </c>
      <c r="E2196" t="s">
        <v>39</v>
      </c>
      <c r="F2196" s="5">
        <v>300</v>
      </c>
    </row>
    <row r="2197" spans="1:6">
      <c r="A2197" t="s">
        <v>1691</v>
      </c>
      <c r="B2197" t="s">
        <v>1692</v>
      </c>
      <c r="C2197">
        <v>13221101</v>
      </c>
      <c r="D2197">
        <v>2500334</v>
      </c>
      <c r="E2197" t="s">
        <v>729</v>
      </c>
      <c r="F2197" s="5">
        <v>200</v>
      </c>
    </row>
    <row r="2198" spans="1:6" hidden="1">
      <c r="A2198" t="s">
        <v>4372</v>
      </c>
      <c r="B2198" t="s">
        <v>4373</v>
      </c>
      <c r="C2198">
        <v>76242107</v>
      </c>
      <c r="D2198">
        <v>2503323</v>
      </c>
      <c r="E2198" t="s">
        <v>39</v>
      </c>
      <c r="F2198" s="5">
        <v>300</v>
      </c>
    </row>
    <row r="2199" spans="1:6">
      <c r="A2199" t="s">
        <v>4372</v>
      </c>
      <c r="B2199" t="s">
        <v>4373</v>
      </c>
      <c r="C2199">
        <v>76242107</v>
      </c>
      <c r="D2199">
        <v>2503323</v>
      </c>
      <c r="E2199" t="s">
        <v>729</v>
      </c>
      <c r="F2199" s="5">
        <v>200</v>
      </c>
    </row>
    <row r="2200" spans="1:6" hidden="1">
      <c r="A2200" t="s">
        <v>4364</v>
      </c>
      <c r="B2200" t="s">
        <v>4365</v>
      </c>
      <c r="C2200">
        <v>76242096</v>
      </c>
      <c r="D2200">
        <v>2503276</v>
      </c>
      <c r="E2200" t="s">
        <v>39</v>
      </c>
      <c r="F2200" s="5">
        <v>300</v>
      </c>
    </row>
    <row r="2201" spans="1:6">
      <c r="A2201" t="s">
        <v>4364</v>
      </c>
      <c r="B2201" t="s">
        <v>4365</v>
      </c>
      <c r="C2201">
        <v>76242096</v>
      </c>
      <c r="D2201">
        <v>2503276</v>
      </c>
      <c r="E2201" t="s">
        <v>729</v>
      </c>
      <c r="F2201" s="5">
        <v>200</v>
      </c>
    </row>
    <row r="2202" spans="1:6" hidden="1">
      <c r="A2202" t="s">
        <v>4366</v>
      </c>
      <c r="B2202" t="s">
        <v>4367</v>
      </c>
      <c r="C2202">
        <v>76242099</v>
      </c>
      <c r="D2202">
        <v>2503304</v>
      </c>
      <c r="E2202" t="s">
        <v>39</v>
      </c>
      <c r="F2202" s="5">
        <v>300</v>
      </c>
    </row>
    <row r="2203" spans="1:6">
      <c r="A2203" t="s">
        <v>4366</v>
      </c>
      <c r="B2203" t="s">
        <v>4367</v>
      </c>
      <c r="C2203">
        <v>76242099</v>
      </c>
      <c r="D2203">
        <v>2503304</v>
      </c>
      <c r="E2203" t="s">
        <v>729</v>
      </c>
      <c r="F2203" s="5">
        <v>200</v>
      </c>
    </row>
    <row r="2204" spans="1:6" hidden="1">
      <c r="A2204" t="s">
        <v>4368</v>
      </c>
      <c r="B2204" t="s">
        <v>4369</v>
      </c>
      <c r="C2204">
        <v>76242101</v>
      </c>
      <c r="D2204">
        <v>2503315</v>
      </c>
      <c r="E2204" t="s">
        <v>39</v>
      </c>
      <c r="F2204" s="5">
        <v>300</v>
      </c>
    </row>
    <row r="2205" spans="1:6">
      <c r="A2205" t="s">
        <v>4368</v>
      </c>
      <c r="B2205" t="s">
        <v>4369</v>
      </c>
      <c r="C2205">
        <v>76242101</v>
      </c>
      <c r="D2205">
        <v>2503315</v>
      </c>
      <c r="E2205" t="s">
        <v>729</v>
      </c>
      <c r="F2205" s="5">
        <v>200</v>
      </c>
    </row>
    <row r="2206" spans="1:6" hidden="1">
      <c r="A2206" t="s">
        <v>4370</v>
      </c>
      <c r="B2206" t="s">
        <v>4371</v>
      </c>
      <c r="C2206">
        <v>76242105</v>
      </c>
      <c r="D2206">
        <v>2503300</v>
      </c>
      <c r="E2206" t="s">
        <v>39</v>
      </c>
      <c r="F2206" s="5">
        <v>300</v>
      </c>
    </row>
    <row r="2207" spans="1:6">
      <c r="A2207" t="s">
        <v>4370</v>
      </c>
      <c r="B2207" t="s">
        <v>4371</v>
      </c>
      <c r="C2207">
        <v>76242105</v>
      </c>
      <c r="D2207">
        <v>2503300</v>
      </c>
      <c r="E2207" t="s">
        <v>729</v>
      </c>
      <c r="F2207" s="5">
        <v>200</v>
      </c>
    </row>
    <row r="2208" spans="1:6" hidden="1">
      <c r="A2208" t="s">
        <v>2881</v>
      </c>
      <c r="B2208" t="s">
        <v>2882</v>
      </c>
      <c r="C2208">
        <v>76141860</v>
      </c>
      <c r="D2208">
        <v>2001293</v>
      </c>
      <c r="E2208" t="s">
        <v>39</v>
      </c>
      <c r="F2208" s="5">
        <v>300</v>
      </c>
    </row>
    <row r="2209" spans="1:6">
      <c r="A2209" t="s">
        <v>2881</v>
      </c>
      <c r="B2209" t="s">
        <v>2882</v>
      </c>
      <c r="C2209">
        <v>76141860</v>
      </c>
      <c r="D2209">
        <v>2001293</v>
      </c>
      <c r="E2209" t="s">
        <v>729</v>
      </c>
      <c r="F2209" s="5">
        <v>200</v>
      </c>
    </row>
    <row r="2210" spans="1:6" hidden="1">
      <c r="A2210" t="s">
        <v>4466</v>
      </c>
      <c r="B2210" t="s">
        <v>4467</v>
      </c>
      <c r="C2210">
        <v>76250958</v>
      </c>
      <c r="D2210">
        <v>2700008</v>
      </c>
      <c r="E2210" t="s">
        <v>39</v>
      </c>
      <c r="F2210" s="5">
        <v>300</v>
      </c>
    </row>
    <row r="2211" spans="1:6">
      <c r="A2211" t="s">
        <v>4466</v>
      </c>
      <c r="B2211" t="s">
        <v>4467</v>
      </c>
      <c r="C2211">
        <v>76250958</v>
      </c>
      <c r="D2211">
        <v>2700008</v>
      </c>
      <c r="E2211" t="s">
        <v>729</v>
      </c>
      <c r="F2211" s="5">
        <v>200</v>
      </c>
    </row>
    <row r="2212" spans="1:6" hidden="1">
      <c r="A2212" t="s">
        <v>4274</v>
      </c>
      <c r="B2212" t="s">
        <v>4275</v>
      </c>
      <c r="C2212">
        <v>76236889</v>
      </c>
      <c r="D2212">
        <v>3000960</v>
      </c>
      <c r="E2212" t="s">
        <v>39</v>
      </c>
      <c r="F2212" s="5">
        <v>300</v>
      </c>
    </row>
    <row r="2213" spans="1:6">
      <c r="A2213" t="s">
        <v>4274</v>
      </c>
      <c r="B2213" t="s">
        <v>4275</v>
      </c>
      <c r="C2213">
        <v>76236889</v>
      </c>
      <c r="D2213">
        <v>3000960</v>
      </c>
      <c r="E2213" t="s">
        <v>729</v>
      </c>
      <c r="F2213" s="5">
        <v>200</v>
      </c>
    </row>
    <row r="2214" spans="1:6" hidden="1">
      <c r="A2214" t="s">
        <v>4587</v>
      </c>
      <c r="B2214" t="s">
        <v>4588</v>
      </c>
      <c r="C2214">
        <v>76256601</v>
      </c>
      <c r="D2214">
        <v>3001705</v>
      </c>
      <c r="E2214" t="s">
        <v>39</v>
      </c>
      <c r="F2214" s="5">
        <v>300</v>
      </c>
    </row>
    <row r="2215" spans="1:6">
      <c r="A2215" t="s">
        <v>4587</v>
      </c>
      <c r="B2215" t="s">
        <v>4588</v>
      </c>
      <c r="C2215">
        <v>76256601</v>
      </c>
      <c r="D2215">
        <v>3001705</v>
      </c>
      <c r="E2215" t="s">
        <v>729</v>
      </c>
      <c r="F2215" s="5">
        <v>200</v>
      </c>
    </row>
    <row r="2216" spans="1:6" hidden="1">
      <c r="A2216" t="s">
        <v>2098</v>
      </c>
      <c r="B2216" t="s">
        <v>2099</v>
      </c>
      <c r="C2216">
        <v>71047244</v>
      </c>
      <c r="D2216">
        <v>3272</v>
      </c>
      <c r="E2216" t="s">
        <v>39</v>
      </c>
      <c r="F2216" s="5">
        <v>300</v>
      </c>
    </row>
    <row r="2217" spans="1:6">
      <c r="A2217" t="s">
        <v>2098</v>
      </c>
      <c r="B2217" t="s">
        <v>2099</v>
      </c>
      <c r="C2217">
        <v>71047244</v>
      </c>
      <c r="D2217">
        <v>3272</v>
      </c>
      <c r="E2217" t="s">
        <v>729</v>
      </c>
      <c r="F2217" s="5">
        <v>200</v>
      </c>
    </row>
    <row r="2218" spans="1:6" hidden="1">
      <c r="A2218" t="s">
        <v>3381</v>
      </c>
      <c r="B2218" t="s">
        <v>3382</v>
      </c>
      <c r="C2218">
        <v>76203742</v>
      </c>
      <c r="D2218">
        <v>2500381</v>
      </c>
      <c r="E2218" t="s">
        <v>39</v>
      </c>
      <c r="F2218" s="5">
        <v>300</v>
      </c>
    </row>
    <row r="2219" spans="1:6">
      <c r="A2219" t="s">
        <v>3381</v>
      </c>
      <c r="B2219" t="s">
        <v>3382</v>
      </c>
      <c r="C2219">
        <v>76203742</v>
      </c>
      <c r="D2219">
        <v>2500381</v>
      </c>
      <c r="E2219" t="s">
        <v>729</v>
      </c>
      <c r="F2219" s="5">
        <v>200</v>
      </c>
    </row>
    <row r="2220" spans="1:6" hidden="1">
      <c r="A2220" t="s">
        <v>3267</v>
      </c>
      <c r="B2220" t="s">
        <v>3268</v>
      </c>
      <c r="C2220">
        <v>76190193</v>
      </c>
      <c r="D2220">
        <v>2000096</v>
      </c>
      <c r="E2220" t="s">
        <v>39</v>
      </c>
      <c r="F2220" s="5">
        <v>300</v>
      </c>
    </row>
    <row r="2221" spans="1:6">
      <c r="A2221" t="s">
        <v>3267</v>
      </c>
      <c r="B2221" t="s">
        <v>3268</v>
      </c>
      <c r="C2221">
        <v>76190193</v>
      </c>
      <c r="D2221">
        <v>2000096</v>
      </c>
      <c r="E2221" t="s">
        <v>729</v>
      </c>
      <c r="F2221" s="5">
        <v>200</v>
      </c>
    </row>
    <row r="2222" spans="1:6" hidden="1">
      <c r="A2222" t="s">
        <v>2520</v>
      </c>
      <c r="B2222" t="s">
        <v>2521</v>
      </c>
      <c r="C2222">
        <v>76043216</v>
      </c>
      <c r="D2222">
        <v>103005</v>
      </c>
      <c r="E2222" t="s">
        <v>39</v>
      </c>
      <c r="F2222" s="5">
        <v>300</v>
      </c>
    </row>
    <row r="2223" spans="1:6">
      <c r="A2223" t="s">
        <v>2520</v>
      </c>
      <c r="B2223" t="s">
        <v>2521</v>
      </c>
      <c r="C2223">
        <v>76043216</v>
      </c>
      <c r="D2223">
        <v>103005</v>
      </c>
      <c r="E2223" t="s">
        <v>729</v>
      </c>
      <c r="F2223" s="5">
        <v>200</v>
      </c>
    </row>
    <row r="2224" spans="1:6" hidden="1">
      <c r="A2224" t="s">
        <v>1266</v>
      </c>
      <c r="B2224" t="s">
        <v>1297</v>
      </c>
      <c r="C2224">
        <v>71043922</v>
      </c>
      <c r="D2224">
        <v>103006</v>
      </c>
      <c r="E2224" t="s">
        <v>39</v>
      </c>
      <c r="F2224" s="5">
        <v>300</v>
      </c>
    </row>
    <row r="2225" spans="1:6">
      <c r="A2225" t="s">
        <v>1266</v>
      </c>
      <c r="B2225" t="s">
        <v>1297</v>
      </c>
      <c r="C2225">
        <v>71043922</v>
      </c>
      <c r="D2225">
        <v>103006</v>
      </c>
      <c r="E2225" t="s">
        <v>729</v>
      </c>
      <c r="F2225" s="5">
        <v>200</v>
      </c>
    </row>
    <row r="2226" spans="1:6" hidden="1">
      <c r="A2226" t="s">
        <v>3455</v>
      </c>
      <c r="B2226" t="s">
        <v>3456</v>
      </c>
      <c r="C2226">
        <v>76206628</v>
      </c>
      <c r="D2226">
        <v>1500071</v>
      </c>
      <c r="E2226" t="s">
        <v>39</v>
      </c>
      <c r="F2226" s="5">
        <v>300</v>
      </c>
    </row>
    <row r="2227" spans="1:6">
      <c r="A2227" t="s">
        <v>3455</v>
      </c>
      <c r="B2227" t="s">
        <v>3456</v>
      </c>
      <c r="C2227">
        <v>76206628</v>
      </c>
      <c r="D2227">
        <v>1500071</v>
      </c>
      <c r="E2227" t="s">
        <v>729</v>
      </c>
      <c r="F2227" s="5">
        <v>200</v>
      </c>
    </row>
    <row r="2228" spans="1:6" hidden="1">
      <c r="A2228" t="s">
        <v>3379</v>
      </c>
      <c r="B2228" t="s">
        <v>3380</v>
      </c>
      <c r="C2228">
        <v>76203700</v>
      </c>
      <c r="D2228">
        <v>2500382</v>
      </c>
      <c r="E2228" t="s">
        <v>39</v>
      </c>
      <c r="F2228" s="5">
        <v>300</v>
      </c>
    </row>
    <row r="2229" spans="1:6">
      <c r="A2229" t="s">
        <v>3379</v>
      </c>
      <c r="B2229" t="s">
        <v>3380</v>
      </c>
      <c r="C2229">
        <v>76203700</v>
      </c>
      <c r="D2229">
        <v>2500382</v>
      </c>
      <c r="E2229" t="s">
        <v>729</v>
      </c>
      <c r="F2229" s="5">
        <v>200</v>
      </c>
    </row>
    <row r="2230" spans="1:6" hidden="1">
      <c r="A2230" t="s">
        <v>3457</v>
      </c>
      <c r="B2230" t="s">
        <v>3458</v>
      </c>
      <c r="C2230">
        <v>76206629</v>
      </c>
      <c r="D2230">
        <v>103004</v>
      </c>
      <c r="E2230" t="s">
        <v>39</v>
      </c>
      <c r="F2230" s="5">
        <v>300</v>
      </c>
    </row>
    <row r="2231" spans="1:6">
      <c r="A2231" t="s">
        <v>3457</v>
      </c>
      <c r="B2231" t="s">
        <v>3458</v>
      </c>
      <c r="C2231">
        <v>76206629</v>
      </c>
      <c r="D2231">
        <v>103004</v>
      </c>
      <c r="E2231" t="s">
        <v>729</v>
      </c>
      <c r="F2231" s="5">
        <v>200</v>
      </c>
    </row>
    <row r="2232" spans="1:6" hidden="1">
      <c r="A2232" t="s">
        <v>3197</v>
      </c>
      <c r="B2232" t="s">
        <v>3198</v>
      </c>
      <c r="C2232">
        <v>76179995</v>
      </c>
      <c r="D2232">
        <v>2000049</v>
      </c>
      <c r="E2232" t="s">
        <v>39</v>
      </c>
      <c r="F2232" s="5">
        <v>300</v>
      </c>
    </row>
    <row r="2233" spans="1:6">
      <c r="A2233" t="s">
        <v>3197</v>
      </c>
      <c r="B2233" t="s">
        <v>3198</v>
      </c>
      <c r="C2233">
        <v>76179995</v>
      </c>
      <c r="D2233">
        <v>2000049</v>
      </c>
      <c r="E2233" t="s">
        <v>729</v>
      </c>
      <c r="F2233" s="5">
        <v>200</v>
      </c>
    </row>
    <row r="2234" spans="1:6" hidden="1">
      <c r="A2234" t="s">
        <v>3037</v>
      </c>
      <c r="B2234" t="s">
        <v>3038</v>
      </c>
      <c r="C2234">
        <v>76162426</v>
      </c>
      <c r="D2234">
        <v>5004</v>
      </c>
      <c r="E2234" t="s">
        <v>39</v>
      </c>
      <c r="F2234" s="5">
        <v>300</v>
      </c>
    </row>
    <row r="2235" spans="1:6">
      <c r="A2235" t="s">
        <v>3037</v>
      </c>
      <c r="B2235" t="s">
        <v>3038</v>
      </c>
      <c r="C2235">
        <v>76162426</v>
      </c>
      <c r="D2235">
        <v>5004</v>
      </c>
      <c r="E2235" t="s">
        <v>729</v>
      </c>
      <c r="F2235" s="5">
        <v>200</v>
      </c>
    </row>
    <row r="2236" spans="1:6" hidden="1">
      <c r="A2236" t="s">
        <v>2058</v>
      </c>
      <c r="B2236" t="s">
        <v>2059</v>
      </c>
      <c r="C2236">
        <v>71043920</v>
      </c>
      <c r="D2236">
        <v>103003</v>
      </c>
      <c r="E2236" t="s">
        <v>39</v>
      </c>
      <c r="F2236" s="5">
        <v>400</v>
      </c>
    </row>
    <row r="2237" spans="1:6">
      <c r="A2237" t="s">
        <v>2058</v>
      </c>
      <c r="B2237" t="s">
        <v>2059</v>
      </c>
      <c r="C2237">
        <v>71043920</v>
      </c>
      <c r="D2237">
        <v>103003</v>
      </c>
      <c r="E2237" t="s">
        <v>729</v>
      </c>
      <c r="F2237" s="5">
        <v>200</v>
      </c>
    </row>
    <row r="2238" spans="1:6" hidden="1">
      <c r="A2238" t="s">
        <v>3039</v>
      </c>
      <c r="B2238" t="s">
        <v>3040</v>
      </c>
      <c r="C2238">
        <v>76162431</v>
      </c>
      <c r="D2238">
        <v>5025</v>
      </c>
      <c r="E2238" t="s">
        <v>39</v>
      </c>
      <c r="F2238" s="5">
        <v>300</v>
      </c>
    </row>
    <row r="2239" spans="1:6">
      <c r="A2239" t="s">
        <v>3039</v>
      </c>
      <c r="B2239" t="s">
        <v>3040</v>
      </c>
      <c r="C2239">
        <v>76162431</v>
      </c>
      <c r="D2239">
        <v>5025</v>
      </c>
      <c r="E2239" t="s">
        <v>729</v>
      </c>
      <c r="F2239" s="5">
        <v>200</v>
      </c>
    </row>
    <row r="2240" spans="1:6" hidden="1">
      <c r="A2240" t="s">
        <v>2056</v>
      </c>
      <c r="B2240" t="s">
        <v>2057</v>
      </c>
      <c r="C2240">
        <v>71043919</v>
      </c>
      <c r="D2240">
        <v>5029</v>
      </c>
      <c r="E2240" t="s">
        <v>39</v>
      </c>
      <c r="F2240" s="5">
        <v>300</v>
      </c>
    </row>
    <row r="2241" spans="1:6">
      <c r="A2241" t="s">
        <v>2056</v>
      </c>
      <c r="B2241" t="s">
        <v>2057</v>
      </c>
      <c r="C2241">
        <v>71043919</v>
      </c>
      <c r="D2241">
        <v>5029</v>
      </c>
      <c r="E2241" t="s">
        <v>729</v>
      </c>
      <c r="F2241" s="5">
        <v>200</v>
      </c>
    </row>
    <row r="2242" spans="1:6" hidden="1">
      <c r="A2242" t="s">
        <v>3945</v>
      </c>
      <c r="B2242" t="s">
        <v>3946</v>
      </c>
      <c r="C2242">
        <v>76227241</v>
      </c>
      <c r="D2242">
        <v>2502150</v>
      </c>
      <c r="E2242" t="s">
        <v>39</v>
      </c>
      <c r="F2242" s="5">
        <v>450</v>
      </c>
    </row>
    <row r="2243" spans="1:6">
      <c r="A2243" t="s">
        <v>3945</v>
      </c>
      <c r="B2243" t="s">
        <v>3946</v>
      </c>
      <c r="C2243">
        <v>76227241</v>
      </c>
      <c r="D2243">
        <v>2502150</v>
      </c>
      <c r="E2243" t="s">
        <v>729</v>
      </c>
      <c r="F2243" s="5">
        <v>200</v>
      </c>
    </row>
    <row r="2244" spans="1:6" hidden="1">
      <c r="A2244" t="s">
        <v>2244</v>
      </c>
      <c r="B2244" t="s">
        <v>2245</v>
      </c>
      <c r="C2244">
        <v>71064573</v>
      </c>
      <c r="D2244">
        <v>5026</v>
      </c>
      <c r="E2244" t="s">
        <v>39</v>
      </c>
      <c r="F2244" s="5">
        <v>300</v>
      </c>
    </row>
    <row r="2245" spans="1:6">
      <c r="A2245" t="s">
        <v>2244</v>
      </c>
      <c r="B2245" t="s">
        <v>2245</v>
      </c>
      <c r="C2245">
        <v>71064573</v>
      </c>
      <c r="D2245">
        <v>5026</v>
      </c>
      <c r="E2245" t="s">
        <v>729</v>
      </c>
      <c r="F2245" s="5">
        <v>200</v>
      </c>
    </row>
    <row r="2246" spans="1:6" hidden="1">
      <c r="A2246" t="s">
        <v>1789</v>
      </c>
      <c r="B2246" t="s">
        <v>1790</v>
      </c>
      <c r="C2246">
        <v>25002601</v>
      </c>
      <c r="D2246">
        <v>6167</v>
      </c>
      <c r="E2246" t="s">
        <v>39</v>
      </c>
      <c r="F2246" s="5">
        <v>300</v>
      </c>
    </row>
    <row r="2247" spans="1:6">
      <c r="A2247" t="s">
        <v>1789</v>
      </c>
      <c r="B2247" t="s">
        <v>1790</v>
      </c>
      <c r="C2247">
        <v>25002601</v>
      </c>
      <c r="D2247">
        <v>6167</v>
      </c>
      <c r="E2247" t="s">
        <v>729</v>
      </c>
      <c r="F2247" s="5">
        <v>200</v>
      </c>
    </row>
    <row r="2248" spans="1:6" hidden="1">
      <c r="A2248" t="s">
        <v>4150</v>
      </c>
      <c r="B2248" t="s">
        <v>4151</v>
      </c>
      <c r="C2248">
        <v>76232864</v>
      </c>
      <c r="D2248">
        <v>8041</v>
      </c>
      <c r="E2248" t="s">
        <v>39</v>
      </c>
      <c r="F2248" s="5">
        <v>300</v>
      </c>
    </row>
    <row r="2249" spans="1:6">
      <c r="A2249" t="s">
        <v>4150</v>
      </c>
      <c r="B2249" t="s">
        <v>4151</v>
      </c>
      <c r="C2249">
        <v>76232864</v>
      </c>
      <c r="D2249">
        <v>8041</v>
      </c>
      <c r="E2249" t="s">
        <v>729</v>
      </c>
      <c r="F2249" s="5">
        <v>200</v>
      </c>
    </row>
    <row r="2250" spans="1:6" hidden="1">
      <c r="A2250" t="s">
        <v>1641</v>
      </c>
      <c r="B2250" t="s">
        <v>1642</v>
      </c>
      <c r="C2250">
        <v>8300016</v>
      </c>
      <c r="D2250">
        <v>2000549</v>
      </c>
      <c r="E2250" t="s">
        <v>39</v>
      </c>
      <c r="F2250" s="5">
        <v>450</v>
      </c>
    </row>
    <row r="2251" spans="1:6">
      <c r="A2251" t="s">
        <v>1641</v>
      </c>
      <c r="B2251" t="s">
        <v>1642</v>
      </c>
      <c r="C2251">
        <v>8300016</v>
      </c>
      <c r="D2251">
        <v>2000549</v>
      </c>
      <c r="E2251" t="s">
        <v>729</v>
      </c>
      <c r="F2251" s="5">
        <v>200</v>
      </c>
    </row>
    <row r="2252" spans="1:6" hidden="1">
      <c r="A2252" t="s">
        <v>2224</v>
      </c>
      <c r="B2252" t="s">
        <v>2225</v>
      </c>
      <c r="C2252">
        <v>71063149</v>
      </c>
      <c r="D2252">
        <v>2000877</v>
      </c>
      <c r="E2252" t="s">
        <v>39</v>
      </c>
      <c r="F2252" s="5">
        <v>450</v>
      </c>
    </row>
    <row r="2253" spans="1:6">
      <c r="A2253" t="s">
        <v>2224</v>
      </c>
      <c r="B2253" t="s">
        <v>2225</v>
      </c>
      <c r="C2253">
        <v>71063149</v>
      </c>
      <c r="D2253">
        <v>2000877</v>
      </c>
      <c r="E2253" t="s">
        <v>729</v>
      </c>
      <c r="F2253" s="5">
        <v>200</v>
      </c>
    </row>
    <row r="2254" spans="1:6" hidden="1">
      <c r="A2254" t="s">
        <v>1921</v>
      </c>
      <c r="B2254" t="s">
        <v>1922</v>
      </c>
      <c r="C2254">
        <v>37126801</v>
      </c>
      <c r="D2254">
        <v>2502524</v>
      </c>
      <c r="E2254" t="s">
        <v>39</v>
      </c>
      <c r="F2254" s="5">
        <v>300</v>
      </c>
    </row>
    <row r="2255" spans="1:6">
      <c r="A2255" t="s">
        <v>1921</v>
      </c>
      <c r="B2255" t="s">
        <v>1922</v>
      </c>
      <c r="C2255">
        <v>37126801</v>
      </c>
      <c r="D2255">
        <v>2502524</v>
      </c>
      <c r="E2255" t="s">
        <v>729</v>
      </c>
      <c r="F2255" s="5">
        <v>200</v>
      </c>
    </row>
    <row r="2256" spans="1:6" hidden="1">
      <c r="A2256" t="s">
        <v>1515</v>
      </c>
      <c r="B2256" t="s">
        <v>1516</v>
      </c>
      <c r="C2256">
        <v>1029201</v>
      </c>
      <c r="D2256">
        <v>3000869</v>
      </c>
      <c r="E2256" t="s">
        <v>39</v>
      </c>
      <c r="F2256" s="5">
        <v>300</v>
      </c>
    </row>
    <row r="2257" spans="1:6">
      <c r="A2257" t="s">
        <v>1515</v>
      </c>
      <c r="B2257" t="s">
        <v>1516</v>
      </c>
      <c r="C2257">
        <v>1029201</v>
      </c>
      <c r="D2257">
        <v>3000869</v>
      </c>
      <c r="E2257" t="s">
        <v>729</v>
      </c>
      <c r="F2257" s="5">
        <v>200</v>
      </c>
    </row>
    <row r="2258" spans="1:6" hidden="1">
      <c r="A2258" t="s">
        <v>1517</v>
      </c>
      <c r="B2258" t="s">
        <v>1518</v>
      </c>
      <c r="C2258">
        <v>1029202</v>
      </c>
      <c r="D2258">
        <v>3000870</v>
      </c>
      <c r="E2258" t="s">
        <v>39</v>
      </c>
      <c r="F2258" s="5">
        <v>300</v>
      </c>
    </row>
    <row r="2259" spans="1:6">
      <c r="A2259" t="s">
        <v>1517</v>
      </c>
      <c r="B2259" t="s">
        <v>1518</v>
      </c>
      <c r="C2259">
        <v>1029202</v>
      </c>
      <c r="D2259">
        <v>3000870</v>
      </c>
      <c r="E2259" t="s">
        <v>729</v>
      </c>
      <c r="F2259" s="5">
        <v>200</v>
      </c>
    </row>
    <row r="2260" spans="1:6" hidden="1">
      <c r="A2260" t="s">
        <v>3083</v>
      </c>
      <c r="B2260" t="s">
        <v>3084</v>
      </c>
      <c r="C2260">
        <v>76166727</v>
      </c>
      <c r="D2260">
        <v>2002594</v>
      </c>
      <c r="E2260" t="s">
        <v>39</v>
      </c>
      <c r="F2260" s="5">
        <v>300</v>
      </c>
    </row>
    <row r="2261" spans="1:6">
      <c r="A2261" t="s">
        <v>3083</v>
      </c>
      <c r="B2261" t="s">
        <v>3084</v>
      </c>
      <c r="C2261">
        <v>76166727</v>
      </c>
      <c r="D2261">
        <v>2002594</v>
      </c>
      <c r="E2261" t="s">
        <v>729</v>
      </c>
      <c r="F2261" s="5">
        <v>200</v>
      </c>
    </row>
    <row r="2262" spans="1:6" hidden="1">
      <c r="A2262" t="s">
        <v>4346</v>
      </c>
      <c r="B2262" t="s">
        <v>4347</v>
      </c>
      <c r="C2262">
        <v>76241252</v>
      </c>
      <c r="D2262">
        <v>2503235</v>
      </c>
      <c r="E2262" t="s">
        <v>39</v>
      </c>
      <c r="F2262" s="5">
        <v>300</v>
      </c>
    </row>
    <row r="2263" spans="1:6">
      <c r="A2263" t="s">
        <v>4346</v>
      </c>
      <c r="B2263" t="s">
        <v>4347</v>
      </c>
      <c r="C2263">
        <v>76241252</v>
      </c>
      <c r="D2263">
        <v>2503235</v>
      </c>
      <c r="E2263" t="s">
        <v>729</v>
      </c>
      <c r="F2263" s="5">
        <v>200</v>
      </c>
    </row>
    <row r="2264" spans="1:6" hidden="1">
      <c r="A2264" t="s">
        <v>4348</v>
      </c>
      <c r="B2264" t="s">
        <v>4349</v>
      </c>
      <c r="C2264">
        <v>76241253</v>
      </c>
      <c r="D2264">
        <v>2503236</v>
      </c>
      <c r="E2264" t="s">
        <v>39</v>
      </c>
      <c r="F2264" s="5">
        <v>300</v>
      </c>
    </row>
    <row r="2265" spans="1:6">
      <c r="A2265" t="s">
        <v>4348</v>
      </c>
      <c r="B2265" t="s">
        <v>4349</v>
      </c>
      <c r="C2265">
        <v>76241253</v>
      </c>
      <c r="D2265">
        <v>2503236</v>
      </c>
      <c r="E2265" t="s">
        <v>729</v>
      </c>
      <c r="F2265" s="5">
        <v>200</v>
      </c>
    </row>
    <row r="2266" spans="1:6" hidden="1">
      <c r="A2266" t="s">
        <v>3993</v>
      </c>
      <c r="B2266" t="s">
        <v>3994</v>
      </c>
      <c r="C2266">
        <v>76228842</v>
      </c>
      <c r="D2266">
        <v>2502338</v>
      </c>
      <c r="E2266" t="s">
        <v>39</v>
      </c>
      <c r="F2266" s="5">
        <v>300</v>
      </c>
    </row>
    <row r="2267" spans="1:6">
      <c r="A2267" t="s">
        <v>3993</v>
      </c>
      <c r="B2267" t="s">
        <v>3994</v>
      </c>
      <c r="C2267">
        <v>76228842</v>
      </c>
      <c r="D2267">
        <v>2502338</v>
      </c>
      <c r="E2267" t="s">
        <v>729</v>
      </c>
      <c r="F2267" s="5">
        <v>200</v>
      </c>
    </row>
    <row r="2268" spans="1:6" hidden="1">
      <c r="A2268" t="s">
        <v>4258</v>
      </c>
      <c r="B2268" t="s">
        <v>4259</v>
      </c>
      <c r="C2268">
        <v>76235855</v>
      </c>
      <c r="D2268">
        <v>2502906</v>
      </c>
      <c r="E2268" t="s">
        <v>39</v>
      </c>
      <c r="F2268" s="5">
        <v>300</v>
      </c>
    </row>
    <row r="2269" spans="1:6">
      <c r="A2269" t="s">
        <v>4258</v>
      </c>
      <c r="B2269" t="s">
        <v>4259</v>
      </c>
      <c r="C2269">
        <v>76235855</v>
      </c>
      <c r="D2269">
        <v>2502906</v>
      </c>
      <c r="E2269" t="s">
        <v>729</v>
      </c>
      <c r="F2269" s="5">
        <v>200</v>
      </c>
    </row>
    <row r="2270" spans="1:6" hidden="1">
      <c r="A2270" t="s">
        <v>3995</v>
      </c>
      <c r="B2270" t="s">
        <v>3996</v>
      </c>
      <c r="C2270">
        <v>76228843</v>
      </c>
      <c r="D2270">
        <v>2502343</v>
      </c>
      <c r="E2270" t="s">
        <v>39</v>
      </c>
      <c r="F2270" s="5">
        <v>300</v>
      </c>
    </row>
    <row r="2271" spans="1:6">
      <c r="A2271" t="s">
        <v>3995</v>
      </c>
      <c r="B2271" t="s">
        <v>3996</v>
      </c>
      <c r="C2271">
        <v>76228843</v>
      </c>
      <c r="D2271">
        <v>2502343</v>
      </c>
      <c r="E2271" t="s">
        <v>729</v>
      </c>
      <c r="F2271" s="5">
        <v>200</v>
      </c>
    </row>
    <row r="2272" spans="1:6" hidden="1">
      <c r="A2272" t="s">
        <v>1561</v>
      </c>
      <c r="B2272" t="s">
        <v>1562</v>
      </c>
      <c r="C2272">
        <v>1326417</v>
      </c>
      <c r="D2272">
        <v>2002977</v>
      </c>
      <c r="E2272" t="s">
        <v>39</v>
      </c>
      <c r="F2272" s="5">
        <v>300</v>
      </c>
    </row>
    <row r="2273" spans="1:6">
      <c r="A2273" t="s">
        <v>1561</v>
      </c>
      <c r="B2273" t="s">
        <v>1562</v>
      </c>
      <c r="C2273">
        <v>1326417</v>
      </c>
      <c r="D2273">
        <v>2002977</v>
      </c>
      <c r="E2273" t="s">
        <v>729</v>
      </c>
      <c r="F2273" s="5">
        <v>200</v>
      </c>
    </row>
    <row r="2274" spans="1:6" hidden="1">
      <c r="A2274" t="s">
        <v>4515</v>
      </c>
      <c r="B2274" t="s">
        <v>4516</v>
      </c>
      <c r="C2274">
        <v>76252854</v>
      </c>
      <c r="D2274">
        <v>3000846</v>
      </c>
      <c r="E2274" t="s">
        <v>39</v>
      </c>
      <c r="F2274" s="5">
        <v>300</v>
      </c>
    </row>
    <row r="2275" spans="1:6">
      <c r="A2275" t="s">
        <v>4515</v>
      </c>
      <c r="B2275" t="s">
        <v>4516</v>
      </c>
      <c r="C2275">
        <v>76252854</v>
      </c>
      <c r="D2275">
        <v>3000846</v>
      </c>
      <c r="E2275" t="s">
        <v>729</v>
      </c>
      <c r="F2275" s="5">
        <v>200</v>
      </c>
    </row>
    <row r="2276" spans="1:6" hidden="1">
      <c r="A2276" t="s">
        <v>569</v>
      </c>
      <c r="B2276" t="s">
        <v>570</v>
      </c>
      <c r="C2276">
        <v>76187537</v>
      </c>
      <c r="D2276">
        <v>10143</v>
      </c>
      <c r="E2276" t="s">
        <v>39</v>
      </c>
      <c r="F2276" s="5">
        <v>300</v>
      </c>
    </row>
    <row r="2277" spans="1:6">
      <c r="A2277" t="s">
        <v>569</v>
      </c>
      <c r="B2277" t="s">
        <v>570</v>
      </c>
      <c r="C2277">
        <v>76187537</v>
      </c>
      <c r="D2277">
        <v>10143</v>
      </c>
      <c r="E2277" t="s">
        <v>729</v>
      </c>
      <c r="F2277" s="5">
        <v>200</v>
      </c>
    </row>
    <row r="2278" spans="1:6" hidden="1">
      <c r="A2278" t="s">
        <v>2026</v>
      </c>
      <c r="B2278" t="s">
        <v>2027</v>
      </c>
      <c r="C2278">
        <v>71040312</v>
      </c>
      <c r="D2278">
        <v>4150</v>
      </c>
      <c r="E2278" t="s">
        <v>39</v>
      </c>
      <c r="F2278" s="5">
        <v>300</v>
      </c>
    </row>
    <row r="2279" spans="1:6">
      <c r="A2279" t="s">
        <v>2026</v>
      </c>
      <c r="B2279" t="s">
        <v>2027</v>
      </c>
      <c r="C2279">
        <v>71040312</v>
      </c>
      <c r="D2279">
        <v>4150</v>
      </c>
      <c r="E2279" t="s">
        <v>729</v>
      </c>
      <c r="F2279" s="5">
        <v>200</v>
      </c>
    </row>
    <row r="2280" spans="1:6" hidden="1">
      <c r="A2280" t="s">
        <v>3507</v>
      </c>
      <c r="B2280" t="s">
        <v>3508</v>
      </c>
      <c r="C2280">
        <v>76209043</v>
      </c>
      <c r="D2280">
        <v>2501792</v>
      </c>
      <c r="E2280" t="s">
        <v>39</v>
      </c>
      <c r="F2280" s="5">
        <v>300</v>
      </c>
    </row>
    <row r="2281" spans="1:6">
      <c r="A2281" t="s">
        <v>3507</v>
      </c>
      <c r="B2281" t="s">
        <v>3508</v>
      </c>
      <c r="C2281">
        <v>76209043</v>
      </c>
      <c r="D2281">
        <v>2501792</v>
      </c>
      <c r="E2281" t="s">
        <v>729</v>
      </c>
      <c r="F2281" s="5">
        <v>200</v>
      </c>
    </row>
    <row r="2282" spans="1:6" hidden="1">
      <c r="A2282" t="s">
        <v>4234</v>
      </c>
      <c r="B2282" t="s">
        <v>4235</v>
      </c>
      <c r="C2282">
        <v>76235240</v>
      </c>
      <c r="D2282">
        <v>2002969</v>
      </c>
      <c r="E2282" t="s">
        <v>39</v>
      </c>
      <c r="F2282" s="5">
        <v>300</v>
      </c>
    </row>
    <row r="2283" spans="1:6">
      <c r="A2283" t="s">
        <v>4234</v>
      </c>
      <c r="B2283" t="s">
        <v>4235</v>
      </c>
      <c r="C2283">
        <v>76235240</v>
      </c>
      <c r="D2283">
        <v>2002969</v>
      </c>
      <c r="E2283" t="s">
        <v>729</v>
      </c>
      <c r="F2283" s="5">
        <v>200</v>
      </c>
    </row>
    <row r="2284" spans="1:6" hidden="1">
      <c r="A2284" t="s">
        <v>4565</v>
      </c>
      <c r="B2284" t="s">
        <v>4566</v>
      </c>
      <c r="C2284">
        <v>76255303</v>
      </c>
      <c r="D2284">
        <v>3000253</v>
      </c>
      <c r="E2284" t="s">
        <v>39</v>
      </c>
      <c r="F2284" s="5">
        <v>300</v>
      </c>
    </row>
    <row r="2285" spans="1:6">
      <c r="A2285" t="s">
        <v>4565</v>
      </c>
      <c r="B2285" t="s">
        <v>4566</v>
      </c>
      <c r="C2285">
        <v>76255303</v>
      </c>
      <c r="D2285">
        <v>3000253</v>
      </c>
      <c r="E2285" t="s">
        <v>729</v>
      </c>
      <c r="F2285" s="5">
        <v>200</v>
      </c>
    </row>
    <row r="2286" spans="1:6" hidden="1">
      <c r="A2286" t="s">
        <v>3591</v>
      </c>
      <c r="B2286" t="s">
        <v>3592</v>
      </c>
      <c r="C2286">
        <v>76213112</v>
      </c>
      <c r="D2286">
        <v>2501213</v>
      </c>
      <c r="E2286" t="s">
        <v>39</v>
      </c>
      <c r="F2286" s="5">
        <v>300</v>
      </c>
    </row>
    <row r="2287" spans="1:6">
      <c r="A2287" t="s">
        <v>3591</v>
      </c>
      <c r="B2287" t="s">
        <v>3592</v>
      </c>
      <c r="C2287">
        <v>76213112</v>
      </c>
      <c r="D2287">
        <v>2501213</v>
      </c>
      <c r="E2287" t="s">
        <v>729</v>
      </c>
      <c r="F2287" s="5">
        <v>200</v>
      </c>
    </row>
    <row r="2288" spans="1:6" hidden="1">
      <c r="A2288" t="s">
        <v>4585</v>
      </c>
      <c r="B2288" t="s">
        <v>4586</v>
      </c>
      <c r="C2288">
        <v>76256403</v>
      </c>
      <c r="D2288">
        <v>3000915</v>
      </c>
      <c r="E2288" t="s">
        <v>39</v>
      </c>
      <c r="F2288" s="5">
        <v>300</v>
      </c>
    </row>
    <row r="2289" spans="1:6">
      <c r="A2289" t="s">
        <v>4585</v>
      </c>
      <c r="B2289" t="s">
        <v>4586</v>
      </c>
      <c r="C2289">
        <v>76256403</v>
      </c>
      <c r="D2289">
        <v>3000915</v>
      </c>
      <c r="E2289" t="s">
        <v>729</v>
      </c>
      <c r="F2289" s="5">
        <v>200</v>
      </c>
    </row>
    <row r="2290" spans="1:6" hidden="1">
      <c r="A2290" t="s">
        <v>288</v>
      </c>
      <c r="B2290" t="s">
        <v>289</v>
      </c>
      <c r="C2290">
        <v>76253767</v>
      </c>
      <c r="D2290">
        <v>2503579</v>
      </c>
      <c r="E2290" t="s">
        <v>39</v>
      </c>
      <c r="F2290" s="5">
        <v>300</v>
      </c>
    </row>
    <row r="2291" spans="1:6">
      <c r="A2291" t="s">
        <v>288</v>
      </c>
      <c r="B2291" t="s">
        <v>289</v>
      </c>
      <c r="C2291">
        <v>76253767</v>
      </c>
      <c r="D2291">
        <v>2503579</v>
      </c>
      <c r="E2291" t="s">
        <v>729</v>
      </c>
      <c r="F2291" s="5">
        <v>200</v>
      </c>
    </row>
    <row r="2292" spans="1:6" hidden="1">
      <c r="A2292" t="s">
        <v>285</v>
      </c>
      <c r="B2292" t="s">
        <v>286</v>
      </c>
      <c r="C2292">
        <v>76253766</v>
      </c>
      <c r="D2292">
        <v>2503580</v>
      </c>
      <c r="E2292" t="s">
        <v>39</v>
      </c>
      <c r="F2292" s="5">
        <v>300</v>
      </c>
    </row>
    <row r="2293" spans="1:6">
      <c r="A2293" t="s">
        <v>285</v>
      </c>
      <c r="B2293" t="s">
        <v>286</v>
      </c>
      <c r="C2293">
        <v>76253766</v>
      </c>
      <c r="D2293">
        <v>2503580</v>
      </c>
      <c r="E2293" t="s">
        <v>729</v>
      </c>
      <c r="F2293" s="5">
        <v>200</v>
      </c>
    </row>
    <row r="2294" spans="1:6" hidden="1">
      <c r="A2294" t="s">
        <v>2028</v>
      </c>
      <c r="B2294" t="s">
        <v>2029</v>
      </c>
      <c r="C2294">
        <v>71040663</v>
      </c>
      <c r="D2294">
        <v>1500229</v>
      </c>
      <c r="E2294" t="s">
        <v>39</v>
      </c>
      <c r="F2294" s="5">
        <v>300</v>
      </c>
    </row>
    <row r="2295" spans="1:6">
      <c r="A2295" t="s">
        <v>2028</v>
      </c>
      <c r="B2295" t="s">
        <v>2029</v>
      </c>
      <c r="C2295">
        <v>71040663</v>
      </c>
      <c r="D2295">
        <v>1500229</v>
      </c>
      <c r="E2295" t="s">
        <v>729</v>
      </c>
      <c r="F2295" s="5">
        <v>200</v>
      </c>
    </row>
    <row r="2296" spans="1:6" hidden="1">
      <c r="A2296" t="s">
        <v>2020</v>
      </c>
      <c r="B2296" t="s">
        <v>2021</v>
      </c>
      <c r="C2296">
        <v>71039883</v>
      </c>
      <c r="D2296">
        <v>1500229</v>
      </c>
      <c r="E2296" t="s">
        <v>39</v>
      </c>
      <c r="F2296" s="5">
        <v>300</v>
      </c>
    </row>
    <row r="2297" spans="1:6">
      <c r="A2297" t="s">
        <v>2020</v>
      </c>
      <c r="B2297" t="s">
        <v>2021</v>
      </c>
      <c r="C2297">
        <v>71039883</v>
      </c>
      <c r="D2297">
        <v>1500229</v>
      </c>
      <c r="E2297" t="s">
        <v>729</v>
      </c>
      <c r="F2297" s="5">
        <v>200</v>
      </c>
    </row>
    <row r="2298" spans="1:6" hidden="1">
      <c r="A2298" t="s">
        <v>2983</v>
      </c>
      <c r="B2298" t="s">
        <v>2984</v>
      </c>
      <c r="C2298">
        <v>76155829</v>
      </c>
      <c r="D2298">
        <v>2502692</v>
      </c>
      <c r="E2298" t="s">
        <v>39</v>
      </c>
      <c r="F2298" s="5">
        <v>300</v>
      </c>
    </row>
    <row r="2299" spans="1:6">
      <c r="A2299" t="s">
        <v>2983</v>
      </c>
      <c r="B2299" t="s">
        <v>2984</v>
      </c>
      <c r="C2299">
        <v>76155829</v>
      </c>
      <c r="D2299">
        <v>2502692</v>
      </c>
      <c r="E2299" t="s">
        <v>729</v>
      </c>
      <c r="F2299" s="5">
        <v>200</v>
      </c>
    </row>
    <row r="2300" spans="1:6" hidden="1">
      <c r="A2300" t="s">
        <v>2981</v>
      </c>
      <c r="B2300" t="s">
        <v>2982</v>
      </c>
      <c r="C2300">
        <v>76155780</v>
      </c>
      <c r="D2300">
        <v>2502687</v>
      </c>
      <c r="E2300" t="s">
        <v>39</v>
      </c>
      <c r="F2300" s="5">
        <v>300</v>
      </c>
    </row>
    <row r="2301" spans="1:6">
      <c r="A2301" t="s">
        <v>2981</v>
      </c>
      <c r="B2301" t="s">
        <v>2982</v>
      </c>
      <c r="C2301">
        <v>76155780</v>
      </c>
      <c r="D2301">
        <v>2502687</v>
      </c>
      <c r="E2301" t="s">
        <v>729</v>
      </c>
      <c r="F2301" s="5">
        <v>200</v>
      </c>
    </row>
    <row r="2302" spans="1:6" hidden="1">
      <c r="A2302" t="s">
        <v>3289</v>
      </c>
      <c r="B2302" t="s">
        <v>3290</v>
      </c>
      <c r="C2302">
        <v>76193009</v>
      </c>
      <c r="D2302">
        <v>2502695</v>
      </c>
      <c r="E2302" t="s">
        <v>39</v>
      </c>
      <c r="F2302" s="5">
        <v>300</v>
      </c>
    </row>
    <row r="2303" spans="1:6">
      <c r="A2303" t="s">
        <v>3289</v>
      </c>
      <c r="B2303" t="s">
        <v>3290</v>
      </c>
      <c r="C2303">
        <v>76193009</v>
      </c>
      <c r="D2303">
        <v>2502695</v>
      </c>
      <c r="E2303" t="s">
        <v>729</v>
      </c>
      <c r="F2303" s="5">
        <v>200</v>
      </c>
    </row>
    <row r="2304" spans="1:6" hidden="1">
      <c r="A2304" t="s">
        <v>1990</v>
      </c>
      <c r="B2304" t="s">
        <v>1991</v>
      </c>
      <c r="C2304">
        <v>53536901</v>
      </c>
      <c r="D2304">
        <v>2700002</v>
      </c>
      <c r="E2304" t="s">
        <v>39</v>
      </c>
      <c r="F2304" s="5">
        <v>300</v>
      </c>
    </row>
    <row r="2305" spans="1:6">
      <c r="A2305" t="s">
        <v>1990</v>
      </c>
      <c r="B2305" t="s">
        <v>1991</v>
      </c>
      <c r="C2305">
        <v>53536901</v>
      </c>
      <c r="D2305">
        <v>2700002</v>
      </c>
      <c r="E2305" t="s">
        <v>729</v>
      </c>
      <c r="F2305" s="5">
        <v>200</v>
      </c>
    </row>
    <row r="2306" spans="1:6" hidden="1">
      <c r="A2306" t="s">
        <v>3701</v>
      </c>
      <c r="B2306" t="s">
        <v>3702</v>
      </c>
      <c r="C2306">
        <v>76218817</v>
      </c>
      <c r="D2306">
        <v>2502732</v>
      </c>
      <c r="E2306" t="s">
        <v>39</v>
      </c>
      <c r="F2306" s="5">
        <v>300</v>
      </c>
    </row>
    <row r="2307" spans="1:6">
      <c r="A2307" t="s">
        <v>3701</v>
      </c>
      <c r="B2307" t="s">
        <v>3702</v>
      </c>
      <c r="C2307">
        <v>76218817</v>
      </c>
      <c r="D2307">
        <v>2502732</v>
      </c>
      <c r="E2307" t="s">
        <v>729</v>
      </c>
      <c r="F2307" s="5">
        <v>200</v>
      </c>
    </row>
    <row r="2308" spans="1:6" hidden="1">
      <c r="A2308" t="s">
        <v>3969</v>
      </c>
      <c r="B2308" t="s">
        <v>3970</v>
      </c>
      <c r="C2308">
        <v>76228339</v>
      </c>
      <c r="D2308">
        <v>2502574</v>
      </c>
      <c r="E2308" t="s">
        <v>39</v>
      </c>
      <c r="F2308" s="5">
        <v>300</v>
      </c>
    </row>
    <row r="2309" spans="1:6">
      <c r="A2309" t="s">
        <v>3969</v>
      </c>
      <c r="B2309" t="s">
        <v>3970</v>
      </c>
      <c r="C2309">
        <v>76228339</v>
      </c>
      <c r="D2309">
        <v>2502574</v>
      </c>
      <c r="E2309" t="s">
        <v>729</v>
      </c>
      <c r="F2309" s="5">
        <v>200</v>
      </c>
    </row>
    <row r="2310" spans="1:6" hidden="1">
      <c r="A2310" t="s">
        <v>4454</v>
      </c>
      <c r="B2310" t="s">
        <v>4455</v>
      </c>
      <c r="C2310">
        <v>76250572</v>
      </c>
      <c r="D2310">
        <v>2503429</v>
      </c>
      <c r="E2310" t="s">
        <v>39</v>
      </c>
      <c r="F2310" s="5">
        <v>300</v>
      </c>
    </row>
    <row r="2311" spans="1:6">
      <c r="A2311" t="s">
        <v>4454</v>
      </c>
      <c r="B2311" t="s">
        <v>4455</v>
      </c>
      <c r="C2311">
        <v>76250572</v>
      </c>
      <c r="D2311">
        <v>2503429</v>
      </c>
      <c r="E2311" t="s">
        <v>729</v>
      </c>
      <c r="F2311" s="5">
        <v>200</v>
      </c>
    </row>
    <row r="2312" spans="1:6" hidden="1">
      <c r="A2312" t="s">
        <v>3081</v>
      </c>
      <c r="B2312" t="s">
        <v>3082</v>
      </c>
      <c r="C2312">
        <v>76166553</v>
      </c>
      <c r="D2312">
        <v>1500019</v>
      </c>
      <c r="E2312" t="s">
        <v>39</v>
      </c>
      <c r="F2312" s="5">
        <v>300</v>
      </c>
    </row>
    <row r="2313" spans="1:6">
      <c r="A2313" t="s">
        <v>3081</v>
      </c>
      <c r="B2313" t="s">
        <v>3082</v>
      </c>
      <c r="C2313">
        <v>76166553</v>
      </c>
      <c r="D2313">
        <v>1500019</v>
      </c>
      <c r="E2313" t="s">
        <v>729</v>
      </c>
      <c r="F2313" s="5">
        <v>200</v>
      </c>
    </row>
    <row r="2314" spans="1:6" hidden="1">
      <c r="A2314" t="s">
        <v>3967</v>
      </c>
      <c r="B2314" t="s">
        <v>3968</v>
      </c>
      <c r="C2314">
        <v>76228335</v>
      </c>
      <c r="D2314">
        <v>2002054</v>
      </c>
      <c r="E2314" t="s">
        <v>39</v>
      </c>
      <c r="F2314" s="5">
        <v>300</v>
      </c>
    </row>
    <row r="2315" spans="1:6">
      <c r="A2315" t="s">
        <v>3967</v>
      </c>
      <c r="B2315" t="s">
        <v>3968</v>
      </c>
      <c r="C2315">
        <v>76228335</v>
      </c>
      <c r="D2315">
        <v>2002054</v>
      </c>
      <c r="E2315" t="s">
        <v>729</v>
      </c>
      <c r="F2315" s="5">
        <v>200</v>
      </c>
    </row>
    <row r="2316" spans="1:6" hidden="1">
      <c r="A2316" t="s">
        <v>2663</v>
      </c>
      <c r="B2316" t="s">
        <v>2664</v>
      </c>
      <c r="C2316">
        <v>76064099</v>
      </c>
      <c r="D2316">
        <v>3158</v>
      </c>
      <c r="E2316" t="s">
        <v>39</v>
      </c>
      <c r="F2316" s="5">
        <v>300</v>
      </c>
    </row>
    <row r="2317" spans="1:6">
      <c r="A2317" t="s">
        <v>2663</v>
      </c>
      <c r="B2317" t="s">
        <v>2664</v>
      </c>
      <c r="C2317">
        <v>76064099</v>
      </c>
      <c r="D2317">
        <v>3158</v>
      </c>
      <c r="E2317" t="s">
        <v>729</v>
      </c>
      <c r="F2317" s="5">
        <v>200</v>
      </c>
    </row>
    <row r="2318" spans="1:6" hidden="1">
      <c r="A2318" t="s">
        <v>3607</v>
      </c>
      <c r="B2318" t="s">
        <v>3608</v>
      </c>
      <c r="C2318">
        <v>76213302</v>
      </c>
      <c r="D2318">
        <v>2003120</v>
      </c>
      <c r="E2318" t="s">
        <v>39</v>
      </c>
      <c r="F2318" s="5">
        <v>300</v>
      </c>
    </row>
    <row r="2319" spans="1:6">
      <c r="A2319" t="s">
        <v>3607</v>
      </c>
      <c r="B2319" t="s">
        <v>3608</v>
      </c>
      <c r="C2319">
        <v>76213302</v>
      </c>
      <c r="D2319">
        <v>2003120</v>
      </c>
      <c r="E2319" t="s">
        <v>729</v>
      </c>
      <c r="F2319" s="5">
        <v>200</v>
      </c>
    </row>
    <row r="2320" spans="1:6" hidden="1">
      <c r="A2320" t="s">
        <v>4561</v>
      </c>
      <c r="B2320" t="s">
        <v>4562</v>
      </c>
      <c r="C2320">
        <v>76255234</v>
      </c>
      <c r="D2320">
        <v>3000983</v>
      </c>
      <c r="E2320" t="s">
        <v>39</v>
      </c>
      <c r="F2320" s="5">
        <v>300</v>
      </c>
    </row>
    <row r="2321" spans="1:6">
      <c r="A2321" t="s">
        <v>4561</v>
      </c>
      <c r="B2321" t="s">
        <v>4562</v>
      </c>
      <c r="C2321">
        <v>76255234</v>
      </c>
      <c r="D2321">
        <v>3000983</v>
      </c>
      <c r="E2321" t="s">
        <v>729</v>
      </c>
      <c r="F2321" s="5">
        <v>200</v>
      </c>
    </row>
    <row r="2322" spans="1:6" hidden="1">
      <c r="A2322" t="s">
        <v>4498</v>
      </c>
      <c r="B2322" t="s">
        <v>4499</v>
      </c>
      <c r="C2322">
        <v>76252059</v>
      </c>
      <c r="D2322">
        <v>3000050</v>
      </c>
      <c r="E2322" t="s">
        <v>39</v>
      </c>
      <c r="F2322" s="5">
        <v>300</v>
      </c>
    </row>
    <row r="2323" spans="1:6">
      <c r="A2323" t="s">
        <v>4498</v>
      </c>
      <c r="B2323" t="s">
        <v>4499</v>
      </c>
      <c r="C2323">
        <v>76252059</v>
      </c>
      <c r="D2323">
        <v>3000050</v>
      </c>
      <c r="E2323" t="s">
        <v>729</v>
      </c>
      <c r="F2323" s="5">
        <v>200</v>
      </c>
    </row>
    <row r="2324" spans="1:6" hidden="1">
      <c r="A2324" t="s">
        <v>2592</v>
      </c>
      <c r="B2324" t="s">
        <v>2593</v>
      </c>
      <c r="C2324">
        <v>76056708</v>
      </c>
      <c r="D2324">
        <v>2503478</v>
      </c>
      <c r="E2324" t="s">
        <v>39</v>
      </c>
      <c r="F2324" s="5">
        <v>450</v>
      </c>
    </row>
    <row r="2325" spans="1:6" hidden="1">
      <c r="A2325" t="s">
        <v>2592</v>
      </c>
      <c r="B2325" t="s">
        <v>2594</v>
      </c>
      <c r="C2325">
        <v>76056708</v>
      </c>
      <c r="D2325">
        <v>2503478</v>
      </c>
      <c r="E2325" t="s">
        <v>39</v>
      </c>
      <c r="F2325" s="5">
        <v>300</v>
      </c>
    </row>
    <row r="2326" spans="1:6">
      <c r="A2326" t="s">
        <v>2592</v>
      </c>
      <c r="B2326" t="s">
        <v>2593</v>
      </c>
      <c r="C2326">
        <v>76056708</v>
      </c>
      <c r="D2326">
        <v>2503478</v>
      </c>
      <c r="E2326" t="s">
        <v>729</v>
      </c>
      <c r="F2326" s="5">
        <v>200</v>
      </c>
    </row>
    <row r="2327" spans="1:6">
      <c r="A2327" t="s">
        <v>2592</v>
      </c>
      <c r="B2327" t="s">
        <v>2594</v>
      </c>
      <c r="C2327">
        <v>76056708</v>
      </c>
      <c r="D2327">
        <v>2503478</v>
      </c>
      <c r="E2327" t="s">
        <v>729</v>
      </c>
      <c r="F2327" s="5">
        <v>200</v>
      </c>
    </row>
    <row r="2328" spans="1:6" hidden="1">
      <c r="A2328" t="s">
        <v>2342</v>
      </c>
      <c r="B2328" t="s">
        <v>2343</v>
      </c>
      <c r="C2328">
        <v>76023606</v>
      </c>
      <c r="D2328">
        <v>2503588</v>
      </c>
      <c r="E2328" t="s">
        <v>39</v>
      </c>
      <c r="F2328" s="5">
        <v>300</v>
      </c>
    </row>
    <row r="2329" spans="1:6">
      <c r="A2329" t="s">
        <v>2342</v>
      </c>
      <c r="B2329" t="s">
        <v>2343</v>
      </c>
      <c r="C2329">
        <v>76023606</v>
      </c>
      <c r="D2329">
        <v>2503588</v>
      </c>
      <c r="E2329" t="s">
        <v>729</v>
      </c>
      <c r="F2329" s="5">
        <v>200</v>
      </c>
    </row>
    <row r="2330" spans="1:6" hidden="1">
      <c r="A2330" t="s">
        <v>195</v>
      </c>
      <c r="B2330" t="s">
        <v>196</v>
      </c>
      <c r="C2330">
        <v>76232553</v>
      </c>
      <c r="D2330">
        <v>2502656</v>
      </c>
      <c r="E2330" t="s">
        <v>39</v>
      </c>
      <c r="F2330" s="5">
        <v>300</v>
      </c>
    </row>
    <row r="2331" spans="1:6">
      <c r="A2331" t="s">
        <v>195</v>
      </c>
      <c r="B2331" t="s">
        <v>196</v>
      </c>
      <c r="C2331">
        <v>76232553</v>
      </c>
      <c r="D2331">
        <v>2502656</v>
      </c>
      <c r="E2331" t="s">
        <v>729</v>
      </c>
      <c r="F2331" s="5">
        <v>200</v>
      </c>
    </row>
    <row r="2332" spans="1:6" hidden="1">
      <c r="A2332" t="s">
        <v>3533</v>
      </c>
      <c r="B2332" t="s">
        <v>3534</v>
      </c>
      <c r="C2332">
        <v>76209638</v>
      </c>
      <c r="D2332">
        <v>2003080</v>
      </c>
      <c r="E2332" t="s">
        <v>39</v>
      </c>
      <c r="F2332" s="5">
        <v>300</v>
      </c>
    </row>
    <row r="2333" spans="1:6">
      <c r="A2333" t="s">
        <v>3533</v>
      </c>
      <c r="B2333" t="s">
        <v>3534</v>
      </c>
      <c r="C2333">
        <v>76209638</v>
      </c>
      <c r="D2333">
        <v>2003080</v>
      </c>
      <c r="E2333" t="s">
        <v>729</v>
      </c>
      <c r="F2333" s="5">
        <v>200</v>
      </c>
    </row>
    <row r="2334" spans="1:6" hidden="1">
      <c r="A2334" t="s">
        <v>4330</v>
      </c>
      <c r="B2334" t="s">
        <v>4331</v>
      </c>
      <c r="C2334">
        <v>76240607</v>
      </c>
      <c r="D2334">
        <v>2503149</v>
      </c>
      <c r="E2334" t="s">
        <v>39</v>
      </c>
      <c r="F2334" s="5">
        <v>400</v>
      </c>
    </row>
    <row r="2335" spans="1:6">
      <c r="A2335" t="s">
        <v>4330</v>
      </c>
      <c r="B2335" t="s">
        <v>4331</v>
      </c>
      <c r="C2335">
        <v>76240607</v>
      </c>
      <c r="D2335">
        <v>2503149</v>
      </c>
      <c r="E2335" t="s">
        <v>729</v>
      </c>
      <c r="F2335" s="5">
        <v>200</v>
      </c>
    </row>
    <row r="2336" spans="1:6" hidden="1">
      <c r="A2336" t="s">
        <v>2082</v>
      </c>
      <c r="B2336" t="s">
        <v>2083</v>
      </c>
      <c r="C2336">
        <v>71046171</v>
      </c>
      <c r="D2336">
        <v>2503113</v>
      </c>
      <c r="E2336" t="s">
        <v>39</v>
      </c>
      <c r="F2336" s="5">
        <v>300</v>
      </c>
    </row>
    <row r="2337" spans="1:6">
      <c r="A2337" t="s">
        <v>2082</v>
      </c>
      <c r="B2337" t="s">
        <v>2083</v>
      </c>
      <c r="C2337">
        <v>71046171</v>
      </c>
      <c r="D2337">
        <v>2503113</v>
      </c>
      <c r="E2337" t="s">
        <v>729</v>
      </c>
      <c r="F2337" s="5">
        <v>200</v>
      </c>
    </row>
    <row r="2338" spans="1:6" hidden="1">
      <c r="A2338" t="s">
        <v>4595</v>
      </c>
      <c r="B2338" t="s">
        <v>4596</v>
      </c>
      <c r="C2338">
        <v>76256807</v>
      </c>
      <c r="D2338">
        <v>2001223</v>
      </c>
      <c r="E2338" t="s">
        <v>39</v>
      </c>
      <c r="F2338" s="5">
        <v>300</v>
      </c>
    </row>
    <row r="2339" spans="1:6">
      <c r="A2339" t="s">
        <v>4595</v>
      </c>
      <c r="B2339" t="s">
        <v>4596</v>
      </c>
      <c r="C2339">
        <v>76256807</v>
      </c>
      <c r="D2339">
        <v>2001223</v>
      </c>
      <c r="E2339" t="s">
        <v>729</v>
      </c>
      <c r="F2339" s="5">
        <v>200</v>
      </c>
    </row>
    <row r="2340" spans="1:6" hidden="1">
      <c r="A2340" t="s">
        <v>700</v>
      </c>
      <c r="B2340" t="s">
        <v>701</v>
      </c>
      <c r="C2340">
        <v>76251423</v>
      </c>
      <c r="D2340">
        <v>3002946</v>
      </c>
      <c r="E2340" t="s">
        <v>39</v>
      </c>
      <c r="F2340" s="5">
        <v>300</v>
      </c>
    </row>
    <row r="2341" spans="1:6">
      <c r="A2341" t="s">
        <v>700</v>
      </c>
      <c r="B2341" t="s">
        <v>701</v>
      </c>
      <c r="C2341">
        <v>76251423</v>
      </c>
      <c r="D2341">
        <v>3002946</v>
      </c>
      <c r="E2341" t="s">
        <v>729</v>
      </c>
      <c r="F2341" s="5">
        <v>200</v>
      </c>
    </row>
    <row r="2342" spans="1:6" hidden="1">
      <c r="A2342" t="s">
        <v>709</v>
      </c>
      <c r="B2342" t="s">
        <v>710</v>
      </c>
      <c r="C2342">
        <v>76252738</v>
      </c>
      <c r="D2342">
        <v>3002944</v>
      </c>
      <c r="E2342" t="s">
        <v>39</v>
      </c>
      <c r="F2342" s="5">
        <v>300</v>
      </c>
    </row>
    <row r="2343" spans="1:6">
      <c r="A2343" t="s">
        <v>709</v>
      </c>
      <c r="B2343" t="s">
        <v>710</v>
      </c>
      <c r="C2343">
        <v>76252738</v>
      </c>
      <c r="D2343">
        <v>3002944</v>
      </c>
      <c r="E2343" t="s">
        <v>729</v>
      </c>
      <c r="F2343" s="5">
        <v>200</v>
      </c>
    </row>
    <row r="2344" spans="1:6" hidden="1">
      <c r="A2344" t="s">
        <v>712</v>
      </c>
      <c r="B2344" t="s">
        <v>713</v>
      </c>
      <c r="C2344">
        <v>76252740</v>
      </c>
      <c r="D2344">
        <v>3002948</v>
      </c>
      <c r="E2344" t="s">
        <v>39</v>
      </c>
      <c r="F2344" s="5">
        <v>300</v>
      </c>
    </row>
    <row r="2345" spans="1:6">
      <c r="A2345" t="s">
        <v>712</v>
      </c>
      <c r="B2345" t="s">
        <v>713</v>
      </c>
      <c r="C2345">
        <v>76252740</v>
      </c>
      <c r="D2345">
        <v>3002948</v>
      </c>
      <c r="E2345" t="s">
        <v>729</v>
      </c>
      <c r="F2345" s="5">
        <v>200</v>
      </c>
    </row>
    <row r="2346" spans="1:6" hidden="1">
      <c r="A2346" t="s">
        <v>2204</v>
      </c>
      <c r="B2346" t="s">
        <v>2205</v>
      </c>
      <c r="C2346">
        <v>71060845</v>
      </c>
      <c r="D2346">
        <v>8062</v>
      </c>
      <c r="E2346" t="s">
        <v>39</v>
      </c>
      <c r="F2346" s="5">
        <v>300</v>
      </c>
    </row>
    <row r="2347" spans="1:6">
      <c r="A2347" t="s">
        <v>2204</v>
      </c>
      <c r="B2347" t="s">
        <v>2205</v>
      </c>
      <c r="C2347">
        <v>71060845</v>
      </c>
      <c r="D2347">
        <v>8062</v>
      </c>
      <c r="E2347" t="s">
        <v>729</v>
      </c>
      <c r="F2347" s="5">
        <v>200</v>
      </c>
    </row>
    <row r="2348" spans="1:6" hidden="1">
      <c r="A2348" t="s">
        <v>664</v>
      </c>
      <c r="B2348" t="s">
        <v>665</v>
      </c>
      <c r="C2348">
        <v>76232074</v>
      </c>
      <c r="D2348">
        <v>2500696</v>
      </c>
      <c r="E2348" t="s">
        <v>39</v>
      </c>
      <c r="F2348" s="5">
        <v>300</v>
      </c>
    </row>
    <row r="2349" spans="1:6">
      <c r="A2349" t="s">
        <v>664</v>
      </c>
      <c r="B2349" t="s">
        <v>665</v>
      </c>
      <c r="C2349">
        <v>76232074</v>
      </c>
      <c r="D2349">
        <v>2500696</v>
      </c>
      <c r="E2349" t="s">
        <v>729</v>
      </c>
      <c r="F2349" s="5">
        <v>200</v>
      </c>
    </row>
    <row r="2350" spans="1:6" hidden="1">
      <c r="A2350" t="s">
        <v>3667</v>
      </c>
      <c r="B2350" t="s">
        <v>3668</v>
      </c>
      <c r="C2350">
        <v>76216658</v>
      </c>
      <c r="D2350">
        <v>2001280</v>
      </c>
      <c r="E2350" t="s">
        <v>39</v>
      </c>
      <c r="F2350" s="5">
        <v>300</v>
      </c>
    </row>
    <row r="2351" spans="1:6">
      <c r="A2351" t="s">
        <v>3667</v>
      </c>
      <c r="B2351" t="s">
        <v>3668</v>
      </c>
      <c r="C2351">
        <v>76216658</v>
      </c>
      <c r="D2351">
        <v>2001280</v>
      </c>
      <c r="E2351" t="s">
        <v>729</v>
      </c>
      <c r="F2351" s="5">
        <v>200</v>
      </c>
    </row>
    <row r="2352" spans="1:6" hidden="1">
      <c r="A2352" t="s">
        <v>3089</v>
      </c>
      <c r="B2352" t="s">
        <v>3090</v>
      </c>
      <c r="C2352">
        <v>76167113</v>
      </c>
      <c r="D2352">
        <v>2000504</v>
      </c>
      <c r="E2352" t="s">
        <v>39</v>
      </c>
      <c r="F2352" s="5">
        <v>300</v>
      </c>
    </row>
    <row r="2353" spans="1:6">
      <c r="A2353" t="s">
        <v>3089</v>
      </c>
      <c r="B2353" t="s">
        <v>3090</v>
      </c>
      <c r="C2353">
        <v>76167113</v>
      </c>
      <c r="D2353">
        <v>2000504</v>
      </c>
      <c r="E2353" t="s">
        <v>729</v>
      </c>
      <c r="F2353" s="5">
        <v>200</v>
      </c>
    </row>
    <row r="2354" spans="1:6" hidden="1">
      <c r="A2354" t="s">
        <v>3355</v>
      </c>
      <c r="B2354" t="s">
        <v>3356</v>
      </c>
      <c r="C2354">
        <v>76201829</v>
      </c>
      <c r="D2354">
        <v>2000521</v>
      </c>
      <c r="E2354" t="s">
        <v>39</v>
      </c>
      <c r="F2354" s="5">
        <v>300</v>
      </c>
    </row>
    <row r="2355" spans="1:6">
      <c r="A2355" t="s">
        <v>3355</v>
      </c>
      <c r="B2355" t="s">
        <v>3356</v>
      </c>
      <c r="C2355">
        <v>76201829</v>
      </c>
      <c r="D2355">
        <v>2000521</v>
      </c>
      <c r="E2355" t="s">
        <v>729</v>
      </c>
      <c r="F2355" s="5">
        <v>200</v>
      </c>
    </row>
    <row r="2356" spans="1:6" hidden="1">
      <c r="A2356" t="s">
        <v>2813</v>
      </c>
      <c r="B2356" t="s">
        <v>2814</v>
      </c>
      <c r="C2356">
        <v>76085787</v>
      </c>
      <c r="D2356">
        <v>2000442</v>
      </c>
      <c r="E2356" t="s">
        <v>39</v>
      </c>
      <c r="F2356" s="5">
        <v>300</v>
      </c>
    </row>
    <row r="2357" spans="1:6">
      <c r="A2357" t="s">
        <v>2813</v>
      </c>
      <c r="B2357" t="s">
        <v>2814</v>
      </c>
      <c r="C2357">
        <v>76085787</v>
      </c>
      <c r="D2357">
        <v>2000442</v>
      </c>
      <c r="E2357" t="s">
        <v>729</v>
      </c>
      <c r="F2357" s="5">
        <v>200</v>
      </c>
    </row>
    <row r="2358" spans="1:6" hidden="1">
      <c r="A2358" t="s">
        <v>1863</v>
      </c>
      <c r="B2358" t="s">
        <v>1864</v>
      </c>
      <c r="C2358">
        <v>25300178</v>
      </c>
      <c r="D2358">
        <v>936</v>
      </c>
      <c r="E2358" t="s">
        <v>39</v>
      </c>
      <c r="F2358" s="5">
        <v>300</v>
      </c>
    </row>
    <row r="2359" spans="1:6">
      <c r="A2359" t="s">
        <v>1863</v>
      </c>
      <c r="B2359" t="s">
        <v>1864</v>
      </c>
      <c r="C2359">
        <v>25300178</v>
      </c>
      <c r="D2359">
        <v>936</v>
      </c>
      <c r="E2359" t="s">
        <v>729</v>
      </c>
      <c r="F2359" s="5">
        <v>200</v>
      </c>
    </row>
    <row r="2360" spans="1:6" hidden="1">
      <c r="A2360" t="s">
        <v>2556</v>
      </c>
      <c r="B2360" t="s">
        <v>2557</v>
      </c>
      <c r="C2360">
        <v>76051609</v>
      </c>
      <c r="D2360">
        <v>8103</v>
      </c>
      <c r="E2360" t="s">
        <v>39</v>
      </c>
      <c r="F2360" s="5">
        <v>300</v>
      </c>
    </row>
    <row r="2361" spans="1:6">
      <c r="A2361" t="s">
        <v>2556</v>
      </c>
      <c r="B2361" t="s">
        <v>2557</v>
      </c>
      <c r="C2361">
        <v>76051609</v>
      </c>
      <c r="D2361">
        <v>8103</v>
      </c>
      <c r="E2361" t="s">
        <v>729</v>
      </c>
      <c r="F2361" s="5">
        <v>200</v>
      </c>
    </row>
    <row r="2362" spans="1:6" hidden="1">
      <c r="A2362" t="s">
        <v>2014</v>
      </c>
      <c r="B2362" t="s">
        <v>2015</v>
      </c>
      <c r="C2362">
        <v>71039509</v>
      </c>
      <c r="D2362">
        <v>2503529</v>
      </c>
      <c r="E2362" t="s">
        <v>39</v>
      </c>
      <c r="F2362" s="5">
        <v>300</v>
      </c>
    </row>
    <row r="2363" spans="1:6">
      <c r="A2363" t="s">
        <v>2014</v>
      </c>
      <c r="B2363" t="s">
        <v>2015</v>
      </c>
      <c r="C2363">
        <v>71039509</v>
      </c>
      <c r="D2363">
        <v>2503529</v>
      </c>
      <c r="E2363" t="s">
        <v>729</v>
      </c>
      <c r="F2363" s="5">
        <v>200</v>
      </c>
    </row>
    <row r="2364" spans="1:6" hidden="1">
      <c r="A2364" t="s">
        <v>2266</v>
      </c>
      <c r="B2364" t="s">
        <v>2267</v>
      </c>
      <c r="C2364">
        <v>76002438</v>
      </c>
      <c r="D2364">
        <v>2503535</v>
      </c>
      <c r="E2364" t="s">
        <v>39</v>
      </c>
      <c r="F2364" s="5">
        <v>300</v>
      </c>
    </row>
    <row r="2365" spans="1:6">
      <c r="A2365" t="s">
        <v>2266</v>
      </c>
      <c r="B2365" t="s">
        <v>2267</v>
      </c>
      <c r="C2365">
        <v>76002438</v>
      </c>
      <c r="D2365">
        <v>2503535</v>
      </c>
      <c r="E2365" t="s">
        <v>729</v>
      </c>
      <c r="F2365" s="5">
        <v>200</v>
      </c>
    </row>
    <row r="2366" spans="1:6" hidden="1">
      <c r="A2366" t="s">
        <v>3399</v>
      </c>
      <c r="B2366" t="s">
        <v>3400</v>
      </c>
      <c r="C2366">
        <v>76204679</v>
      </c>
      <c r="D2366">
        <v>2503540</v>
      </c>
      <c r="E2366" t="s">
        <v>39</v>
      </c>
      <c r="F2366" s="5">
        <v>300</v>
      </c>
    </row>
    <row r="2367" spans="1:6">
      <c r="A2367" t="s">
        <v>3399</v>
      </c>
      <c r="B2367" t="s">
        <v>3400</v>
      </c>
      <c r="C2367">
        <v>76204679</v>
      </c>
      <c r="D2367">
        <v>2503540</v>
      </c>
      <c r="E2367" t="s">
        <v>729</v>
      </c>
      <c r="F2367" s="5">
        <v>200</v>
      </c>
    </row>
    <row r="2368" spans="1:6" hidden="1">
      <c r="A2368" t="s">
        <v>2903</v>
      </c>
      <c r="B2368" t="s">
        <v>2904</v>
      </c>
      <c r="C2368">
        <v>76144974</v>
      </c>
      <c r="D2368">
        <v>9074</v>
      </c>
      <c r="E2368" t="s">
        <v>39</v>
      </c>
      <c r="F2368" s="5">
        <v>450</v>
      </c>
    </row>
    <row r="2369" spans="1:6">
      <c r="A2369" t="s">
        <v>2903</v>
      </c>
      <c r="B2369" t="s">
        <v>2904</v>
      </c>
      <c r="C2369">
        <v>76144974</v>
      </c>
      <c r="D2369">
        <v>9074</v>
      </c>
      <c r="E2369" t="s">
        <v>729</v>
      </c>
      <c r="F2369" s="5">
        <v>200</v>
      </c>
    </row>
    <row r="2370" spans="1:6" hidden="1">
      <c r="A2370" t="s">
        <v>2228</v>
      </c>
      <c r="B2370" t="s">
        <v>2229</v>
      </c>
      <c r="C2370">
        <v>71063350</v>
      </c>
      <c r="D2370">
        <v>2500537</v>
      </c>
      <c r="E2370" t="s">
        <v>39</v>
      </c>
      <c r="F2370" s="5">
        <v>300</v>
      </c>
    </row>
    <row r="2371" spans="1:6">
      <c r="A2371" t="s">
        <v>2228</v>
      </c>
      <c r="B2371" t="s">
        <v>2229</v>
      </c>
      <c r="C2371">
        <v>71063350</v>
      </c>
      <c r="D2371">
        <v>2500537</v>
      </c>
      <c r="E2371" t="s">
        <v>729</v>
      </c>
      <c r="F2371" s="5">
        <v>200</v>
      </c>
    </row>
    <row r="2372" spans="1:6" hidden="1">
      <c r="A2372" t="s">
        <v>237</v>
      </c>
      <c r="B2372" t="s">
        <v>238</v>
      </c>
      <c r="C2372">
        <v>76240142</v>
      </c>
      <c r="D2372">
        <v>2000770</v>
      </c>
      <c r="E2372" t="s">
        <v>39</v>
      </c>
      <c r="F2372" s="5">
        <v>300</v>
      </c>
    </row>
    <row r="2373" spans="1:6">
      <c r="A2373" t="s">
        <v>237</v>
      </c>
      <c r="B2373" t="s">
        <v>238</v>
      </c>
      <c r="C2373">
        <v>76240142</v>
      </c>
      <c r="D2373">
        <v>2000770</v>
      </c>
      <c r="E2373" t="s">
        <v>729</v>
      </c>
      <c r="F2373" s="5">
        <v>200</v>
      </c>
    </row>
    <row r="2374" spans="1:6" hidden="1">
      <c r="A2374" t="s">
        <v>2068</v>
      </c>
      <c r="B2374" t="s">
        <v>2069</v>
      </c>
      <c r="C2374">
        <v>71044818</v>
      </c>
      <c r="D2374">
        <v>0</v>
      </c>
      <c r="E2374" t="s">
        <v>39</v>
      </c>
      <c r="F2374" s="5">
        <v>450</v>
      </c>
    </row>
    <row r="2375" spans="1:6">
      <c r="A2375" t="s">
        <v>2068</v>
      </c>
      <c r="B2375" t="s">
        <v>2069</v>
      </c>
      <c r="C2375">
        <v>71044818</v>
      </c>
      <c r="D2375">
        <v>0</v>
      </c>
      <c r="E2375" t="s">
        <v>729</v>
      </c>
      <c r="F2375" s="5">
        <v>200</v>
      </c>
    </row>
    <row r="2376" spans="1:6" hidden="1">
      <c r="A2376" t="s">
        <v>3965</v>
      </c>
      <c r="B2376" t="s">
        <v>3966</v>
      </c>
      <c r="C2376">
        <v>76228317</v>
      </c>
      <c r="D2376">
        <v>2001987</v>
      </c>
      <c r="E2376" t="s">
        <v>39</v>
      </c>
      <c r="F2376" s="5">
        <v>450</v>
      </c>
    </row>
    <row r="2377" spans="1:6">
      <c r="A2377" t="s">
        <v>3965</v>
      </c>
      <c r="B2377" t="s">
        <v>3966</v>
      </c>
      <c r="C2377">
        <v>76228317</v>
      </c>
      <c r="D2377">
        <v>2001987</v>
      </c>
      <c r="E2377" t="s">
        <v>729</v>
      </c>
      <c r="F2377" s="5">
        <v>200</v>
      </c>
    </row>
    <row r="2378" spans="1:6" hidden="1">
      <c r="A2378" t="s">
        <v>2256</v>
      </c>
      <c r="B2378" t="s">
        <v>2257</v>
      </c>
      <c r="C2378">
        <v>76001693</v>
      </c>
      <c r="D2378">
        <v>2002026</v>
      </c>
      <c r="E2378" t="s">
        <v>39</v>
      </c>
      <c r="F2378" s="5">
        <v>300</v>
      </c>
    </row>
    <row r="2379" spans="1:6">
      <c r="A2379" t="s">
        <v>2256</v>
      </c>
      <c r="B2379" t="s">
        <v>2257</v>
      </c>
      <c r="C2379">
        <v>76001693</v>
      </c>
      <c r="D2379">
        <v>2002026</v>
      </c>
      <c r="E2379" t="s">
        <v>729</v>
      </c>
      <c r="F2379" s="5">
        <v>200</v>
      </c>
    </row>
    <row r="2380" spans="1:6" hidden="1">
      <c r="A2380" t="s">
        <v>3913</v>
      </c>
      <c r="B2380" t="s">
        <v>3914</v>
      </c>
      <c r="C2380">
        <v>76226319</v>
      </c>
      <c r="D2380">
        <v>2003058</v>
      </c>
      <c r="E2380" t="s">
        <v>39</v>
      </c>
      <c r="F2380" s="5">
        <v>300</v>
      </c>
    </row>
    <row r="2381" spans="1:6">
      <c r="A2381" t="s">
        <v>3913</v>
      </c>
      <c r="B2381" t="s">
        <v>3914</v>
      </c>
      <c r="C2381">
        <v>76226319</v>
      </c>
      <c r="D2381">
        <v>2003058</v>
      </c>
      <c r="E2381" t="s">
        <v>729</v>
      </c>
      <c r="F2381" s="5">
        <v>200</v>
      </c>
    </row>
    <row r="2382" spans="1:6" hidden="1">
      <c r="A2382" t="s">
        <v>2697</v>
      </c>
      <c r="B2382" t="s">
        <v>2698</v>
      </c>
      <c r="C2382">
        <v>76066140</v>
      </c>
      <c r="D2382">
        <v>2003059</v>
      </c>
      <c r="E2382" t="s">
        <v>39</v>
      </c>
      <c r="F2382" s="5">
        <v>300</v>
      </c>
    </row>
    <row r="2383" spans="1:6">
      <c r="A2383" t="s">
        <v>2697</v>
      </c>
      <c r="B2383" t="s">
        <v>2698</v>
      </c>
      <c r="C2383">
        <v>76066140</v>
      </c>
      <c r="D2383">
        <v>2003059</v>
      </c>
      <c r="E2383" t="s">
        <v>729</v>
      </c>
      <c r="F2383" s="5">
        <v>200</v>
      </c>
    </row>
    <row r="2384" spans="1:6" hidden="1">
      <c r="A2384" t="s">
        <v>4148</v>
      </c>
      <c r="B2384" t="s">
        <v>4149</v>
      </c>
      <c r="C2384">
        <v>76232632</v>
      </c>
      <c r="D2384">
        <v>3001981</v>
      </c>
      <c r="E2384" t="s">
        <v>39</v>
      </c>
      <c r="F2384" s="5">
        <v>300</v>
      </c>
    </row>
    <row r="2385" spans="1:6">
      <c r="A2385" t="s">
        <v>4148</v>
      </c>
      <c r="B2385" t="s">
        <v>4149</v>
      </c>
      <c r="C2385">
        <v>76232632</v>
      </c>
      <c r="D2385">
        <v>3001981</v>
      </c>
      <c r="E2385" t="s">
        <v>729</v>
      </c>
      <c r="F2385" s="5">
        <v>200</v>
      </c>
    </row>
    <row r="2386" spans="1:6" hidden="1">
      <c r="A2386" t="s">
        <v>1675</v>
      </c>
      <c r="B2386" t="s">
        <v>1676</v>
      </c>
      <c r="C2386">
        <v>9187704</v>
      </c>
      <c r="D2386">
        <v>2502362</v>
      </c>
      <c r="E2386" t="s">
        <v>39</v>
      </c>
      <c r="F2386" s="5">
        <v>300</v>
      </c>
    </row>
    <row r="2387" spans="1:6">
      <c r="A2387" t="s">
        <v>1675</v>
      </c>
      <c r="B2387" t="s">
        <v>1676</v>
      </c>
      <c r="C2387">
        <v>9187704</v>
      </c>
      <c r="D2387">
        <v>2502362</v>
      </c>
      <c r="E2387" t="s">
        <v>729</v>
      </c>
      <c r="F2387" s="5">
        <v>200</v>
      </c>
    </row>
    <row r="2388" spans="1:6" hidden="1">
      <c r="A2388" t="s">
        <v>1950</v>
      </c>
      <c r="B2388" t="s">
        <v>1951</v>
      </c>
      <c r="C2388">
        <v>42522601</v>
      </c>
      <c r="D2388">
        <v>2503515</v>
      </c>
      <c r="E2388" t="s">
        <v>39</v>
      </c>
      <c r="F2388" s="5">
        <v>300</v>
      </c>
    </row>
    <row r="2389" spans="1:6">
      <c r="A2389" t="s">
        <v>1950</v>
      </c>
      <c r="B2389" t="s">
        <v>1951</v>
      </c>
      <c r="C2389">
        <v>42522601</v>
      </c>
      <c r="D2389">
        <v>2503515</v>
      </c>
      <c r="E2389" t="s">
        <v>729</v>
      </c>
      <c r="F2389" s="5">
        <v>200</v>
      </c>
    </row>
    <row r="2390" spans="1:6" hidden="1">
      <c r="A2390" t="s">
        <v>1635</v>
      </c>
      <c r="B2390" t="s">
        <v>1636</v>
      </c>
      <c r="C2390">
        <v>6600309</v>
      </c>
      <c r="D2390">
        <v>13115</v>
      </c>
      <c r="E2390" t="s">
        <v>39</v>
      </c>
      <c r="F2390" s="5">
        <v>450</v>
      </c>
    </row>
    <row r="2391" spans="1:6">
      <c r="A2391" t="s">
        <v>1635</v>
      </c>
      <c r="B2391" t="s">
        <v>1636</v>
      </c>
      <c r="C2391">
        <v>6600309</v>
      </c>
      <c r="D2391">
        <v>13115</v>
      </c>
      <c r="E2391" t="s">
        <v>729</v>
      </c>
      <c r="F2391" s="5">
        <v>200</v>
      </c>
    </row>
    <row r="2392" spans="1:6" hidden="1">
      <c r="A2392" t="s">
        <v>1735</v>
      </c>
      <c r="B2392" t="s">
        <v>1736</v>
      </c>
      <c r="C2392">
        <v>13495528</v>
      </c>
      <c r="D2392">
        <v>2001684</v>
      </c>
      <c r="E2392" t="s">
        <v>39</v>
      </c>
      <c r="F2392" s="5">
        <v>450</v>
      </c>
    </row>
    <row r="2393" spans="1:6">
      <c r="A2393" t="s">
        <v>1735</v>
      </c>
      <c r="B2393" t="s">
        <v>1736</v>
      </c>
      <c r="C2393">
        <v>13495528</v>
      </c>
      <c r="D2393">
        <v>2001684</v>
      </c>
      <c r="E2393" t="s">
        <v>729</v>
      </c>
      <c r="F2393" s="5">
        <v>200</v>
      </c>
    </row>
    <row r="2394" spans="1:6" hidden="1">
      <c r="A2394" t="s">
        <v>1964</v>
      </c>
      <c r="B2394" t="s">
        <v>1965</v>
      </c>
      <c r="C2394">
        <v>45226301</v>
      </c>
      <c r="D2394">
        <v>3000247</v>
      </c>
      <c r="E2394" t="s">
        <v>39</v>
      </c>
      <c r="F2394" s="5">
        <v>300</v>
      </c>
    </row>
    <row r="2395" spans="1:6">
      <c r="A2395" t="s">
        <v>1964</v>
      </c>
      <c r="B2395" t="s">
        <v>1965</v>
      </c>
      <c r="C2395">
        <v>45226301</v>
      </c>
      <c r="D2395">
        <v>3000247</v>
      </c>
      <c r="E2395" t="s">
        <v>729</v>
      </c>
      <c r="F2395" s="5">
        <v>200</v>
      </c>
    </row>
    <row r="2396" spans="1:6" hidden="1">
      <c r="A2396" t="s">
        <v>1966</v>
      </c>
      <c r="B2396" t="s">
        <v>1967</v>
      </c>
      <c r="C2396">
        <v>45226301</v>
      </c>
      <c r="D2396">
        <v>3000247</v>
      </c>
      <c r="E2396" t="s">
        <v>39</v>
      </c>
      <c r="F2396" s="5">
        <v>300</v>
      </c>
    </row>
    <row r="2397" spans="1:6">
      <c r="A2397" t="s">
        <v>1966</v>
      </c>
      <c r="B2397" t="s">
        <v>1967</v>
      </c>
      <c r="C2397">
        <v>45226301</v>
      </c>
      <c r="D2397">
        <v>3000247</v>
      </c>
      <c r="E2397" t="s">
        <v>729</v>
      </c>
      <c r="F2397" s="5">
        <v>200</v>
      </c>
    </row>
    <row r="2398" spans="1:6" hidden="1">
      <c r="A2398" t="s">
        <v>548</v>
      </c>
      <c r="B2398" t="s">
        <v>549</v>
      </c>
      <c r="C2398">
        <v>76170921</v>
      </c>
      <c r="D2398" t="s">
        <v>438</v>
      </c>
      <c r="E2398" t="s">
        <v>39</v>
      </c>
      <c r="F2398" s="5">
        <v>300</v>
      </c>
    </row>
    <row r="2399" spans="1:6">
      <c r="A2399" t="s">
        <v>548</v>
      </c>
      <c r="B2399" t="s">
        <v>549</v>
      </c>
      <c r="C2399">
        <v>76170921</v>
      </c>
      <c r="D2399" t="s">
        <v>438</v>
      </c>
      <c r="E2399" t="s">
        <v>729</v>
      </c>
      <c r="F2399" s="5">
        <v>200</v>
      </c>
    </row>
    <row r="2400" spans="1:6" hidden="1">
      <c r="A2400" t="s">
        <v>1805</v>
      </c>
      <c r="B2400" t="s">
        <v>1806</v>
      </c>
      <c r="C2400">
        <v>25090101</v>
      </c>
      <c r="D2400">
        <v>1500076</v>
      </c>
      <c r="E2400" t="s">
        <v>39</v>
      </c>
      <c r="F2400" s="5">
        <v>450</v>
      </c>
    </row>
    <row r="2401" spans="1:6">
      <c r="A2401" t="s">
        <v>1805</v>
      </c>
      <c r="B2401" t="s">
        <v>1806</v>
      </c>
      <c r="C2401">
        <v>25090101</v>
      </c>
      <c r="D2401">
        <v>1500076</v>
      </c>
      <c r="E2401" t="s">
        <v>729</v>
      </c>
      <c r="F2401" s="5">
        <v>200</v>
      </c>
    </row>
    <row r="2402" spans="1:6" hidden="1">
      <c r="A2402" t="s">
        <v>3575</v>
      </c>
      <c r="B2402" t="s">
        <v>3576</v>
      </c>
      <c r="C2402">
        <v>76211206</v>
      </c>
      <c r="D2402" t="s">
        <v>438</v>
      </c>
      <c r="E2402" t="s">
        <v>39</v>
      </c>
      <c r="F2402" s="5">
        <v>400</v>
      </c>
    </row>
    <row r="2403" spans="1:6">
      <c r="A2403" t="s">
        <v>3575</v>
      </c>
      <c r="B2403" t="s">
        <v>3576</v>
      </c>
      <c r="C2403">
        <v>76211206</v>
      </c>
      <c r="D2403" t="s">
        <v>438</v>
      </c>
      <c r="E2403" t="s">
        <v>729</v>
      </c>
      <c r="F2403" s="5">
        <v>200</v>
      </c>
    </row>
    <row r="2404" spans="1:6" hidden="1">
      <c r="A2404" t="s">
        <v>4539</v>
      </c>
      <c r="B2404" t="s">
        <v>4540</v>
      </c>
      <c r="C2404">
        <v>76253966</v>
      </c>
      <c r="D2404">
        <v>3001003</v>
      </c>
      <c r="E2404" t="s">
        <v>39</v>
      </c>
      <c r="F2404" s="5">
        <v>300</v>
      </c>
    </row>
    <row r="2405" spans="1:6">
      <c r="A2405" t="s">
        <v>4539</v>
      </c>
      <c r="B2405" t="s">
        <v>4540</v>
      </c>
      <c r="C2405">
        <v>76253966</v>
      </c>
      <c r="D2405">
        <v>3001003</v>
      </c>
      <c r="E2405" t="s">
        <v>729</v>
      </c>
      <c r="F2405" s="5">
        <v>200</v>
      </c>
    </row>
    <row r="2406" spans="1:6" hidden="1">
      <c r="A2406" t="s">
        <v>3715</v>
      </c>
      <c r="B2406" t="s">
        <v>3716</v>
      </c>
      <c r="C2406">
        <v>76219210</v>
      </c>
      <c r="D2406">
        <v>2503348</v>
      </c>
      <c r="E2406" t="s">
        <v>39</v>
      </c>
      <c r="F2406" s="5">
        <v>300</v>
      </c>
    </row>
    <row r="2407" spans="1:6">
      <c r="A2407" t="s">
        <v>3715</v>
      </c>
      <c r="B2407" t="s">
        <v>3716</v>
      </c>
      <c r="C2407">
        <v>76219210</v>
      </c>
      <c r="D2407">
        <v>2503348</v>
      </c>
      <c r="E2407" t="s">
        <v>729</v>
      </c>
      <c r="F2407" s="5">
        <v>200</v>
      </c>
    </row>
    <row r="2408" spans="1:6" hidden="1">
      <c r="A2408" t="s">
        <v>4581</v>
      </c>
      <c r="B2408" t="s">
        <v>4582</v>
      </c>
      <c r="C2408">
        <v>76256088</v>
      </c>
      <c r="D2408">
        <v>3000387</v>
      </c>
      <c r="E2408" t="s">
        <v>39</v>
      </c>
      <c r="F2408" s="5">
        <v>300</v>
      </c>
    </row>
    <row r="2409" spans="1:6">
      <c r="A2409" t="s">
        <v>4581</v>
      </c>
      <c r="B2409" t="s">
        <v>4582</v>
      </c>
      <c r="C2409">
        <v>76256088</v>
      </c>
      <c r="D2409">
        <v>3000387</v>
      </c>
      <c r="E2409" t="s">
        <v>729</v>
      </c>
      <c r="F2409" s="5">
        <v>200</v>
      </c>
    </row>
    <row r="2410" spans="1:6" hidden="1">
      <c r="A2410" t="s">
        <v>2673</v>
      </c>
      <c r="B2410" t="s">
        <v>2674</v>
      </c>
      <c r="C2410">
        <v>76065781</v>
      </c>
      <c r="D2410">
        <v>2501747</v>
      </c>
      <c r="E2410" t="s">
        <v>39</v>
      </c>
      <c r="F2410" s="5">
        <v>300</v>
      </c>
    </row>
    <row r="2411" spans="1:6">
      <c r="A2411" t="s">
        <v>2673</v>
      </c>
      <c r="B2411" t="s">
        <v>2674</v>
      </c>
      <c r="C2411">
        <v>76065781</v>
      </c>
      <c r="D2411">
        <v>2501747</v>
      </c>
      <c r="E2411" t="s">
        <v>729</v>
      </c>
      <c r="F2411" s="5">
        <v>200</v>
      </c>
    </row>
    <row r="2412" spans="1:6" hidden="1">
      <c r="A2412" t="s">
        <v>1911</v>
      </c>
      <c r="B2412" t="s">
        <v>1912</v>
      </c>
      <c r="C2412">
        <v>37005301</v>
      </c>
      <c r="D2412">
        <v>2001494</v>
      </c>
      <c r="E2412" t="s">
        <v>39</v>
      </c>
      <c r="F2412" s="5">
        <v>300</v>
      </c>
    </row>
    <row r="2413" spans="1:6">
      <c r="A2413" t="s">
        <v>1911</v>
      </c>
      <c r="B2413" t="s">
        <v>1912</v>
      </c>
      <c r="C2413">
        <v>37005301</v>
      </c>
      <c r="D2413">
        <v>2001494</v>
      </c>
      <c r="E2413" t="s">
        <v>729</v>
      </c>
      <c r="F2413" s="5">
        <v>200</v>
      </c>
    </row>
    <row r="2414" spans="1:6" hidden="1">
      <c r="A2414" t="s">
        <v>2030</v>
      </c>
      <c r="B2414" t="s">
        <v>2031</v>
      </c>
      <c r="C2414">
        <v>71040843</v>
      </c>
      <c r="D2414">
        <v>2502689</v>
      </c>
      <c r="E2414" t="s">
        <v>39</v>
      </c>
      <c r="F2414" s="5">
        <v>300</v>
      </c>
    </row>
    <row r="2415" spans="1:6">
      <c r="A2415" t="s">
        <v>2030</v>
      </c>
      <c r="B2415" t="s">
        <v>2031</v>
      </c>
      <c r="C2415">
        <v>71040843</v>
      </c>
      <c r="D2415">
        <v>2502689</v>
      </c>
      <c r="E2415" t="s">
        <v>729</v>
      </c>
      <c r="F2415" s="5">
        <v>200</v>
      </c>
    </row>
    <row r="2416" spans="1:6" hidden="1">
      <c r="A2416" t="s">
        <v>2268</v>
      </c>
      <c r="B2416" t="s">
        <v>2269</v>
      </c>
      <c r="C2416">
        <v>76002746</v>
      </c>
      <c r="D2416">
        <v>4180</v>
      </c>
      <c r="E2416" t="s">
        <v>39</v>
      </c>
      <c r="F2416" s="5">
        <v>450</v>
      </c>
    </row>
    <row r="2417" spans="1:6">
      <c r="A2417" t="s">
        <v>2268</v>
      </c>
      <c r="B2417" t="s">
        <v>2269</v>
      </c>
      <c r="C2417">
        <v>76002746</v>
      </c>
      <c r="D2417">
        <v>4180</v>
      </c>
      <c r="E2417" t="s">
        <v>729</v>
      </c>
      <c r="F2417" s="5">
        <v>200</v>
      </c>
    </row>
    <row r="2418" spans="1:6" hidden="1">
      <c r="A2418" t="s">
        <v>2016</v>
      </c>
      <c r="B2418" t="s">
        <v>2017</v>
      </c>
      <c r="C2418">
        <v>71039591</v>
      </c>
      <c r="D2418">
        <v>2001345</v>
      </c>
      <c r="E2418" t="s">
        <v>39</v>
      </c>
      <c r="F2418" s="5">
        <v>450</v>
      </c>
    </row>
    <row r="2419" spans="1:6">
      <c r="A2419" t="s">
        <v>2016</v>
      </c>
      <c r="B2419" t="s">
        <v>2017</v>
      </c>
      <c r="C2419">
        <v>71039591</v>
      </c>
      <c r="D2419">
        <v>2001345</v>
      </c>
      <c r="E2419" t="s">
        <v>729</v>
      </c>
      <c r="F2419" s="5">
        <v>200</v>
      </c>
    </row>
    <row r="2420" spans="1:6" hidden="1">
      <c r="A2420" t="s">
        <v>2558</v>
      </c>
      <c r="B2420" t="s">
        <v>2559</v>
      </c>
      <c r="C2420">
        <v>76053108</v>
      </c>
      <c r="D2420">
        <v>2002021</v>
      </c>
      <c r="E2420" t="s">
        <v>39</v>
      </c>
      <c r="F2420" s="5">
        <v>450</v>
      </c>
    </row>
    <row r="2421" spans="1:6">
      <c r="A2421" t="s">
        <v>2558</v>
      </c>
      <c r="B2421" t="s">
        <v>2559</v>
      </c>
      <c r="C2421">
        <v>76053108</v>
      </c>
      <c r="D2421">
        <v>2002021</v>
      </c>
      <c r="E2421" t="s">
        <v>729</v>
      </c>
      <c r="F2421" s="5">
        <v>200</v>
      </c>
    </row>
    <row r="2422" spans="1:6" hidden="1">
      <c r="A2422" t="s">
        <v>4619</v>
      </c>
      <c r="B2422" t="s">
        <v>4620</v>
      </c>
      <c r="C2422">
        <v>76257564</v>
      </c>
      <c r="D2422">
        <v>2502004</v>
      </c>
      <c r="E2422" t="s">
        <v>39</v>
      </c>
      <c r="F2422" s="5">
        <v>300</v>
      </c>
    </row>
    <row r="2423" spans="1:6">
      <c r="A2423" t="s">
        <v>4619</v>
      </c>
      <c r="B2423" t="s">
        <v>4620</v>
      </c>
      <c r="C2423">
        <v>76257564</v>
      </c>
      <c r="D2423">
        <v>2502004</v>
      </c>
      <c r="E2423" t="s">
        <v>729</v>
      </c>
      <c r="F2423" s="5">
        <v>200</v>
      </c>
    </row>
    <row r="2424" spans="1:6" hidden="1">
      <c r="A2424" t="s">
        <v>3483</v>
      </c>
      <c r="B2424" t="s">
        <v>3484</v>
      </c>
      <c r="C2424">
        <v>76208242</v>
      </c>
      <c r="D2424">
        <v>3000389</v>
      </c>
      <c r="E2424" t="s">
        <v>39</v>
      </c>
      <c r="F2424" s="5">
        <v>300</v>
      </c>
    </row>
    <row r="2425" spans="1:6">
      <c r="A2425" t="s">
        <v>3483</v>
      </c>
      <c r="B2425" t="s">
        <v>3484</v>
      </c>
      <c r="C2425">
        <v>76208242</v>
      </c>
      <c r="D2425">
        <v>3000389</v>
      </c>
      <c r="E2425" t="s">
        <v>729</v>
      </c>
      <c r="F2425" s="5">
        <v>200</v>
      </c>
    </row>
    <row r="2426" spans="1:6" hidden="1">
      <c r="A2426" t="s">
        <v>1829</v>
      </c>
      <c r="B2426" t="s">
        <v>1830</v>
      </c>
      <c r="C2426">
        <v>25212301</v>
      </c>
      <c r="D2426">
        <v>2503549</v>
      </c>
      <c r="E2426" t="s">
        <v>39</v>
      </c>
      <c r="F2426" s="5">
        <v>300</v>
      </c>
    </row>
    <row r="2427" spans="1:6">
      <c r="A2427" t="s">
        <v>1829</v>
      </c>
      <c r="B2427" t="s">
        <v>1830</v>
      </c>
      <c r="C2427">
        <v>25212301</v>
      </c>
      <c r="D2427">
        <v>2503549</v>
      </c>
      <c r="E2427" t="s">
        <v>729</v>
      </c>
      <c r="F2427" s="5">
        <v>200</v>
      </c>
    </row>
    <row r="2428" spans="1:6" hidden="1">
      <c r="A2428" t="s">
        <v>1683</v>
      </c>
      <c r="B2428" t="s">
        <v>1684</v>
      </c>
      <c r="C2428">
        <v>10027564</v>
      </c>
      <c r="D2428">
        <v>3001858</v>
      </c>
      <c r="E2428" t="s">
        <v>39</v>
      </c>
      <c r="F2428" s="5">
        <v>300</v>
      </c>
    </row>
    <row r="2429" spans="1:6">
      <c r="A2429" t="s">
        <v>1683</v>
      </c>
      <c r="B2429" t="s">
        <v>1684</v>
      </c>
      <c r="C2429">
        <v>10027564</v>
      </c>
      <c r="D2429">
        <v>3001858</v>
      </c>
      <c r="E2429" t="s">
        <v>729</v>
      </c>
      <c r="F2429" s="5">
        <v>200</v>
      </c>
    </row>
    <row r="2430" spans="1:6" hidden="1">
      <c r="A2430" t="s">
        <v>406</v>
      </c>
      <c r="B2430" t="s">
        <v>407</v>
      </c>
      <c r="C2430">
        <v>13498058</v>
      </c>
      <c r="D2430">
        <v>3365</v>
      </c>
      <c r="E2430" t="s">
        <v>39</v>
      </c>
      <c r="F2430" s="5">
        <v>300</v>
      </c>
    </row>
    <row r="2431" spans="1:6">
      <c r="A2431" t="s">
        <v>406</v>
      </c>
      <c r="B2431" t="s">
        <v>407</v>
      </c>
      <c r="C2431">
        <v>13498058</v>
      </c>
      <c r="D2431">
        <v>3365</v>
      </c>
      <c r="E2431" t="s">
        <v>729</v>
      </c>
      <c r="F2431" s="5">
        <v>200</v>
      </c>
    </row>
    <row r="2432" spans="1:6" hidden="1">
      <c r="A2432" t="s">
        <v>1825</v>
      </c>
      <c r="B2432" t="s">
        <v>1826</v>
      </c>
      <c r="C2432">
        <v>25181301</v>
      </c>
      <c r="D2432">
        <v>2501218</v>
      </c>
      <c r="E2432" t="s">
        <v>39</v>
      </c>
      <c r="F2432" s="5">
        <v>300</v>
      </c>
    </row>
    <row r="2433" spans="1:6">
      <c r="A2433" t="s">
        <v>1825</v>
      </c>
      <c r="B2433" t="s">
        <v>1826</v>
      </c>
      <c r="C2433">
        <v>25181301</v>
      </c>
      <c r="D2433">
        <v>2501218</v>
      </c>
      <c r="E2433" t="s">
        <v>729</v>
      </c>
      <c r="F2433" s="5">
        <v>200</v>
      </c>
    </row>
    <row r="2434" spans="1:6" hidden="1">
      <c r="A2434" t="s">
        <v>59</v>
      </c>
      <c r="B2434" t="s">
        <v>60</v>
      </c>
      <c r="C2434">
        <v>43996001</v>
      </c>
      <c r="D2434">
        <v>2502552</v>
      </c>
      <c r="E2434" t="s">
        <v>39</v>
      </c>
      <c r="F2434" s="5">
        <v>450</v>
      </c>
    </row>
    <row r="2435" spans="1:6">
      <c r="A2435" t="s">
        <v>59</v>
      </c>
      <c r="B2435" t="s">
        <v>60</v>
      </c>
      <c r="C2435">
        <v>43996001</v>
      </c>
      <c r="D2435">
        <v>2502552</v>
      </c>
      <c r="E2435" t="s">
        <v>729</v>
      </c>
      <c r="F2435" s="5">
        <v>200</v>
      </c>
    </row>
    <row r="2436" spans="1:6" hidden="1">
      <c r="A2436" t="s">
        <v>78</v>
      </c>
      <c r="B2436" t="s">
        <v>79</v>
      </c>
      <c r="C2436">
        <v>76043277</v>
      </c>
      <c r="D2436">
        <v>2502505</v>
      </c>
      <c r="E2436" t="s">
        <v>39</v>
      </c>
      <c r="F2436" s="5">
        <v>450</v>
      </c>
    </row>
    <row r="2437" spans="1:6">
      <c r="A2437" t="s">
        <v>78</v>
      </c>
      <c r="B2437" t="s">
        <v>79</v>
      </c>
      <c r="C2437">
        <v>76043277</v>
      </c>
      <c r="D2437">
        <v>2502505</v>
      </c>
      <c r="E2437" t="s">
        <v>729</v>
      </c>
      <c r="F2437" s="5">
        <v>200</v>
      </c>
    </row>
    <row r="2438" spans="1:6" hidden="1">
      <c r="A2438" t="s">
        <v>2859</v>
      </c>
      <c r="B2438" t="s">
        <v>2860</v>
      </c>
      <c r="C2438">
        <v>76136381</v>
      </c>
      <c r="D2438">
        <v>1500095</v>
      </c>
      <c r="E2438" t="s">
        <v>39</v>
      </c>
      <c r="F2438" s="5">
        <v>450</v>
      </c>
    </row>
    <row r="2439" spans="1:6">
      <c r="A2439" t="s">
        <v>2859</v>
      </c>
      <c r="B2439" t="s">
        <v>2860</v>
      </c>
      <c r="C2439">
        <v>76136381</v>
      </c>
      <c r="D2439">
        <v>1500095</v>
      </c>
      <c r="E2439" t="s">
        <v>729</v>
      </c>
      <c r="F2439" s="5">
        <v>200</v>
      </c>
    </row>
    <row r="2440" spans="1:6" hidden="1">
      <c r="A2440" t="s">
        <v>3181</v>
      </c>
      <c r="B2440" t="s">
        <v>3182</v>
      </c>
      <c r="C2440">
        <v>76178530</v>
      </c>
      <c r="D2440">
        <v>2502558</v>
      </c>
      <c r="E2440" t="s">
        <v>39</v>
      </c>
      <c r="F2440" s="5">
        <v>450</v>
      </c>
    </row>
    <row r="2441" spans="1:6">
      <c r="A2441" t="s">
        <v>3181</v>
      </c>
      <c r="B2441" t="s">
        <v>3182</v>
      </c>
      <c r="C2441">
        <v>76178530</v>
      </c>
      <c r="D2441">
        <v>2502558</v>
      </c>
      <c r="E2441" t="s">
        <v>729</v>
      </c>
      <c r="F2441" s="5">
        <v>200</v>
      </c>
    </row>
    <row r="2442" spans="1:6" hidden="1">
      <c r="A2442" t="s">
        <v>2897</v>
      </c>
      <c r="B2442" t="s">
        <v>2898</v>
      </c>
      <c r="C2442">
        <v>76144324</v>
      </c>
      <c r="D2442">
        <v>2502492</v>
      </c>
      <c r="E2442" t="s">
        <v>39</v>
      </c>
      <c r="F2442" s="5">
        <v>450</v>
      </c>
    </row>
    <row r="2443" spans="1:6">
      <c r="A2443" t="s">
        <v>2897</v>
      </c>
      <c r="B2443" t="s">
        <v>2898</v>
      </c>
      <c r="C2443">
        <v>76144324</v>
      </c>
      <c r="D2443">
        <v>2502492</v>
      </c>
      <c r="E2443" t="s">
        <v>729</v>
      </c>
      <c r="F2443" s="5">
        <v>200</v>
      </c>
    </row>
    <row r="2444" spans="1:6" hidden="1">
      <c r="A2444" t="s">
        <v>1783</v>
      </c>
      <c r="B2444" t="s">
        <v>1784</v>
      </c>
      <c r="C2444">
        <v>17315987</v>
      </c>
      <c r="D2444">
        <v>13109</v>
      </c>
      <c r="E2444" t="s">
        <v>39</v>
      </c>
      <c r="F2444" s="5">
        <v>450</v>
      </c>
    </row>
    <row r="2445" spans="1:6">
      <c r="A2445" t="s">
        <v>1783</v>
      </c>
      <c r="B2445" t="s">
        <v>1784</v>
      </c>
      <c r="C2445">
        <v>17315987</v>
      </c>
      <c r="D2445">
        <v>13109</v>
      </c>
      <c r="E2445" t="s">
        <v>729</v>
      </c>
      <c r="F2445" s="5">
        <v>200</v>
      </c>
    </row>
    <row r="2446" spans="1:6" hidden="1">
      <c r="A2446" t="s">
        <v>512</v>
      </c>
      <c r="B2446" t="s">
        <v>513</v>
      </c>
      <c r="C2446">
        <v>76124458</v>
      </c>
      <c r="D2446">
        <v>3000121</v>
      </c>
      <c r="E2446" t="s">
        <v>39</v>
      </c>
      <c r="F2446" s="5">
        <v>300</v>
      </c>
    </row>
    <row r="2447" spans="1:6">
      <c r="A2447" t="s">
        <v>512</v>
      </c>
      <c r="B2447" t="s">
        <v>513</v>
      </c>
      <c r="C2447">
        <v>76124458</v>
      </c>
      <c r="D2447">
        <v>3000121</v>
      </c>
      <c r="E2447" t="s">
        <v>729</v>
      </c>
      <c r="F2447" s="5">
        <v>200</v>
      </c>
    </row>
    <row r="2448" spans="1:6" hidden="1">
      <c r="A2448" t="s">
        <v>4062</v>
      </c>
      <c r="B2448" t="s">
        <v>4063</v>
      </c>
      <c r="C2448">
        <v>76230049</v>
      </c>
      <c r="D2448">
        <v>2502660</v>
      </c>
      <c r="E2448" t="s">
        <v>39</v>
      </c>
      <c r="F2448" s="5">
        <v>300</v>
      </c>
    </row>
    <row r="2449" spans="1:6">
      <c r="A2449" t="s">
        <v>4062</v>
      </c>
      <c r="B2449" t="s">
        <v>4063</v>
      </c>
      <c r="C2449">
        <v>76230049</v>
      </c>
      <c r="D2449">
        <v>2502660</v>
      </c>
      <c r="E2449" t="s">
        <v>729</v>
      </c>
      <c r="F2449" s="5">
        <v>200</v>
      </c>
    </row>
    <row r="2450" spans="1:6" hidden="1">
      <c r="A2450" t="s">
        <v>2180</v>
      </c>
      <c r="B2450" t="s">
        <v>2181</v>
      </c>
      <c r="C2450">
        <v>71056338</v>
      </c>
      <c r="D2450">
        <v>8079</v>
      </c>
      <c r="E2450" t="s">
        <v>39</v>
      </c>
      <c r="F2450" s="5">
        <v>300</v>
      </c>
    </row>
    <row r="2451" spans="1:6">
      <c r="A2451" t="s">
        <v>2180</v>
      </c>
      <c r="B2451" t="s">
        <v>2181</v>
      </c>
      <c r="C2451">
        <v>71056338</v>
      </c>
      <c r="D2451">
        <v>8079</v>
      </c>
      <c r="E2451" t="s">
        <v>729</v>
      </c>
      <c r="F2451" s="5">
        <v>200</v>
      </c>
    </row>
    <row r="2452" spans="1:6" hidden="1">
      <c r="A2452" t="s">
        <v>4569</v>
      </c>
      <c r="B2452" t="s">
        <v>4570</v>
      </c>
      <c r="C2452">
        <v>76255390</v>
      </c>
      <c r="D2452">
        <v>3000810</v>
      </c>
      <c r="E2452" t="s">
        <v>39</v>
      </c>
      <c r="F2452" s="5">
        <v>300</v>
      </c>
    </row>
    <row r="2453" spans="1:6">
      <c r="A2453" t="s">
        <v>4569</v>
      </c>
      <c r="B2453" t="s">
        <v>4570</v>
      </c>
      <c r="C2453">
        <v>76255390</v>
      </c>
      <c r="D2453">
        <v>3000810</v>
      </c>
      <c r="E2453" t="s">
        <v>729</v>
      </c>
      <c r="F2453" s="5">
        <v>200</v>
      </c>
    </row>
    <row r="2454" spans="1:6" hidden="1">
      <c r="A2454" t="s">
        <v>3075</v>
      </c>
      <c r="B2454" t="s">
        <v>3076</v>
      </c>
      <c r="C2454">
        <v>76165337</v>
      </c>
      <c r="D2454">
        <v>3001009</v>
      </c>
      <c r="E2454" t="s">
        <v>39</v>
      </c>
      <c r="F2454" s="5">
        <v>300</v>
      </c>
    </row>
    <row r="2455" spans="1:6">
      <c r="A2455" t="s">
        <v>3075</v>
      </c>
      <c r="B2455" t="s">
        <v>3076</v>
      </c>
      <c r="C2455">
        <v>76165337</v>
      </c>
      <c r="D2455">
        <v>3001009</v>
      </c>
      <c r="E2455" t="s">
        <v>729</v>
      </c>
      <c r="F2455" s="5">
        <v>200</v>
      </c>
    </row>
    <row r="2456" spans="1:6" hidden="1">
      <c r="A2456" t="s">
        <v>4567</v>
      </c>
      <c r="B2456" t="s">
        <v>4568</v>
      </c>
      <c r="C2456">
        <v>76255384</v>
      </c>
      <c r="D2456">
        <v>3000819</v>
      </c>
      <c r="E2456" t="s">
        <v>39</v>
      </c>
      <c r="F2456" s="5">
        <v>300</v>
      </c>
    </row>
    <row r="2457" spans="1:6">
      <c r="A2457" t="s">
        <v>4567</v>
      </c>
      <c r="B2457" t="s">
        <v>4568</v>
      </c>
      <c r="C2457">
        <v>76255384</v>
      </c>
      <c r="D2457">
        <v>3000819</v>
      </c>
      <c r="E2457" t="s">
        <v>729</v>
      </c>
      <c r="F2457" s="5">
        <v>200</v>
      </c>
    </row>
    <row r="2458" spans="1:6" hidden="1">
      <c r="A2458" t="s">
        <v>2440</v>
      </c>
      <c r="B2458" t="s">
        <v>2441</v>
      </c>
      <c r="C2458">
        <v>76037117</v>
      </c>
      <c r="D2458">
        <v>2001851</v>
      </c>
      <c r="E2458" t="s">
        <v>39</v>
      </c>
      <c r="F2458" s="5">
        <v>300</v>
      </c>
    </row>
    <row r="2459" spans="1:6">
      <c r="A2459" t="s">
        <v>2440</v>
      </c>
      <c r="B2459" t="s">
        <v>2441</v>
      </c>
      <c r="C2459">
        <v>76037117</v>
      </c>
      <c r="D2459">
        <v>2001851</v>
      </c>
      <c r="E2459" t="s">
        <v>729</v>
      </c>
      <c r="F2459" s="5">
        <v>200</v>
      </c>
    </row>
    <row r="2460" spans="1:6" hidden="1">
      <c r="A2460" t="s">
        <v>3239</v>
      </c>
      <c r="B2460" t="s">
        <v>3240</v>
      </c>
      <c r="C2460">
        <v>76187412</v>
      </c>
      <c r="D2460" t="s">
        <v>438</v>
      </c>
      <c r="E2460" t="s">
        <v>39</v>
      </c>
      <c r="F2460" s="5">
        <v>300</v>
      </c>
    </row>
    <row r="2461" spans="1:6">
      <c r="A2461" t="s">
        <v>3239</v>
      </c>
      <c r="B2461" t="s">
        <v>3240</v>
      </c>
      <c r="C2461">
        <v>76187412</v>
      </c>
      <c r="D2461" t="s">
        <v>438</v>
      </c>
      <c r="E2461" t="s">
        <v>729</v>
      </c>
      <c r="F2461" s="5">
        <v>200</v>
      </c>
    </row>
    <row r="2462" spans="1:6" hidden="1">
      <c r="A2462" t="s">
        <v>3183</v>
      </c>
      <c r="B2462" t="s">
        <v>3184</v>
      </c>
      <c r="C2462">
        <v>76179273</v>
      </c>
      <c r="D2462" t="s">
        <v>438</v>
      </c>
      <c r="E2462" t="s">
        <v>39</v>
      </c>
      <c r="F2462" s="5">
        <v>300</v>
      </c>
    </row>
    <row r="2463" spans="1:6">
      <c r="A2463" t="s">
        <v>3183</v>
      </c>
      <c r="B2463" t="s">
        <v>3184</v>
      </c>
      <c r="C2463">
        <v>76179273</v>
      </c>
      <c r="D2463" t="s">
        <v>438</v>
      </c>
      <c r="E2463" t="s">
        <v>729</v>
      </c>
      <c r="F2463" s="5">
        <v>200</v>
      </c>
    </row>
    <row r="2464" spans="1:6" hidden="1">
      <c r="A2464" t="s">
        <v>3065</v>
      </c>
      <c r="B2464" t="s">
        <v>3066</v>
      </c>
      <c r="C2464">
        <v>76164502</v>
      </c>
      <c r="D2464" t="s">
        <v>438</v>
      </c>
      <c r="E2464" t="s">
        <v>39</v>
      </c>
      <c r="F2464" s="5">
        <v>300</v>
      </c>
    </row>
    <row r="2465" spans="1:6">
      <c r="A2465" t="s">
        <v>3065</v>
      </c>
      <c r="B2465" t="s">
        <v>3066</v>
      </c>
      <c r="C2465">
        <v>76164502</v>
      </c>
      <c r="D2465" t="s">
        <v>438</v>
      </c>
      <c r="E2465" t="s">
        <v>729</v>
      </c>
      <c r="F2465" s="5">
        <v>200</v>
      </c>
    </row>
    <row r="2466" spans="1:6" hidden="1">
      <c r="A2466" t="s">
        <v>3255</v>
      </c>
      <c r="B2466" t="s">
        <v>3256</v>
      </c>
      <c r="C2466">
        <v>76189179</v>
      </c>
      <c r="D2466" t="s">
        <v>438</v>
      </c>
      <c r="E2466" t="s">
        <v>39</v>
      </c>
      <c r="F2466" s="5">
        <v>300</v>
      </c>
    </row>
    <row r="2467" spans="1:6">
      <c r="A2467" t="s">
        <v>3255</v>
      </c>
      <c r="B2467" t="s">
        <v>3256</v>
      </c>
      <c r="C2467">
        <v>76189179</v>
      </c>
      <c r="D2467" t="s">
        <v>438</v>
      </c>
      <c r="E2467" t="s">
        <v>729</v>
      </c>
      <c r="F2467" s="5">
        <v>200</v>
      </c>
    </row>
    <row r="2468" spans="1:6" hidden="1">
      <c r="A2468" t="s">
        <v>3059</v>
      </c>
      <c r="B2468" t="s">
        <v>3060</v>
      </c>
      <c r="C2468">
        <v>76164489</v>
      </c>
      <c r="D2468" t="s">
        <v>438</v>
      </c>
      <c r="E2468" t="s">
        <v>39</v>
      </c>
      <c r="F2468" s="5">
        <v>300</v>
      </c>
    </row>
    <row r="2469" spans="1:6">
      <c r="A2469" t="s">
        <v>3059</v>
      </c>
      <c r="B2469" t="s">
        <v>3060</v>
      </c>
      <c r="C2469">
        <v>76164489</v>
      </c>
      <c r="D2469" t="s">
        <v>438</v>
      </c>
      <c r="E2469" t="s">
        <v>729</v>
      </c>
      <c r="F2469" s="5">
        <v>200</v>
      </c>
    </row>
    <row r="2470" spans="1:6" hidden="1">
      <c r="A2470" t="s">
        <v>3055</v>
      </c>
      <c r="B2470" t="s">
        <v>3056</v>
      </c>
      <c r="C2470">
        <v>76164485</v>
      </c>
      <c r="D2470" t="s">
        <v>438</v>
      </c>
      <c r="E2470" t="s">
        <v>39</v>
      </c>
      <c r="F2470" s="5">
        <v>300</v>
      </c>
    </row>
    <row r="2471" spans="1:6">
      <c r="A2471" t="s">
        <v>3055</v>
      </c>
      <c r="B2471" t="s">
        <v>3056</v>
      </c>
      <c r="C2471">
        <v>76164485</v>
      </c>
      <c r="D2471" t="s">
        <v>438</v>
      </c>
      <c r="E2471" t="s">
        <v>729</v>
      </c>
      <c r="F2471" s="5">
        <v>200</v>
      </c>
    </row>
    <row r="2472" spans="1:6" hidden="1">
      <c r="A2472" t="s">
        <v>3067</v>
      </c>
      <c r="B2472" t="s">
        <v>3068</v>
      </c>
      <c r="C2472">
        <v>76164503</v>
      </c>
      <c r="D2472" t="s">
        <v>438</v>
      </c>
      <c r="E2472" t="s">
        <v>39</v>
      </c>
      <c r="F2472" s="5">
        <v>300</v>
      </c>
    </row>
    <row r="2473" spans="1:6">
      <c r="A2473" t="s">
        <v>3067</v>
      </c>
      <c r="B2473" t="s">
        <v>3068</v>
      </c>
      <c r="C2473">
        <v>76164503</v>
      </c>
      <c r="D2473" t="s">
        <v>438</v>
      </c>
      <c r="E2473" t="s">
        <v>729</v>
      </c>
      <c r="F2473" s="5">
        <v>200</v>
      </c>
    </row>
    <row r="2474" spans="1:6" hidden="1">
      <c r="A2474" t="s">
        <v>3235</v>
      </c>
      <c r="B2474" t="s">
        <v>3236</v>
      </c>
      <c r="C2474">
        <v>76187406</v>
      </c>
      <c r="D2474" t="s">
        <v>438</v>
      </c>
      <c r="E2474" t="s">
        <v>39</v>
      </c>
      <c r="F2474" s="5">
        <v>300</v>
      </c>
    </row>
    <row r="2475" spans="1:6">
      <c r="A2475" t="s">
        <v>3235</v>
      </c>
      <c r="B2475" t="s">
        <v>3236</v>
      </c>
      <c r="C2475">
        <v>76187406</v>
      </c>
      <c r="D2475" t="s">
        <v>438</v>
      </c>
      <c r="E2475" t="s">
        <v>729</v>
      </c>
      <c r="F2475" s="5">
        <v>200</v>
      </c>
    </row>
    <row r="2476" spans="1:6" hidden="1">
      <c r="A2476" t="s">
        <v>3061</v>
      </c>
      <c r="B2476" t="s">
        <v>3062</v>
      </c>
      <c r="C2476">
        <v>76164493</v>
      </c>
      <c r="D2476" t="s">
        <v>438</v>
      </c>
      <c r="E2476" t="s">
        <v>39</v>
      </c>
      <c r="F2476" s="5">
        <v>300</v>
      </c>
    </row>
    <row r="2477" spans="1:6">
      <c r="A2477" t="s">
        <v>3061</v>
      </c>
      <c r="B2477" t="s">
        <v>3062</v>
      </c>
      <c r="C2477">
        <v>76164493</v>
      </c>
      <c r="D2477" t="s">
        <v>438</v>
      </c>
      <c r="E2477" t="s">
        <v>729</v>
      </c>
      <c r="F2477" s="5">
        <v>200</v>
      </c>
    </row>
    <row r="2478" spans="1:6" hidden="1">
      <c r="A2478" t="s">
        <v>3947</v>
      </c>
      <c r="B2478" t="s">
        <v>3948</v>
      </c>
      <c r="C2478">
        <v>76227673</v>
      </c>
      <c r="D2478" t="s">
        <v>438</v>
      </c>
      <c r="E2478" t="s">
        <v>39</v>
      </c>
      <c r="F2478" s="5">
        <v>300</v>
      </c>
    </row>
    <row r="2479" spans="1:6">
      <c r="A2479" t="s">
        <v>3947</v>
      </c>
      <c r="B2479" t="s">
        <v>3948</v>
      </c>
      <c r="C2479">
        <v>76227673</v>
      </c>
      <c r="D2479" t="s">
        <v>438</v>
      </c>
      <c r="E2479" t="s">
        <v>729</v>
      </c>
      <c r="F2479" s="5">
        <v>200</v>
      </c>
    </row>
    <row r="2480" spans="1:6" hidden="1">
      <c r="A2480" t="s">
        <v>436</v>
      </c>
      <c r="B2480" t="s">
        <v>437</v>
      </c>
      <c r="C2480">
        <v>71046210</v>
      </c>
      <c r="D2480" t="s">
        <v>438</v>
      </c>
      <c r="E2480" t="s">
        <v>39</v>
      </c>
      <c r="F2480" s="5">
        <v>300</v>
      </c>
    </row>
    <row r="2481" spans="1:6">
      <c r="A2481" t="s">
        <v>436</v>
      </c>
      <c r="B2481" t="s">
        <v>437</v>
      </c>
      <c r="C2481">
        <v>71046210</v>
      </c>
      <c r="D2481" t="s">
        <v>438</v>
      </c>
      <c r="E2481" t="s">
        <v>729</v>
      </c>
      <c r="F2481" s="5">
        <v>200</v>
      </c>
    </row>
    <row r="2482" spans="1:6" hidden="1">
      <c r="A2482" t="s">
        <v>3765</v>
      </c>
      <c r="B2482" t="s">
        <v>3766</v>
      </c>
      <c r="C2482">
        <v>76220389</v>
      </c>
      <c r="D2482">
        <v>2502981</v>
      </c>
      <c r="E2482" t="s">
        <v>39</v>
      </c>
      <c r="F2482" s="5">
        <v>450</v>
      </c>
    </row>
    <row r="2483" spans="1:6">
      <c r="A2483" t="s">
        <v>3765</v>
      </c>
      <c r="B2483" t="s">
        <v>3766</v>
      </c>
      <c r="C2483">
        <v>76220389</v>
      </c>
      <c r="D2483">
        <v>2502981</v>
      </c>
      <c r="E2483" t="s">
        <v>729</v>
      </c>
      <c r="F2483" s="5">
        <v>200</v>
      </c>
    </row>
    <row r="2484" spans="1:6" hidden="1">
      <c r="A2484" t="s">
        <v>3763</v>
      </c>
      <c r="B2484" t="s">
        <v>3764</v>
      </c>
      <c r="C2484">
        <v>76220388</v>
      </c>
      <c r="D2484">
        <v>2502409</v>
      </c>
      <c r="E2484" t="s">
        <v>39</v>
      </c>
      <c r="F2484" s="5">
        <v>450</v>
      </c>
    </row>
    <row r="2485" spans="1:6">
      <c r="A2485" t="s">
        <v>3763</v>
      </c>
      <c r="B2485" t="s">
        <v>3764</v>
      </c>
      <c r="C2485">
        <v>76220388</v>
      </c>
      <c r="D2485">
        <v>2502409</v>
      </c>
      <c r="E2485" t="s">
        <v>729</v>
      </c>
      <c r="F2485" s="5">
        <v>200</v>
      </c>
    </row>
    <row r="2486" spans="1:6" hidden="1">
      <c r="A2486" t="s">
        <v>3769</v>
      </c>
      <c r="B2486" t="s">
        <v>3770</v>
      </c>
      <c r="C2486">
        <v>76220391</v>
      </c>
      <c r="D2486">
        <v>2502376</v>
      </c>
      <c r="E2486" t="s">
        <v>39</v>
      </c>
      <c r="F2486" s="5">
        <v>450</v>
      </c>
    </row>
    <row r="2487" spans="1:6">
      <c r="A2487" t="s">
        <v>3769</v>
      </c>
      <c r="B2487" t="s">
        <v>3770</v>
      </c>
      <c r="C2487">
        <v>76220391</v>
      </c>
      <c r="D2487">
        <v>2502376</v>
      </c>
      <c r="E2487" t="s">
        <v>729</v>
      </c>
      <c r="F2487" s="5">
        <v>200</v>
      </c>
    </row>
    <row r="2488" spans="1:6" hidden="1">
      <c r="A2488" t="s">
        <v>2639</v>
      </c>
      <c r="B2488" t="s">
        <v>2640</v>
      </c>
      <c r="C2488">
        <v>76060927</v>
      </c>
      <c r="D2488">
        <v>2502857</v>
      </c>
      <c r="E2488" t="s">
        <v>39</v>
      </c>
      <c r="F2488" s="5">
        <v>300</v>
      </c>
    </row>
    <row r="2489" spans="1:6">
      <c r="A2489" t="s">
        <v>2639</v>
      </c>
      <c r="B2489" t="s">
        <v>2640</v>
      </c>
      <c r="C2489">
        <v>76060927</v>
      </c>
      <c r="D2489">
        <v>2502857</v>
      </c>
      <c r="E2489" t="s">
        <v>729</v>
      </c>
      <c r="F2489" s="5">
        <v>200</v>
      </c>
    </row>
    <row r="2490" spans="1:6" hidden="1">
      <c r="A2490" t="s">
        <v>3297</v>
      </c>
      <c r="B2490" t="s">
        <v>3298</v>
      </c>
      <c r="C2490">
        <v>76194213</v>
      </c>
      <c r="D2490">
        <v>2503196</v>
      </c>
      <c r="E2490" t="s">
        <v>39</v>
      </c>
      <c r="F2490" s="5">
        <v>300</v>
      </c>
    </row>
    <row r="2491" spans="1:6">
      <c r="A2491" t="s">
        <v>3297</v>
      </c>
      <c r="B2491" t="s">
        <v>3298</v>
      </c>
      <c r="C2491">
        <v>76194213</v>
      </c>
      <c r="D2491">
        <v>2503196</v>
      </c>
      <c r="E2491" t="s">
        <v>729</v>
      </c>
      <c r="F2491" s="5">
        <v>200</v>
      </c>
    </row>
    <row r="2492" spans="1:6" hidden="1">
      <c r="A2492" t="s">
        <v>4250</v>
      </c>
      <c r="B2492" t="s">
        <v>4251</v>
      </c>
      <c r="C2492">
        <v>76235444</v>
      </c>
      <c r="D2492">
        <v>2502481</v>
      </c>
      <c r="E2492" t="s">
        <v>39</v>
      </c>
      <c r="F2492" s="5">
        <v>450</v>
      </c>
    </row>
    <row r="2493" spans="1:6">
      <c r="A2493" t="s">
        <v>4250</v>
      </c>
      <c r="B2493" t="s">
        <v>4251</v>
      </c>
      <c r="C2493">
        <v>76235444</v>
      </c>
      <c r="D2493">
        <v>2502481</v>
      </c>
      <c r="E2493" t="s">
        <v>729</v>
      </c>
      <c r="F2493" s="5">
        <v>200</v>
      </c>
    </row>
    <row r="2494" spans="1:6" hidden="1">
      <c r="A2494" t="s">
        <v>4324</v>
      </c>
      <c r="B2494" t="s">
        <v>4325</v>
      </c>
      <c r="C2494">
        <v>76240412</v>
      </c>
      <c r="D2494">
        <v>2503136</v>
      </c>
      <c r="E2494" t="s">
        <v>39</v>
      </c>
      <c r="F2494" s="5">
        <v>400</v>
      </c>
    </row>
    <row r="2495" spans="1:6">
      <c r="A2495" t="s">
        <v>4324</v>
      </c>
      <c r="B2495" t="s">
        <v>4325</v>
      </c>
      <c r="C2495">
        <v>76240412</v>
      </c>
      <c r="D2495">
        <v>2503136</v>
      </c>
      <c r="E2495" t="s">
        <v>729</v>
      </c>
      <c r="F2495" s="5">
        <v>200</v>
      </c>
    </row>
    <row r="2496" spans="1:6" hidden="1">
      <c r="A2496" t="s">
        <v>3773</v>
      </c>
      <c r="B2496" t="s">
        <v>3774</v>
      </c>
      <c r="C2496">
        <v>76220396</v>
      </c>
      <c r="D2496">
        <v>2502404</v>
      </c>
      <c r="E2496" t="s">
        <v>39</v>
      </c>
      <c r="F2496" s="5">
        <v>450</v>
      </c>
    </row>
    <row r="2497" spans="1:6">
      <c r="A2497" t="s">
        <v>3773</v>
      </c>
      <c r="B2497" t="s">
        <v>3774</v>
      </c>
      <c r="C2497">
        <v>76220396</v>
      </c>
      <c r="D2497">
        <v>2502404</v>
      </c>
      <c r="E2497" t="s">
        <v>729</v>
      </c>
      <c r="F2497" s="5">
        <v>200</v>
      </c>
    </row>
    <row r="2498" spans="1:6" hidden="1">
      <c r="A2498" t="s">
        <v>1563</v>
      </c>
      <c r="B2498" t="s">
        <v>1564</v>
      </c>
      <c r="C2498">
        <v>1326450</v>
      </c>
      <c r="D2498" t="s">
        <v>438</v>
      </c>
      <c r="E2498" t="s">
        <v>39</v>
      </c>
      <c r="F2498" s="5">
        <v>300</v>
      </c>
    </row>
    <row r="2499" spans="1:6">
      <c r="A2499" t="s">
        <v>1563</v>
      </c>
      <c r="B2499" t="s">
        <v>1564</v>
      </c>
      <c r="C2499">
        <v>1326450</v>
      </c>
      <c r="D2499" t="s">
        <v>438</v>
      </c>
      <c r="E2499" t="s">
        <v>729</v>
      </c>
      <c r="F2499" s="5">
        <v>200</v>
      </c>
    </row>
    <row r="2500" spans="1:6" hidden="1">
      <c r="A2500" t="s">
        <v>276</v>
      </c>
      <c r="B2500" t="s">
        <v>277</v>
      </c>
      <c r="C2500">
        <v>76246888</v>
      </c>
      <c r="D2500">
        <v>2503531</v>
      </c>
      <c r="E2500" t="s">
        <v>39</v>
      </c>
      <c r="F2500" s="5">
        <v>300</v>
      </c>
    </row>
    <row r="2501" spans="1:6">
      <c r="A2501" t="s">
        <v>276</v>
      </c>
      <c r="B2501" t="s">
        <v>277</v>
      </c>
      <c r="C2501">
        <v>76246888</v>
      </c>
      <c r="D2501">
        <v>2503531</v>
      </c>
      <c r="E2501" t="s">
        <v>729</v>
      </c>
      <c r="F2501" s="5">
        <v>200</v>
      </c>
    </row>
    <row r="2502" spans="1:6" hidden="1">
      <c r="A2502" t="s">
        <v>1944</v>
      </c>
      <c r="B2502" t="s">
        <v>1945</v>
      </c>
      <c r="C2502">
        <v>41002552</v>
      </c>
      <c r="D2502">
        <v>1500123</v>
      </c>
      <c r="E2502" t="s">
        <v>39</v>
      </c>
      <c r="F2502" s="5">
        <v>300</v>
      </c>
    </row>
    <row r="2503" spans="1:6">
      <c r="A2503" t="s">
        <v>1944</v>
      </c>
      <c r="B2503" t="s">
        <v>1945</v>
      </c>
      <c r="C2503">
        <v>41002552</v>
      </c>
      <c r="D2503">
        <v>1500123</v>
      </c>
      <c r="E2503" t="s">
        <v>729</v>
      </c>
      <c r="F2503" s="5">
        <v>200</v>
      </c>
    </row>
    <row r="2504" spans="1:6" hidden="1">
      <c r="A2504" t="s">
        <v>159</v>
      </c>
      <c r="B2504" t="s">
        <v>160</v>
      </c>
      <c r="C2504">
        <v>76228237</v>
      </c>
      <c r="D2504">
        <v>2001918</v>
      </c>
      <c r="E2504" t="s">
        <v>39</v>
      </c>
      <c r="F2504" s="5">
        <v>450</v>
      </c>
    </row>
    <row r="2505" spans="1:6">
      <c r="A2505" t="s">
        <v>159</v>
      </c>
      <c r="B2505" t="s">
        <v>160</v>
      </c>
      <c r="C2505">
        <v>76228237</v>
      </c>
      <c r="D2505">
        <v>2001918</v>
      </c>
      <c r="E2505" t="s">
        <v>729</v>
      </c>
      <c r="F2505" s="5">
        <v>200</v>
      </c>
    </row>
    <row r="2506" spans="1:6" hidden="1">
      <c r="A2506" t="s">
        <v>1853</v>
      </c>
      <c r="B2506" t="s">
        <v>1854</v>
      </c>
      <c r="C2506">
        <v>25298851</v>
      </c>
      <c r="D2506">
        <v>1500121</v>
      </c>
      <c r="E2506" t="s">
        <v>39</v>
      </c>
      <c r="F2506" s="5">
        <v>300</v>
      </c>
    </row>
    <row r="2507" spans="1:6">
      <c r="A2507" t="s">
        <v>1853</v>
      </c>
      <c r="B2507" t="s">
        <v>1854</v>
      </c>
      <c r="C2507">
        <v>25298851</v>
      </c>
      <c r="D2507">
        <v>1500121</v>
      </c>
      <c r="E2507" t="s">
        <v>729</v>
      </c>
      <c r="F2507" s="5">
        <v>200</v>
      </c>
    </row>
    <row r="2508" spans="1:6" hidden="1">
      <c r="A2508" t="s">
        <v>1851</v>
      </c>
      <c r="B2508" t="s">
        <v>1852</v>
      </c>
      <c r="C2508">
        <v>25298808</v>
      </c>
      <c r="D2508">
        <v>1500122</v>
      </c>
      <c r="E2508" t="s">
        <v>39</v>
      </c>
      <c r="F2508" s="5">
        <v>300</v>
      </c>
    </row>
    <row r="2509" spans="1:6">
      <c r="A2509" t="s">
        <v>1851</v>
      </c>
      <c r="B2509" t="s">
        <v>1852</v>
      </c>
      <c r="C2509">
        <v>25298808</v>
      </c>
      <c r="D2509">
        <v>1500122</v>
      </c>
      <c r="E2509" t="s">
        <v>729</v>
      </c>
      <c r="F2509" s="5">
        <v>200</v>
      </c>
    </row>
    <row r="2510" spans="1:6" hidden="1">
      <c r="A2510" t="s">
        <v>2737</v>
      </c>
      <c r="B2510" t="s">
        <v>2738</v>
      </c>
      <c r="C2510">
        <v>76071528</v>
      </c>
      <c r="D2510">
        <v>13050</v>
      </c>
      <c r="E2510" t="s">
        <v>39</v>
      </c>
      <c r="F2510" s="5">
        <v>300</v>
      </c>
    </row>
    <row r="2511" spans="1:6">
      <c r="A2511" t="s">
        <v>2737</v>
      </c>
      <c r="B2511" t="s">
        <v>2738</v>
      </c>
      <c r="C2511">
        <v>76071528</v>
      </c>
      <c r="D2511">
        <v>13050</v>
      </c>
      <c r="E2511" t="s">
        <v>729</v>
      </c>
      <c r="F2511" s="5">
        <v>200</v>
      </c>
    </row>
    <row r="2512" spans="1:6" hidden="1">
      <c r="A2512" t="s">
        <v>3633</v>
      </c>
      <c r="B2512" t="s">
        <v>3634</v>
      </c>
      <c r="C2512">
        <v>76214235</v>
      </c>
      <c r="D2512">
        <v>2001781</v>
      </c>
      <c r="E2512" t="s">
        <v>39</v>
      </c>
      <c r="F2512" s="5">
        <v>300</v>
      </c>
    </row>
    <row r="2513" spans="1:6">
      <c r="A2513" t="s">
        <v>3633</v>
      </c>
      <c r="B2513" t="s">
        <v>3634</v>
      </c>
      <c r="C2513">
        <v>76214235</v>
      </c>
      <c r="D2513">
        <v>2001781</v>
      </c>
      <c r="E2513" t="s">
        <v>729</v>
      </c>
      <c r="F2513" s="5">
        <v>200</v>
      </c>
    </row>
    <row r="2514" spans="1:6" hidden="1">
      <c r="A2514" t="s">
        <v>213</v>
      </c>
      <c r="B2514" t="s">
        <v>214</v>
      </c>
      <c r="C2514">
        <v>76234275</v>
      </c>
      <c r="D2514">
        <v>0</v>
      </c>
      <c r="E2514" t="s">
        <v>39</v>
      </c>
      <c r="F2514" s="5">
        <v>400</v>
      </c>
    </row>
    <row r="2515" spans="1:6">
      <c r="A2515" t="s">
        <v>213</v>
      </c>
      <c r="B2515" t="s">
        <v>214</v>
      </c>
      <c r="C2515">
        <v>76234275</v>
      </c>
      <c r="D2515">
        <v>0</v>
      </c>
      <c r="E2515" t="s">
        <v>729</v>
      </c>
      <c r="F2515" s="5">
        <v>200</v>
      </c>
    </row>
    <row r="2516" spans="1:6" hidden="1">
      <c r="A2516" t="s">
        <v>1992</v>
      </c>
      <c r="B2516" t="s">
        <v>1993</v>
      </c>
      <c r="C2516">
        <v>53589301</v>
      </c>
      <c r="D2516">
        <v>2501046</v>
      </c>
      <c r="E2516" t="s">
        <v>39</v>
      </c>
      <c r="F2516" s="5">
        <v>300</v>
      </c>
    </row>
    <row r="2517" spans="1:6">
      <c r="A2517" t="s">
        <v>1992</v>
      </c>
      <c r="B2517" t="s">
        <v>1993</v>
      </c>
      <c r="C2517">
        <v>53589301</v>
      </c>
      <c r="D2517">
        <v>2501046</v>
      </c>
      <c r="E2517" t="s">
        <v>729</v>
      </c>
      <c r="F2517" s="5">
        <v>200</v>
      </c>
    </row>
    <row r="2518" spans="1:6" hidden="1">
      <c r="A2518" t="s">
        <v>4168</v>
      </c>
      <c r="B2518" t="s">
        <v>4169</v>
      </c>
      <c r="C2518">
        <v>76233410</v>
      </c>
      <c r="D2518">
        <v>2002665</v>
      </c>
      <c r="E2518" t="s">
        <v>39</v>
      </c>
      <c r="F2518" s="5">
        <v>400</v>
      </c>
    </row>
    <row r="2519" spans="1:6">
      <c r="A2519" t="s">
        <v>4168</v>
      </c>
      <c r="B2519" t="s">
        <v>4169</v>
      </c>
      <c r="C2519">
        <v>76233410</v>
      </c>
      <c r="D2519">
        <v>2002665</v>
      </c>
      <c r="E2519" t="s">
        <v>729</v>
      </c>
      <c r="F2519" s="5">
        <v>200</v>
      </c>
    </row>
    <row r="2520" spans="1:6" hidden="1">
      <c r="A2520" t="s">
        <v>4164</v>
      </c>
      <c r="B2520" t="s">
        <v>4165</v>
      </c>
      <c r="C2520">
        <v>76233403</v>
      </c>
      <c r="D2520">
        <v>2002672</v>
      </c>
      <c r="E2520" t="s">
        <v>39</v>
      </c>
      <c r="F2520" s="5">
        <v>400</v>
      </c>
    </row>
    <row r="2521" spans="1:6">
      <c r="A2521" t="s">
        <v>4164</v>
      </c>
      <c r="B2521" t="s">
        <v>4165</v>
      </c>
      <c r="C2521">
        <v>76233403</v>
      </c>
      <c r="D2521">
        <v>2002672</v>
      </c>
      <c r="E2521" t="s">
        <v>729</v>
      </c>
      <c r="F2521" s="5">
        <v>200</v>
      </c>
    </row>
    <row r="2522" spans="1:6" hidden="1">
      <c r="A2522" t="s">
        <v>1887</v>
      </c>
      <c r="B2522" t="s">
        <v>1888</v>
      </c>
      <c r="C2522">
        <v>33053504</v>
      </c>
      <c r="D2522">
        <v>2000840</v>
      </c>
      <c r="E2522" t="s">
        <v>39</v>
      </c>
      <c r="F2522" s="5">
        <v>300</v>
      </c>
    </row>
    <row r="2523" spans="1:6">
      <c r="A2523" t="s">
        <v>1887</v>
      </c>
      <c r="B2523" t="s">
        <v>1888</v>
      </c>
      <c r="C2523">
        <v>33053504</v>
      </c>
      <c r="D2523">
        <v>2000840</v>
      </c>
      <c r="E2523" t="s">
        <v>729</v>
      </c>
      <c r="F2523" s="5">
        <v>200</v>
      </c>
    </row>
    <row r="2524" spans="1:6" hidden="1">
      <c r="A2524" t="s">
        <v>2050</v>
      </c>
      <c r="B2524" t="s">
        <v>2051</v>
      </c>
      <c r="C2524">
        <v>71042653</v>
      </c>
      <c r="D2524">
        <v>2000854</v>
      </c>
      <c r="E2524" t="s">
        <v>39</v>
      </c>
      <c r="F2524" s="5">
        <v>400</v>
      </c>
    </row>
    <row r="2525" spans="1:6">
      <c r="A2525" t="s">
        <v>2050</v>
      </c>
      <c r="B2525" t="s">
        <v>2051</v>
      </c>
      <c r="C2525">
        <v>71042653</v>
      </c>
      <c r="D2525">
        <v>2000854</v>
      </c>
      <c r="E2525" t="s">
        <v>729</v>
      </c>
      <c r="F2525" s="5">
        <v>200</v>
      </c>
    </row>
    <row r="2526" spans="1:6" hidden="1">
      <c r="A2526" t="s">
        <v>1885</v>
      </c>
      <c r="B2526" t="s">
        <v>1886</v>
      </c>
      <c r="C2526">
        <v>33053503</v>
      </c>
      <c r="D2526">
        <v>2002677</v>
      </c>
      <c r="E2526" t="s">
        <v>39</v>
      </c>
      <c r="F2526" s="5">
        <v>300</v>
      </c>
    </row>
    <row r="2527" spans="1:6">
      <c r="A2527" t="s">
        <v>1885</v>
      </c>
      <c r="B2527" t="s">
        <v>1886</v>
      </c>
      <c r="C2527">
        <v>33053503</v>
      </c>
      <c r="D2527">
        <v>2002677</v>
      </c>
      <c r="E2527" t="s">
        <v>729</v>
      </c>
      <c r="F2527" s="5">
        <v>200</v>
      </c>
    </row>
    <row r="2528" spans="1:6" hidden="1">
      <c r="A2528" t="s">
        <v>2446</v>
      </c>
      <c r="B2528" t="s">
        <v>2447</v>
      </c>
      <c r="C2528">
        <v>76037227</v>
      </c>
      <c r="D2528">
        <v>2000723</v>
      </c>
      <c r="E2528" t="s">
        <v>39</v>
      </c>
      <c r="F2528" s="5">
        <v>400</v>
      </c>
    </row>
    <row r="2529" spans="1:6">
      <c r="A2529" t="s">
        <v>2446</v>
      </c>
      <c r="B2529" t="s">
        <v>2447</v>
      </c>
      <c r="C2529">
        <v>76037227</v>
      </c>
      <c r="D2529">
        <v>2000723</v>
      </c>
      <c r="E2529" t="s">
        <v>729</v>
      </c>
      <c r="F2529" s="5">
        <v>200</v>
      </c>
    </row>
    <row r="2530" spans="1:6" hidden="1">
      <c r="A2530" t="s">
        <v>4166</v>
      </c>
      <c r="B2530" t="s">
        <v>4167</v>
      </c>
      <c r="C2530">
        <v>76233409</v>
      </c>
      <c r="D2530">
        <v>2002648</v>
      </c>
      <c r="E2530" t="s">
        <v>39</v>
      </c>
      <c r="F2530" s="5">
        <v>400</v>
      </c>
    </row>
    <row r="2531" spans="1:6">
      <c r="A2531" t="s">
        <v>4166</v>
      </c>
      <c r="B2531" t="s">
        <v>4167</v>
      </c>
      <c r="C2531">
        <v>76233409</v>
      </c>
      <c r="D2531">
        <v>2002648</v>
      </c>
      <c r="E2531" t="s">
        <v>729</v>
      </c>
      <c r="F2531" s="5">
        <v>200</v>
      </c>
    </row>
    <row r="2532" spans="1:6" hidden="1">
      <c r="A2532" t="s">
        <v>1857</v>
      </c>
      <c r="B2532" t="s">
        <v>1858</v>
      </c>
      <c r="C2532">
        <v>25298955</v>
      </c>
      <c r="D2532">
        <v>2002822</v>
      </c>
      <c r="E2532" t="s">
        <v>39</v>
      </c>
      <c r="F2532" s="5">
        <v>300</v>
      </c>
    </row>
    <row r="2533" spans="1:6">
      <c r="A2533" t="s">
        <v>1857</v>
      </c>
      <c r="B2533" t="s">
        <v>1858</v>
      </c>
      <c r="C2533">
        <v>25298955</v>
      </c>
      <c r="D2533">
        <v>2002822</v>
      </c>
      <c r="E2533" t="s">
        <v>729</v>
      </c>
      <c r="F2533" s="5">
        <v>200</v>
      </c>
    </row>
    <row r="2534" spans="1:6" hidden="1">
      <c r="A2534" t="s">
        <v>2442</v>
      </c>
      <c r="B2534" t="s">
        <v>2443</v>
      </c>
      <c r="C2534">
        <v>76037225</v>
      </c>
      <c r="D2534">
        <v>2000856</v>
      </c>
      <c r="E2534" t="s">
        <v>39</v>
      </c>
      <c r="F2534" s="5">
        <v>400</v>
      </c>
    </row>
    <row r="2535" spans="1:6">
      <c r="A2535" t="s">
        <v>2442</v>
      </c>
      <c r="B2535" t="s">
        <v>2443</v>
      </c>
      <c r="C2535">
        <v>76037225</v>
      </c>
      <c r="D2535">
        <v>2000856</v>
      </c>
      <c r="E2535" t="s">
        <v>729</v>
      </c>
      <c r="F2535" s="5">
        <v>200</v>
      </c>
    </row>
    <row r="2536" spans="1:6" hidden="1">
      <c r="A2536" t="s">
        <v>2444</v>
      </c>
      <c r="B2536" t="s">
        <v>2445</v>
      </c>
      <c r="C2536">
        <v>76037226</v>
      </c>
      <c r="D2536">
        <v>2000899</v>
      </c>
      <c r="E2536" t="s">
        <v>39</v>
      </c>
      <c r="F2536" s="5">
        <v>400</v>
      </c>
    </row>
    <row r="2537" spans="1:6">
      <c r="A2537" t="s">
        <v>2444</v>
      </c>
      <c r="B2537" t="s">
        <v>2445</v>
      </c>
      <c r="C2537">
        <v>76037226</v>
      </c>
      <c r="D2537">
        <v>2000899</v>
      </c>
      <c r="E2537" t="s">
        <v>729</v>
      </c>
      <c r="F2537" s="5">
        <v>200</v>
      </c>
    </row>
    <row r="2538" spans="1:6" hidden="1">
      <c r="A2538" t="s">
        <v>3023</v>
      </c>
      <c r="B2538" t="s">
        <v>3024</v>
      </c>
      <c r="C2538">
        <v>76159907</v>
      </c>
      <c r="D2538">
        <v>2000839</v>
      </c>
      <c r="E2538" t="s">
        <v>39</v>
      </c>
      <c r="F2538" s="5">
        <v>300</v>
      </c>
    </row>
    <row r="2539" spans="1:6">
      <c r="A2539" t="s">
        <v>3023</v>
      </c>
      <c r="B2539" t="s">
        <v>3024</v>
      </c>
      <c r="C2539">
        <v>76159907</v>
      </c>
      <c r="D2539">
        <v>2000839</v>
      </c>
      <c r="E2539" t="s">
        <v>729</v>
      </c>
      <c r="F2539" s="5">
        <v>200</v>
      </c>
    </row>
    <row r="2540" spans="1:6" hidden="1">
      <c r="A2540" t="s">
        <v>3025</v>
      </c>
      <c r="B2540" t="s">
        <v>3026</v>
      </c>
      <c r="C2540">
        <v>76159908</v>
      </c>
      <c r="D2540">
        <v>2000724</v>
      </c>
      <c r="E2540" t="s">
        <v>39</v>
      </c>
      <c r="F2540" s="5">
        <v>400</v>
      </c>
    </row>
    <row r="2541" spans="1:6">
      <c r="A2541" t="s">
        <v>3025</v>
      </c>
      <c r="B2541" t="s">
        <v>3026</v>
      </c>
      <c r="C2541">
        <v>76159908</v>
      </c>
      <c r="D2541">
        <v>2000724</v>
      </c>
      <c r="E2541" t="s">
        <v>729</v>
      </c>
      <c r="F2541" s="5">
        <v>200</v>
      </c>
    </row>
    <row r="2542" spans="1:6" hidden="1">
      <c r="A2542" t="s">
        <v>2402</v>
      </c>
      <c r="B2542" t="s">
        <v>2403</v>
      </c>
      <c r="C2542">
        <v>76031627</v>
      </c>
      <c r="D2542">
        <v>2002212</v>
      </c>
      <c r="E2542" t="s">
        <v>39</v>
      </c>
      <c r="F2542" s="5">
        <v>400</v>
      </c>
    </row>
    <row r="2543" spans="1:6">
      <c r="A2543" t="s">
        <v>2402</v>
      </c>
      <c r="B2543" t="s">
        <v>2403</v>
      </c>
      <c r="C2543">
        <v>76031627</v>
      </c>
      <c r="D2543">
        <v>2002212</v>
      </c>
      <c r="E2543" t="s">
        <v>729</v>
      </c>
      <c r="F2543" s="5">
        <v>200</v>
      </c>
    </row>
    <row r="2544" spans="1:6" hidden="1">
      <c r="A2544" t="s">
        <v>691</v>
      </c>
      <c r="B2544" t="s">
        <v>692</v>
      </c>
      <c r="C2544">
        <v>76244900</v>
      </c>
      <c r="D2544">
        <v>2002885</v>
      </c>
      <c r="E2544" t="s">
        <v>39</v>
      </c>
      <c r="F2544" s="5">
        <v>300</v>
      </c>
    </row>
    <row r="2545" spans="1:6">
      <c r="A2545" t="s">
        <v>691</v>
      </c>
      <c r="B2545" t="s">
        <v>692</v>
      </c>
      <c r="C2545">
        <v>76244900</v>
      </c>
      <c r="D2545">
        <v>2002885</v>
      </c>
      <c r="E2545" t="s">
        <v>729</v>
      </c>
      <c r="F2545" s="5">
        <v>200</v>
      </c>
    </row>
    <row r="2546" spans="1:6" hidden="1">
      <c r="A2546" t="s">
        <v>3675</v>
      </c>
      <c r="B2546" t="s">
        <v>3676</v>
      </c>
      <c r="C2546">
        <v>76217105</v>
      </c>
      <c r="D2546">
        <v>2501506</v>
      </c>
      <c r="E2546" t="s">
        <v>39</v>
      </c>
      <c r="F2546" s="5">
        <v>400</v>
      </c>
    </row>
    <row r="2547" spans="1:6">
      <c r="A2547" t="s">
        <v>3675</v>
      </c>
      <c r="B2547" t="s">
        <v>3676</v>
      </c>
      <c r="C2547">
        <v>76217105</v>
      </c>
      <c r="D2547">
        <v>2501506</v>
      </c>
      <c r="E2547" t="s">
        <v>729</v>
      </c>
      <c r="F2547" s="5">
        <v>200</v>
      </c>
    </row>
    <row r="2548" spans="1:6" hidden="1">
      <c r="A2548" t="s">
        <v>3943</v>
      </c>
      <c r="B2548" t="s">
        <v>3944</v>
      </c>
      <c r="C2548">
        <v>76227234</v>
      </c>
      <c r="D2548">
        <v>2003081</v>
      </c>
      <c r="E2548" t="s">
        <v>39</v>
      </c>
      <c r="F2548" s="5">
        <v>300</v>
      </c>
    </row>
    <row r="2549" spans="1:6">
      <c r="A2549" t="s">
        <v>3943</v>
      </c>
      <c r="B2549" t="s">
        <v>3944</v>
      </c>
      <c r="C2549">
        <v>76227234</v>
      </c>
      <c r="D2549">
        <v>2003081</v>
      </c>
      <c r="E2549" t="s">
        <v>729</v>
      </c>
      <c r="F2549" s="5">
        <v>200</v>
      </c>
    </row>
    <row r="2550" spans="1:6" hidden="1">
      <c r="A2550" t="s">
        <v>3767</v>
      </c>
      <c r="B2550" t="s">
        <v>3768</v>
      </c>
      <c r="C2550">
        <v>76220390</v>
      </c>
      <c r="D2550">
        <v>2502128</v>
      </c>
      <c r="E2550" t="s">
        <v>39</v>
      </c>
      <c r="F2550" s="5">
        <v>300</v>
      </c>
    </row>
    <row r="2551" spans="1:6">
      <c r="A2551" t="s">
        <v>3767</v>
      </c>
      <c r="B2551" t="s">
        <v>3768</v>
      </c>
      <c r="C2551">
        <v>76220390</v>
      </c>
      <c r="D2551">
        <v>2502128</v>
      </c>
      <c r="E2551" t="s">
        <v>729</v>
      </c>
      <c r="F2551" s="5">
        <v>200</v>
      </c>
    </row>
    <row r="2552" spans="1:6" hidden="1">
      <c r="A2552" t="s">
        <v>3669</v>
      </c>
      <c r="B2552" t="s">
        <v>3670</v>
      </c>
      <c r="C2552">
        <v>76216903</v>
      </c>
      <c r="D2552">
        <v>2001465</v>
      </c>
      <c r="E2552" t="s">
        <v>39</v>
      </c>
      <c r="F2552" s="5">
        <v>300</v>
      </c>
    </row>
    <row r="2553" spans="1:6">
      <c r="A2553" t="s">
        <v>3669</v>
      </c>
      <c r="B2553" t="s">
        <v>3670</v>
      </c>
      <c r="C2553">
        <v>76216903</v>
      </c>
      <c r="D2553">
        <v>2001465</v>
      </c>
      <c r="E2553" t="s">
        <v>729</v>
      </c>
      <c r="F2553" s="5">
        <v>200</v>
      </c>
    </row>
    <row r="2554" spans="1:6" hidden="1">
      <c r="A2554" t="s">
        <v>4432</v>
      </c>
      <c r="B2554" t="s">
        <v>4433</v>
      </c>
      <c r="C2554">
        <v>76246638</v>
      </c>
      <c r="D2554">
        <v>2003104</v>
      </c>
      <c r="E2554" t="s">
        <v>39</v>
      </c>
      <c r="F2554" s="5">
        <v>300</v>
      </c>
    </row>
    <row r="2555" spans="1:6">
      <c r="A2555" t="s">
        <v>4432</v>
      </c>
      <c r="B2555" t="s">
        <v>4433</v>
      </c>
      <c r="C2555">
        <v>76246638</v>
      </c>
      <c r="D2555">
        <v>2003104</v>
      </c>
      <c r="E2555" t="s">
        <v>729</v>
      </c>
      <c r="F2555" s="5">
        <v>200</v>
      </c>
    </row>
    <row r="2556" spans="1:6" hidden="1">
      <c r="A2556" t="s">
        <v>2340</v>
      </c>
      <c r="B2556" t="s">
        <v>2341</v>
      </c>
      <c r="C2556">
        <v>76023577</v>
      </c>
      <c r="D2556">
        <v>3001713</v>
      </c>
      <c r="E2556" t="s">
        <v>39</v>
      </c>
      <c r="F2556" s="5">
        <v>300</v>
      </c>
    </row>
    <row r="2557" spans="1:6">
      <c r="A2557" t="s">
        <v>2340</v>
      </c>
      <c r="B2557" t="s">
        <v>2341</v>
      </c>
      <c r="C2557">
        <v>76023577</v>
      </c>
      <c r="D2557">
        <v>3001713</v>
      </c>
      <c r="E2557" t="s">
        <v>729</v>
      </c>
      <c r="F2557" s="5">
        <v>200</v>
      </c>
    </row>
    <row r="2558" spans="1:6" hidden="1">
      <c r="A2558" t="s">
        <v>3915</v>
      </c>
      <c r="B2558" t="s">
        <v>3916</v>
      </c>
      <c r="C2558">
        <v>76226578</v>
      </c>
      <c r="D2558">
        <v>2502291</v>
      </c>
      <c r="E2558" t="s">
        <v>39</v>
      </c>
      <c r="F2558" s="5">
        <v>450</v>
      </c>
    </row>
    <row r="2559" spans="1:6">
      <c r="A2559" t="s">
        <v>3915</v>
      </c>
      <c r="B2559" t="s">
        <v>3916</v>
      </c>
      <c r="C2559">
        <v>76226578</v>
      </c>
      <c r="D2559">
        <v>2502291</v>
      </c>
      <c r="E2559" t="s">
        <v>729</v>
      </c>
      <c r="F2559" s="5">
        <v>200</v>
      </c>
    </row>
    <row r="2560" spans="1:6" hidden="1">
      <c r="A2560" t="s">
        <v>4647</v>
      </c>
      <c r="B2560" t="s">
        <v>4648</v>
      </c>
      <c r="C2560">
        <v>76259166</v>
      </c>
      <c r="D2560">
        <v>3002089</v>
      </c>
      <c r="E2560" t="s">
        <v>39</v>
      </c>
      <c r="F2560" s="5">
        <v>400</v>
      </c>
    </row>
    <row r="2561" spans="1:6">
      <c r="A2561" t="s">
        <v>4647</v>
      </c>
      <c r="B2561" t="s">
        <v>4648</v>
      </c>
      <c r="C2561">
        <v>76259166</v>
      </c>
      <c r="D2561">
        <v>3002089</v>
      </c>
      <c r="E2561" t="s">
        <v>729</v>
      </c>
      <c r="F2561" s="5">
        <v>200</v>
      </c>
    </row>
    <row r="2562" spans="1:6" hidden="1">
      <c r="A2562" t="s">
        <v>3665</v>
      </c>
      <c r="B2562" t="s">
        <v>3666</v>
      </c>
      <c r="C2562">
        <v>76216626</v>
      </c>
      <c r="D2562">
        <v>2503102</v>
      </c>
      <c r="E2562" t="s">
        <v>39</v>
      </c>
      <c r="F2562" s="5">
        <v>400</v>
      </c>
    </row>
    <row r="2563" spans="1:6">
      <c r="A2563" t="s">
        <v>3665</v>
      </c>
      <c r="B2563" t="s">
        <v>3666</v>
      </c>
      <c r="C2563">
        <v>76216626</v>
      </c>
      <c r="D2563">
        <v>2503102</v>
      </c>
      <c r="E2563" t="s">
        <v>729</v>
      </c>
      <c r="F2563" s="5">
        <v>200</v>
      </c>
    </row>
    <row r="2564" spans="1:6" hidden="1">
      <c r="A2564" t="s">
        <v>2502</v>
      </c>
      <c r="B2564" t="s">
        <v>2503</v>
      </c>
      <c r="C2564">
        <v>76042310</v>
      </c>
      <c r="D2564">
        <v>324</v>
      </c>
      <c r="E2564" t="s">
        <v>39</v>
      </c>
      <c r="F2564" s="5">
        <v>300</v>
      </c>
    </row>
    <row r="2565" spans="1:6">
      <c r="A2565" t="s">
        <v>2502</v>
      </c>
      <c r="B2565" t="s">
        <v>2503</v>
      </c>
      <c r="C2565">
        <v>76042310</v>
      </c>
      <c r="D2565">
        <v>324</v>
      </c>
      <c r="E2565" t="s">
        <v>729</v>
      </c>
      <c r="F2565" s="5">
        <v>200</v>
      </c>
    </row>
    <row r="2566" spans="1:6" hidden="1">
      <c r="A2566" t="s">
        <v>2136</v>
      </c>
      <c r="B2566" t="s">
        <v>2137</v>
      </c>
      <c r="C2566">
        <v>71051066</v>
      </c>
      <c r="D2566">
        <v>2502631</v>
      </c>
      <c r="E2566" t="s">
        <v>39</v>
      </c>
      <c r="F2566" s="5">
        <v>450</v>
      </c>
    </row>
    <row r="2567" spans="1:6">
      <c r="A2567" t="s">
        <v>2136</v>
      </c>
      <c r="B2567" t="s">
        <v>2137</v>
      </c>
      <c r="C2567">
        <v>71051066</v>
      </c>
      <c r="D2567">
        <v>2502631</v>
      </c>
      <c r="E2567" t="s">
        <v>729</v>
      </c>
      <c r="F2567" s="5">
        <v>200</v>
      </c>
    </row>
    <row r="2568" spans="1:6" hidden="1">
      <c r="A2568" t="s">
        <v>2170</v>
      </c>
      <c r="B2568" t="s">
        <v>2171</v>
      </c>
      <c r="C2568">
        <v>71054619</v>
      </c>
      <c r="D2568">
        <v>2000808</v>
      </c>
      <c r="E2568" t="s">
        <v>39</v>
      </c>
      <c r="F2568" s="5">
        <v>300</v>
      </c>
    </row>
    <row r="2569" spans="1:6">
      <c r="A2569" t="s">
        <v>2170</v>
      </c>
      <c r="B2569" t="s">
        <v>2171</v>
      </c>
      <c r="C2569">
        <v>71054619</v>
      </c>
      <c r="D2569">
        <v>2000808</v>
      </c>
      <c r="E2569" t="s">
        <v>729</v>
      </c>
      <c r="F2569" s="5">
        <v>200</v>
      </c>
    </row>
    <row r="2570" spans="1:6" hidden="1">
      <c r="A2570" t="s">
        <v>2260</v>
      </c>
      <c r="B2570" t="s">
        <v>2261</v>
      </c>
      <c r="C2570">
        <v>76001910</v>
      </c>
      <c r="D2570">
        <v>2000794</v>
      </c>
      <c r="E2570" t="s">
        <v>39</v>
      </c>
      <c r="F2570" s="5">
        <v>300</v>
      </c>
    </row>
    <row r="2571" spans="1:6">
      <c r="A2571" t="s">
        <v>2260</v>
      </c>
      <c r="B2571" t="s">
        <v>2261</v>
      </c>
      <c r="C2571">
        <v>76001910</v>
      </c>
      <c r="D2571">
        <v>2000794</v>
      </c>
      <c r="E2571" t="s">
        <v>729</v>
      </c>
      <c r="F2571" s="5">
        <v>200</v>
      </c>
    </row>
    <row r="2572" spans="1:6" hidden="1">
      <c r="A2572" t="s">
        <v>2144</v>
      </c>
      <c r="B2572" t="s">
        <v>2145</v>
      </c>
      <c r="C2572">
        <v>71052415</v>
      </c>
      <c r="D2572">
        <v>2000858</v>
      </c>
      <c r="E2572" t="s">
        <v>39</v>
      </c>
      <c r="F2572" s="5">
        <v>400</v>
      </c>
    </row>
    <row r="2573" spans="1:6">
      <c r="A2573" t="s">
        <v>2144</v>
      </c>
      <c r="B2573" t="s">
        <v>2145</v>
      </c>
      <c r="C2573">
        <v>71052415</v>
      </c>
      <c r="D2573">
        <v>2000858</v>
      </c>
      <c r="E2573" t="s">
        <v>729</v>
      </c>
      <c r="F2573" s="5">
        <v>200</v>
      </c>
    </row>
    <row r="2574" spans="1:6" hidden="1">
      <c r="A2574" t="s">
        <v>637</v>
      </c>
      <c r="B2574" t="s">
        <v>638</v>
      </c>
      <c r="C2574">
        <v>76223425</v>
      </c>
      <c r="D2574" t="s">
        <v>438</v>
      </c>
      <c r="E2574" t="s">
        <v>39</v>
      </c>
      <c r="F2574" s="5">
        <v>300</v>
      </c>
    </row>
    <row r="2575" spans="1:6">
      <c r="A2575" t="s">
        <v>637</v>
      </c>
      <c r="B2575" t="s">
        <v>638</v>
      </c>
      <c r="C2575">
        <v>76223425</v>
      </c>
      <c r="D2575" t="s">
        <v>438</v>
      </c>
      <c r="E2575" t="s">
        <v>729</v>
      </c>
      <c r="F2575" s="5">
        <v>200</v>
      </c>
    </row>
    <row r="2576" spans="1:6" hidden="1">
      <c r="A2576" t="s">
        <v>4248</v>
      </c>
      <c r="B2576" t="s">
        <v>4249</v>
      </c>
      <c r="C2576">
        <v>76235405</v>
      </c>
      <c r="D2576">
        <v>2002504</v>
      </c>
      <c r="E2576" t="s">
        <v>39</v>
      </c>
      <c r="F2576" s="5">
        <v>300</v>
      </c>
    </row>
    <row r="2577" spans="1:6">
      <c r="A2577" t="s">
        <v>4248</v>
      </c>
      <c r="B2577" t="s">
        <v>4249</v>
      </c>
      <c r="C2577">
        <v>76235405</v>
      </c>
      <c r="D2577">
        <v>2002504</v>
      </c>
      <c r="E2577" t="s">
        <v>729</v>
      </c>
      <c r="F2577" s="5">
        <v>200</v>
      </c>
    </row>
    <row r="2578" spans="1:6" hidden="1">
      <c r="A2578" t="s">
        <v>3229</v>
      </c>
      <c r="B2578" t="s">
        <v>3230</v>
      </c>
      <c r="C2578">
        <v>76186876</v>
      </c>
      <c r="D2578">
        <v>2002469</v>
      </c>
      <c r="E2578" t="s">
        <v>39</v>
      </c>
      <c r="F2578" s="5">
        <v>300</v>
      </c>
    </row>
    <row r="2579" spans="1:6">
      <c r="A2579" t="s">
        <v>3229</v>
      </c>
      <c r="B2579" t="s">
        <v>3230</v>
      </c>
      <c r="C2579">
        <v>76186876</v>
      </c>
      <c r="D2579">
        <v>2002469</v>
      </c>
      <c r="E2579" t="s">
        <v>729</v>
      </c>
      <c r="F2579" s="5">
        <v>200</v>
      </c>
    </row>
    <row r="2580" spans="1:6" hidden="1">
      <c r="A2580" t="s">
        <v>1996</v>
      </c>
      <c r="B2580" t="s">
        <v>1997</v>
      </c>
      <c r="C2580">
        <v>61000863</v>
      </c>
      <c r="D2580">
        <v>3000638</v>
      </c>
      <c r="E2580" t="s">
        <v>39</v>
      </c>
      <c r="F2580" s="5">
        <v>300</v>
      </c>
    </row>
    <row r="2581" spans="1:6">
      <c r="A2581" t="s">
        <v>1996</v>
      </c>
      <c r="B2581" t="s">
        <v>1997</v>
      </c>
      <c r="C2581">
        <v>61000863</v>
      </c>
      <c r="D2581">
        <v>3000638</v>
      </c>
      <c r="E2581" t="s">
        <v>729</v>
      </c>
      <c r="F2581" s="5">
        <v>200</v>
      </c>
    </row>
    <row r="2582" spans="1:6" hidden="1">
      <c r="A2582" t="s">
        <v>2400</v>
      </c>
      <c r="B2582" t="s">
        <v>2401</v>
      </c>
      <c r="C2582">
        <v>76031489</v>
      </c>
      <c r="D2582">
        <v>361</v>
      </c>
      <c r="E2582" t="s">
        <v>39</v>
      </c>
      <c r="F2582" s="5">
        <v>300</v>
      </c>
    </row>
    <row r="2583" spans="1:6">
      <c r="A2583" t="s">
        <v>2400</v>
      </c>
      <c r="B2583" t="s">
        <v>2401</v>
      </c>
      <c r="C2583">
        <v>76031489</v>
      </c>
      <c r="D2583">
        <v>361</v>
      </c>
      <c r="E2583" t="s">
        <v>729</v>
      </c>
      <c r="F2583" s="5">
        <v>200</v>
      </c>
    </row>
    <row r="2584" spans="1:6" hidden="1">
      <c r="A2584" t="s">
        <v>3863</v>
      </c>
      <c r="B2584" t="s">
        <v>3864</v>
      </c>
      <c r="C2584">
        <v>76224746</v>
      </c>
      <c r="D2584">
        <v>2503544</v>
      </c>
      <c r="E2584" t="s">
        <v>39</v>
      </c>
      <c r="F2584" s="5">
        <v>300</v>
      </c>
    </row>
    <row r="2585" spans="1:6">
      <c r="A2585" t="s">
        <v>3863</v>
      </c>
      <c r="B2585" t="s">
        <v>3864</v>
      </c>
      <c r="C2585">
        <v>76224746</v>
      </c>
      <c r="D2585">
        <v>2503544</v>
      </c>
      <c r="E2585" t="s">
        <v>729</v>
      </c>
      <c r="F2585" s="5">
        <v>200</v>
      </c>
    </row>
    <row r="2586" spans="1:6" hidden="1">
      <c r="A2586" t="s">
        <v>2751</v>
      </c>
      <c r="B2586" t="s">
        <v>2752</v>
      </c>
      <c r="C2586">
        <v>76072787</v>
      </c>
      <c r="D2586">
        <v>2002048</v>
      </c>
      <c r="E2586" t="s">
        <v>39</v>
      </c>
      <c r="F2586" s="5">
        <v>450</v>
      </c>
    </row>
    <row r="2587" spans="1:6">
      <c r="A2587" t="s">
        <v>2751</v>
      </c>
      <c r="B2587" t="s">
        <v>2752</v>
      </c>
      <c r="C2587">
        <v>76072787</v>
      </c>
      <c r="D2587">
        <v>2002048</v>
      </c>
      <c r="E2587" t="s">
        <v>729</v>
      </c>
      <c r="F2587" s="5">
        <v>200</v>
      </c>
    </row>
    <row r="2588" spans="1:6" hidden="1">
      <c r="A2588" t="s">
        <v>3603</v>
      </c>
      <c r="B2588" t="s">
        <v>3604</v>
      </c>
      <c r="C2588">
        <v>76213178</v>
      </c>
      <c r="D2588">
        <v>2501145</v>
      </c>
      <c r="E2588" t="s">
        <v>39</v>
      </c>
      <c r="F2588" s="5">
        <v>300</v>
      </c>
    </row>
    <row r="2589" spans="1:6">
      <c r="A2589" t="s">
        <v>3603</v>
      </c>
      <c r="B2589" t="s">
        <v>3604</v>
      </c>
      <c r="C2589">
        <v>76213178</v>
      </c>
      <c r="D2589">
        <v>2501145</v>
      </c>
      <c r="E2589" t="s">
        <v>729</v>
      </c>
      <c r="F2589" s="5">
        <v>200</v>
      </c>
    </row>
    <row r="2590" spans="1:6" hidden="1">
      <c r="A2590" t="s">
        <v>4382</v>
      </c>
      <c r="B2590" t="s">
        <v>4383</v>
      </c>
      <c r="C2590">
        <v>76243576</v>
      </c>
      <c r="D2590">
        <v>2503294</v>
      </c>
      <c r="E2590" t="s">
        <v>39</v>
      </c>
      <c r="F2590" s="5">
        <v>300</v>
      </c>
    </row>
    <row r="2591" spans="1:6">
      <c r="A2591" t="s">
        <v>4382</v>
      </c>
      <c r="B2591" t="s">
        <v>4383</v>
      </c>
      <c r="C2591">
        <v>76243576</v>
      </c>
      <c r="D2591">
        <v>2503294</v>
      </c>
      <c r="E2591" t="s">
        <v>729</v>
      </c>
      <c r="F2591" s="5">
        <v>200</v>
      </c>
    </row>
    <row r="2592" spans="1:6" hidden="1">
      <c r="A2592" t="s">
        <v>2352</v>
      </c>
      <c r="B2592" t="s">
        <v>2353</v>
      </c>
      <c r="C2592">
        <v>76024129</v>
      </c>
      <c r="D2592">
        <v>143029</v>
      </c>
      <c r="E2592" t="s">
        <v>39</v>
      </c>
      <c r="F2592" s="5">
        <v>300</v>
      </c>
    </row>
    <row r="2593" spans="1:6">
      <c r="A2593" t="s">
        <v>2352</v>
      </c>
      <c r="B2593" t="s">
        <v>2353</v>
      </c>
      <c r="C2593">
        <v>76024129</v>
      </c>
      <c r="D2593">
        <v>143029</v>
      </c>
      <c r="E2593" t="s">
        <v>729</v>
      </c>
      <c r="F2593" s="5">
        <v>200</v>
      </c>
    </row>
    <row r="2594" spans="1:6" hidden="1">
      <c r="A2594" t="s">
        <v>3233</v>
      </c>
      <c r="B2594" t="s">
        <v>3234</v>
      </c>
      <c r="C2594">
        <v>76186951</v>
      </c>
      <c r="D2594">
        <v>143174</v>
      </c>
      <c r="E2594" t="s">
        <v>39</v>
      </c>
      <c r="F2594" s="5">
        <v>300</v>
      </c>
    </row>
    <row r="2595" spans="1:6">
      <c r="A2595" t="s">
        <v>3233</v>
      </c>
      <c r="B2595" t="s">
        <v>3234</v>
      </c>
      <c r="C2595">
        <v>76186951</v>
      </c>
      <c r="D2595">
        <v>143174</v>
      </c>
      <c r="E2595" t="s">
        <v>729</v>
      </c>
      <c r="F2595" s="5">
        <v>200</v>
      </c>
    </row>
    <row r="2596" spans="1:6" hidden="1">
      <c r="A2596" t="s">
        <v>3361</v>
      </c>
      <c r="B2596" t="s">
        <v>3362</v>
      </c>
      <c r="C2596">
        <v>76202162</v>
      </c>
      <c r="D2596">
        <v>239</v>
      </c>
      <c r="E2596" t="s">
        <v>39</v>
      </c>
      <c r="F2596" s="5">
        <v>300</v>
      </c>
    </row>
    <row r="2597" spans="1:6">
      <c r="A2597" t="s">
        <v>3361</v>
      </c>
      <c r="B2597" t="s">
        <v>3362</v>
      </c>
      <c r="C2597">
        <v>76202162</v>
      </c>
      <c r="D2597">
        <v>239</v>
      </c>
      <c r="E2597" t="s">
        <v>729</v>
      </c>
      <c r="F2597" s="5">
        <v>200</v>
      </c>
    </row>
    <row r="2598" spans="1:6" hidden="1">
      <c r="A2598" t="s">
        <v>3007</v>
      </c>
      <c r="B2598" t="s">
        <v>3008</v>
      </c>
      <c r="C2598">
        <v>76158689</v>
      </c>
      <c r="D2598">
        <v>2001636</v>
      </c>
      <c r="E2598" t="s">
        <v>39</v>
      </c>
      <c r="F2598" s="5">
        <v>450</v>
      </c>
    </row>
    <row r="2599" spans="1:6">
      <c r="A2599" t="s">
        <v>3007</v>
      </c>
      <c r="B2599" t="s">
        <v>3008</v>
      </c>
      <c r="C2599">
        <v>76158689</v>
      </c>
      <c r="D2599">
        <v>2001636</v>
      </c>
      <c r="E2599" t="s">
        <v>729</v>
      </c>
      <c r="F2599" s="5">
        <v>200</v>
      </c>
    </row>
    <row r="2600" spans="1:6" hidden="1">
      <c r="A2600" t="s">
        <v>1653</v>
      </c>
      <c r="B2600" t="s">
        <v>1654</v>
      </c>
      <c r="C2600">
        <v>8300299</v>
      </c>
      <c r="D2600">
        <v>2502776</v>
      </c>
      <c r="E2600" t="s">
        <v>39</v>
      </c>
      <c r="F2600" s="5">
        <v>300</v>
      </c>
    </row>
    <row r="2601" spans="1:6">
      <c r="A2601" t="s">
        <v>1653</v>
      </c>
      <c r="B2601" t="s">
        <v>1654</v>
      </c>
      <c r="C2601">
        <v>8300299</v>
      </c>
      <c r="D2601">
        <v>2502776</v>
      </c>
      <c r="E2601" t="s">
        <v>729</v>
      </c>
      <c r="F2601" s="5">
        <v>200</v>
      </c>
    </row>
    <row r="2602" spans="1:6" hidden="1">
      <c r="A2602" t="s">
        <v>1751</v>
      </c>
      <c r="B2602" t="s">
        <v>1752</v>
      </c>
      <c r="C2602">
        <v>14090096</v>
      </c>
      <c r="D2602">
        <v>10073</v>
      </c>
      <c r="E2602" t="s">
        <v>39</v>
      </c>
      <c r="F2602" s="5">
        <v>300</v>
      </c>
    </row>
    <row r="2603" spans="1:6">
      <c r="A2603" t="s">
        <v>1751</v>
      </c>
      <c r="B2603" t="s">
        <v>1752</v>
      </c>
      <c r="C2603">
        <v>14090096</v>
      </c>
      <c r="D2603">
        <v>10073</v>
      </c>
      <c r="E2603" t="s">
        <v>729</v>
      </c>
      <c r="F2603" s="5">
        <v>200</v>
      </c>
    </row>
    <row r="2604" spans="1:6" hidden="1">
      <c r="A2604" t="s">
        <v>1655</v>
      </c>
      <c r="B2604" t="s">
        <v>1656</v>
      </c>
      <c r="C2604">
        <v>8300299</v>
      </c>
      <c r="D2604">
        <v>2502776</v>
      </c>
      <c r="E2604" t="s">
        <v>39</v>
      </c>
      <c r="F2604" s="5">
        <v>300</v>
      </c>
    </row>
    <row r="2605" spans="1:6">
      <c r="A2605" t="s">
        <v>1655</v>
      </c>
      <c r="B2605" t="s">
        <v>1656</v>
      </c>
      <c r="C2605">
        <v>8300299</v>
      </c>
      <c r="D2605">
        <v>2502776</v>
      </c>
      <c r="E2605" t="s">
        <v>729</v>
      </c>
      <c r="F2605" s="5">
        <v>200</v>
      </c>
    </row>
    <row r="2606" spans="1:6" hidden="1">
      <c r="A2606" t="s">
        <v>2076</v>
      </c>
      <c r="B2606" t="s">
        <v>2077</v>
      </c>
      <c r="C2606">
        <v>71045434</v>
      </c>
      <c r="D2606">
        <v>3178</v>
      </c>
      <c r="E2606" t="s">
        <v>39</v>
      </c>
      <c r="F2606" s="5">
        <v>300</v>
      </c>
    </row>
    <row r="2607" spans="1:6">
      <c r="A2607" t="s">
        <v>2076</v>
      </c>
      <c r="B2607" t="s">
        <v>2077</v>
      </c>
      <c r="C2607">
        <v>71045434</v>
      </c>
      <c r="D2607">
        <v>3178</v>
      </c>
      <c r="E2607" t="s">
        <v>729</v>
      </c>
      <c r="F2607" s="5">
        <v>200</v>
      </c>
    </row>
    <row r="2608" spans="1:6" hidden="1">
      <c r="A2608" t="s">
        <v>2727</v>
      </c>
      <c r="B2608" t="s">
        <v>2728</v>
      </c>
      <c r="C2608">
        <v>76069739</v>
      </c>
      <c r="D2608">
        <v>2001733</v>
      </c>
      <c r="E2608" t="s">
        <v>39</v>
      </c>
      <c r="F2608" s="5">
        <v>450</v>
      </c>
    </row>
    <row r="2609" spans="1:6">
      <c r="A2609" t="s">
        <v>2727</v>
      </c>
      <c r="B2609" t="s">
        <v>2728</v>
      </c>
      <c r="C2609">
        <v>76069739</v>
      </c>
      <c r="D2609">
        <v>2001733</v>
      </c>
      <c r="E2609" t="s">
        <v>729</v>
      </c>
      <c r="F2609" s="5">
        <v>200</v>
      </c>
    </row>
    <row r="2610" spans="1:6" hidden="1">
      <c r="A2610" t="s">
        <v>2729</v>
      </c>
      <c r="B2610" t="s">
        <v>2730</v>
      </c>
      <c r="C2610">
        <v>76069739</v>
      </c>
      <c r="D2610">
        <v>2001733</v>
      </c>
      <c r="E2610" t="s">
        <v>39</v>
      </c>
      <c r="F2610" s="5">
        <v>450</v>
      </c>
    </row>
    <row r="2611" spans="1:6">
      <c r="A2611" t="s">
        <v>2729</v>
      </c>
      <c r="B2611" t="s">
        <v>2730</v>
      </c>
      <c r="C2611">
        <v>76069739</v>
      </c>
      <c r="D2611">
        <v>2001733</v>
      </c>
      <c r="E2611" t="s">
        <v>729</v>
      </c>
      <c r="F2611" s="5">
        <v>200</v>
      </c>
    </row>
    <row r="2612" spans="1:6" hidden="1">
      <c r="A2612" t="s">
        <v>228</v>
      </c>
      <c r="B2612" t="s">
        <v>229</v>
      </c>
      <c r="C2612">
        <v>76237170</v>
      </c>
      <c r="D2612">
        <v>2000380</v>
      </c>
      <c r="E2612" t="s">
        <v>39</v>
      </c>
      <c r="F2612" s="5">
        <v>300</v>
      </c>
    </row>
    <row r="2613" spans="1:6">
      <c r="A2613" t="s">
        <v>228</v>
      </c>
      <c r="B2613" t="s">
        <v>229</v>
      </c>
      <c r="C2613">
        <v>76237170</v>
      </c>
      <c r="D2613">
        <v>2000380</v>
      </c>
      <c r="E2613" t="s">
        <v>729</v>
      </c>
      <c r="F2613" s="5">
        <v>200</v>
      </c>
    </row>
    <row r="2614" spans="1:6" hidden="1">
      <c r="A2614" t="s">
        <v>3819</v>
      </c>
      <c r="B2614" t="s">
        <v>3820</v>
      </c>
      <c r="C2614">
        <v>76222169</v>
      </c>
      <c r="D2614">
        <v>1500131</v>
      </c>
      <c r="E2614" t="s">
        <v>39</v>
      </c>
      <c r="F2614" s="5">
        <v>300</v>
      </c>
    </row>
    <row r="2615" spans="1:6">
      <c r="A2615" t="s">
        <v>3819</v>
      </c>
      <c r="B2615" t="s">
        <v>3820</v>
      </c>
      <c r="C2615">
        <v>76222169</v>
      </c>
      <c r="D2615">
        <v>1500131</v>
      </c>
      <c r="E2615" t="s">
        <v>729</v>
      </c>
      <c r="F2615" s="5">
        <v>200</v>
      </c>
    </row>
    <row r="2616" spans="1:6" hidden="1">
      <c r="A2616" t="s">
        <v>3821</v>
      </c>
      <c r="B2616" t="s">
        <v>3822</v>
      </c>
      <c r="C2616">
        <v>76222174</v>
      </c>
      <c r="D2616">
        <v>1500130</v>
      </c>
      <c r="E2616" t="s">
        <v>39</v>
      </c>
      <c r="F2616" s="5">
        <v>300</v>
      </c>
    </row>
    <row r="2617" spans="1:6">
      <c r="A2617" t="s">
        <v>3821</v>
      </c>
      <c r="B2617" t="s">
        <v>3822</v>
      </c>
      <c r="C2617">
        <v>76222174</v>
      </c>
      <c r="D2617">
        <v>1500130</v>
      </c>
      <c r="E2617" t="s">
        <v>729</v>
      </c>
      <c r="F2617" s="5">
        <v>200</v>
      </c>
    </row>
    <row r="2618" spans="1:6" hidden="1">
      <c r="A2618" t="s">
        <v>4482</v>
      </c>
      <c r="B2618" t="s">
        <v>4483</v>
      </c>
      <c r="C2618">
        <v>76251607</v>
      </c>
      <c r="D2618">
        <v>2502373</v>
      </c>
      <c r="E2618" t="s">
        <v>39</v>
      </c>
      <c r="F2618" s="5">
        <v>300</v>
      </c>
    </row>
    <row r="2619" spans="1:6">
      <c r="A2619" t="s">
        <v>4482</v>
      </c>
      <c r="B2619" t="s">
        <v>4483</v>
      </c>
      <c r="C2619">
        <v>76251607</v>
      </c>
      <c r="D2619">
        <v>2502373</v>
      </c>
      <c r="E2619" t="s">
        <v>729</v>
      </c>
      <c r="F2619" s="5">
        <v>200</v>
      </c>
    </row>
    <row r="2620" spans="1:6" hidden="1">
      <c r="A2620" t="s">
        <v>222</v>
      </c>
      <c r="B2620" t="s">
        <v>223</v>
      </c>
      <c r="C2620">
        <v>76237142</v>
      </c>
      <c r="D2620">
        <v>2002655</v>
      </c>
      <c r="E2620" t="s">
        <v>39</v>
      </c>
      <c r="F2620" s="5">
        <v>300</v>
      </c>
    </row>
    <row r="2621" spans="1:6">
      <c r="A2621" t="s">
        <v>222</v>
      </c>
      <c r="B2621" t="s">
        <v>223</v>
      </c>
      <c r="C2621">
        <v>76237142</v>
      </c>
      <c r="D2621">
        <v>2002655</v>
      </c>
      <c r="E2621" t="s">
        <v>729</v>
      </c>
      <c r="F2621" s="5">
        <v>200</v>
      </c>
    </row>
    <row r="2622" spans="1:6" hidden="1">
      <c r="A2622" t="s">
        <v>225</v>
      </c>
      <c r="B2622" t="s">
        <v>226</v>
      </c>
      <c r="C2622">
        <v>76237167</v>
      </c>
      <c r="D2622">
        <v>2002821</v>
      </c>
      <c r="E2622" t="s">
        <v>39</v>
      </c>
      <c r="F2622" s="5">
        <v>300</v>
      </c>
    </row>
    <row r="2623" spans="1:6">
      <c r="A2623" t="s">
        <v>225</v>
      </c>
      <c r="B2623" t="s">
        <v>226</v>
      </c>
      <c r="C2623">
        <v>76237167</v>
      </c>
      <c r="D2623">
        <v>2002821</v>
      </c>
      <c r="E2623" t="s">
        <v>729</v>
      </c>
      <c r="F2623" s="5">
        <v>200</v>
      </c>
    </row>
    <row r="2624" spans="1:6" hidden="1">
      <c r="A2624" t="s">
        <v>2783</v>
      </c>
      <c r="B2624" t="s">
        <v>2784</v>
      </c>
      <c r="C2624">
        <v>76076129</v>
      </c>
      <c r="D2624">
        <v>3000711</v>
      </c>
      <c r="E2624" t="s">
        <v>39</v>
      </c>
      <c r="F2624" s="5">
        <v>300</v>
      </c>
    </row>
    <row r="2625" spans="1:6">
      <c r="A2625" t="s">
        <v>2783</v>
      </c>
      <c r="B2625" t="s">
        <v>2784</v>
      </c>
      <c r="C2625">
        <v>76076129</v>
      </c>
      <c r="D2625">
        <v>3000711</v>
      </c>
      <c r="E2625" t="s">
        <v>729</v>
      </c>
      <c r="F2625" s="5">
        <v>200</v>
      </c>
    </row>
    <row r="2626" spans="1:6" hidden="1">
      <c r="A2626" t="s">
        <v>3867</v>
      </c>
      <c r="B2626" t="s">
        <v>3868</v>
      </c>
      <c r="C2626">
        <v>76224860</v>
      </c>
      <c r="D2626">
        <v>2001947</v>
      </c>
      <c r="E2626" t="s">
        <v>39</v>
      </c>
      <c r="F2626" s="5">
        <v>300</v>
      </c>
    </row>
    <row r="2627" spans="1:6">
      <c r="A2627" t="s">
        <v>3867</v>
      </c>
      <c r="B2627" t="s">
        <v>3868</v>
      </c>
      <c r="C2627">
        <v>76224860</v>
      </c>
      <c r="D2627">
        <v>2001947</v>
      </c>
      <c r="E2627" t="s">
        <v>729</v>
      </c>
      <c r="F2627" s="5">
        <v>200</v>
      </c>
    </row>
    <row r="2628" spans="1:6" hidden="1">
      <c r="A2628" t="s">
        <v>183</v>
      </c>
      <c r="B2628" t="s">
        <v>184</v>
      </c>
      <c r="C2628">
        <v>76230427</v>
      </c>
      <c r="D2628">
        <v>9005</v>
      </c>
      <c r="E2628" t="s">
        <v>39</v>
      </c>
      <c r="F2628" s="5">
        <v>300</v>
      </c>
    </row>
    <row r="2629" spans="1:6">
      <c r="A2629" t="s">
        <v>183</v>
      </c>
      <c r="B2629" t="s">
        <v>184</v>
      </c>
      <c r="C2629">
        <v>76230427</v>
      </c>
      <c r="D2629">
        <v>9005</v>
      </c>
      <c r="E2629" t="s">
        <v>729</v>
      </c>
      <c r="F2629" s="5">
        <v>200</v>
      </c>
    </row>
    <row r="2630" spans="1:6" hidden="1">
      <c r="A2630" t="s">
        <v>126</v>
      </c>
      <c r="B2630" t="s">
        <v>127</v>
      </c>
      <c r="C2630">
        <v>76215380</v>
      </c>
      <c r="D2630">
        <v>2000797</v>
      </c>
      <c r="E2630" t="s">
        <v>39</v>
      </c>
      <c r="F2630" s="5">
        <v>450</v>
      </c>
    </row>
    <row r="2631" spans="1:6">
      <c r="A2631" t="s">
        <v>126</v>
      </c>
      <c r="B2631" t="s">
        <v>127</v>
      </c>
      <c r="C2631">
        <v>76215380</v>
      </c>
      <c r="D2631">
        <v>2000797</v>
      </c>
      <c r="E2631" t="s">
        <v>729</v>
      </c>
      <c r="F2631" s="5">
        <v>200</v>
      </c>
    </row>
    <row r="2632" spans="1:6" hidden="1">
      <c r="A2632" t="s">
        <v>105</v>
      </c>
      <c r="B2632" t="s">
        <v>106</v>
      </c>
      <c r="C2632">
        <v>76194812</v>
      </c>
      <c r="D2632">
        <v>0</v>
      </c>
      <c r="E2632" t="s">
        <v>39</v>
      </c>
      <c r="F2632" s="5">
        <v>400</v>
      </c>
    </row>
    <row r="2633" spans="1:6">
      <c r="A2633" t="s">
        <v>105</v>
      </c>
      <c r="B2633" t="s">
        <v>106</v>
      </c>
      <c r="C2633">
        <v>76194812</v>
      </c>
      <c r="D2633">
        <v>0</v>
      </c>
      <c r="E2633" t="s">
        <v>729</v>
      </c>
      <c r="F2633" s="5">
        <v>200</v>
      </c>
    </row>
    <row r="2634" spans="1:6" hidden="1">
      <c r="A2634" t="s">
        <v>688</v>
      </c>
      <c r="B2634" t="s">
        <v>689</v>
      </c>
      <c r="C2634">
        <v>76241605</v>
      </c>
      <c r="D2634">
        <v>2001100</v>
      </c>
      <c r="E2634" t="s">
        <v>39</v>
      </c>
      <c r="F2634" s="5">
        <v>300</v>
      </c>
    </row>
    <row r="2635" spans="1:6">
      <c r="A2635" t="s">
        <v>688</v>
      </c>
      <c r="B2635" t="s">
        <v>689</v>
      </c>
      <c r="C2635">
        <v>76241605</v>
      </c>
      <c r="D2635">
        <v>2001100</v>
      </c>
      <c r="E2635" t="s">
        <v>729</v>
      </c>
      <c r="F2635" s="5">
        <v>200</v>
      </c>
    </row>
    <row r="2636" spans="1:6" hidden="1">
      <c r="A2636" t="s">
        <v>3615</v>
      </c>
      <c r="B2636" t="s">
        <v>3616</v>
      </c>
      <c r="C2636">
        <v>76213525</v>
      </c>
      <c r="D2636">
        <v>2001897</v>
      </c>
      <c r="E2636" t="s">
        <v>39</v>
      </c>
      <c r="F2636" s="5">
        <v>300</v>
      </c>
    </row>
    <row r="2637" spans="1:6">
      <c r="A2637" t="s">
        <v>3615</v>
      </c>
      <c r="B2637" t="s">
        <v>3616</v>
      </c>
      <c r="C2637">
        <v>76213525</v>
      </c>
      <c r="D2637">
        <v>2001897</v>
      </c>
      <c r="E2637" t="s">
        <v>729</v>
      </c>
      <c r="F2637" s="5">
        <v>200</v>
      </c>
    </row>
    <row r="2638" spans="1:6" hidden="1">
      <c r="A2638" t="s">
        <v>1529</v>
      </c>
      <c r="B2638" t="s">
        <v>1530</v>
      </c>
      <c r="C2638">
        <v>1071601</v>
      </c>
      <c r="D2638">
        <v>2502506</v>
      </c>
      <c r="E2638" t="s">
        <v>39</v>
      </c>
      <c r="F2638" s="5">
        <v>300</v>
      </c>
    </row>
    <row r="2639" spans="1:6">
      <c r="A2639" t="s">
        <v>1529</v>
      </c>
      <c r="B2639" t="s">
        <v>1530</v>
      </c>
      <c r="C2639">
        <v>1071601</v>
      </c>
      <c r="D2639">
        <v>2502506</v>
      </c>
      <c r="E2639" t="s">
        <v>729</v>
      </c>
      <c r="F2639" s="5">
        <v>200</v>
      </c>
    </row>
    <row r="2640" spans="1:6" hidden="1">
      <c r="A2640" t="s">
        <v>2198</v>
      </c>
      <c r="B2640" t="s">
        <v>2199</v>
      </c>
      <c r="C2640">
        <v>71059414</v>
      </c>
      <c r="D2640">
        <v>2501721</v>
      </c>
      <c r="E2640" t="s">
        <v>39</v>
      </c>
      <c r="F2640" s="5">
        <v>300</v>
      </c>
    </row>
    <row r="2641" spans="1:6">
      <c r="A2641" t="s">
        <v>2198</v>
      </c>
      <c r="B2641" t="s">
        <v>2199</v>
      </c>
      <c r="C2641">
        <v>71059414</v>
      </c>
      <c r="D2641">
        <v>2501721</v>
      </c>
      <c r="E2641" t="s">
        <v>729</v>
      </c>
      <c r="F2641" s="5">
        <v>200</v>
      </c>
    </row>
    <row r="2642" spans="1:6" hidden="1">
      <c r="A2642" t="s">
        <v>2454</v>
      </c>
      <c r="B2642" t="s">
        <v>2455</v>
      </c>
      <c r="C2642">
        <v>76037927</v>
      </c>
      <c r="D2642">
        <v>10177</v>
      </c>
      <c r="E2642" t="s">
        <v>39</v>
      </c>
      <c r="F2642" s="5">
        <v>300</v>
      </c>
    </row>
    <row r="2643" spans="1:6">
      <c r="A2643" t="s">
        <v>2454</v>
      </c>
      <c r="B2643" t="s">
        <v>2455</v>
      </c>
      <c r="C2643">
        <v>76037927</v>
      </c>
      <c r="D2643">
        <v>10177</v>
      </c>
      <c r="E2643" t="s">
        <v>729</v>
      </c>
      <c r="F2643" s="5">
        <v>200</v>
      </c>
    </row>
    <row r="2644" spans="1:6" hidden="1">
      <c r="A2644" t="s">
        <v>2138</v>
      </c>
      <c r="B2644" t="s">
        <v>2139</v>
      </c>
      <c r="C2644">
        <v>71051219</v>
      </c>
      <c r="D2644">
        <v>2003139</v>
      </c>
      <c r="E2644" t="s">
        <v>39</v>
      </c>
      <c r="F2644" s="5">
        <v>300</v>
      </c>
    </row>
    <row r="2645" spans="1:6">
      <c r="A2645" t="s">
        <v>2138</v>
      </c>
      <c r="B2645" t="s">
        <v>2139</v>
      </c>
      <c r="C2645">
        <v>71051219</v>
      </c>
      <c r="D2645">
        <v>2003139</v>
      </c>
      <c r="E2645" t="s">
        <v>729</v>
      </c>
      <c r="F2645" s="5">
        <v>200</v>
      </c>
    </row>
    <row r="2646" spans="1:6" hidden="1">
      <c r="A2646" t="s">
        <v>1867</v>
      </c>
      <c r="B2646" t="s">
        <v>1868</v>
      </c>
      <c r="C2646">
        <v>25300489</v>
      </c>
      <c r="D2646">
        <v>2027</v>
      </c>
      <c r="E2646" t="s">
        <v>39</v>
      </c>
      <c r="F2646" s="5">
        <v>300</v>
      </c>
    </row>
    <row r="2647" spans="1:6">
      <c r="A2647" t="s">
        <v>1867</v>
      </c>
      <c r="B2647" t="s">
        <v>1868</v>
      </c>
      <c r="C2647">
        <v>25300489</v>
      </c>
      <c r="D2647">
        <v>2027</v>
      </c>
      <c r="E2647" t="s">
        <v>729</v>
      </c>
      <c r="F2647" s="5">
        <v>200</v>
      </c>
    </row>
    <row r="2648" spans="1:6" hidden="1">
      <c r="A2648" t="s">
        <v>3435</v>
      </c>
      <c r="B2648" t="s">
        <v>3436</v>
      </c>
      <c r="C2648">
        <v>76206035</v>
      </c>
      <c r="D2648">
        <v>2501072</v>
      </c>
      <c r="E2648" t="s">
        <v>39</v>
      </c>
      <c r="F2648" s="5">
        <v>300</v>
      </c>
    </row>
    <row r="2649" spans="1:6">
      <c r="A2649" t="s">
        <v>3435</v>
      </c>
      <c r="B2649" t="s">
        <v>3436</v>
      </c>
      <c r="C2649">
        <v>76206035</v>
      </c>
      <c r="D2649">
        <v>2501072</v>
      </c>
      <c r="E2649" t="s">
        <v>729</v>
      </c>
      <c r="F2649" s="5">
        <v>200</v>
      </c>
    </row>
    <row r="2650" spans="1:6" hidden="1">
      <c r="A2650" t="s">
        <v>1619</v>
      </c>
      <c r="B2650" t="s">
        <v>1620</v>
      </c>
      <c r="C2650">
        <v>5700078</v>
      </c>
      <c r="D2650">
        <v>2500495</v>
      </c>
      <c r="E2650" t="s">
        <v>39</v>
      </c>
      <c r="F2650" s="5">
        <v>300</v>
      </c>
    </row>
    <row r="2651" spans="1:6">
      <c r="A2651" t="s">
        <v>1619</v>
      </c>
      <c r="B2651" t="s">
        <v>1620</v>
      </c>
      <c r="C2651">
        <v>5700078</v>
      </c>
      <c r="D2651">
        <v>2500495</v>
      </c>
      <c r="E2651" t="s">
        <v>729</v>
      </c>
      <c r="F2651" s="5">
        <v>200</v>
      </c>
    </row>
    <row r="2652" spans="1:6" hidden="1">
      <c r="A2652" t="s">
        <v>2731</v>
      </c>
      <c r="B2652" t="s">
        <v>2732</v>
      </c>
      <c r="C2652">
        <v>76069861</v>
      </c>
      <c r="D2652">
        <v>2501064</v>
      </c>
      <c r="E2652" t="s">
        <v>39</v>
      </c>
      <c r="F2652" s="5">
        <v>300</v>
      </c>
    </row>
    <row r="2653" spans="1:6">
      <c r="A2653" t="s">
        <v>2731</v>
      </c>
      <c r="B2653" t="s">
        <v>2732</v>
      </c>
      <c r="C2653">
        <v>76069861</v>
      </c>
      <c r="D2653">
        <v>2501064</v>
      </c>
      <c r="E2653" t="s">
        <v>729</v>
      </c>
      <c r="F2653" s="5">
        <v>200</v>
      </c>
    </row>
    <row r="2654" spans="1:6" hidden="1">
      <c r="A2654" t="s">
        <v>2560</v>
      </c>
      <c r="B2654" t="s">
        <v>2561</v>
      </c>
      <c r="C2654">
        <v>76054978</v>
      </c>
      <c r="D2654">
        <v>3000512</v>
      </c>
      <c r="E2654" t="s">
        <v>39</v>
      </c>
      <c r="F2654" s="5">
        <v>300</v>
      </c>
    </row>
    <row r="2655" spans="1:6">
      <c r="A2655" t="s">
        <v>2560</v>
      </c>
      <c r="B2655" t="s">
        <v>2561</v>
      </c>
      <c r="C2655">
        <v>76054978</v>
      </c>
      <c r="D2655">
        <v>3000512</v>
      </c>
      <c r="E2655" t="s">
        <v>729</v>
      </c>
      <c r="F2655" s="5">
        <v>200</v>
      </c>
    </row>
    <row r="2656" spans="1:6" hidden="1">
      <c r="A2656" t="s">
        <v>3193</v>
      </c>
      <c r="B2656" t="s">
        <v>3194</v>
      </c>
      <c r="C2656">
        <v>76179746</v>
      </c>
      <c r="D2656">
        <v>3000692</v>
      </c>
      <c r="E2656" t="s">
        <v>39</v>
      </c>
      <c r="F2656" s="5">
        <v>300</v>
      </c>
    </row>
    <row r="2657" spans="1:6">
      <c r="A2657" t="s">
        <v>3193</v>
      </c>
      <c r="B2657" t="s">
        <v>3194</v>
      </c>
      <c r="C2657">
        <v>76179746</v>
      </c>
      <c r="D2657">
        <v>3000692</v>
      </c>
      <c r="E2657" t="s">
        <v>729</v>
      </c>
      <c r="F2657" s="5">
        <v>200</v>
      </c>
    </row>
    <row r="2658" spans="1:6" hidden="1">
      <c r="A2658" t="s">
        <v>3373</v>
      </c>
      <c r="B2658" t="s">
        <v>3374</v>
      </c>
      <c r="C2658">
        <v>76203101</v>
      </c>
      <c r="D2658">
        <v>2502822</v>
      </c>
      <c r="E2658" t="s">
        <v>39</v>
      </c>
      <c r="F2658" s="5">
        <v>300</v>
      </c>
    </row>
    <row r="2659" spans="1:6">
      <c r="A2659" t="s">
        <v>3373</v>
      </c>
      <c r="B2659" t="s">
        <v>3374</v>
      </c>
      <c r="C2659">
        <v>76203101</v>
      </c>
      <c r="D2659">
        <v>2502822</v>
      </c>
      <c r="E2659" t="s">
        <v>729</v>
      </c>
      <c r="F2659" s="5">
        <v>200</v>
      </c>
    </row>
    <row r="2660" spans="1:6" hidden="1">
      <c r="A2660" t="s">
        <v>4422</v>
      </c>
      <c r="B2660" t="s">
        <v>4423</v>
      </c>
      <c r="C2660">
        <v>76246348</v>
      </c>
      <c r="D2660">
        <v>2503513</v>
      </c>
      <c r="E2660" t="s">
        <v>39</v>
      </c>
      <c r="F2660" s="5">
        <v>300</v>
      </c>
    </row>
    <row r="2661" spans="1:6">
      <c r="A2661" t="s">
        <v>4422</v>
      </c>
      <c r="B2661" t="s">
        <v>4423</v>
      </c>
      <c r="C2661">
        <v>76246348</v>
      </c>
      <c r="D2661">
        <v>2503513</v>
      </c>
      <c r="E2661" t="s">
        <v>729</v>
      </c>
      <c r="F2661" s="5">
        <v>200</v>
      </c>
    </row>
    <row r="2662" spans="1:6" hidden="1">
      <c r="A2662" t="s">
        <v>81</v>
      </c>
      <c r="B2662" t="s">
        <v>82</v>
      </c>
      <c r="C2662">
        <v>76051500</v>
      </c>
      <c r="D2662">
        <v>2503331</v>
      </c>
      <c r="E2662" t="s">
        <v>39</v>
      </c>
      <c r="F2662" s="5">
        <v>300</v>
      </c>
    </row>
    <row r="2663" spans="1:6">
      <c r="A2663" t="s">
        <v>81</v>
      </c>
      <c r="B2663" t="s">
        <v>82</v>
      </c>
      <c r="C2663">
        <v>76051500</v>
      </c>
      <c r="D2663">
        <v>2503331</v>
      </c>
      <c r="E2663" t="s">
        <v>729</v>
      </c>
      <c r="F2663" s="5">
        <v>200</v>
      </c>
    </row>
    <row r="2664" spans="1:6" hidden="1">
      <c r="A2664" t="s">
        <v>721</v>
      </c>
      <c r="B2664" t="s">
        <v>722</v>
      </c>
      <c r="C2664">
        <v>76257366</v>
      </c>
      <c r="D2664">
        <v>2001341</v>
      </c>
      <c r="E2664" t="s">
        <v>39</v>
      </c>
      <c r="F2664" s="5">
        <v>300</v>
      </c>
    </row>
    <row r="2665" spans="1:6">
      <c r="A2665" t="s">
        <v>721</v>
      </c>
      <c r="B2665" t="s">
        <v>722</v>
      </c>
      <c r="C2665">
        <v>76257366</v>
      </c>
      <c r="D2665">
        <v>2001341</v>
      </c>
      <c r="E2665" t="s">
        <v>729</v>
      </c>
      <c r="F2665" s="5">
        <v>200</v>
      </c>
    </row>
    <row r="2666" spans="1:6" hidden="1">
      <c r="A2666" t="s">
        <v>1930</v>
      </c>
      <c r="B2666" t="s">
        <v>1931</v>
      </c>
      <c r="C2666">
        <v>37158101</v>
      </c>
      <c r="D2666">
        <v>2500734</v>
      </c>
      <c r="E2666" t="s">
        <v>39</v>
      </c>
      <c r="F2666" s="5">
        <v>300</v>
      </c>
    </row>
    <row r="2667" spans="1:6">
      <c r="A2667" t="s">
        <v>1930</v>
      </c>
      <c r="B2667" t="s">
        <v>1931</v>
      </c>
      <c r="C2667">
        <v>37158101</v>
      </c>
      <c r="D2667">
        <v>2500734</v>
      </c>
      <c r="E2667" t="s">
        <v>729</v>
      </c>
      <c r="F2667" s="5">
        <v>200</v>
      </c>
    </row>
    <row r="2668" spans="1:6" hidden="1">
      <c r="A2668" t="s">
        <v>593</v>
      </c>
      <c r="B2668" t="s">
        <v>594</v>
      </c>
      <c r="C2668">
        <v>76211772</v>
      </c>
      <c r="D2668">
        <v>3002899</v>
      </c>
      <c r="E2668" t="s">
        <v>39</v>
      </c>
      <c r="F2668" s="5">
        <v>300</v>
      </c>
    </row>
    <row r="2669" spans="1:6">
      <c r="A2669" t="s">
        <v>593</v>
      </c>
      <c r="B2669" t="s">
        <v>594</v>
      </c>
      <c r="C2669">
        <v>76211772</v>
      </c>
      <c r="D2669">
        <v>3002899</v>
      </c>
      <c r="E2669" t="s">
        <v>729</v>
      </c>
      <c r="F2669" s="5">
        <v>200</v>
      </c>
    </row>
    <row r="2670" spans="1:6" hidden="1">
      <c r="A2670" t="s">
        <v>4238</v>
      </c>
      <c r="B2670" t="s">
        <v>4239</v>
      </c>
      <c r="C2670">
        <v>76235258</v>
      </c>
      <c r="D2670">
        <v>2502789</v>
      </c>
      <c r="E2670" t="s">
        <v>39</v>
      </c>
      <c r="F2670" s="5">
        <v>300</v>
      </c>
    </row>
    <row r="2671" spans="1:6">
      <c r="A2671" t="s">
        <v>4238</v>
      </c>
      <c r="B2671" t="s">
        <v>4239</v>
      </c>
      <c r="C2671">
        <v>76235258</v>
      </c>
      <c r="D2671">
        <v>2502789</v>
      </c>
      <c r="E2671" t="s">
        <v>729</v>
      </c>
      <c r="F2671" s="5">
        <v>200</v>
      </c>
    </row>
    <row r="2672" spans="1:6" hidden="1">
      <c r="A2672" t="s">
        <v>4094</v>
      </c>
      <c r="B2672" t="s">
        <v>4095</v>
      </c>
      <c r="C2672">
        <v>76231060</v>
      </c>
      <c r="D2672">
        <v>2003141</v>
      </c>
      <c r="E2672" t="s">
        <v>39</v>
      </c>
      <c r="F2672" s="5">
        <v>300</v>
      </c>
    </row>
    <row r="2673" spans="1:6">
      <c r="A2673" t="s">
        <v>4094</v>
      </c>
      <c r="B2673" t="s">
        <v>4095</v>
      </c>
      <c r="C2673">
        <v>76231060</v>
      </c>
      <c r="D2673">
        <v>2003141</v>
      </c>
      <c r="E2673" t="s">
        <v>729</v>
      </c>
      <c r="F2673" s="5">
        <v>200</v>
      </c>
    </row>
    <row r="2674" spans="1:6" hidden="1">
      <c r="A2674" t="s">
        <v>1843</v>
      </c>
      <c r="B2674" t="s">
        <v>1844</v>
      </c>
      <c r="C2674">
        <v>25298130</v>
      </c>
      <c r="D2674">
        <v>2002956</v>
      </c>
      <c r="E2674" t="s">
        <v>39</v>
      </c>
      <c r="F2674" s="5">
        <v>300</v>
      </c>
    </row>
    <row r="2675" spans="1:6">
      <c r="A2675" t="s">
        <v>1843</v>
      </c>
      <c r="B2675" t="s">
        <v>1844</v>
      </c>
      <c r="C2675">
        <v>25298130</v>
      </c>
      <c r="D2675">
        <v>2002956</v>
      </c>
      <c r="E2675" t="s">
        <v>729</v>
      </c>
      <c r="F2675" s="5">
        <v>200</v>
      </c>
    </row>
    <row r="2676" spans="1:6" hidden="1">
      <c r="A2676" t="s">
        <v>3409</v>
      </c>
      <c r="B2676" t="s">
        <v>3410</v>
      </c>
      <c r="C2676">
        <v>76205154</v>
      </c>
      <c r="D2676">
        <v>13100</v>
      </c>
      <c r="E2676" t="s">
        <v>39</v>
      </c>
      <c r="F2676" s="5">
        <v>300</v>
      </c>
    </row>
    <row r="2677" spans="1:6">
      <c r="A2677" t="s">
        <v>3409</v>
      </c>
      <c r="B2677" t="s">
        <v>3410</v>
      </c>
      <c r="C2677">
        <v>76205154</v>
      </c>
      <c r="D2677">
        <v>13100</v>
      </c>
      <c r="E2677" t="s">
        <v>729</v>
      </c>
      <c r="F2677" s="5">
        <v>200</v>
      </c>
    </row>
    <row r="2678" spans="1:6" hidden="1">
      <c r="A2678" t="s">
        <v>2669</v>
      </c>
      <c r="B2678" t="s">
        <v>2670</v>
      </c>
      <c r="C2678">
        <v>76064539</v>
      </c>
      <c r="D2678">
        <v>4007</v>
      </c>
      <c r="E2678" t="s">
        <v>39</v>
      </c>
      <c r="F2678" s="5">
        <v>300</v>
      </c>
    </row>
    <row r="2679" spans="1:6">
      <c r="A2679" t="s">
        <v>2669</v>
      </c>
      <c r="B2679" t="s">
        <v>2670</v>
      </c>
      <c r="C2679">
        <v>76064539</v>
      </c>
      <c r="D2679">
        <v>4007</v>
      </c>
      <c r="E2679" t="s">
        <v>729</v>
      </c>
      <c r="F2679" s="5">
        <v>200</v>
      </c>
    </row>
    <row r="2680" spans="1:6" hidden="1">
      <c r="A2680" t="s">
        <v>2667</v>
      </c>
      <c r="B2680" t="s">
        <v>2668</v>
      </c>
      <c r="C2680">
        <v>76064538</v>
      </c>
      <c r="D2680">
        <v>2001067</v>
      </c>
      <c r="E2680" t="s">
        <v>39</v>
      </c>
      <c r="F2680" s="5">
        <v>300</v>
      </c>
    </row>
    <row r="2681" spans="1:6">
      <c r="A2681" t="s">
        <v>2667</v>
      </c>
      <c r="B2681" t="s">
        <v>2668</v>
      </c>
      <c r="C2681">
        <v>76064538</v>
      </c>
      <c r="D2681">
        <v>2001067</v>
      </c>
      <c r="E2681" t="s">
        <v>729</v>
      </c>
      <c r="F2681" s="5">
        <v>200</v>
      </c>
    </row>
    <row r="2682" spans="1:6" hidden="1">
      <c r="A2682" t="s">
        <v>2875</v>
      </c>
      <c r="B2682" t="s">
        <v>2876</v>
      </c>
      <c r="C2682">
        <v>76140738</v>
      </c>
      <c r="D2682">
        <v>114017</v>
      </c>
      <c r="E2682" t="s">
        <v>39</v>
      </c>
      <c r="F2682" s="5">
        <v>300</v>
      </c>
    </row>
    <row r="2683" spans="1:6">
      <c r="A2683" t="s">
        <v>2875</v>
      </c>
      <c r="B2683" t="s">
        <v>2876</v>
      </c>
      <c r="C2683">
        <v>76140738</v>
      </c>
      <c r="D2683">
        <v>114017</v>
      </c>
      <c r="E2683" t="s">
        <v>729</v>
      </c>
      <c r="F2683" s="5">
        <v>200</v>
      </c>
    </row>
    <row r="2684" spans="1:6" hidden="1">
      <c r="A2684" t="s">
        <v>3315</v>
      </c>
      <c r="B2684" t="s">
        <v>3316</v>
      </c>
      <c r="C2684">
        <v>76195573</v>
      </c>
      <c r="D2684">
        <v>2000198</v>
      </c>
      <c r="E2684" t="s">
        <v>39</v>
      </c>
      <c r="F2684" s="5">
        <v>300</v>
      </c>
    </row>
    <row r="2685" spans="1:6">
      <c r="A2685" t="s">
        <v>3315</v>
      </c>
      <c r="B2685" t="s">
        <v>3316</v>
      </c>
      <c r="C2685">
        <v>76195573</v>
      </c>
      <c r="D2685">
        <v>2000198</v>
      </c>
      <c r="E2685" t="s">
        <v>729</v>
      </c>
      <c r="F2685" s="5">
        <v>200</v>
      </c>
    </row>
    <row r="2686" spans="1:6" hidden="1">
      <c r="A2686" t="s">
        <v>90</v>
      </c>
      <c r="B2686" t="s">
        <v>91</v>
      </c>
      <c r="C2686">
        <v>76134865</v>
      </c>
      <c r="D2686">
        <v>5113</v>
      </c>
      <c r="E2686" t="s">
        <v>39</v>
      </c>
      <c r="F2686" s="5">
        <v>300</v>
      </c>
    </row>
    <row r="2687" spans="1:6">
      <c r="A2687" t="s">
        <v>90</v>
      </c>
      <c r="B2687" t="s">
        <v>91</v>
      </c>
      <c r="C2687">
        <v>76134865</v>
      </c>
      <c r="D2687">
        <v>5113</v>
      </c>
      <c r="E2687" t="s">
        <v>729</v>
      </c>
      <c r="F2687" s="5">
        <v>200</v>
      </c>
    </row>
    <row r="2688" spans="1:6" hidden="1">
      <c r="A2688" t="s">
        <v>1625</v>
      </c>
      <c r="B2688" t="s">
        <v>1626</v>
      </c>
      <c r="C2688">
        <v>5710042</v>
      </c>
      <c r="D2688">
        <v>2501192</v>
      </c>
      <c r="E2688" t="s">
        <v>39</v>
      </c>
      <c r="F2688" s="5">
        <v>300</v>
      </c>
    </row>
    <row r="2689" spans="1:6">
      <c r="A2689" t="s">
        <v>1625</v>
      </c>
      <c r="B2689" t="s">
        <v>1626</v>
      </c>
      <c r="C2689">
        <v>5710042</v>
      </c>
      <c r="D2689">
        <v>2501192</v>
      </c>
      <c r="E2689" t="s">
        <v>729</v>
      </c>
      <c r="F2689" s="5">
        <v>200</v>
      </c>
    </row>
    <row r="2690" spans="1:6" hidden="1">
      <c r="A2690" t="s">
        <v>2793</v>
      </c>
      <c r="B2690" t="s">
        <v>2794</v>
      </c>
      <c r="C2690">
        <v>76077218</v>
      </c>
      <c r="D2690">
        <v>2503650</v>
      </c>
      <c r="E2690" t="s">
        <v>39</v>
      </c>
      <c r="F2690" s="5">
        <v>300</v>
      </c>
    </row>
    <row r="2691" spans="1:6">
      <c r="A2691" t="s">
        <v>2793</v>
      </c>
      <c r="B2691" t="s">
        <v>2794</v>
      </c>
      <c r="C2691">
        <v>76077218</v>
      </c>
      <c r="D2691">
        <v>2503650</v>
      </c>
      <c r="E2691" t="s">
        <v>729</v>
      </c>
      <c r="F2691" s="5">
        <v>200</v>
      </c>
    </row>
    <row r="2692" spans="1:6" hidden="1">
      <c r="A2692" t="s">
        <v>4020</v>
      </c>
      <c r="B2692" t="s">
        <v>4021</v>
      </c>
      <c r="C2692">
        <v>76229460</v>
      </c>
      <c r="D2692">
        <v>2001002</v>
      </c>
      <c r="E2692" t="s">
        <v>39</v>
      </c>
      <c r="F2692" s="5">
        <v>300</v>
      </c>
    </row>
    <row r="2693" spans="1:6">
      <c r="A2693" t="s">
        <v>4020</v>
      </c>
      <c r="B2693" t="s">
        <v>4021</v>
      </c>
      <c r="C2693">
        <v>76229460</v>
      </c>
      <c r="D2693">
        <v>2001002</v>
      </c>
      <c r="E2693" t="s">
        <v>729</v>
      </c>
      <c r="F2693" s="5">
        <v>200</v>
      </c>
    </row>
    <row r="2694" spans="1:6" hidden="1">
      <c r="A2694" t="s">
        <v>4022</v>
      </c>
      <c r="B2694" t="s">
        <v>4023</v>
      </c>
      <c r="C2694">
        <v>76229466</v>
      </c>
      <c r="D2694">
        <v>2001011</v>
      </c>
      <c r="E2694" t="s">
        <v>39</v>
      </c>
      <c r="F2694" s="5">
        <v>300</v>
      </c>
    </row>
    <row r="2695" spans="1:6">
      <c r="A2695" t="s">
        <v>4022</v>
      </c>
      <c r="B2695" t="s">
        <v>4023</v>
      </c>
      <c r="C2695">
        <v>76229466</v>
      </c>
      <c r="D2695">
        <v>2001011</v>
      </c>
      <c r="E2695" t="s">
        <v>729</v>
      </c>
      <c r="F2695" s="5">
        <v>200</v>
      </c>
    </row>
    <row r="2696" spans="1:6" hidden="1">
      <c r="A2696" t="s">
        <v>1891</v>
      </c>
      <c r="B2696" t="s">
        <v>1892</v>
      </c>
      <c r="C2696">
        <v>33062109</v>
      </c>
      <c r="D2696">
        <v>2002994</v>
      </c>
      <c r="E2696" t="s">
        <v>39</v>
      </c>
      <c r="F2696" s="5">
        <v>300</v>
      </c>
    </row>
    <row r="2697" spans="1:6">
      <c r="A2697" t="s">
        <v>1891</v>
      </c>
      <c r="B2697" t="s">
        <v>1892</v>
      </c>
      <c r="C2697">
        <v>33062109</v>
      </c>
      <c r="D2697">
        <v>2002994</v>
      </c>
      <c r="E2697" t="s">
        <v>729</v>
      </c>
      <c r="F2697" s="5">
        <v>200</v>
      </c>
    </row>
    <row r="2698" spans="1:6" hidden="1">
      <c r="A2698" t="s">
        <v>3887</v>
      </c>
      <c r="B2698" t="s">
        <v>3888</v>
      </c>
      <c r="C2698">
        <v>76225750</v>
      </c>
      <c r="D2698">
        <v>2000282</v>
      </c>
      <c r="E2698" t="s">
        <v>39</v>
      </c>
      <c r="F2698" s="5">
        <v>300</v>
      </c>
    </row>
    <row r="2699" spans="1:6">
      <c r="A2699" t="s">
        <v>3887</v>
      </c>
      <c r="B2699" t="s">
        <v>3888</v>
      </c>
      <c r="C2699">
        <v>76225750</v>
      </c>
      <c r="D2699">
        <v>2000282</v>
      </c>
      <c r="E2699" t="s">
        <v>729</v>
      </c>
      <c r="F2699" s="5">
        <v>200</v>
      </c>
    </row>
    <row r="2700" spans="1:6" hidden="1">
      <c r="A2700" t="s">
        <v>3539</v>
      </c>
      <c r="B2700" t="s">
        <v>3540</v>
      </c>
      <c r="C2700">
        <v>76209699</v>
      </c>
      <c r="D2700">
        <v>2002995</v>
      </c>
      <c r="E2700" t="s">
        <v>39</v>
      </c>
      <c r="F2700" s="5">
        <v>300</v>
      </c>
    </row>
    <row r="2701" spans="1:6">
      <c r="A2701" t="s">
        <v>3539</v>
      </c>
      <c r="B2701" t="s">
        <v>3540</v>
      </c>
      <c r="C2701">
        <v>76209699</v>
      </c>
      <c r="D2701">
        <v>2002995</v>
      </c>
      <c r="E2701" t="s">
        <v>729</v>
      </c>
      <c r="F2701" s="5">
        <v>200</v>
      </c>
    </row>
    <row r="2702" spans="1:6" hidden="1">
      <c r="A2702" t="s">
        <v>3541</v>
      </c>
      <c r="B2702" t="s">
        <v>3542</v>
      </c>
      <c r="C2702">
        <v>76209705</v>
      </c>
      <c r="D2702">
        <v>2002984</v>
      </c>
      <c r="E2702" t="s">
        <v>39</v>
      </c>
      <c r="F2702" s="5">
        <v>300</v>
      </c>
    </row>
    <row r="2703" spans="1:6">
      <c r="A2703" t="s">
        <v>3541</v>
      </c>
      <c r="B2703" t="s">
        <v>3542</v>
      </c>
      <c r="C2703">
        <v>76209705</v>
      </c>
      <c r="D2703">
        <v>2002984</v>
      </c>
      <c r="E2703" t="s">
        <v>729</v>
      </c>
      <c r="F2703" s="5">
        <v>200</v>
      </c>
    </row>
    <row r="2704" spans="1:6" hidden="1">
      <c r="A2704" t="s">
        <v>1893</v>
      </c>
      <c r="B2704" t="s">
        <v>1894</v>
      </c>
      <c r="C2704">
        <v>33062109</v>
      </c>
      <c r="D2704">
        <v>2002994</v>
      </c>
      <c r="E2704" t="s">
        <v>39</v>
      </c>
      <c r="F2704" s="5">
        <v>300</v>
      </c>
    </row>
    <row r="2705" spans="1:6">
      <c r="A2705" t="s">
        <v>1893</v>
      </c>
      <c r="B2705" t="s">
        <v>1894</v>
      </c>
      <c r="C2705">
        <v>33062109</v>
      </c>
      <c r="D2705">
        <v>2002994</v>
      </c>
      <c r="E2705" t="s">
        <v>729</v>
      </c>
      <c r="F2705" s="5">
        <v>200</v>
      </c>
    </row>
    <row r="2706" spans="1:6" hidden="1">
      <c r="A2706" t="s">
        <v>1539</v>
      </c>
      <c r="B2706" t="s">
        <v>1540</v>
      </c>
      <c r="C2706">
        <v>1247501</v>
      </c>
      <c r="D2706">
        <v>2002829</v>
      </c>
      <c r="E2706" t="s">
        <v>39</v>
      </c>
      <c r="F2706" s="5">
        <v>300</v>
      </c>
    </row>
    <row r="2707" spans="1:6">
      <c r="A2707" t="s">
        <v>1539</v>
      </c>
      <c r="B2707" t="s">
        <v>1540</v>
      </c>
      <c r="C2707">
        <v>1247501</v>
      </c>
      <c r="D2707">
        <v>2002829</v>
      </c>
      <c r="E2707" t="s">
        <v>729</v>
      </c>
      <c r="F2707" s="5">
        <v>200</v>
      </c>
    </row>
    <row r="2708" spans="1:6" hidden="1">
      <c r="A2708" t="s">
        <v>2134</v>
      </c>
      <c r="B2708" t="s">
        <v>2135</v>
      </c>
      <c r="C2708">
        <v>71050802</v>
      </c>
      <c r="D2708">
        <v>3000551</v>
      </c>
      <c r="E2708" t="s">
        <v>39</v>
      </c>
      <c r="F2708" s="5">
        <v>300</v>
      </c>
    </row>
    <row r="2709" spans="1:6">
      <c r="A2709" t="s">
        <v>2134</v>
      </c>
      <c r="B2709" t="s">
        <v>2135</v>
      </c>
      <c r="C2709">
        <v>71050802</v>
      </c>
      <c r="D2709">
        <v>3000551</v>
      </c>
      <c r="E2709" t="s">
        <v>729</v>
      </c>
      <c r="F2709" s="5">
        <v>200</v>
      </c>
    </row>
    <row r="2710" spans="1:6" hidden="1">
      <c r="A2710" t="s">
        <v>2985</v>
      </c>
      <c r="B2710" t="s">
        <v>2986</v>
      </c>
      <c r="C2710">
        <v>76156389</v>
      </c>
      <c r="D2710">
        <v>3000725</v>
      </c>
      <c r="E2710" t="s">
        <v>39</v>
      </c>
      <c r="F2710" s="5">
        <v>300</v>
      </c>
    </row>
    <row r="2711" spans="1:6">
      <c r="A2711" t="s">
        <v>2985</v>
      </c>
      <c r="B2711" t="s">
        <v>2986</v>
      </c>
      <c r="C2711">
        <v>76156389</v>
      </c>
      <c r="D2711">
        <v>3000725</v>
      </c>
      <c r="E2711" t="s">
        <v>729</v>
      </c>
      <c r="F2711" s="5">
        <v>200</v>
      </c>
    </row>
    <row r="2712" spans="1:6" hidden="1">
      <c r="A2712" t="s">
        <v>2036</v>
      </c>
      <c r="B2712" t="s">
        <v>2037</v>
      </c>
      <c r="C2712">
        <v>71041279</v>
      </c>
      <c r="D2712">
        <v>2001357</v>
      </c>
      <c r="E2712" t="s">
        <v>39</v>
      </c>
      <c r="F2712" s="5">
        <v>300</v>
      </c>
    </row>
    <row r="2713" spans="1:6">
      <c r="A2713" t="s">
        <v>2036</v>
      </c>
      <c r="B2713" t="s">
        <v>2037</v>
      </c>
      <c r="C2713">
        <v>71041279</v>
      </c>
      <c r="D2713">
        <v>2001357</v>
      </c>
      <c r="E2713" t="s">
        <v>729</v>
      </c>
      <c r="F2713" s="5">
        <v>200</v>
      </c>
    </row>
    <row r="2714" spans="1:6" hidden="1">
      <c r="A2714" t="s">
        <v>2671</v>
      </c>
      <c r="B2714" t="s">
        <v>2672</v>
      </c>
      <c r="C2714">
        <v>76065121</v>
      </c>
      <c r="D2714">
        <v>3000118</v>
      </c>
      <c r="E2714" t="s">
        <v>39</v>
      </c>
      <c r="F2714" s="5">
        <v>300</v>
      </c>
    </row>
    <row r="2715" spans="1:6">
      <c r="A2715" t="s">
        <v>2671</v>
      </c>
      <c r="B2715" t="s">
        <v>2672</v>
      </c>
      <c r="C2715">
        <v>76065121</v>
      </c>
      <c r="D2715">
        <v>3000118</v>
      </c>
      <c r="E2715" t="s">
        <v>729</v>
      </c>
      <c r="F2715" s="5">
        <v>200</v>
      </c>
    </row>
    <row r="2716" spans="1:6" hidden="1">
      <c r="A2716" t="s">
        <v>2124</v>
      </c>
      <c r="B2716" t="s">
        <v>2125</v>
      </c>
      <c r="C2716">
        <v>71049784</v>
      </c>
      <c r="D2716">
        <v>3000260</v>
      </c>
      <c r="E2716" t="s">
        <v>39</v>
      </c>
      <c r="F2716" s="5">
        <v>300</v>
      </c>
    </row>
    <row r="2717" spans="1:6">
      <c r="A2717" t="s">
        <v>2124</v>
      </c>
      <c r="B2717" t="s">
        <v>2125</v>
      </c>
      <c r="C2717">
        <v>71049784</v>
      </c>
      <c r="D2717">
        <v>3000260</v>
      </c>
      <c r="E2717" t="s">
        <v>729</v>
      </c>
      <c r="F2717" s="5">
        <v>200</v>
      </c>
    </row>
    <row r="2718" spans="1:6" hidden="1">
      <c r="A2718" t="s">
        <v>2190</v>
      </c>
      <c r="B2718" t="s">
        <v>2191</v>
      </c>
      <c r="C2718">
        <v>71057747</v>
      </c>
      <c r="D2718">
        <v>2001353</v>
      </c>
      <c r="E2718" t="s">
        <v>39</v>
      </c>
      <c r="F2718" s="5">
        <v>300</v>
      </c>
    </row>
    <row r="2719" spans="1:6">
      <c r="A2719" t="s">
        <v>2190</v>
      </c>
      <c r="B2719" t="s">
        <v>2191</v>
      </c>
      <c r="C2719">
        <v>71057747</v>
      </c>
      <c r="D2719">
        <v>2001353</v>
      </c>
      <c r="E2719" t="s">
        <v>729</v>
      </c>
      <c r="F2719" s="5">
        <v>200</v>
      </c>
    </row>
    <row r="2720" spans="1:6" hidden="1">
      <c r="A2720" t="s">
        <v>2052</v>
      </c>
      <c r="B2720" t="s">
        <v>2053</v>
      </c>
      <c r="C2720">
        <v>71042671</v>
      </c>
      <c r="D2720">
        <v>2000681</v>
      </c>
      <c r="E2720" t="s">
        <v>39</v>
      </c>
      <c r="F2720" s="5">
        <v>300</v>
      </c>
    </row>
    <row r="2721" spans="1:6">
      <c r="A2721" t="s">
        <v>2052</v>
      </c>
      <c r="B2721" t="s">
        <v>2053</v>
      </c>
      <c r="C2721">
        <v>71042671</v>
      </c>
      <c r="D2721">
        <v>2000681</v>
      </c>
      <c r="E2721" t="s">
        <v>729</v>
      </c>
      <c r="F2721" s="5">
        <v>200</v>
      </c>
    </row>
    <row r="2722" spans="1:6" hidden="1">
      <c r="A2722" t="s">
        <v>2316</v>
      </c>
      <c r="B2722" t="s">
        <v>2317</v>
      </c>
      <c r="C2722">
        <v>76021112</v>
      </c>
      <c r="D2722">
        <v>2000591</v>
      </c>
      <c r="E2722" t="s">
        <v>39</v>
      </c>
      <c r="F2722" s="5">
        <v>300</v>
      </c>
    </row>
    <row r="2723" spans="1:6">
      <c r="A2723" t="s">
        <v>2316</v>
      </c>
      <c r="B2723" t="s">
        <v>2317</v>
      </c>
      <c r="C2723">
        <v>76021112</v>
      </c>
      <c r="D2723">
        <v>2000591</v>
      </c>
      <c r="E2723" t="s">
        <v>729</v>
      </c>
      <c r="F2723" s="5">
        <v>200</v>
      </c>
    </row>
    <row r="2724" spans="1:6" hidden="1">
      <c r="A2724" t="s">
        <v>3149</v>
      </c>
      <c r="B2724" t="s">
        <v>3150</v>
      </c>
      <c r="C2724">
        <v>76172449</v>
      </c>
      <c r="D2724">
        <v>3000415</v>
      </c>
      <c r="E2724" t="s">
        <v>39</v>
      </c>
      <c r="F2724" s="5">
        <v>300</v>
      </c>
    </row>
    <row r="2725" spans="1:6">
      <c r="A2725" t="s">
        <v>3149</v>
      </c>
      <c r="B2725" t="s">
        <v>3150</v>
      </c>
      <c r="C2725">
        <v>76172449</v>
      </c>
      <c r="D2725">
        <v>3000415</v>
      </c>
      <c r="E2725" t="s">
        <v>729</v>
      </c>
      <c r="F2725" s="5">
        <v>200</v>
      </c>
    </row>
    <row r="2726" spans="1:6" hidden="1">
      <c r="A2726" t="s">
        <v>2829</v>
      </c>
      <c r="B2726" t="s">
        <v>2830</v>
      </c>
      <c r="C2726">
        <v>76098038</v>
      </c>
      <c r="D2726">
        <v>3000731</v>
      </c>
      <c r="E2726" t="s">
        <v>39</v>
      </c>
      <c r="F2726" s="5">
        <v>300</v>
      </c>
    </row>
    <row r="2727" spans="1:6">
      <c r="A2727" t="s">
        <v>2829</v>
      </c>
      <c r="B2727" t="s">
        <v>2830</v>
      </c>
      <c r="C2727">
        <v>76098038</v>
      </c>
      <c r="D2727">
        <v>3000731</v>
      </c>
      <c r="E2727" t="s">
        <v>729</v>
      </c>
      <c r="F2727" s="5">
        <v>200</v>
      </c>
    </row>
    <row r="2728" spans="1:6" hidden="1">
      <c r="A2728" t="s">
        <v>2164</v>
      </c>
      <c r="B2728" t="s">
        <v>2165</v>
      </c>
      <c r="C2728">
        <v>71054359</v>
      </c>
      <c r="D2728">
        <v>3000717</v>
      </c>
      <c r="E2728" t="s">
        <v>39</v>
      </c>
      <c r="F2728" s="5">
        <v>300</v>
      </c>
    </row>
    <row r="2729" spans="1:6">
      <c r="A2729" t="s">
        <v>2164</v>
      </c>
      <c r="B2729" t="s">
        <v>2165</v>
      </c>
      <c r="C2729">
        <v>71054359</v>
      </c>
      <c r="D2729">
        <v>3000717</v>
      </c>
      <c r="E2729" t="s">
        <v>729</v>
      </c>
      <c r="F2729" s="5">
        <v>200</v>
      </c>
    </row>
    <row r="2730" spans="1:6" hidden="1">
      <c r="A2730" t="s">
        <v>3033</v>
      </c>
      <c r="B2730" t="s">
        <v>3034</v>
      </c>
      <c r="C2730">
        <v>76161091</v>
      </c>
      <c r="D2730">
        <v>3000523</v>
      </c>
      <c r="E2730" t="s">
        <v>39</v>
      </c>
      <c r="F2730" s="5">
        <v>300</v>
      </c>
    </row>
    <row r="2731" spans="1:6">
      <c r="A2731" t="s">
        <v>3033</v>
      </c>
      <c r="B2731" t="s">
        <v>3034</v>
      </c>
      <c r="C2731">
        <v>76161091</v>
      </c>
      <c r="D2731">
        <v>3000523</v>
      </c>
      <c r="E2731" t="s">
        <v>729</v>
      </c>
      <c r="F2731" s="5">
        <v>200</v>
      </c>
    </row>
    <row r="2732" spans="1:6" hidden="1">
      <c r="A2732" t="s">
        <v>1909</v>
      </c>
      <c r="B2732" t="s">
        <v>1910</v>
      </c>
      <c r="C2732">
        <v>37002001</v>
      </c>
      <c r="D2732">
        <v>2501197</v>
      </c>
      <c r="E2732" t="s">
        <v>39</v>
      </c>
      <c r="F2732" s="5">
        <v>300</v>
      </c>
    </row>
    <row r="2733" spans="1:6">
      <c r="A2733" t="s">
        <v>1909</v>
      </c>
      <c r="B2733" t="s">
        <v>1910</v>
      </c>
      <c r="C2733">
        <v>37002001</v>
      </c>
      <c r="D2733">
        <v>2501197</v>
      </c>
      <c r="E2733" t="s">
        <v>729</v>
      </c>
      <c r="F2733" s="5">
        <v>200</v>
      </c>
    </row>
    <row r="2734" spans="1:6" hidden="1">
      <c r="A2734" t="s">
        <v>3003</v>
      </c>
      <c r="B2734" t="s">
        <v>3004</v>
      </c>
      <c r="C2734">
        <v>76158362</v>
      </c>
      <c r="D2734">
        <v>2501199</v>
      </c>
      <c r="E2734" t="s">
        <v>39</v>
      </c>
      <c r="F2734" s="5">
        <v>300</v>
      </c>
    </row>
    <row r="2735" spans="1:6">
      <c r="A2735" t="s">
        <v>3003</v>
      </c>
      <c r="B2735" t="s">
        <v>3004</v>
      </c>
      <c r="C2735">
        <v>76158362</v>
      </c>
      <c r="D2735">
        <v>2501199</v>
      </c>
      <c r="E2735" t="s">
        <v>729</v>
      </c>
      <c r="F2735" s="5">
        <v>200</v>
      </c>
    </row>
    <row r="2736" spans="1:6" hidden="1">
      <c r="A2736" t="s">
        <v>2887</v>
      </c>
      <c r="B2736" t="s">
        <v>2888</v>
      </c>
      <c r="C2736">
        <v>76142698</v>
      </c>
      <c r="D2736" t="s">
        <v>438</v>
      </c>
      <c r="E2736" t="s">
        <v>39</v>
      </c>
      <c r="F2736" s="5">
        <v>600</v>
      </c>
    </row>
    <row r="2737" spans="1:6">
      <c r="A2737" t="s">
        <v>2887</v>
      </c>
      <c r="B2737" t="s">
        <v>2888</v>
      </c>
      <c r="C2737">
        <v>76142698</v>
      </c>
      <c r="D2737" t="s">
        <v>438</v>
      </c>
      <c r="E2737" t="s">
        <v>729</v>
      </c>
      <c r="F2737" s="5">
        <v>200</v>
      </c>
    </row>
    <row r="2738" spans="1:6" hidden="1">
      <c r="A2738" t="s">
        <v>1681</v>
      </c>
      <c r="B2738" t="s">
        <v>1682</v>
      </c>
      <c r="C2738">
        <v>9800181</v>
      </c>
      <c r="D2738" t="s">
        <v>438</v>
      </c>
      <c r="E2738" t="s">
        <v>39</v>
      </c>
      <c r="F2738" s="5">
        <v>600</v>
      </c>
    </row>
    <row r="2739" spans="1:6">
      <c r="A2739" t="s">
        <v>1681</v>
      </c>
      <c r="B2739" t="s">
        <v>1682</v>
      </c>
      <c r="C2739">
        <v>9800181</v>
      </c>
      <c r="D2739" t="s">
        <v>438</v>
      </c>
      <c r="E2739" t="s">
        <v>729</v>
      </c>
      <c r="F2739" s="5">
        <v>200</v>
      </c>
    </row>
    <row r="2740" spans="1:6" hidden="1">
      <c r="A2740" t="s">
        <v>3567</v>
      </c>
      <c r="B2740" t="s">
        <v>3568</v>
      </c>
      <c r="C2740">
        <v>76210436</v>
      </c>
      <c r="D2740" t="s">
        <v>438</v>
      </c>
      <c r="E2740" t="s">
        <v>39</v>
      </c>
      <c r="F2740" s="5">
        <v>600</v>
      </c>
    </row>
    <row r="2741" spans="1:6">
      <c r="A2741" t="s">
        <v>3567</v>
      </c>
      <c r="B2741" t="s">
        <v>3568</v>
      </c>
      <c r="C2741">
        <v>76210436</v>
      </c>
      <c r="D2741" t="s">
        <v>438</v>
      </c>
      <c r="E2741" t="s">
        <v>729</v>
      </c>
      <c r="F2741" s="5">
        <v>200</v>
      </c>
    </row>
    <row r="2742" spans="1:6" hidden="1">
      <c r="A2742" t="s">
        <v>3309</v>
      </c>
      <c r="B2742" t="s">
        <v>3310</v>
      </c>
      <c r="C2742">
        <v>76195237</v>
      </c>
      <c r="D2742" t="s">
        <v>438</v>
      </c>
      <c r="E2742" t="s">
        <v>39</v>
      </c>
      <c r="F2742" s="5">
        <v>600</v>
      </c>
    </row>
    <row r="2743" spans="1:6">
      <c r="A2743" t="s">
        <v>3309</v>
      </c>
      <c r="B2743" t="s">
        <v>3310</v>
      </c>
      <c r="C2743">
        <v>76195237</v>
      </c>
      <c r="D2743" t="s">
        <v>438</v>
      </c>
      <c r="E2743" t="s">
        <v>729</v>
      </c>
      <c r="F2743" s="5">
        <v>200</v>
      </c>
    </row>
    <row r="2744" spans="1:6" hidden="1">
      <c r="A2744" t="s">
        <v>3317</v>
      </c>
      <c r="B2744" t="s">
        <v>3318</v>
      </c>
      <c r="C2744">
        <v>76195599</v>
      </c>
      <c r="D2744" t="s">
        <v>438</v>
      </c>
      <c r="E2744" t="s">
        <v>39</v>
      </c>
      <c r="F2744" s="5">
        <v>600</v>
      </c>
    </row>
    <row r="2745" spans="1:6">
      <c r="A2745" t="s">
        <v>3317</v>
      </c>
      <c r="B2745" t="s">
        <v>3318</v>
      </c>
      <c r="C2745">
        <v>76195599</v>
      </c>
      <c r="D2745" t="s">
        <v>438</v>
      </c>
      <c r="E2745" t="s">
        <v>729</v>
      </c>
      <c r="F2745" s="5">
        <v>200</v>
      </c>
    </row>
    <row r="2746" spans="1:6" hidden="1">
      <c r="A2746" t="s">
        <v>2408</v>
      </c>
      <c r="B2746" t="s">
        <v>2409</v>
      </c>
      <c r="C2746">
        <v>76032341</v>
      </c>
      <c r="D2746" t="s">
        <v>438</v>
      </c>
      <c r="E2746" t="s">
        <v>39</v>
      </c>
      <c r="F2746" s="5">
        <v>600</v>
      </c>
    </row>
    <row r="2747" spans="1:6">
      <c r="A2747" t="s">
        <v>2408</v>
      </c>
      <c r="B2747" t="s">
        <v>2409</v>
      </c>
      <c r="C2747">
        <v>76032341</v>
      </c>
      <c r="D2747" t="s">
        <v>438</v>
      </c>
      <c r="E2747" t="s">
        <v>729</v>
      </c>
      <c r="F2747" s="5">
        <v>200</v>
      </c>
    </row>
    <row r="2748" spans="1:6" hidden="1">
      <c r="A2748" t="s">
        <v>3307</v>
      </c>
      <c r="B2748" t="s">
        <v>3308</v>
      </c>
      <c r="C2748">
        <v>76195231</v>
      </c>
      <c r="D2748" t="s">
        <v>438</v>
      </c>
      <c r="E2748" t="s">
        <v>39</v>
      </c>
      <c r="F2748" s="5">
        <v>600</v>
      </c>
    </row>
    <row r="2749" spans="1:6">
      <c r="A2749" t="s">
        <v>3307</v>
      </c>
      <c r="B2749" t="s">
        <v>3308</v>
      </c>
      <c r="C2749">
        <v>76195231</v>
      </c>
      <c r="D2749" t="s">
        <v>438</v>
      </c>
      <c r="E2749" t="s">
        <v>729</v>
      </c>
      <c r="F2749" s="5">
        <v>200</v>
      </c>
    </row>
    <row r="2750" spans="1:6" hidden="1">
      <c r="A2750" t="s">
        <v>1621</v>
      </c>
      <c r="B2750" t="s">
        <v>1622</v>
      </c>
      <c r="C2750">
        <v>5700175</v>
      </c>
      <c r="D2750">
        <v>9018</v>
      </c>
      <c r="E2750" t="s">
        <v>39</v>
      </c>
      <c r="F2750" s="5">
        <v>300</v>
      </c>
    </row>
    <row r="2751" spans="1:6">
      <c r="A2751" t="s">
        <v>1621</v>
      </c>
      <c r="B2751" t="s">
        <v>1622</v>
      </c>
      <c r="C2751">
        <v>5700175</v>
      </c>
      <c r="D2751">
        <v>9018</v>
      </c>
      <c r="E2751" t="s">
        <v>729</v>
      </c>
      <c r="F2751" s="5">
        <v>200</v>
      </c>
    </row>
    <row r="2752" spans="1:6" hidden="1">
      <c r="A2752" t="s">
        <v>2819</v>
      </c>
      <c r="B2752" t="s">
        <v>2820</v>
      </c>
      <c r="C2752">
        <v>76087938</v>
      </c>
      <c r="D2752">
        <v>2500216</v>
      </c>
      <c r="E2752" t="s">
        <v>39</v>
      </c>
      <c r="F2752" s="5">
        <v>450</v>
      </c>
    </row>
    <row r="2753" spans="1:6">
      <c r="A2753" t="s">
        <v>2819</v>
      </c>
      <c r="B2753" t="s">
        <v>2820</v>
      </c>
      <c r="C2753">
        <v>76087938</v>
      </c>
      <c r="D2753">
        <v>2500216</v>
      </c>
      <c r="E2753" t="s">
        <v>729</v>
      </c>
      <c r="F2753" s="5">
        <v>200</v>
      </c>
    </row>
    <row r="2754" spans="1:6" hidden="1">
      <c r="A2754" t="s">
        <v>4462</v>
      </c>
      <c r="B2754" t="s">
        <v>4463</v>
      </c>
      <c r="C2754">
        <v>76250896</v>
      </c>
      <c r="D2754">
        <v>2503422</v>
      </c>
      <c r="E2754" t="s">
        <v>39</v>
      </c>
      <c r="F2754" s="5">
        <v>300</v>
      </c>
    </row>
    <row r="2755" spans="1:6">
      <c r="A2755" t="s">
        <v>4462</v>
      </c>
      <c r="B2755" t="s">
        <v>4463</v>
      </c>
      <c r="C2755">
        <v>76250896</v>
      </c>
      <c r="D2755">
        <v>2503422</v>
      </c>
      <c r="E2755" t="s">
        <v>729</v>
      </c>
      <c r="F2755" s="5">
        <v>200</v>
      </c>
    </row>
    <row r="2756" spans="1:6" hidden="1">
      <c r="A2756" t="s">
        <v>1707</v>
      </c>
      <c r="B2756" t="s">
        <v>1708</v>
      </c>
      <c r="C2756">
        <v>13376401</v>
      </c>
      <c r="D2756">
        <v>2503165</v>
      </c>
      <c r="E2756" t="s">
        <v>39</v>
      </c>
      <c r="F2756" s="5">
        <v>400</v>
      </c>
    </row>
    <row r="2757" spans="1:6">
      <c r="A2757" t="s">
        <v>1707</v>
      </c>
      <c r="B2757" t="s">
        <v>1708</v>
      </c>
      <c r="C2757">
        <v>13376401</v>
      </c>
      <c r="D2757">
        <v>2503165</v>
      </c>
      <c r="E2757" t="s">
        <v>729</v>
      </c>
      <c r="F2757" s="5">
        <v>200</v>
      </c>
    </row>
    <row r="2758" spans="1:6" hidden="1">
      <c r="A2758" t="s">
        <v>4180</v>
      </c>
      <c r="B2758" t="s">
        <v>4181</v>
      </c>
      <c r="C2758">
        <v>76233633</v>
      </c>
      <c r="D2758">
        <v>2502788</v>
      </c>
      <c r="E2758" t="s">
        <v>39</v>
      </c>
      <c r="F2758" s="5">
        <v>300</v>
      </c>
    </row>
    <row r="2759" spans="1:6">
      <c r="A2759" t="s">
        <v>4180</v>
      </c>
      <c r="B2759" t="s">
        <v>4181</v>
      </c>
      <c r="C2759">
        <v>76233633</v>
      </c>
      <c r="D2759">
        <v>2502788</v>
      </c>
      <c r="E2759" t="s">
        <v>729</v>
      </c>
      <c r="F2759" s="5">
        <v>200</v>
      </c>
    </row>
    <row r="2760" spans="1:6" hidden="1">
      <c r="A2760" t="s">
        <v>4178</v>
      </c>
      <c r="B2760" t="s">
        <v>4179</v>
      </c>
      <c r="C2760">
        <v>76233631</v>
      </c>
      <c r="D2760">
        <v>2502802</v>
      </c>
      <c r="E2760" t="s">
        <v>39</v>
      </c>
      <c r="F2760" s="5">
        <v>300</v>
      </c>
    </row>
    <row r="2761" spans="1:6">
      <c r="A2761" t="s">
        <v>4178</v>
      </c>
      <c r="B2761" t="s">
        <v>4179</v>
      </c>
      <c r="C2761">
        <v>76233631</v>
      </c>
      <c r="D2761">
        <v>2502802</v>
      </c>
      <c r="E2761" t="s">
        <v>729</v>
      </c>
      <c r="F2761" s="5">
        <v>200</v>
      </c>
    </row>
    <row r="2762" spans="1:6" hidden="1">
      <c r="A2762" t="s">
        <v>3341</v>
      </c>
      <c r="B2762" t="s">
        <v>3342</v>
      </c>
      <c r="C2762">
        <v>76200805</v>
      </c>
      <c r="D2762">
        <v>2500464</v>
      </c>
      <c r="E2762" t="s">
        <v>39</v>
      </c>
      <c r="F2762" s="5">
        <v>300</v>
      </c>
    </row>
    <row r="2763" spans="1:6">
      <c r="A2763" t="s">
        <v>3341</v>
      </c>
      <c r="B2763" t="s">
        <v>3342</v>
      </c>
      <c r="C2763">
        <v>76200805</v>
      </c>
      <c r="D2763">
        <v>2500464</v>
      </c>
      <c r="E2763" t="s">
        <v>729</v>
      </c>
      <c r="F2763" s="5">
        <v>200</v>
      </c>
    </row>
    <row r="2764" spans="1:6" hidden="1">
      <c r="A2764" t="s">
        <v>3027</v>
      </c>
      <c r="B2764" t="s">
        <v>3028</v>
      </c>
      <c r="C2764">
        <v>76160283</v>
      </c>
      <c r="D2764">
        <v>2503043</v>
      </c>
      <c r="E2764" t="s">
        <v>39</v>
      </c>
      <c r="F2764" s="5">
        <v>300</v>
      </c>
    </row>
    <row r="2765" spans="1:6">
      <c r="A2765" t="s">
        <v>3027</v>
      </c>
      <c r="B2765" t="s">
        <v>3028</v>
      </c>
      <c r="C2765">
        <v>76160283</v>
      </c>
      <c r="D2765">
        <v>2503043</v>
      </c>
      <c r="E2765" t="s">
        <v>729</v>
      </c>
      <c r="F2765" s="5">
        <v>200</v>
      </c>
    </row>
    <row r="2766" spans="1:6" hidden="1">
      <c r="A2766" t="s">
        <v>4420</v>
      </c>
      <c r="B2766" t="s">
        <v>4421</v>
      </c>
      <c r="C2766">
        <v>76246239</v>
      </c>
      <c r="D2766">
        <v>2003109</v>
      </c>
      <c r="E2766" t="s">
        <v>39</v>
      </c>
      <c r="F2766" s="5">
        <v>400</v>
      </c>
    </row>
    <row r="2767" spans="1:6">
      <c r="A2767" t="s">
        <v>4420</v>
      </c>
      <c r="B2767" t="s">
        <v>4421</v>
      </c>
      <c r="C2767">
        <v>76246239</v>
      </c>
      <c r="D2767">
        <v>2003109</v>
      </c>
      <c r="E2767" t="s">
        <v>729</v>
      </c>
      <c r="F2767" s="5">
        <v>200</v>
      </c>
    </row>
    <row r="2768" spans="1:6" hidden="1">
      <c r="A2768" t="s">
        <v>132</v>
      </c>
      <c r="B2768" t="s">
        <v>133</v>
      </c>
      <c r="C2768">
        <v>76217358</v>
      </c>
      <c r="D2768">
        <v>3000423</v>
      </c>
      <c r="E2768" t="s">
        <v>39</v>
      </c>
      <c r="F2768" s="5">
        <v>400</v>
      </c>
    </row>
    <row r="2769" spans="1:6">
      <c r="A2769" t="s">
        <v>132</v>
      </c>
      <c r="B2769" t="s">
        <v>133</v>
      </c>
      <c r="C2769">
        <v>76217358</v>
      </c>
      <c r="D2769">
        <v>3000423</v>
      </c>
      <c r="E2769" t="s">
        <v>729</v>
      </c>
      <c r="F2769" s="5">
        <v>200</v>
      </c>
    </row>
    <row r="2770" spans="1:6" hidden="1">
      <c r="A2770" t="s">
        <v>2627</v>
      </c>
      <c r="B2770" t="s">
        <v>2628</v>
      </c>
      <c r="C2770">
        <v>76060191</v>
      </c>
      <c r="D2770">
        <v>5096</v>
      </c>
      <c r="E2770" t="s">
        <v>39</v>
      </c>
      <c r="F2770" s="5">
        <v>300</v>
      </c>
    </row>
    <row r="2771" spans="1:6">
      <c r="A2771" t="s">
        <v>2627</v>
      </c>
      <c r="B2771" t="s">
        <v>2628</v>
      </c>
      <c r="C2771">
        <v>76060191</v>
      </c>
      <c r="D2771">
        <v>5096</v>
      </c>
      <c r="E2771" t="s">
        <v>729</v>
      </c>
      <c r="F2771" s="5">
        <v>200</v>
      </c>
    </row>
    <row r="2772" spans="1:6" hidden="1">
      <c r="A2772" t="s">
        <v>1781</v>
      </c>
      <c r="B2772" t="s">
        <v>1782</v>
      </c>
      <c r="C2772">
        <v>17315021</v>
      </c>
      <c r="D2772">
        <v>5095</v>
      </c>
      <c r="E2772" t="s">
        <v>39</v>
      </c>
      <c r="F2772" s="5">
        <v>300</v>
      </c>
    </row>
    <row r="2773" spans="1:6">
      <c r="A2773" t="s">
        <v>1781</v>
      </c>
      <c r="B2773" t="s">
        <v>1782</v>
      </c>
      <c r="C2773">
        <v>17315021</v>
      </c>
      <c r="D2773">
        <v>5095</v>
      </c>
      <c r="E2773" t="s">
        <v>729</v>
      </c>
      <c r="F2773" s="5">
        <v>200</v>
      </c>
    </row>
    <row r="2774" spans="1:6" hidden="1">
      <c r="A2774" t="s">
        <v>2625</v>
      </c>
      <c r="B2774" t="s">
        <v>2626</v>
      </c>
      <c r="C2774">
        <v>76060190</v>
      </c>
      <c r="D2774">
        <v>5112</v>
      </c>
      <c r="E2774" t="s">
        <v>39</v>
      </c>
      <c r="F2774" s="5">
        <v>300</v>
      </c>
    </row>
    <row r="2775" spans="1:6">
      <c r="A2775" t="s">
        <v>2625</v>
      </c>
      <c r="B2775" t="s">
        <v>2626</v>
      </c>
      <c r="C2775">
        <v>76060190</v>
      </c>
      <c r="D2775">
        <v>5112</v>
      </c>
      <c r="E2775" t="s">
        <v>729</v>
      </c>
      <c r="F2775" s="5">
        <v>200</v>
      </c>
    </row>
    <row r="2776" spans="1:6" hidden="1">
      <c r="A2776" t="s">
        <v>4376</v>
      </c>
      <c r="B2776" t="s">
        <v>4377</v>
      </c>
      <c r="C2776">
        <v>76243022</v>
      </c>
      <c r="D2776">
        <v>3002003</v>
      </c>
      <c r="E2776" t="s">
        <v>39</v>
      </c>
      <c r="F2776" s="5">
        <v>300</v>
      </c>
    </row>
    <row r="2777" spans="1:6">
      <c r="A2777" t="s">
        <v>4376</v>
      </c>
      <c r="B2777" t="s">
        <v>4377</v>
      </c>
      <c r="C2777">
        <v>76243022</v>
      </c>
      <c r="D2777">
        <v>3002003</v>
      </c>
      <c r="E2777" t="s">
        <v>729</v>
      </c>
      <c r="F2777" s="5">
        <v>200</v>
      </c>
    </row>
    <row r="2778" spans="1:6" hidden="1">
      <c r="A2778" t="s">
        <v>3743</v>
      </c>
      <c r="B2778" t="s">
        <v>3744</v>
      </c>
      <c r="C2778">
        <v>76219578</v>
      </c>
      <c r="D2778">
        <v>2503251</v>
      </c>
      <c r="E2778" t="s">
        <v>39</v>
      </c>
      <c r="F2778" s="5">
        <v>300</v>
      </c>
    </row>
    <row r="2779" spans="1:6">
      <c r="A2779" t="s">
        <v>3743</v>
      </c>
      <c r="B2779" t="s">
        <v>3744</v>
      </c>
      <c r="C2779">
        <v>76219578</v>
      </c>
      <c r="D2779">
        <v>2503251</v>
      </c>
      <c r="E2779" t="s">
        <v>729</v>
      </c>
      <c r="F2779" s="5">
        <v>200</v>
      </c>
    </row>
    <row r="2780" spans="1:6" hidden="1">
      <c r="A2780" t="s">
        <v>3745</v>
      </c>
      <c r="B2780" t="s">
        <v>3746</v>
      </c>
      <c r="C2780">
        <v>76219579</v>
      </c>
      <c r="D2780">
        <v>2503289</v>
      </c>
      <c r="E2780" t="s">
        <v>39</v>
      </c>
      <c r="F2780" s="5">
        <v>300</v>
      </c>
    </row>
    <row r="2781" spans="1:6">
      <c r="A2781" t="s">
        <v>3745</v>
      </c>
      <c r="B2781" t="s">
        <v>3746</v>
      </c>
      <c r="C2781">
        <v>76219579</v>
      </c>
      <c r="D2781">
        <v>2503289</v>
      </c>
      <c r="E2781" t="s">
        <v>729</v>
      </c>
      <c r="F2781" s="5">
        <v>200</v>
      </c>
    </row>
    <row r="2782" spans="1:6" hidden="1">
      <c r="A2782" t="s">
        <v>1575</v>
      </c>
      <c r="B2782" t="s">
        <v>1576</v>
      </c>
      <c r="C2782">
        <v>4508714</v>
      </c>
      <c r="D2782">
        <v>2503385</v>
      </c>
      <c r="E2782" t="s">
        <v>39</v>
      </c>
      <c r="F2782" s="5">
        <v>300</v>
      </c>
    </row>
    <row r="2783" spans="1:6">
      <c r="A2783" t="s">
        <v>1575</v>
      </c>
      <c r="B2783" t="s">
        <v>1576</v>
      </c>
      <c r="C2783">
        <v>4508714</v>
      </c>
      <c r="D2783">
        <v>2503385</v>
      </c>
      <c r="E2783" t="s">
        <v>729</v>
      </c>
      <c r="F2783" s="5">
        <v>200</v>
      </c>
    </row>
    <row r="2784" spans="1:6" hidden="1">
      <c r="A2784" t="s">
        <v>2572</v>
      </c>
      <c r="B2784" t="s">
        <v>2573</v>
      </c>
      <c r="C2784">
        <v>76055608</v>
      </c>
      <c r="D2784">
        <v>2000299</v>
      </c>
      <c r="E2784" t="s">
        <v>39</v>
      </c>
      <c r="F2784" s="5">
        <v>300</v>
      </c>
    </row>
    <row r="2785" spans="1:6">
      <c r="A2785" t="s">
        <v>2572</v>
      </c>
      <c r="B2785" t="s">
        <v>2573</v>
      </c>
      <c r="C2785">
        <v>76055608</v>
      </c>
      <c r="D2785">
        <v>2000299</v>
      </c>
      <c r="E2785" t="s">
        <v>729</v>
      </c>
      <c r="F2785" s="5">
        <v>200</v>
      </c>
    </row>
    <row r="2786" spans="1:6" hidden="1">
      <c r="A2786" t="s">
        <v>3405</v>
      </c>
      <c r="B2786" t="s">
        <v>3406</v>
      </c>
      <c r="C2786">
        <v>76205076</v>
      </c>
      <c r="D2786">
        <v>2503288</v>
      </c>
      <c r="E2786" t="s">
        <v>39</v>
      </c>
      <c r="F2786" s="5">
        <v>300</v>
      </c>
    </row>
    <row r="2787" spans="1:6">
      <c r="A2787" t="s">
        <v>3405</v>
      </c>
      <c r="B2787" t="s">
        <v>3406</v>
      </c>
      <c r="C2787">
        <v>76205076</v>
      </c>
      <c r="D2787">
        <v>2503288</v>
      </c>
      <c r="E2787" t="s">
        <v>729</v>
      </c>
      <c r="F2787" s="5">
        <v>200</v>
      </c>
    </row>
    <row r="2788" spans="1:6" hidden="1">
      <c r="A2788" t="s">
        <v>3121</v>
      </c>
      <c r="B2788" t="s">
        <v>3122</v>
      </c>
      <c r="C2788">
        <v>76170737</v>
      </c>
      <c r="D2788">
        <v>2503316</v>
      </c>
      <c r="E2788" t="s">
        <v>39</v>
      </c>
      <c r="F2788" s="5">
        <v>300</v>
      </c>
    </row>
    <row r="2789" spans="1:6">
      <c r="A2789" t="s">
        <v>3121</v>
      </c>
      <c r="B2789" t="s">
        <v>3122</v>
      </c>
      <c r="C2789">
        <v>76170737</v>
      </c>
      <c r="D2789">
        <v>2503316</v>
      </c>
      <c r="E2789" t="s">
        <v>729</v>
      </c>
      <c r="F2789" s="5">
        <v>200</v>
      </c>
    </row>
    <row r="2790" spans="1:6" hidden="1">
      <c r="A2790" t="s">
        <v>1988</v>
      </c>
      <c r="B2790" t="s">
        <v>1989</v>
      </c>
      <c r="C2790">
        <v>53385401</v>
      </c>
      <c r="D2790">
        <v>2503046</v>
      </c>
      <c r="E2790" t="s">
        <v>39</v>
      </c>
      <c r="F2790" s="5">
        <v>300</v>
      </c>
    </row>
    <row r="2791" spans="1:6">
      <c r="A2791" t="s">
        <v>1988</v>
      </c>
      <c r="B2791" t="s">
        <v>1989</v>
      </c>
      <c r="C2791">
        <v>53385401</v>
      </c>
      <c r="D2791">
        <v>2503046</v>
      </c>
      <c r="E2791" t="s">
        <v>729</v>
      </c>
      <c r="F2791" s="5">
        <v>200</v>
      </c>
    </row>
    <row r="2792" spans="1:6" hidden="1">
      <c r="A2792" t="s">
        <v>476</v>
      </c>
      <c r="B2792" t="s">
        <v>477</v>
      </c>
      <c r="C2792">
        <v>76038422</v>
      </c>
      <c r="D2792">
        <v>2500295</v>
      </c>
      <c r="E2792" t="s">
        <v>39</v>
      </c>
      <c r="F2792" s="5">
        <v>300</v>
      </c>
    </row>
    <row r="2793" spans="1:6">
      <c r="A2793" t="s">
        <v>476</v>
      </c>
      <c r="B2793" t="s">
        <v>477</v>
      </c>
      <c r="C2793">
        <v>76038422</v>
      </c>
      <c r="D2793">
        <v>2500295</v>
      </c>
      <c r="E2793" t="s">
        <v>729</v>
      </c>
      <c r="F2793" s="5">
        <v>200</v>
      </c>
    </row>
    <row r="2794" spans="1:6" hidden="1">
      <c r="A2794" t="s">
        <v>3563</v>
      </c>
      <c r="B2794" t="s">
        <v>3564</v>
      </c>
      <c r="C2794">
        <v>76210344</v>
      </c>
      <c r="D2794">
        <v>2001001</v>
      </c>
      <c r="E2794" t="s">
        <v>39</v>
      </c>
      <c r="F2794" s="5">
        <v>300</v>
      </c>
    </row>
    <row r="2795" spans="1:6">
      <c r="A2795" t="s">
        <v>3563</v>
      </c>
      <c r="B2795" t="s">
        <v>3564</v>
      </c>
      <c r="C2795">
        <v>76210344</v>
      </c>
      <c r="D2795">
        <v>2001001</v>
      </c>
      <c r="E2795" t="s">
        <v>729</v>
      </c>
      <c r="F2795" s="5">
        <v>200</v>
      </c>
    </row>
    <row r="2796" spans="1:6" hidden="1">
      <c r="A2796" t="s">
        <v>1577</v>
      </c>
      <c r="B2796" t="s">
        <v>1578</v>
      </c>
      <c r="C2796">
        <v>5021101</v>
      </c>
      <c r="D2796">
        <v>2502087</v>
      </c>
      <c r="E2796" t="s">
        <v>39</v>
      </c>
      <c r="F2796" s="5">
        <v>450</v>
      </c>
    </row>
    <row r="2797" spans="1:6">
      <c r="A2797" t="s">
        <v>1577</v>
      </c>
      <c r="B2797" t="s">
        <v>1578</v>
      </c>
      <c r="C2797">
        <v>5021101</v>
      </c>
      <c r="D2797">
        <v>2502087</v>
      </c>
      <c r="E2797" t="s">
        <v>729</v>
      </c>
      <c r="F2797" s="5">
        <v>200</v>
      </c>
    </row>
    <row r="2798" spans="1:6" hidden="1">
      <c r="A2798" t="s">
        <v>1765</v>
      </c>
      <c r="B2798" t="s">
        <v>1766</v>
      </c>
      <c r="C2798">
        <v>17093401</v>
      </c>
      <c r="D2798">
        <v>11151</v>
      </c>
      <c r="E2798" t="s">
        <v>39</v>
      </c>
      <c r="F2798" s="5">
        <v>300</v>
      </c>
    </row>
    <row r="2799" spans="1:6">
      <c r="A2799" t="s">
        <v>1765</v>
      </c>
      <c r="B2799" t="s">
        <v>1766</v>
      </c>
      <c r="C2799">
        <v>17093401</v>
      </c>
      <c r="D2799">
        <v>11151</v>
      </c>
      <c r="E2799" t="s">
        <v>729</v>
      </c>
      <c r="F2799" s="5">
        <v>200</v>
      </c>
    </row>
    <row r="2800" spans="1:6" hidden="1">
      <c r="A2800" t="s">
        <v>2901</v>
      </c>
      <c r="B2800" t="s">
        <v>2902</v>
      </c>
      <c r="C2800">
        <v>76144738</v>
      </c>
      <c r="D2800">
        <v>2000012</v>
      </c>
      <c r="E2800" t="s">
        <v>39</v>
      </c>
      <c r="F2800" s="5">
        <v>300</v>
      </c>
    </row>
    <row r="2801" spans="1:6">
      <c r="A2801" t="s">
        <v>2901</v>
      </c>
      <c r="B2801" t="s">
        <v>2902</v>
      </c>
      <c r="C2801">
        <v>76144738</v>
      </c>
      <c r="D2801">
        <v>2000012</v>
      </c>
      <c r="E2801" t="s">
        <v>729</v>
      </c>
      <c r="F2801" s="5">
        <v>200</v>
      </c>
    </row>
    <row r="2802" spans="1:6" hidden="1">
      <c r="A2802" t="s">
        <v>3243</v>
      </c>
      <c r="B2802" t="s">
        <v>3244</v>
      </c>
      <c r="C2802">
        <v>76188207</v>
      </c>
      <c r="D2802">
        <v>1500052</v>
      </c>
      <c r="E2802" t="s">
        <v>39</v>
      </c>
      <c r="F2802" s="5">
        <v>300</v>
      </c>
    </row>
    <row r="2803" spans="1:6">
      <c r="A2803" t="s">
        <v>3243</v>
      </c>
      <c r="B2803" t="s">
        <v>3244</v>
      </c>
      <c r="C2803">
        <v>76188207</v>
      </c>
      <c r="D2803">
        <v>1500052</v>
      </c>
      <c r="E2803" t="s">
        <v>729</v>
      </c>
      <c r="F2803" s="5">
        <v>200</v>
      </c>
    </row>
    <row r="2804" spans="1:6" hidden="1">
      <c r="A2804" t="s">
        <v>3909</v>
      </c>
      <c r="B2804" t="s">
        <v>3910</v>
      </c>
      <c r="C2804">
        <v>76226252</v>
      </c>
      <c r="D2804">
        <v>2002244</v>
      </c>
      <c r="E2804" t="s">
        <v>39</v>
      </c>
      <c r="F2804" s="5">
        <v>300</v>
      </c>
    </row>
    <row r="2805" spans="1:6">
      <c r="A2805" t="s">
        <v>3909</v>
      </c>
      <c r="B2805" t="s">
        <v>3910</v>
      </c>
      <c r="C2805">
        <v>76226252</v>
      </c>
      <c r="D2805">
        <v>2002244</v>
      </c>
      <c r="E2805" t="s">
        <v>729</v>
      </c>
      <c r="F2805" s="5">
        <v>200</v>
      </c>
    </row>
    <row r="2806" spans="1:6" hidden="1">
      <c r="A2806" t="s">
        <v>2909</v>
      </c>
      <c r="B2806" t="s">
        <v>2910</v>
      </c>
      <c r="C2806">
        <v>76145631</v>
      </c>
      <c r="D2806">
        <v>3001344</v>
      </c>
      <c r="E2806" t="s">
        <v>39</v>
      </c>
      <c r="F2806" s="5">
        <v>300</v>
      </c>
    </row>
    <row r="2807" spans="1:6">
      <c r="A2807" t="s">
        <v>2909</v>
      </c>
      <c r="B2807" t="s">
        <v>2910</v>
      </c>
      <c r="C2807">
        <v>76145631</v>
      </c>
      <c r="D2807">
        <v>3001344</v>
      </c>
      <c r="E2807" t="s">
        <v>729</v>
      </c>
      <c r="F2807" s="5">
        <v>200</v>
      </c>
    </row>
    <row r="2808" spans="1:6" hidden="1">
      <c r="A2808" t="s">
        <v>4446</v>
      </c>
      <c r="B2808" t="s">
        <v>4447</v>
      </c>
      <c r="C2808">
        <v>76247032</v>
      </c>
      <c r="D2808">
        <v>2002960</v>
      </c>
      <c r="E2808" t="s">
        <v>39</v>
      </c>
      <c r="F2808" s="5">
        <v>300</v>
      </c>
    </row>
    <row r="2809" spans="1:6">
      <c r="A2809" t="s">
        <v>4446</v>
      </c>
      <c r="B2809" t="s">
        <v>4447</v>
      </c>
      <c r="C2809">
        <v>76247032</v>
      </c>
      <c r="D2809">
        <v>2002960</v>
      </c>
      <c r="E2809" t="s">
        <v>729</v>
      </c>
      <c r="F2809" s="5">
        <v>200</v>
      </c>
    </row>
    <row r="2810" spans="1:6" hidden="1">
      <c r="A2810" t="s">
        <v>2895</v>
      </c>
      <c r="B2810" t="s">
        <v>2896</v>
      </c>
      <c r="C2810">
        <v>76143966</v>
      </c>
      <c r="D2810">
        <v>2000629</v>
      </c>
      <c r="E2810" t="s">
        <v>39</v>
      </c>
      <c r="F2810" s="5">
        <v>300</v>
      </c>
    </row>
    <row r="2811" spans="1:6">
      <c r="A2811" t="s">
        <v>2895</v>
      </c>
      <c r="B2811" t="s">
        <v>2896</v>
      </c>
      <c r="C2811">
        <v>76143966</v>
      </c>
      <c r="D2811">
        <v>2000629</v>
      </c>
      <c r="E2811" t="s">
        <v>729</v>
      </c>
      <c r="F2811" s="5">
        <v>200</v>
      </c>
    </row>
    <row r="2812" spans="1:6" hidden="1">
      <c r="A2812" t="s">
        <v>2893</v>
      </c>
      <c r="B2812" t="s">
        <v>2894</v>
      </c>
      <c r="C2812">
        <v>76143961</v>
      </c>
      <c r="D2812">
        <v>2000623</v>
      </c>
      <c r="E2812" t="s">
        <v>39</v>
      </c>
      <c r="F2812" s="5">
        <v>300</v>
      </c>
    </row>
    <row r="2813" spans="1:6">
      <c r="A2813" t="s">
        <v>2893</v>
      </c>
      <c r="B2813" t="s">
        <v>2894</v>
      </c>
      <c r="C2813">
        <v>76143961</v>
      </c>
      <c r="D2813">
        <v>2000623</v>
      </c>
      <c r="E2813" t="s">
        <v>729</v>
      </c>
      <c r="F2813" s="5">
        <v>200</v>
      </c>
    </row>
    <row r="2814" spans="1:6" hidden="1">
      <c r="A2814" t="s">
        <v>3569</v>
      </c>
      <c r="B2814" t="s">
        <v>3570</v>
      </c>
      <c r="C2814">
        <v>76210624</v>
      </c>
      <c r="D2814">
        <v>0</v>
      </c>
      <c r="E2814" t="s">
        <v>39</v>
      </c>
      <c r="F2814" s="5">
        <v>400</v>
      </c>
    </row>
    <row r="2815" spans="1:6">
      <c r="A2815" t="s">
        <v>3569</v>
      </c>
      <c r="B2815" t="s">
        <v>3570</v>
      </c>
      <c r="C2815">
        <v>76210624</v>
      </c>
      <c r="D2815">
        <v>0</v>
      </c>
      <c r="E2815" t="s">
        <v>729</v>
      </c>
      <c r="F2815" s="5">
        <v>200</v>
      </c>
    </row>
    <row r="2816" spans="1:6" hidden="1">
      <c r="A2816" t="s">
        <v>2655</v>
      </c>
      <c r="B2816" t="s">
        <v>2656</v>
      </c>
      <c r="C2816">
        <v>76063637</v>
      </c>
      <c r="D2816">
        <v>3002376</v>
      </c>
      <c r="E2816" t="s">
        <v>39</v>
      </c>
      <c r="F2816" s="5">
        <v>400</v>
      </c>
    </row>
    <row r="2817" spans="1:6">
      <c r="A2817" t="s">
        <v>2655</v>
      </c>
      <c r="B2817" t="s">
        <v>2656</v>
      </c>
      <c r="C2817">
        <v>76063637</v>
      </c>
      <c r="D2817">
        <v>3002376</v>
      </c>
      <c r="E2817" t="s">
        <v>729</v>
      </c>
      <c r="F2817" s="5">
        <v>200</v>
      </c>
    </row>
    <row r="2818" spans="1:6" hidden="1">
      <c r="A2818" t="s">
        <v>2232</v>
      </c>
      <c r="B2818" t="s">
        <v>2233</v>
      </c>
      <c r="C2818">
        <v>71063556</v>
      </c>
      <c r="D2818">
        <v>3002308</v>
      </c>
      <c r="E2818" t="s">
        <v>39</v>
      </c>
      <c r="F2818" s="5">
        <v>400</v>
      </c>
    </row>
    <row r="2819" spans="1:6">
      <c r="A2819" t="s">
        <v>2232</v>
      </c>
      <c r="B2819" t="s">
        <v>2233</v>
      </c>
      <c r="C2819">
        <v>71063556</v>
      </c>
      <c r="D2819">
        <v>3002308</v>
      </c>
      <c r="E2819" t="s">
        <v>729</v>
      </c>
      <c r="F2819" s="5">
        <v>200</v>
      </c>
    </row>
    <row r="2820" spans="1:6" hidden="1">
      <c r="A2820" t="s">
        <v>1701</v>
      </c>
      <c r="B2820" t="s">
        <v>1702</v>
      </c>
      <c r="C2820">
        <v>13345704</v>
      </c>
      <c r="D2820">
        <v>2502475</v>
      </c>
      <c r="E2820" t="s">
        <v>39</v>
      </c>
      <c r="F2820" s="5">
        <v>450</v>
      </c>
    </row>
    <row r="2821" spans="1:6">
      <c r="A2821" t="s">
        <v>1701</v>
      </c>
      <c r="B2821" t="s">
        <v>1702</v>
      </c>
      <c r="C2821">
        <v>13345704</v>
      </c>
      <c r="D2821">
        <v>2502475</v>
      </c>
      <c r="E2821" t="s">
        <v>729</v>
      </c>
      <c r="F2821" s="5">
        <v>200</v>
      </c>
    </row>
    <row r="2822" spans="1:6" hidden="1">
      <c r="A2822" t="s">
        <v>2288</v>
      </c>
      <c r="B2822" t="s">
        <v>2289</v>
      </c>
      <c r="C2822">
        <v>76012908</v>
      </c>
      <c r="D2822">
        <v>2501565</v>
      </c>
      <c r="E2822" t="s">
        <v>39</v>
      </c>
      <c r="F2822" s="5">
        <v>450</v>
      </c>
    </row>
    <row r="2823" spans="1:6">
      <c r="A2823" t="s">
        <v>2288</v>
      </c>
      <c r="B2823" t="s">
        <v>2289</v>
      </c>
      <c r="C2823">
        <v>76012908</v>
      </c>
      <c r="D2823">
        <v>2501565</v>
      </c>
      <c r="E2823" t="s">
        <v>729</v>
      </c>
      <c r="F2823" s="5">
        <v>200</v>
      </c>
    </row>
    <row r="2824" spans="1:6" hidden="1">
      <c r="A2824" t="s">
        <v>1703</v>
      </c>
      <c r="B2824" t="s">
        <v>1704</v>
      </c>
      <c r="C2824">
        <v>13345705</v>
      </c>
      <c r="D2824">
        <v>2502512</v>
      </c>
      <c r="E2824" t="s">
        <v>39</v>
      </c>
      <c r="F2824" s="5">
        <v>450</v>
      </c>
    </row>
    <row r="2825" spans="1:6">
      <c r="A2825" t="s">
        <v>1703</v>
      </c>
      <c r="B2825" t="s">
        <v>1704</v>
      </c>
      <c r="C2825">
        <v>13345705</v>
      </c>
      <c r="D2825">
        <v>2502512</v>
      </c>
      <c r="E2825" t="s">
        <v>729</v>
      </c>
      <c r="F2825" s="5">
        <v>200</v>
      </c>
    </row>
    <row r="2826" spans="1:6" hidden="1">
      <c r="A2826" t="s">
        <v>2140</v>
      </c>
      <c r="B2826" t="s">
        <v>2141</v>
      </c>
      <c r="C2826">
        <v>71051646</v>
      </c>
      <c r="D2826">
        <v>2502437</v>
      </c>
      <c r="E2826" t="s">
        <v>39</v>
      </c>
      <c r="F2826" s="5">
        <v>300</v>
      </c>
    </row>
    <row r="2827" spans="1:6">
      <c r="A2827" t="s">
        <v>2140</v>
      </c>
      <c r="B2827" t="s">
        <v>2141</v>
      </c>
      <c r="C2827">
        <v>71051646</v>
      </c>
      <c r="D2827">
        <v>2502437</v>
      </c>
      <c r="E2827" t="s">
        <v>729</v>
      </c>
      <c r="F2827" s="5">
        <v>200</v>
      </c>
    </row>
    <row r="2828" spans="1:6" hidden="1">
      <c r="A2828" t="s">
        <v>2977</v>
      </c>
      <c r="B2828" t="s">
        <v>2978</v>
      </c>
      <c r="C2828">
        <v>76155267</v>
      </c>
      <c r="D2828">
        <v>2502467</v>
      </c>
      <c r="E2828" t="s">
        <v>39</v>
      </c>
      <c r="F2828" s="5">
        <v>300</v>
      </c>
    </row>
    <row r="2829" spans="1:6">
      <c r="A2829" t="s">
        <v>2977</v>
      </c>
      <c r="B2829" t="s">
        <v>2978</v>
      </c>
      <c r="C2829">
        <v>76155267</v>
      </c>
      <c r="D2829">
        <v>2502467</v>
      </c>
      <c r="E2829" t="s">
        <v>729</v>
      </c>
      <c r="F2829" s="5">
        <v>200</v>
      </c>
    </row>
    <row r="2830" spans="1:6" hidden="1">
      <c r="A2830" t="s">
        <v>3635</v>
      </c>
      <c r="B2830" t="s">
        <v>3636</v>
      </c>
      <c r="C2830">
        <v>76214315</v>
      </c>
      <c r="D2830">
        <v>2500107</v>
      </c>
      <c r="E2830" t="s">
        <v>39</v>
      </c>
      <c r="F2830" s="5">
        <v>450</v>
      </c>
    </row>
    <row r="2831" spans="1:6">
      <c r="A2831" t="s">
        <v>3635</v>
      </c>
      <c r="B2831" t="s">
        <v>3636</v>
      </c>
      <c r="C2831">
        <v>76214315</v>
      </c>
      <c r="D2831">
        <v>2500107</v>
      </c>
      <c r="E2831" t="s">
        <v>729</v>
      </c>
      <c r="F2831" s="5">
        <v>200</v>
      </c>
    </row>
    <row r="2832" spans="1:6" hidden="1">
      <c r="A2832" t="s">
        <v>3113</v>
      </c>
      <c r="B2832" t="s">
        <v>3114</v>
      </c>
      <c r="C2832">
        <v>76169756</v>
      </c>
      <c r="D2832">
        <v>2502448</v>
      </c>
      <c r="E2832" t="s">
        <v>39</v>
      </c>
      <c r="F2832" s="5">
        <v>300</v>
      </c>
    </row>
    <row r="2833" spans="1:6">
      <c r="A2833" t="s">
        <v>3113</v>
      </c>
      <c r="B2833" t="s">
        <v>3114</v>
      </c>
      <c r="C2833">
        <v>76169756</v>
      </c>
      <c r="D2833">
        <v>2502448</v>
      </c>
      <c r="E2833" t="s">
        <v>729</v>
      </c>
      <c r="F2833" s="5">
        <v>200</v>
      </c>
    </row>
    <row r="2834" spans="1:6" hidden="1">
      <c r="A2834" t="s">
        <v>2879</v>
      </c>
      <c r="B2834" t="s">
        <v>2880</v>
      </c>
      <c r="C2834">
        <v>76141603</v>
      </c>
      <c r="D2834">
        <v>3002374</v>
      </c>
      <c r="E2834" t="s">
        <v>39</v>
      </c>
      <c r="F2834" s="5">
        <v>400</v>
      </c>
    </row>
    <row r="2835" spans="1:6">
      <c r="A2835" t="s">
        <v>2879</v>
      </c>
      <c r="B2835" t="s">
        <v>2880</v>
      </c>
      <c r="C2835">
        <v>76141603</v>
      </c>
      <c r="D2835">
        <v>3002374</v>
      </c>
      <c r="E2835" t="s">
        <v>729</v>
      </c>
      <c r="F2835" s="5">
        <v>200</v>
      </c>
    </row>
    <row r="2836" spans="1:6" hidden="1">
      <c r="A2836" t="s">
        <v>2921</v>
      </c>
      <c r="B2836" t="s">
        <v>2922</v>
      </c>
      <c r="C2836">
        <v>76148582</v>
      </c>
      <c r="D2836">
        <v>2502462</v>
      </c>
      <c r="E2836" t="s">
        <v>39</v>
      </c>
      <c r="F2836" s="5">
        <v>450</v>
      </c>
    </row>
    <row r="2837" spans="1:6">
      <c r="A2837" t="s">
        <v>2921</v>
      </c>
      <c r="B2837" t="s">
        <v>2922</v>
      </c>
      <c r="C2837">
        <v>76148582</v>
      </c>
      <c r="D2837">
        <v>2502462</v>
      </c>
      <c r="E2837" t="s">
        <v>729</v>
      </c>
      <c r="F2837" s="5">
        <v>200</v>
      </c>
    </row>
    <row r="2838" spans="1:6" hidden="1">
      <c r="A2838" t="s">
        <v>3327</v>
      </c>
      <c r="B2838" t="s">
        <v>3328</v>
      </c>
      <c r="C2838">
        <v>76197237</v>
      </c>
      <c r="D2838">
        <v>2502462</v>
      </c>
      <c r="E2838" t="s">
        <v>39</v>
      </c>
      <c r="F2838" s="5">
        <v>400</v>
      </c>
    </row>
    <row r="2839" spans="1:6">
      <c r="A2839" t="s">
        <v>3327</v>
      </c>
      <c r="B2839" t="s">
        <v>3328</v>
      </c>
      <c r="C2839">
        <v>76197237</v>
      </c>
      <c r="D2839">
        <v>2502462</v>
      </c>
      <c r="E2839" t="s">
        <v>729</v>
      </c>
      <c r="F2839" s="5">
        <v>200</v>
      </c>
    </row>
    <row r="2840" spans="1:6" hidden="1">
      <c r="A2840" t="s">
        <v>1705</v>
      </c>
      <c r="B2840" t="s">
        <v>1706</v>
      </c>
      <c r="C2840">
        <v>13345710</v>
      </c>
      <c r="D2840">
        <v>2502454</v>
      </c>
      <c r="E2840" t="s">
        <v>39</v>
      </c>
      <c r="F2840" s="5">
        <v>450</v>
      </c>
    </row>
    <row r="2841" spans="1:6">
      <c r="A2841" t="s">
        <v>1705</v>
      </c>
      <c r="B2841" t="s">
        <v>1706</v>
      </c>
      <c r="C2841">
        <v>13345710</v>
      </c>
      <c r="D2841">
        <v>2502454</v>
      </c>
      <c r="E2841" t="s">
        <v>729</v>
      </c>
      <c r="F2841" s="5">
        <v>200</v>
      </c>
    </row>
    <row r="2842" spans="1:6" hidden="1">
      <c r="A2842" t="s">
        <v>412</v>
      </c>
      <c r="B2842" t="s">
        <v>413</v>
      </c>
      <c r="C2842">
        <v>25111201</v>
      </c>
      <c r="D2842">
        <v>2502986</v>
      </c>
      <c r="E2842" t="s">
        <v>39</v>
      </c>
      <c r="F2842" s="5">
        <v>300</v>
      </c>
    </row>
    <row r="2843" spans="1:6">
      <c r="A2843" t="s">
        <v>412</v>
      </c>
      <c r="B2843" t="s">
        <v>413</v>
      </c>
      <c r="C2843">
        <v>25111201</v>
      </c>
      <c r="D2843">
        <v>2502986</v>
      </c>
      <c r="E2843" t="s">
        <v>729</v>
      </c>
      <c r="F2843" s="5">
        <v>200</v>
      </c>
    </row>
    <row r="2844" spans="1:6" hidden="1">
      <c r="A2844" t="s">
        <v>3125</v>
      </c>
      <c r="B2844" t="s">
        <v>3126</v>
      </c>
      <c r="C2844">
        <v>76171174</v>
      </c>
      <c r="D2844">
        <v>2000092</v>
      </c>
      <c r="E2844" t="s">
        <v>39</v>
      </c>
      <c r="F2844" s="5">
        <v>300</v>
      </c>
    </row>
    <row r="2845" spans="1:6">
      <c r="A2845" t="s">
        <v>3125</v>
      </c>
      <c r="B2845" t="s">
        <v>3126</v>
      </c>
      <c r="C2845">
        <v>76171174</v>
      </c>
      <c r="D2845">
        <v>2000092</v>
      </c>
      <c r="E2845" t="s">
        <v>729</v>
      </c>
      <c r="F2845" s="5">
        <v>200</v>
      </c>
    </row>
    <row r="2846" spans="1:6" hidden="1">
      <c r="A2846" t="s">
        <v>2248</v>
      </c>
      <c r="B2846" t="s">
        <v>2249</v>
      </c>
      <c r="C2846">
        <v>71064683</v>
      </c>
      <c r="D2846">
        <v>2501580</v>
      </c>
      <c r="E2846" t="s">
        <v>39</v>
      </c>
      <c r="F2846" s="5">
        <v>300</v>
      </c>
    </row>
    <row r="2847" spans="1:6">
      <c r="A2847" t="s">
        <v>2248</v>
      </c>
      <c r="B2847" t="s">
        <v>2249</v>
      </c>
      <c r="C2847">
        <v>71064683</v>
      </c>
      <c r="D2847">
        <v>2501580</v>
      </c>
      <c r="E2847" t="s">
        <v>729</v>
      </c>
      <c r="F2847" s="5">
        <v>200</v>
      </c>
    </row>
    <row r="2848" spans="1:6" hidden="1">
      <c r="A2848" t="s">
        <v>2635</v>
      </c>
      <c r="B2848" t="s">
        <v>2636</v>
      </c>
      <c r="C2848">
        <v>76060769</v>
      </c>
      <c r="D2848">
        <v>2501573</v>
      </c>
      <c r="E2848" t="s">
        <v>39</v>
      </c>
      <c r="F2848" s="5">
        <v>300</v>
      </c>
    </row>
    <row r="2849" spans="1:6">
      <c r="A2849" t="s">
        <v>2635</v>
      </c>
      <c r="B2849" t="s">
        <v>2636</v>
      </c>
      <c r="C2849">
        <v>76060769</v>
      </c>
      <c r="D2849">
        <v>2501573</v>
      </c>
      <c r="E2849" t="s">
        <v>729</v>
      </c>
      <c r="F2849" s="5">
        <v>200</v>
      </c>
    </row>
    <row r="2850" spans="1:6" hidden="1">
      <c r="A2850" t="s">
        <v>2993</v>
      </c>
      <c r="B2850" t="s">
        <v>2994</v>
      </c>
      <c r="C2850">
        <v>76157649</v>
      </c>
      <c r="D2850">
        <v>2501566</v>
      </c>
      <c r="E2850" t="s">
        <v>39</v>
      </c>
      <c r="F2850" s="5">
        <v>450</v>
      </c>
    </row>
    <row r="2851" spans="1:6">
      <c r="A2851" t="s">
        <v>2993</v>
      </c>
      <c r="B2851" t="s">
        <v>2994</v>
      </c>
      <c r="C2851">
        <v>76157649</v>
      </c>
      <c r="D2851">
        <v>2501566</v>
      </c>
      <c r="E2851" t="s">
        <v>729</v>
      </c>
      <c r="F2851" s="5">
        <v>200</v>
      </c>
    </row>
    <row r="2852" spans="1:6" hidden="1">
      <c r="A2852" t="s">
        <v>2739</v>
      </c>
      <c r="B2852" t="s">
        <v>2740</v>
      </c>
      <c r="C2852">
        <v>76071552</v>
      </c>
      <c r="D2852">
        <v>6139</v>
      </c>
      <c r="E2852" t="s">
        <v>39</v>
      </c>
      <c r="F2852" s="5">
        <v>300</v>
      </c>
    </row>
    <row r="2853" spans="1:6">
      <c r="A2853" t="s">
        <v>2739</v>
      </c>
      <c r="B2853" t="s">
        <v>2740</v>
      </c>
      <c r="C2853">
        <v>76071552</v>
      </c>
      <c r="D2853">
        <v>6139</v>
      </c>
      <c r="E2853" t="s">
        <v>729</v>
      </c>
      <c r="F2853" s="5">
        <v>200</v>
      </c>
    </row>
    <row r="2854" spans="1:6" hidden="1">
      <c r="A2854" t="s">
        <v>921</v>
      </c>
      <c r="B2854" t="s">
        <v>1341</v>
      </c>
      <c r="C2854">
        <v>76204181</v>
      </c>
      <c r="D2854">
        <v>2001785</v>
      </c>
      <c r="E2854" t="s">
        <v>39</v>
      </c>
      <c r="F2854" s="5">
        <v>300</v>
      </c>
    </row>
    <row r="2855" spans="1:6">
      <c r="A2855" t="s">
        <v>921</v>
      </c>
      <c r="B2855" t="s">
        <v>1341</v>
      </c>
      <c r="C2855">
        <v>76204181</v>
      </c>
      <c r="D2855">
        <v>2001785</v>
      </c>
      <c r="E2855" t="s">
        <v>729</v>
      </c>
      <c r="F2855" s="5">
        <v>200</v>
      </c>
    </row>
    <row r="2856" spans="1:6" hidden="1">
      <c r="A2856" t="s">
        <v>117</v>
      </c>
      <c r="B2856" t="s">
        <v>118</v>
      </c>
      <c r="C2856">
        <v>76204182</v>
      </c>
      <c r="D2856">
        <v>2001776</v>
      </c>
      <c r="E2856" t="s">
        <v>39</v>
      </c>
      <c r="F2856" s="5">
        <v>300</v>
      </c>
    </row>
    <row r="2857" spans="1:6">
      <c r="A2857" t="s">
        <v>117</v>
      </c>
      <c r="B2857" t="s">
        <v>118</v>
      </c>
      <c r="C2857">
        <v>76204182</v>
      </c>
      <c r="D2857">
        <v>2001776</v>
      </c>
      <c r="E2857" t="s">
        <v>729</v>
      </c>
      <c r="F2857" s="5">
        <v>200</v>
      </c>
    </row>
    <row r="2858" spans="1:6" hidden="1">
      <c r="A2858" t="s">
        <v>3393</v>
      </c>
      <c r="B2858" t="s">
        <v>3394</v>
      </c>
      <c r="C2858">
        <v>76204183</v>
      </c>
      <c r="D2858">
        <v>2003105</v>
      </c>
      <c r="E2858" t="s">
        <v>39</v>
      </c>
      <c r="F2858" s="5">
        <v>300</v>
      </c>
    </row>
    <row r="2859" spans="1:6">
      <c r="A2859" t="s">
        <v>3393</v>
      </c>
      <c r="B2859" t="s">
        <v>3394</v>
      </c>
      <c r="C2859">
        <v>76204183</v>
      </c>
      <c r="D2859">
        <v>2003105</v>
      </c>
      <c r="E2859" t="s">
        <v>729</v>
      </c>
      <c r="F2859" s="5">
        <v>200</v>
      </c>
    </row>
    <row r="2860" spans="1:6" hidden="1">
      <c r="A2860" t="s">
        <v>1272</v>
      </c>
      <c r="B2860" t="s">
        <v>1350</v>
      </c>
      <c r="C2860">
        <v>76209246</v>
      </c>
      <c r="D2860">
        <v>2002024</v>
      </c>
      <c r="E2860" t="s">
        <v>39</v>
      </c>
      <c r="F2860" s="5">
        <v>300</v>
      </c>
    </row>
    <row r="2861" spans="1:6">
      <c r="A2861" t="s">
        <v>1272</v>
      </c>
      <c r="B2861" t="s">
        <v>1350</v>
      </c>
      <c r="C2861">
        <v>76209246</v>
      </c>
      <c r="D2861">
        <v>2002024</v>
      </c>
      <c r="E2861" t="s">
        <v>729</v>
      </c>
      <c r="F2861" s="5">
        <v>200</v>
      </c>
    </row>
    <row r="2862" spans="1:6" hidden="1">
      <c r="A2862" t="s">
        <v>1567</v>
      </c>
      <c r="B2862" t="s">
        <v>1568</v>
      </c>
      <c r="C2862">
        <v>1326804</v>
      </c>
      <c r="D2862">
        <v>4138</v>
      </c>
      <c r="E2862" t="s">
        <v>39</v>
      </c>
      <c r="F2862" s="5">
        <v>300</v>
      </c>
    </row>
    <row r="2863" spans="1:6">
      <c r="A2863" t="s">
        <v>1567</v>
      </c>
      <c r="B2863" t="s">
        <v>1568</v>
      </c>
      <c r="C2863">
        <v>1326804</v>
      </c>
      <c r="D2863">
        <v>4138</v>
      </c>
      <c r="E2863" t="s">
        <v>729</v>
      </c>
      <c r="F2863" s="5">
        <v>200</v>
      </c>
    </row>
    <row r="2864" spans="1:6" hidden="1">
      <c r="A2864" t="s">
        <v>2238</v>
      </c>
      <c r="B2864" t="s">
        <v>2239</v>
      </c>
      <c r="C2864">
        <v>71064371</v>
      </c>
      <c r="D2864">
        <v>2501135</v>
      </c>
      <c r="E2864" t="s">
        <v>39</v>
      </c>
      <c r="F2864" s="5">
        <v>450</v>
      </c>
    </row>
    <row r="2865" spans="1:6">
      <c r="A2865" t="s">
        <v>2238</v>
      </c>
      <c r="B2865" t="s">
        <v>2239</v>
      </c>
      <c r="C2865">
        <v>71064371</v>
      </c>
      <c r="D2865">
        <v>2501135</v>
      </c>
      <c r="E2865" t="s">
        <v>729</v>
      </c>
      <c r="F2865" s="5">
        <v>200</v>
      </c>
    </row>
    <row r="2866" spans="1:6" hidden="1">
      <c r="A2866" t="s">
        <v>2206</v>
      </c>
      <c r="B2866" t="s">
        <v>2207</v>
      </c>
      <c r="C2866">
        <v>71061176</v>
      </c>
      <c r="D2866">
        <v>2000519</v>
      </c>
      <c r="E2866" t="s">
        <v>39</v>
      </c>
      <c r="F2866" s="5">
        <v>450</v>
      </c>
    </row>
    <row r="2867" spans="1:6">
      <c r="A2867" t="s">
        <v>2206</v>
      </c>
      <c r="B2867" t="s">
        <v>2207</v>
      </c>
      <c r="C2867">
        <v>71061176</v>
      </c>
      <c r="D2867">
        <v>2000519</v>
      </c>
      <c r="E2867" t="s">
        <v>729</v>
      </c>
      <c r="F2867" s="5">
        <v>200</v>
      </c>
    </row>
    <row r="2868" spans="1:6" hidden="1">
      <c r="A2868" t="s">
        <v>2456</v>
      </c>
      <c r="B2868" t="s">
        <v>2457</v>
      </c>
      <c r="C2868">
        <v>76037938</v>
      </c>
      <c r="D2868">
        <v>2000196</v>
      </c>
      <c r="E2868" t="s">
        <v>39</v>
      </c>
      <c r="F2868" s="5">
        <v>450</v>
      </c>
    </row>
    <row r="2869" spans="1:6">
      <c r="A2869" t="s">
        <v>2456</v>
      </c>
      <c r="B2869" t="s">
        <v>2457</v>
      </c>
      <c r="C2869">
        <v>76037938</v>
      </c>
      <c r="D2869">
        <v>2000196</v>
      </c>
      <c r="E2869" t="s">
        <v>729</v>
      </c>
      <c r="F2869" s="5">
        <v>200</v>
      </c>
    </row>
    <row r="2870" spans="1:6" hidden="1">
      <c r="A2870" t="s">
        <v>2042</v>
      </c>
      <c r="B2870" t="s">
        <v>2043</v>
      </c>
      <c r="C2870">
        <v>71042244</v>
      </c>
      <c r="D2870">
        <v>2000454</v>
      </c>
      <c r="E2870" t="s">
        <v>39</v>
      </c>
      <c r="F2870" s="5">
        <v>450</v>
      </c>
    </row>
    <row r="2871" spans="1:6">
      <c r="A2871" t="s">
        <v>2042</v>
      </c>
      <c r="B2871" t="s">
        <v>2043</v>
      </c>
      <c r="C2871">
        <v>71042244</v>
      </c>
      <c r="D2871">
        <v>2000454</v>
      </c>
      <c r="E2871" t="s">
        <v>729</v>
      </c>
      <c r="F2871" s="5">
        <v>200</v>
      </c>
    </row>
    <row r="2872" spans="1:6" hidden="1">
      <c r="A2872" t="s">
        <v>2208</v>
      </c>
      <c r="B2872" t="s">
        <v>2209</v>
      </c>
      <c r="C2872">
        <v>71061176</v>
      </c>
      <c r="D2872">
        <v>2000215</v>
      </c>
      <c r="E2872" t="s">
        <v>39</v>
      </c>
      <c r="F2872" s="5">
        <v>450</v>
      </c>
    </row>
    <row r="2873" spans="1:6">
      <c r="A2873" t="s">
        <v>2208</v>
      </c>
      <c r="B2873" t="s">
        <v>2209</v>
      </c>
      <c r="C2873">
        <v>71061176</v>
      </c>
      <c r="D2873">
        <v>2000215</v>
      </c>
      <c r="E2873" t="s">
        <v>729</v>
      </c>
      <c r="F2873" s="5">
        <v>200</v>
      </c>
    </row>
    <row r="2874" spans="1:6" hidden="1">
      <c r="A2874" t="s">
        <v>3831</v>
      </c>
      <c r="B2874" t="s">
        <v>3832</v>
      </c>
      <c r="C2874">
        <v>76222940</v>
      </c>
      <c r="D2874">
        <v>8040</v>
      </c>
      <c r="E2874" t="s">
        <v>39</v>
      </c>
      <c r="F2874" s="5">
        <v>300</v>
      </c>
    </row>
    <row r="2875" spans="1:6">
      <c r="A2875" t="s">
        <v>3831</v>
      </c>
      <c r="B2875" t="s">
        <v>3832</v>
      </c>
      <c r="C2875">
        <v>76222940</v>
      </c>
      <c r="D2875">
        <v>8040</v>
      </c>
      <c r="E2875" t="s">
        <v>729</v>
      </c>
      <c r="F2875" s="5">
        <v>200</v>
      </c>
    </row>
    <row r="2876" spans="1:6" hidden="1">
      <c r="A2876" t="s">
        <v>4579</v>
      </c>
      <c r="B2876" t="s">
        <v>4580</v>
      </c>
      <c r="C2876">
        <v>76255953</v>
      </c>
      <c r="D2876">
        <v>3000130</v>
      </c>
      <c r="E2876" t="s">
        <v>39</v>
      </c>
      <c r="F2876" s="5">
        <v>300</v>
      </c>
    </row>
    <row r="2877" spans="1:6">
      <c r="A2877" t="s">
        <v>4579</v>
      </c>
      <c r="B2877" t="s">
        <v>4580</v>
      </c>
      <c r="C2877">
        <v>76255953</v>
      </c>
      <c r="D2877">
        <v>3000130</v>
      </c>
      <c r="E2877" t="s">
        <v>729</v>
      </c>
      <c r="F2877" s="5">
        <v>200</v>
      </c>
    </row>
    <row r="2878" spans="1:6" hidden="1">
      <c r="A2878" t="s">
        <v>2951</v>
      </c>
      <c r="B2878" t="s">
        <v>2952</v>
      </c>
      <c r="C2878">
        <v>76152361</v>
      </c>
      <c r="D2878">
        <v>2503345</v>
      </c>
      <c r="E2878" t="s">
        <v>39</v>
      </c>
      <c r="F2878" s="5">
        <v>300</v>
      </c>
    </row>
    <row r="2879" spans="1:6">
      <c r="A2879" t="s">
        <v>2951</v>
      </c>
      <c r="B2879" t="s">
        <v>2952</v>
      </c>
      <c r="C2879">
        <v>76152361</v>
      </c>
      <c r="D2879">
        <v>2503345</v>
      </c>
      <c r="E2879" t="s">
        <v>729</v>
      </c>
      <c r="F2879" s="5">
        <v>200</v>
      </c>
    </row>
    <row r="2880" spans="1:6" hidden="1">
      <c r="A2880" t="s">
        <v>3357</v>
      </c>
      <c r="B2880" t="s">
        <v>3358</v>
      </c>
      <c r="C2880">
        <v>76201835</v>
      </c>
      <c r="D2880">
        <v>2503417</v>
      </c>
      <c r="E2880" t="s">
        <v>39</v>
      </c>
      <c r="F2880" s="5">
        <v>300</v>
      </c>
    </row>
    <row r="2881" spans="1:6">
      <c r="A2881" t="s">
        <v>3357</v>
      </c>
      <c r="B2881" t="s">
        <v>3358</v>
      </c>
      <c r="C2881">
        <v>76201835</v>
      </c>
      <c r="D2881">
        <v>2503417</v>
      </c>
      <c r="E2881" t="s">
        <v>729</v>
      </c>
      <c r="F2881" s="5">
        <v>200</v>
      </c>
    </row>
    <row r="2882" spans="1:6" hidden="1">
      <c r="A2882" t="s">
        <v>4078</v>
      </c>
      <c r="B2882" t="s">
        <v>4079</v>
      </c>
      <c r="C2882">
        <v>76230333</v>
      </c>
      <c r="D2882">
        <v>3169</v>
      </c>
      <c r="E2882" t="s">
        <v>39</v>
      </c>
      <c r="F2882" s="5">
        <v>300</v>
      </c>
    </row>
    <row r="2883" spans="1:6">
      <c r="A2883" t="s">
        <v>4078</v>
      </c>
      <c r="B2883" t="s">
        <v>4079</v>
      </c>
      <c r="C2883">
        <v>76230333</v>
      </c>
      <c r="D2883">
        <v>3169</v>
      </c>
      <c r="E2883" t="s">
        <v>729</v>
      </c>
      <c r="F2883" s="5">
        <v>200</v>
      </c>
    </row>
    <row r="2884" spans="1:6" hidden="1">
      <c r="A2884" t="s">
        <v>2949</v>
      </c>
      <c r="B2884" t="s">
        <v>2950</v>
      </c>
      <c r="C2884">
        <v>76152360</v>
      </c>
      <c r="D2884">
        <v>2503345</v>
      </c>
      <c r="E2884" t="s">
        <v>39</v>
      </c>
      <c r="F2884" s="5">
        <v>300</v>
      </c>
    </row>
    <row r="2885" spans="1:6">
      <c r="A2885" t="s">
        <v>2949</v>
      </c>
      <c r="B2885" t="s">
        <v>2950</v>
      </c>
      <c r="C2885">
        <v>76152360</v>
      </c>
      <c r="D2885">
        <v>2503345</v>
      </c>
      <c r="E2885" t="s">
        <v>729</v>
      </c>
      <c r="F2885" s="5">
        <v>200</v>
      </c>
    </row>
    <row r="2886" spans="1:6" hidden="1">
      <c r="A2886" t="s">
        <v>2953</v>
      </c>
      <c r="B2886" t="s">
        <v>2954</v>
      </c>
      <c r="C2886">
        <v>76152362</v>
      </c>
      <c r="D2886">
        <v>2503390</v>
      </c>
      <c r="E2886" t="s">
        <v>39</v>
      </c>
      <c r="F2886" s="5">
        <v>450</v>
      </c>
    </row>
    <row r="2887" spans="1:6">
      <c r="A2887" t="s">
        <v>2953</v>
      </c>
      <c r="B2887" t="s">
        <v>2954</v>
      </c>
      <c r="C2887">
        <v>76152362</v>
      </c>
      <c r="D2887">
        <v>2503390</v>
      </c>
      <c r="E2887" t="s">
        <v>729</v>
      </c>
      <c r="F2887" s="5">
        <v>200</v>
      </c>
    </row>
    <row r="2888" spans="1:6" hidden="1">
      <c r="A2888" t="s">
        <v>4011</v>
      </c>
      <c r="B2888" t="s">
        <v>4012</v>
      </c>
      <c r="C2888">
        <v>76229387</v>
      </c>
      <c r="D2888">
        <v>2502460</v>
      </c>
      <c r="E2888" t="s">
        <v>39</v>
      </c>
      <c r="F2888" s="5">
        <v>450</v>
      </c>
    </row>
    <row r="2889" spans="1:6">
      <c r="A2889" t="s">
        <v>4011</v>
      </c>
      <c r="B2889" t="s">
        <v>4012</v>
      </c>
      <c r="C2889">
        <v>76229387</v>
      </c>
      <c r="D2889">
        <v>2502460</v>
      </c>
      <c r="E2889" t="s">
        <v>729</v>
      </c>
      <c r="F2889" s="5">
        <v>200</v>
      </c>
    </row>
    <row r="2890" spans="1:6" hidden="1">
      <c r="A2890" t="s">
        <v>2915</v>
      </c>
      <c r="B2890" t="s">
        <v>2916</v>
      </c>
      <c r="C2890">
        <v>76146834</v>
      </c>
      <c r="D2890">
        <v>2502450</v>
      </c>
      <c r="E2890" t="s">
        <v>39</v>
      </c>
      <c r="F2890" s="5">
        <v>450</v>
      </c>
    </row>
    <row r="2891" spans="1:6">
      <c r="A2891" t="s">
        <v>2915</v>
      </c>
      <c r="B2891" t="s">
        <v>2916</v>
      </c>
      <c r="C2891">
        <v>76146834</v>
      </c>
      <c r="D2891">
        <v>2502450</v>
      </c>
      <c r="E2891" t="s">
        <v>729</v>
      </c>
      <c r="F2891" s="5">
        <v>200</v>
      </c>
    </row>
    <row r="2892" spans="1:6" hidden="1">
      <c r="A2892" t="s">
        <v>1589</v>
      </c>
      <c r="B2892" t="s">
        <v>1590</v>
      </c>
      <c r="C2892">
        <v>5172603</v>
      </c>
      <c r="D2892">
        <v>2502464</v>
      </c>
      <c r="E2892" t="s">
        <v>39</v>
      </c>
      <c r="F2892" s="5">
        <v>450</v>
      </c>
    </row>
    <row r="2893" spans="1:6">
      <c r="A2893" t="s">
        <v>1589</v>
      </c>
      <c r="B2893" t="s">
        <v>1590</v>
      </c>
      <c r="C2893">
        <v>5172603</v>
      </c>
      <c r="D2893">
        <v>2502464</v>
      </c>
      <c r="E2893" t="s">
        <v>729</v>
      </c>
      <c r="F2893" s="5">
        <v>200</v>
      </c>
    </row>
    <row r="2894" spans="1:6" hidden="1">
      <c r="A2894" t="s">
        <v>1763</v>
      </c>
      <c r="B2894" t="s">
        <v>1764</v>
      </c>
      <c r="C2894">
        <v>17003901</v>
      </c>
      <c r="D2894">
        <v>2000083</v>
      </c>
      <c r="E2894" t="s">
        <v>39</v>
      </c>
      <c r="F2894" s="5">
        <v>300</v>
      </c>
    </row>
    <row r="2895" spans="1:6">
      <c r="A2895" t="s">
        <v>1763</v>
      </c>
      <c r="B2895" t="s">
        <v>1764</v>
      </c>
      <c r="C2895">
        <v>17003901</v>
      </c>
      <c r="D2895">
        <v>2000083</v>
      </c>
      <c r="E2895" t="s">
        <v>729</v>
      </c>
      <c r="F2895" s="5">
        <v>200</v>
      </c>
    </row>
    <row r="2896" spans="1:6" hidden="1">
      <c r="A2896" t="s">
        <v>3621</v>
      </c>
      <c r="B2896" t="s">
        <v>3622</v>
      </c>
      <c r="C2896">
        <v>76213582</v>
      </c>
      <c r="D2896">
        <v>2003045</v>
      </c>
      <c r="E2896" t="s">
        <v>39</v>
      </c>
      <c r="F2896" s="5">
        <v>300</v>
      </c>
    </row>
    <row r="2897" spans="1:6">
      <c r="A2897" t="s">
        <v>3621</v>
      </c>
      <c r="B2897" t="s">
        <v>3622</v>
      </c>
      <c r="C2897">
        <v>76213582</v>
      </c>
      <c r="D2897">
        <v>2003045</v>
      </c>
      <c r="E2897" t="s">
        <v>729</v>
      </c>
      <c r="F2897" s="5">
        <v>200</v>
      </c>
    </row>
    <row r="2898" spans="1:6" hidden="1">
      <c r="A2898" t="s">
        <v>2607</v>
      </c>
      <c r="B2898" t="s">
        <v>2608</v>
      </c>
      <c r="C2898">
        <v>76058281</v>
      </c>
      <c r="D2898">
        <v>2501306</v>
      </c>
      <c r="E2898" t="s">
        <v>39</v>
      </c>
      <c r="F2898" s="5">
        <v>300</v>
      </c>
    </row>
    <row r="2899" spans="1:6">
      <c r="A2899" t="s">
        <v>2607</v>
      </c>
      <c r="B2899" t="s">
        <v>2608</v>
      </c>
      <c r="C2899">
        <v>76058281</v>
      </c>
      <c r="D2899">
        <v>2501306</v>
      </c>
      <c r="E2899" t="s">
        <v>729</v>
      </c>
      <c r="F2899" s="5">
        <v>200</v>
      </c>
    </row>
    <row r="2900" spans="1:6" hidden="1">
      <c r="A2900" t="s">
        <v>467</v>
      </c>
      <c r="B2900" t="s">
        <v>468</v>
      </c>
      <c r="C2900">
        <v>76036137</v>
      </c>
      <c r="D2900">
        <v>2501825</v>
      </c>
      <c r="E2900" t="s">
        <v>39</v>
      </c>
      <c r="F2900" s="5">
        <v>300</v>
      </c>
    </row>
    <row r="2901" spans="1:6">
      <c r="A2901" t="s">
        <v>467</v>
      </c>
      <c r="B2901" t="s">
        <v>468</v>
      </c>
      <c r="C2901">
        <v>76036137</v>
      </c>
      <c r="D2901">
        <v>2501825</v>
      </c>
      <c r="E2901" t="s">
        <v>729</v>
      </c>
      <c r="F2901" s="5">
        <v>200</v>
      </c>
    </row>
    <row r="2902" spans="1:6" hidden="1">
      <c r="A2902" t="s">
        <v>3989</v>
      </c>
      <c r="B2902" t="s">
        <v>3990</v>
      </c>
      <c r="C2902">
        <v>76228693</v>
      </c>
      <c r="D2902">
        <v>2600015</v>
      </c>
      <c r="E2902" t="s">
        <v>39</v>
      </c>
      <c r="F2902" s="5">
        <v>300</v>
      </c>
    </row>
    <row r="2903" spans="1:6">
      <c r="A2903" t="s">
        <v>3989</v>
      </c>
      <c r="B2903" t="s">
        <v>3990</v>
      </c>
      <c r="C2903">
        <v>76228693</v>
      </c>
      <c r="D2903">
        <v>2600015</v>
      </c>
      <c r="E2903" t="s">
        <v>729</v>
      </c>
      <c r="F2903" s="5">
        <v>200</v>
      </c>
    </row>
    <row r="2904" spans="1:6" hidden="1">
      <c r="A2904" t="s">
        <v>3987</v>
      </c>
      <c r="B2904" t="s">
        <v>3988</v>
      </c>
      <c r="C2904">
        <v>76228690</v>
      </c>
      <c r="D2904">
        <v>2600004</v>
      </c>
      <c r="E2904" t="s">
        <v>39</v>
      </c>
      <c r="F2904" s="5">
        <v>300</v>
      </c>
    </row>
    <row r="2905" spans="1:6">
      <c r="A2905" t="s">
        <v>3987</v>
      </c>
      <c r="B2905" t="s">
        <v>3988</v>
      </c>
      <c r="C2905">
        <v>76228690</v>
      </c>
      <c r="D2905">
        <v>2600004</v>
      </c>
      <c r="E2905" t="s">
        <v>729</v>
      </c>
      <c r="F2905" s="5">
        <v>200</v>
      </c>
    </row>
    <row r="2906" spans="1:6" hidden="1">
      <c r="A2906" t="s">
        <v>2166</v>
      </c>
      <c r="B2906" t="s">
        <v>2167</v>
      </c>
      <c r="C2906">
        <v>71054457</v>
      </c>
      <c r="D2906">
        <v>3000547</v>
      </c>
      <c r="E2906" t="s">
        <v>39</v>
      </c>
      <c r="F2906" s="5">
        <v>300</v>
      </c>
    </row>
    <row r="2907" spans="1:6">
      <c r="A2907" t="s">
        <v>2166</v>
      </c>
      <c r="B2907" t="s">
        <v>2167</v>
      </c>
      <c r="C2907">
        <v>71054457</v>
      </c>
      <c r="D2907">
        <v>3000547</v>
      </c>
      <c r="E2907" t="s">
        <v>729</v>
      </c>
      <c r="F2907" s="5">
        <v>200</v>
      </c>
    </row>
    <row r="2908" spans="1:6" hidden="1">
      <c r="A2908" t="s">
        <v>2072</v>
      </c>
      <c r="B2908" t="s">
        <v>2073</v>
      </c>
      <c r="C2908">
        <v>71044907</v>
      </c>
      <c r="D2908">
        <v>2501790</v>
      </c>
      <c r="E2908" t="s">
        <v>39</v>
      </c>
      <c r="F2908" s="5">
        <v>300</v>
      </c>
    </row>
    <row r="2909" spans="1:6">
      <c r="A2909" t="s">
        <v>2072</v>
      </c>
      <c r="B2909" t="s">
        <v>2073</v>
      </c>
      <c r="C2909">
        <v>71044907</v>
      </c>
      <c r="D2909">
        <v>2501790</v>
      </c>
      <c r="E2909" t="s">
        <v>729</v>
      </c>
      <c r="F2909" s="5">
        <v>200</v>
      </c>
    </row>
    <row r="2910" spans="1:6" hidden="1">
      <c r="A2910" t="s">
        <v>3401</v>
      </c>
      <c r="B2910" t="s">
        <v>3402</v>
      </c>
      <c r="C2910">
        <v>76204818</v>
      </c>
      <c r="D2910">
        <v>2000773</v>
      </c>
      <c r="E2910" t="s">
        <v>39</v>
      </c>
      <c r="F2910" s="5">
        <v>300</v>
      </c>
    </row>
    <row r="2911" spans="1:6">
      <c r="A2911" t="s">
        <v>3401</v>
      </c>
      <c r="B2911" t="s">
        <v>3402</v>
      </c>
      <c r="C2911">
        <v>76204818</v>
      </c>
      <c r="D2911">
        <v>2000773</v>
      </c>
      <c r="E2911" t="s">
        <v>729</v>
      </c>
      <c r="F2911" s="5">
        <v>200</v>
      </c>
    </row>
    <row r="2912" spans="1:6" hidden="1">
      <c r="A2912" t="s">
        <v>1875</v>
      </c>
      <c r="B2912" t="s">
        <v>1876</v>
      </c>
      <c r="C2912">
        <v>29095701</v>
      </c>
      <c r="D2912">
        <v>2500333</v>
      </c>
      <c r="E2912" t="s">
        <v>39</v>
      </c>
      <c r="F2912" s="5">
        <v>300</v>
      </c>
    </row>
    <row r="2913" spans="1:6">
      <c r="A2913" t="s">
        <v>1875</v>
      </c>
      <c r="B2913" t="s">
        <v>1876</v>
      </c>
      <c r="C2913">
        <v>29095701</v>
      </c>
      <c r="D2913">
        <v>2500333</v>
      </c>
      <c r="E2913" t="s">
        <v>729</v>
      </c>
      <c r="F2913" s="5">
        <v>200</v>
      </c>
    </row>
    <row r="2914" spans="1:6" hidden="1">
      <c r="A2914" t="s">
        <v>424</v>
      </c>
      <c r="B2914" t="s">
        <v>425</v>
      </c>
      <c r="C2914">
        <v>25300610</v>
      </c>
      <c r="D2914">
        <v>3002945</v>
      </c>
      <c r="E2914" t="s">
        <v>39</v>
      </c>
      <c r="F2914" s="5">
        <v>300</v>
      </c>
    </row>
    <row r="2915" spans="1:6">
      <c r="A2915" t="s">
        <v>424</v>
      </c>
      <c r="B2915" t="s">
        <v>425</v>
      </c>
      <c r="C2915">
        <v>25300610</v>
      </c>
      <c r="D2915">
        <v>3002945</v>
      </c>
      <c r="E2915" t="s">
        <v>729</v>
      </c>
      <c r="F2915" s="5">
        <v>200</v>
      </c>
    </row>
    <row r="2916" spans="1:6" hidden="1">
      <c r="A2916" t="s">
        <v>503</v>
      </c>
      <c r="B2916" t="s">
        <v>504</v>
      </c>
      <c r="C2916">
        <v>76073131</v>
      </c>
      <c r="D2916">
        <v>143062</v>
      </c>
      <c r="E2916" t="s">
        <v>39</v>
      </c>
      <c r="F2916" s="5">
        <v>300</v>
      </c>
    </row>
    <row r="2917" spans="1:6">
      <c r="A2917" t="s">
        <v>503</v>
      </c>
      <c r="B2917" t="s">
        <v>504</v>
      </c>
      <c r="C2917">
        <v>76073131</v>
      </c>
      <c r="D2917">
        <v>143062</v>
      </c>
      <c r="E2917" t="s">
        <v>729</v>
      </c>
      <c r="F2917" s="5">
        <v>200</v>
      </c>
    </row>
    <row r="2918" spans="1:6" hidden="1">
      <c r="A2918" t="s">
        <v>575</v>
      </c>
      <c r="B2918" t="s">
        <v>576</v>
      </c>
      <c r="C2918">
        <v>76204394</v>
      </c>
      <c r="D2918">
        <v>2503164</v>
      </c>
      <c r="E2918" t="s">
        <v>39</v>
      </c>
      <c r="F2918" s="5">
        <v>300</v>
      </c>
    </row>
    <row r="2919" spans="1:6">
      <c r="A2919" t="s">
        <v>575</v>
      </c>
      <c r="B2919" t="s">
        <v>576</v>
      </c>
      <c r="C2919">
        <v>76204394</v>
      </c>
      <c r="D2919">
        <v>2503164</v>
      </c>
      <c r="E2919" t="s">
        <v>729</v>
      </c>
      <c r="F2919" s="5">
        <v>200</v>
      </c>
    </row>
    <row r="2920" spans="1:6" hidden="1">
      <c r="A2920" t="s">
        <v>2709</v>
      </c>
      <c r="B2920" t="s">
        <v>2710</v>
      </c>
      <c r="C2920">
        <v>76067157</v>
      </c>
      <c r="D2920">
        <v>2502190</v>
      </c>
      <c r="E2920" t="s">
        <v>39</v>
      </c>
      <c r="F2920" s="5">
        <v>300</v>
      </c>
    </row>
    <row r="2921" spans="1:6">
      <c r="A2921" t="s">
        <v>2709</v>
      </c>
      <c r="B2921" t="s">
        <v>2710</v>
      </c>
      <c r="C2921">
        <v>76067157</v>
      </c>
      <c r="D2921">
        <v>2502190</v>
      </c>
      <c r="E2921" t="s">
        <v>729</v>
      </c>
      <c r="F2921" s="5">
        <v>200</v>
      </c>
    </row>
    <row r="2922" spans="1:6" hidden="1">
      <c r="A2922" t="s">
        <v>2498</v>
      </c>
      <c r="B2922" t="s">
        <v>2499</v>
      </c>
      <c r="C2922">
        <v>76041569</v>
      </c>
      <c r="D2922">
        <v>500</v>
      </c>
      <c r="E2922" t="s">
        <v>39</v>
      </c>
      <c r="F2922" s="5">
        <v>300</v>
      </c>
    </row>
    <row r="2923" spans="1:6">
      <c r="A2923" t="s">
        <v>2498</v>
      </c>
      <c r="B2923" t="s">
        <v>2499</v>
      </c>
      <c r="C2923">
        <v>76041569</v>
      </c>
      <c r="D2923">
        <v>500</v>
      </c>
      <c r="E2923" t="s">
        <v>729</v>
      </c>
      <c r="F2923" s="5">
        <v>200</v>
      </c>
    </row>
    <row r="2924" spans="1:6" hidden="1">
      <c r="A2924" t="s">
        <v>2496</v>
      </c>
      <c r="B2924" t="s">
        <v>2497</v>
      </c>
      <c r="C2924">
        <v>76041556</v>
      </c>
      <c r="D2924">
        <v>499</v>
      </c>
      <c r="E2924" t="s">
        <v>39</v>
      </c>
      <c r="F2924" s="5">
        <v>300</v>
      </c>
    </row>
    <row r="2925" spans="1:6">
      <c r="A2925" t="s">
        <v>2496</v>
      </c>
      <c r="B2925" t="s">
        <v>2497</v>
      </c>
      <c r="C2925">
        <v>76041556</v>
      </c>
      <c r="D2925">
        <v>499</v>
      </c>
      <c r="E2925" t="s">
        <v>729</v>
      </c>
      <c r="F2925" s="5">
        <v>200</v>
      </c>
    </row>
    <row r="2926" spans="1:6" hidden="1">
      <c r="A2926" t="s">
        <v>255</v>
      </c>
      <c r="B2926" t="s">
        <v>256</v>
      </c>
      <c r="C2926">
        <v>76241522</v>
      </c>
      <c r="D2926">
        <v>2002804</v>
      </c>
      <c r="E2926" t="s">
        <v>39</v>
      </c>
      <c r="F2926" s="5">
        <v>300</v>
      </c>
    </row>
    <row r="2927" spans="1:6">
      <c r="A2927" t="s">
        <v>255</v>
      </c>
      <c r="B2927" t="s">
        <v>256</v>
      </c>
      <c r="C2927">
        <v>76241522</v>
      </c>
      <c r="D2927">
        <v>2002804</v>
      </c>
      <c r="E2927" t="s">
        <v>729</v>
      </c>
      <c r="F2927" s="5">
        <v>200</v>
      </c>
    </row>
    <row r="2928" spans="1:6" hidden="1">
      <c r="A2928" t="s">
        <v>2492</v>
      </c>
      <c r="B2928" t="s">
        <v>2493</v>
      </c>
      <c r="C2928">
        <v>76041553</v>
      </c>
      <c r="D2928">
        <v>497</v>
      </c>
      <c r="E2928" t="s">
        <v>39</v>
      </c>
      <c r="F2928" s="5">
        <v>300</v>
      </c>
    </row>
    <row r="2929" spans="1:6">
      <c r="A2929" t="s">
        <v>2492</v>
      </c>
      <c r="B2929" t="s">
        <v>2493</v>
      </c>
      <c r="C2929">
        <v>76041553</v>
      </c>
      <c r="D2929">
        <v>497</v>
      </c>
      <c r="E2929" t="s">
        <v>729</v>
      </c>
      <c r="F2929" s="5">
        <v>200</v>
      </c>
    </row>
    <row r="2930" spans="1:6" hidden="1">
      <c r="A2930" t="s">
        <v>2540</v>
      </c>
      <c r="B2930" t="s">
        <v>2541</v>
      </c>
      <c r="C2930">
        <v>76045308</v>
      </c>
      <c r="D2930">
        <v>2002811</v>
      </c>
      <c r="E2930" t="s">
        <v>39</v>
      </c>
      <c r="F2930" s="5">
        <v>300</v>
      </c>
    </row>
    <row r="2931" spans="1:6">
      <c r="A2931" t="s">
        <v>2540</v>
      </c>
      <c r="B2931" t="s">
        <v>2541</v>
      </c>
      <c r="C2931">
        <v>76045308</v>
      </c>
      <c r="D2931">
        <v>2002811</v>
      </c>
      <c r="E2931" t="s">
        <v>729</v>
      </c>
      <c r="F2931" s="5">
        <v>200</v>
      </c>
    </row>
    <row r="2932" spans="1:6" hidden="1">
      <c r="A2932" t="s">
        <v>41</v>
      </c>
      <c r="B2932" t="s">
        <v>42</v>
      </c>
      <c r="C2932">
        <v>5236442</v>
      </c>
      <c r="D2932">
        <v>3001276</v>
      </c>
      <c r="E2932" t="s">
        <v>39</v>
      </c>
      <c r="F2932" s="5">
        <v>400</v>
      </c>
    </row>
    <row r="2933" spans="1:6">
      <c r="A2933" t="s">
        <v>41</v>
      </c>
      <c r="B2933" t="s">
        <v>42</v>
      </c>
      <c r="C2933">
        <v>5236442</v>
      </c>
      <c r="D2933">
        <v>3001276</v>
      </c>
      <c r="E2933" t="s">
        <v>729</v>
      </c>
      <c r="F2933" s="5">
        <v>200</v>
      </c>
    </row>
    <row r="2934" spans="1:6" hidden="1">
      <c r="A2934" t="s">
        <v>4513</v>
      </c>
      <c r="B2934" t="s">
        <v>4514</v>
      </c>
      <c r="C2934">
        <v>76252750</v>
      </c>
      <c r="D2934">
        <v>2503581</v>
      </c>
      <c r="E2934" t="s">
        <v>39</v>
      </c>
      <c r="F2934" s="5">
        <v>300</v>
      </c>
    </row>
    <row r="2935" spans="1:6">
      <c r="A2935" t="s">
        <v>4513</v>
      </c>
      <c r="B2935" t="s">
        <v>4514</v>
      </c>
      <c r="C2935">
        <v>76252750</v>
      </c>
      <c r="D2935">
        <v>2503581</v>
      </c>
      <c r="E2935" t="s">
        <v>729</v>
      </c>
      <c r="F2935" s="5">
        <v>200</v>
      </c>
    </row>
    <row r="2936" spans="1:6" hidden="1">
      <c r="A2936" t="s">
        <v>1501</v>
      </c>
      <c r="B2936" t="s">
        <v>1502</v>
      </c>
      <c r="C2936">
        <v>1012401</v>
      </c>
      <c r="D2936">
        <v>2500033</v>
      </c>
      <c r="E2936" t="s">
        <v>39</v>
      </c>
      <c r="F2936" s="5">
        <v>300</v>
      </c>
    </row>
    <row r="2937" spans="1:6">
      <c r="A2937" t="s">
        <v>1501</v>
      </c>
      <c r="B2937" t="s">
        <v>1502</v>
      </c>
      <c r="C2937">
        <v>1012401</v>
      </c>
      <c r="D2937">
        <v>2500033</v>
      </c>
      <c r="E2937" t="s">
        <v>729</v>
      </c>
      <c r="F2937" s="5">
        <v>200</v>
      </c>
    </row>
    <row r="2938" spans="1:6" hidden="1">
      <c r="A2938" t="s">
        <v>1879</v>
      </c>
      <c r="B2938" t="s">
        <v>1880</v>
      </c>
      <c r="C2938">
        <v>29115761</v>
      </c>
      <c r="D2938">
        <v>2003115</v>
      </c>
      <c r="E2938" t="s">
        <v>39</v>
      </c>
      <c r="F2938" s="5">
        <v>300</v>
      </c>
    </row>
    <row r="2939" spans="1:6">
      <c r="A2939" t="s">
        <v>1879</v>
      </c>
      <c r="B2939" t="s">
        <v>1880</v>
      </c>
      <c r="C2939">
        <v>29115761</v>
      </c>
      <c r="D2939">
        <v>2003115</v>
      </c>
      <c r="E2939" t="s">
        <v>729</v>
      </c>
      <c r="F2939" s="5">
        <v>200</v>
      </c>
    </row>
    <row r="2940" spans="1:6" hidden="1">
      <c r="A2940" t="s">
        <v>3161</v>
      </c>
      <c r="B2940" t="s">
        <v>3162</v>
      </c>
      <c r="C2940">
        <v>76176376</v>
      </c>
      <c r="D2940">
        <v>2501335</v>
      </c>
      <c r="E2940" t="s">
        <v>39</v>
      </c>
      <c r="F2940" s="5">
        <v>300</v>
      </c>
    </row>
    <row r="2941" spans="1:6">
      <c r="A2941" t="s">
        <v>3161</v>
      </c>
      <c r="B2941" t="s">
        <v>3162</v>
      </c>
      <c r="C2941">
        <v>76176376</v>
      </c>
      <c r="D2941">
        <v>2501335</v>
      </c>
      <c r="E2941" t="s">
        <v>729</v>
      </c>
      <c r="F2941" s="5">
        <v>200</v>
      </c>
    </row>
    <row r="2942" spans="1:6" hidden="1">
      <c r="A2942" t="s">
        <v>4005</v>
      </c>
      <c r="B2942" t="s">
        <v>4006</v>
      </c>
      <c r="C2942">
        <v>76228921</v>
      </c>
      <c r="D2942">
        <v>2002028</v>
      </c>
      <c r="E2942" t="s">
        <v>39</v>
      </c>
      <c r="F2942" s="5">
        <v>450</v>
      </c>
    </row>
    <row r="2943" spans="1:6">
      <c r="A2943" t="s">
        <v>4005</v>
      </c>
      <c r="B2943" t="s">
        <v>4006</v>
      </c>
      <c r="C2943">
        <v>76228921</v>
      </c>
      <c r="D2943">
        <v>2002028</v>
      </c>
      <c r="E2943" t="s">
        <v>729</v>
      </c>
      <c r="F2943" s="5">
        <v>200</v>
      </c>
    </row>
    <row r="2944" spans="1:6" hidden="1">
      <c r="A2944" t="s">
        <v>3407</v>
      </c>
      <c r="B2944" t="s">
        <v>3408</v>
      </c>
      <c r="C2944">
        <v>76205095</v>
      </c>
      <c r="D2944">
        <v>2501206</v>
      </c>
      <c r="E2944" t="s">
        <v>39</v>
      </c>
      <c r="F2944" s="5">
        <v>300</v>
      </c>
    </row>
    <row r="2945" spans="1:6">
      <c r="A2945" t="s">
        <v>3407</v>
      </c>
      <c r="B2945" t="s">
        <v>3408</v>
      </c>
      <c r="C2945">
        <v>76205095</v>
      </c>
      <c r="D2945">
        <v>2501206</v>
      </c>
      <c r="E2945" t="s">
        <v>729</v>
      </c>
      <c r="F2945" s="5">
        <v>200</v>
      </c>
    </row>
    <row r="2946" spans="1:6" hidden="1">
      <c r="A2946" t="s">
        <v>4601</v>
      </c>
      <c r="B2946" t="s">
        <v>4602</v>
      </c>
      <c r="C2946">
        <v>76257011</v>
      </c>
      <c r="D2946">
        <v>3000863</v>
      </c>
      <c r="E2946" t="s">
        <v>39</v>
      </c>
      <c r="F2946" s="5">
        <v>300</v>
      </c>
    </row>
    <row r="2947" spans="1:6">
      <c r="A2947" t="s">
        <v>4601</v>
      </c>
      <c r="B2947" t="s">
        <v>4602</v>
      </c>
      <c r="C2947">
        <v>76257011</v>
      </c>
      <c r="D2947">
        <v>3000863</v>
      </c>
      <c r="E2947" t="s">
        <v>729</v>
      </c>
      <c r="F2947" s="5">
        <v>200</v>
      </c>
    </row>
    <row r="2948" spans="1:6" hidden="1">
      <c r="A2948" t="s">
        <v>3711</v>
      </c>
      <c r="B2948" t="s">
        <v>3712</v>
      </c>
      <c r="C2948">
        <v>76219190</v>
      </c>
      <c r="D2948">
        <v>2000498</v>
      </c>
      <c r="E2948" t="s">
        <v>39</v>
      </c>
      <c r="F2948" s="5">
        <v>300</v>
      </c>
    </row>
    <row r="2949" spans="1:6">
      <c r="A2949" t="s">
        <v>3711</v>
      </c>
      <c r="B2949" t="s">
        <v>3712</v>
      </c>
      <c r="C2949">
        <v>76219190</v>
      </c>
      <c r="D2949">
        <v>2000498</v>
      </c>
      <c r="E2949" t="s">
        <v>729</v>
      </c>
      <c r="F2949" s="5">
        <v>200</v>
      </c>
    </row>
    <row r="2950" spans="1:6" hidden="1">
      <c r="A2950" t="s">
        <v>3713</v>
      </c>
      <c r="B2950" t="s">
        <v>3714</v>
      </c>
      <c r="C2950">
        <v>76219198</v>
      </c>
      <c r="D2950">
        <v>2000464</v>
      </c>
      <c r="E2950" t="s">
        <v>39</v>
      </c>
      <c r="F2950" s="5">
        <v>300</v>
      </c>
    </row>
    <row r="2951" spans="1:6">
      <c r="A2951" t="s">
        <v>3713</v>
      </c>
      <c r="B2951" t="s">
        <v>3714</v>
      </c>
      <c r="C2951">
        <v>76219198</v>
      </c>
      <c r="D2951">
        <v>2000464</v>
      </c>
      <c r="E2951" t="s">
        <v>729</v>
      </c>
      <c r="F2951" s="5">
        <v>200</v>
      </c>
    </row>
    <row r="2952" spans="1:6" hidden="1">
      <c r="A2952" t="s">
        <v>4266</v>
      </c>
      <c r="B2952" t="s">
        <v>4267</v>
      </c>
      <c r="C2952">
        <v>76236439</v>
      </c>
      <c r="D2952">
        <v>2002673</v>
      </c>
      <c r="E2952" t="s">
        <v>39</v>
      </c>
      <c r="F2952" s="5">
        <v>300</v>
      </c>
    </row>
    <row r="2953" spans="1:6">
      <c r="A2953" t="s">
        <v>4266</v>
      </c>
      <c r="B2953" t="s">
        <v>4267</v>
      </c>
      <c r="C2953">
        <v>76236439</v>
      </c>
      <c r="D2953">
        <v>2002673</v>
      </c>
      <c r="E2953" t="s">
        <v>729</v>
      </c>
      <c r="F2953" s="5">
        <v>200</v>
      </c>
    </row>
    <row r="2954" spans="1:6" hidden="1">
      <c r="A2954" t="s">
        <v>394</v>
      </c>
      <c r="B2954" t="s">
        <v>395</v>
      </c>
      <c r="C2954">
        <v>1325739</v>
      </c>
      <c r="D2954">
        <v>2000912</v>
      </c>
      <c r="E2954" t="s">
        <v>39</v>
      </c>
      <c r="F2954" s="5">
        <v>300</v>
      </c>
    </row>
    <row r="2955" spans="1:6">
      <c r="A2955" t="s">
        <v>394</v>
      </c>
      <c r="B2955" t="s">
        <v>395</v>
      </c>
      <c r="C2955">
        <v>1325739</v>
      </c>
      <c r="D2955">
        <v>2000912</v>
      </c>
      <c r="E2955" t="s">
        <v>729</v>
      </c>
      <c r="F2955" s="5">
        <v>200</v>
      </c>
    </row>
    <row r="2956" spans="1:6" hidden="1">
      <c r="A2956" t="s">
        <v>2246</v>
      </c>
      <c r="B2956" t="s">
        <v>2247</v>
      </c>
      <c r="C2956">
        <v>71064590</v>
      </c>
      <c r="D2956">
        <v>2000257</v>
      </c>
      <c r="E2956" t="s">
        <v>39</v>
      </c>
      <c r="F2956" s="5">
        <v>300</v>
      </c>
    </row>
    <row r="2957" spans="1:6">
      <c r="A2957" t="s">
        <v>2246</v>
      </c>
      <c r="B2957" t="s">
        <v>2247</v>
      </c>
      <c r="C2957">
        <v>71064590</v>
      </c>
      <c r="D2957">
        <v>2000257</v>
      </c>
      <c r="E2957" t="s">
        <v>729</v>
      </c>
      <c r="F2957" s="5">
        <v>200</v>
      </c>
    </row>
    <row r="2958" spans="1:6" hidden="1">
      <c r="A2958" t="s">
        <v>4013</v>
      </c>
      <c r="B2958" t="s">
        <v>4014</v>
      </c>
      <c r="C2958">
        <v>76229397</v>
      </c>
      <c r="D2958">
        <v>2002245</v>
      </c>
      <c r="E2958" t="s">
        <v>39</v>
      </c>
      <c r="F2958" s="5">
        <v>300</v>
      </c>
    </row>
    <row r="2959" spans="1:6" hidden="1">
      <c r="A2959" t="s">
        <v>4013</v>
      </c>
      <c r="B2959" t="s">
        <v>4015</v>
      </c>
      <c r="C2959">
        <v>76229397</v>
      </c>
      <c r="D2959">
        <v>2002245</v>
      </c>
      <c r="E2959" t="s">
        <v>39</v>
      </c>
      <c r="F2959" s="5">
        <v>300</v>
      </c>
    </row>
    <row r="2960" spans="1:6">
      <c r="A2960" t="s">
        <v>4013</v>
      </c>
      <c r="B2960" t="s">
        <v>4014</v>
      </c>
      <c r="C2960">
        <v>76229397</v>
      </c>
      <c r="D2960">
        <v>2002245</v>
      </c>
      <c r="E2960" t="s">
        <v>729</v>
      </c>
      <c r="F2960" s="5">
        <v>200</v>
      </c>
    </row>
    <row r="2961" spans="1:6">
      <c r="A2961" t="s">
        <v>4013</v>
      </c>
      <c r="B2961" t="s">
        <v>4015</v>
      </c>
      <c r="C2961">
        <v>76229397</v>
      </c>
      <c r="D2961">
        <v>2002245</v>
      </c>
      <c r="E2961" t="s">
        <v>729</v>
      </c>
      <c r="F2961" s="5">
        <v>200</v>
      </c>
    </row>
    <row r="2962" spans="1:6" hidden="1">
      <c r="A2962" t="s">
        <v>2703</v>
      </c>
      <c r="B2962" t="s">
        <v>2704</v>
      </c>
      <c r="C2962">
        <v>76066680</v>
      </c>
      <c r="D2962">
        <v>2503609</v>
      </c>
      <c r="E2962" t="s">
        <v>39</v>
      </c>
      <c r="F2962" s="5">
        <v>300</v>
      </c>
    </row>
    <row r="2963" spans="1:6">
      <c r="A2963" t="s">
        <v>2703</v>
      </c>
      <c r="B2963" t="s">
        <v>2704</v>
      </c>
      <c r="C2963">
        <v>76066680</v>
      </c>
      <c r="D2963">
        <v>2503609</v>
      </c>
      <c r="E2963" t="s">
        <v>729</v>
      </c>
      <c r="F2963" s="5">
        <v>200</v>
      </c>
    </row>
    <row r="2964" spans="1:6" hidden="1">
      <c r="A2964" t="s">
        <v>3411</v>
      </c>
      <c r="B2964" t="s">
        <v>3412</v>
      </c>
      <c r="C2964">
        <v>76205529</v>
      </c>
      <c r="D2964">
        <v>2500614</v>
      </c>
      <c r="E2964" t="s">
        <v>39</v>
      </c>
      <c r="F2964" s="5">
        <v>400</v>
      </c>
    </row>
    <row r="2965" spans="1:6">
      <c r="A2965" t="s">
        <v>3411</v>
      </c>
      <c r="B2965" t="s">
        <v>3412</v>
      </c>
      <c r="C2965">
        <v>76205529</v>
      </c>
      <c r="D2965">
        <v>2500614</v>
      </c>
      <c r="E2965" t="s">
        <v>729</v>
      </c>
      <c r="F2965" s="5">
        <v>200</v>
      </c>
    </row>
    <row r="2966" spans="1:6" hidden="1">
      <c r="A2966" t="s">
        <v>3681</v>
      </c>
      <c r="B2966" t="s">
        <v>3682</v>
      </c>
      <c r="C2966">
        <v>76217706</v>
      </c>
      <c r="D2966">
        <v>2501555</v>
      </c>
      <c r="E2966" t="s">
        <v>39</v>
      </c>
      <c r="F2966" s="5">
        <v>400</v>
      </c>
    </row>
    <row r="2967" spans="1:6">
      <c r="A2967" t="s">
        <v>3681</v>
      </c>
      <c r="B2967" t="s">
        <v>3682</v>
      </c>
      <c r="C2967">
        <v>76217706</v>
      </c>
      <c r="D2967">
        <v>2501555</v>
      </c>
      <c r="E2967" t="s">
        <v>729</v>
      </c>
      <c r="F2967" s="5">
        <v>200</v>
      </c>
    </row>
    <row r="2968" spans="1:6" hidden="1">
      <c r="A2968" t="s">
        <v>4128</v>
      </c>
      <c r="B2968" t="s">
        <v>4129</v>
      </c>
      <c r="C2968">
        <v>76231923</v>
      </c>
      <c r="D2968">
        <v>2502566</v>
      </c>
      <c r="E2968" t="s">
        <v>39</v>
      </c>
      <c r="F2968" s="5">
        <v>400</v>
      </c>
    </row>
    <row r="2969" spans="1:6">
      <c r="A2969" t="s">
        <v>4128</v>
      </c>
      <c r="B2969" t="s">
        <v>4129</v>
      </c>
      <c r="C2969">
        <v>76231923</v>
      </c>
      <c r="D2969">
        <v>2502566</v>
      </c>
      <c r="E2969" t="s">
        <v>729</v>
      </c>
      <c r="F2969" s="5">
        <v>200</v>
      </c>
    </row>
    <row r="2970" spans="1:6" hidden="1">
      <c r="A2970" t="s">
        <v>4294</v>
      </c>
      <c r="B2970" t="s">
        <v>4295</v>
      </c>
      <c r="C2970">
        <v>76237902</v>
      </c>
      <c r="D2970">
        <v>2503036</v>
      </c>
      <c r="E2970" t="s">
        <v>39</v>
      </c>
      <c r="F2970" s="5">
        <v>400</v>
      </c>
    </row>
    <row r="2971" spans="1:6">
      <c r="A2971" t="s">
        <v>4294</v>
      </c>
      <c r="B2971" t="s">
        <v>4295</v>
      </c>
      <c r="C2971">
        <v>76237902</v>
      </c>
      <c r="D2971">
        <v>2503036</v>
      </c>
      <c r="E2971" t="s">
        <v>729</v>
      </c>
      <c r="F2971" s="5">
        <v>200</v>
      </c>
    </row>
    <row r="2972" spans="1:6" hidden="1">
      <c r="A2972" t="s">
        <v>4244</v>
      </c>
      <c r="B2972" t="s">
        <v>4245</v>
      </c>
      <c r="C2972">
        <v>76235278</v>
      </c>
      <c r="D2972">
        <v>2502862</v>
      </c>
      <c r="E2972" t="s">
        <v>39</v>
      </c>
      <c r="F2972" s="5">
        <v>400</v>
      </c>
    </row>
    <row r="2973" spans="1:6">
      <c r="A2973" t="s">
        <v>4244</v>
      </c>
      <c r="B2973" t="s">
        <v>4245</v>
      </c>
      <c r="C2973">
        <v>76235278</v>
      </c>
      <c r="D2973">
        <v>2502862</v>
      </c>
      <c r="E2973" t="s">
        <v>729</v>
      </c>
      <c r="F2973" s="5">
        <v>200</v>
      </c>
    </row>
    <row r="2974" spans="1:6" hidden="1">
      <c r="A2974" t="s">
        <v>3413</v>
      </c>
      <c r="B2974" t="s">
        <v>3414</v>
      </c>
      <c r="C2974">
        <v>76205530</v>
      </c>
      <c r="D2974">
        <v>2500602</v>
      </c>
      <c r="E2974" t="s">
        <v>39</v>
      </c>
      <c r="F2974" s="5">
        <v>400</v>
      </c>
    </row>
    <row r="2975" spans="1:6">
      <c r="A2975" t="s">
        <v>3413</v>
      </c>
      <c r="B2975" t="s">
        <v>3414</v>
      </c>
      <c r="C2975">
        <v>76205530</v>
      </c>
      <c r="D2975">
        <v>2500602</v>
      </c>
      <c r="E2975" t="s">
        <v>729</v>
      </c>
      <c r="F2975" s="5">
        <v>200</v>
      </c>
    </row>
    <row r="2976" spans="1:6" hidden="1">
      <c r="A2976" t="s">
        <v>3423</v>
      </c>
      <c r="B2976" t="s">
        <v>3424</v>
      </c>
      <c r="C2976">
        <v>76205536</v>
      </c>
      <c r="D2976">
        <v>2500601</v>
      </c>
      <c r="E2976" t="s">
        <v>39</v>
      </c>
      <c r="F2976" s="5">
        <v>400</v>
      </c>
    </row>
    <row r="2977" spans="1:6">
      <c r="A2977" t="s">
        <v>3423</v>
      </c>
      <c r="B2977" t="s">
        <v>3424</v>
      </c>
      <c r="C2977">
        <v>76205536</v>
      </c>
      <c r="D2977">
        <v>2500601</v>
      </c>
      <c r="E2977" t="s">
        <v>729</v>
      </c>
      <c r="F2977" s="5">
        <v>200</v>
      </c>
    </row>
    <row r="2978" spans="1:6" hidden="1">
      <c r="A2978" t="s">
        <v>3417</v>
      </c>
      <c r="B2978" t="s">
        <v>3418</v>
      </c>
      <c r="C2978">
        <v>76205533</v>
      </c>
      <c r="D2978">
        <v>2500613</v>
      </c>
      <c r="E2978" t="s">
        <v>39</v>
      </c>
      <c r="F2978" s="5">
        <v>400</v>
      </c>
    </row>
    <row r="2979" spans="1:6">
      <c r="A2979" t="s">
        <v>3417</v>
      </c>
      <c r="B2979" t="s">
        <v>3418</v>
      </c>
      <c r="C2979">
        <v>76205533</v>
      </c>
      <c r="D2979">
        <v>2500613</v>
      </c>
      <c r="E2979" t="s">
        <v>729</v>
      </c>
      <c r="F2979" s="5">
        <v>200</v>
      </c>
    </row>
    <row r="2980" spans="1:6" hidden="1">
      <c r="A2980" t="s">
        <v>3419</v>
      </c>
      <c r="B2980" t="s">
        <v>3420</v>
      </c>
      <c r="C2980">
        <v>76205534</v>
      </c>
      <c r="D2980">
        <v>2500605</v>
      </c>
      <c r="E2980" t="s">
        <v>39</v>
      </c>
      <c r="F2980" s="5">
        <v>400</v>
      </c>
    </row>
    <row r="2981" spans="1:6">
      <c r="A2981" t="s">
        <v>3419</v>
      </c>
      <c r="B2981" t="s">
        <v>3420</v>
      </c>
      <c r="C2981">
        <v>76205534</v>
      </c>
      <c r="D2981">
        <v>2500605</v>
      </c>
      <c r="E2981" t="s">
        <v>729</v>
      </c>
      <c r="F2981" s="5">
        <v>200</v>
      </c>
    </row>
    <row r="2982" spans="1:6" hidden="1">
      <c r="A2982" t="s">
        <v>3175</v>
      </c>
      <c r="B2982" t="s">
        <v>3176</v>
      </c>
      <c r="C2982">
        <v>76177895</v>
      </c>
      <c r="D2982">
        <v>2500603</v>
      </c>
      <c r="E2982" t="s">
        <v>39</v>
      </c>
      <c r="F2982" s="5">
        <v>400</v>
      </c>
    </row>
    <row r="2983" spans="1:6">
      <c r="A2983" t="s">
        <v>3175</v>
      </c>
      <c r="B2983" t="s">
        <v>3176</v>
      </c>
      <c r="C2983">
        <v>76177895</v>
      </c>
      <c r="D2983">
        <v>2500603</v>
      </c>
      <c r="E2983" t="s">
        <v>729</v>
      </c>
      <c r="F2983" s="5">
        <v>200</v>
      </c>
    </row>
    <row r="2984" spans="1:6" hidden="1">
      <c r="A2984" t="s">
        <v>3421</v>
      </c>
      <c r="B2984" t="s">
        <v>3422</v>
      </c>
      <c r="C2984">
        <v>76205535</v>
      </c>
      <c r="D2984">
        <v>2500608</v>
      </c>
      <c r="E2984" t="s">
        <v>39</v>
      </c>
      <c r="F2984" s="5">
        <v>400</v>
      </c>
    </row>
    <row r="2985" spans="1:6">
      <c r="A2985" t="s">
        <v>3421</v>
      </c>
      <c r="B2985" t="s">
        <v>3422</v>
      </c>
      <c r="C2985">
        <v>76205535</v>
      </c>
      <c r="D2985">
        <v>2500608</v>
      </c>
      <c r="E2985" t="s">
        <v>729</v>
      </c>
      <c r="F2985" s="5">
        <v>200</v>
      </c>
    </row>
    <row r="2986" spans="1:6" hidden="1">
      <c r="A2986" t="s">
        <v>3367</v>
      </c>
      <c r="B2986" t="s">
        <v>3368</v>
      </c>
      <c r="C2986">
        <v>76202773</v>
      </c>
      <c r="D2986">
        <v>2500610</v>
      </c>
      <c r="E2986" t="s">
        <v>39</v>
      </c>
      <c r="F2986" s="5">
        <v>400</v>
      </c>
    </row>
    <row r="2987" spans="1:6">
      <c r="A2987" t="s">
        <v>3367</v>
      </c>
      <c r="B2987" t="s">
        <v>3368</v>
      </c>
      <c r="C2987">
        <v>76202773</v>
      </c>
      <c r="D2987">
        <v>2500610</v>
      </c>
      <c r="E2987" t="s">
        <v>729</v>
      </c>
      <c r="F2987" s="5">
        <v>200</v>
      </c>
    </row>
    <row r="2988" spans="1:6" hidden="1">
      <c r="A2988" t="s">
        <v>153</v>
      </c>
      <c r="B2988" t="s">
        <v>154</v>
      </c>
      <c r="C2988">
        <v>76227757</v>
      </c>
      <c r="D2988">
        <v>2502508</v>
      </c>
      <c r="E2988" t="s">
        <v>39</v>
      </c>
      <c r="F2988" s="5">
        <v>400</v>
      </c>
    </row>
    <row r="2989" spans="1:6">
      <c r="A2989" t="s">
        <v>153</v>
      </c>
      <c r="B2989" t="s">
        <v>154</v>
      </c>
      <c r="C2989">
        <v>76227757</v>
      </c>
      <c r="D2989">
        <v>2502508</v>
      </c>
      <c r="E2989" t="s">
        <v>729</v>
      </c>
      <c r="F2989" s="5">
        <v>200</v>
      </c>
    </row>
    <row r="2990" spans="1:6" hidden="1">
      <c r="A2990" t="s">
        <v>189</v>
      </c>
      <c r="B2990" t="s">
        <v>190</v>
      </c>
      <c r="C2990">
        <v>76231928</v>
      </c>
      <c r="D2990">
        <v>2502571</v>
      </c>
      <c r="E2990" t="s">
        <v>39</v>
      </c>
      <c r="F2990" s="5">
        <v>400</v>
      </c>
    </row>
    <row r="2991" spans="1:6">
      <c r="A2991" t="s">
        <v>189</v>
      </c>
      <c r="B2991" t="s">
        <v>190</v>
      </c>
      <c r="C2991">
        <v>76231928</v>
      </c>
      <c r="D2991">
        <v>2502571</v>
      </c>
      <c r="E2991" t="s">
        <v>729</v>
      </c>
      <c r="F2991" s="5">
        <v>200</v>
      </c>
    </row>
    <row r="2992" spans="1:6" hidden="1">
      <c r="A2992" t="s">
        <v>3813</v>
      </c>
      <c r="B2992" t="s">
        <v>3814</v>
      </c>
      <c r="C2992">
        <v>76222013</v>
      </c>
      <c r="D2992">
        <v>2501733</v>
      </c>
      <c r="E2992" t="s">
        <v>39</v>
      </c>
      <c r="F2992" s="5">
        <v>400</v>
      </c>
    </row>
    <row r="2993" spans="1:6">
      <c r="A2993" t="s">
        <v>3813</v>
      </c>
      <c r="B2993" t="s">
        <v>3814</v>
      </c>
      <c r="C2993">
        <v>76222013</v>
      </c>
      <c r="D2993">
        <v>2501733</v>
      </c>
      <c r="E2993" t="s">
        <v>729</v>
      </c>
      <c r="F2993" s="5">
        <v>200</v>
      </c>
    </row>
    <row r="2994" spans="1:6" hidden="1">
      <c r="A2994" t="s">
        <v>3811</v>
      </c>
      <c r="B2994" t="s">
        <v>3812</v>
      </c>
      <c r="C2994">
        <v>76222007</v>
      </c>
      <c r="D2994">
        <v>2501726</v>
      </c>
      <c r="E2994" t="s">
        <v>39</v>
      </c>
      <c r="F2994" s="5">
        <v>400</v>
      </c>
    </row>
    <row r="2995" spans="1:6">
      <c r="A2995" t="s">
        <v>3811</v>
      </c>
      <c r="B2995" t="s">
        <v>3812</v>
      </c>
      <c r="C2995">
        <v>76222007</v>
      </c>
      <c r="D2995">
        <v>2501726</v>
      </c>
      <c r="E2995" t="s">
        <v>729</v>
      </c>
      <c r="F2995" s="5">
        <v>200</v>
      </c>
    </row>
    <row r="2996" spans="1:6" hidden="1">
      <c r="A2996" t="s">
        <v>3427</v>
      </c>
      <c r="B2996" t="s">
        <v>3428</v>
      </c>
      <c r="C2996">
        <v>76205538</v>
      </c>
      <c r="D2996">
        <v>2500609</v>
      </c>
      <c r="E2996" t="s">
        <v>39</v>
      </c>
      <c r="F2996" s="5">
        <v>400</v>
      </c>
    </row>
    <row r="2997" spans="1:6">
      <c r="A2997" t="s">
        <v>3427</v>
      </c>
      <c r="B2997" t="s">
        <v>3428</v>
      </c>
      <c r="C2997">
        <v>76205538</v>
      </c>
      <c r="D2997">
        <v>2500609</v>
      </c>
      <c r="E2997" t="s">
        <v>729</v>
      </c>
      <c r="F2997" s="5">
        <v>200</v>
      </c>
    </row>
    <row r="2998" spans="1:6" hidden="1">
      <c r="A2998" t="s">
        <v>3415</v>
      </c>
      <c r="B2998" t="s">
        <v>3416</v>
      </c>
      <c r="C2998">
        <v>76205531</v>
      </c>
      <c r="D2998">
        <v>2500612</v>
      </c>
      <c r="E2998" t="s">
        <v>39</v>
      </c>
      <c r="F2998" s="5">
        <v>400</v>
      </c>
    </row>
    <row r="2999" spans="1:6">
      <c r="A2999" t="s">
        <v>3415</v>
      </c>
      <c r="B2999" t="s">
        <v>3416</v>
      </c>
      <c r="C2999">
        <v>76205531</v>
      </c>
      <c r="D2999">
        <v>2500612</v>
      </c>
      <c r="E2999" t="s">
        <v>729</v>
      </c>
      <c r="F2999" s="5">
        <v>200</v>
      </c>
    </row>
    <row r="3000" spans="1:6" hidden="1">
      <c r="A3000" t="s">
        <v>3951</v>
      </c>
      <c r="B3000" t="s">
        <v>3952</v>
      </c>
      <c r="C3000">
        <v>76227758</v>
      </c>
      <c r="D3000">
        <v>2502516</v>
      </c>
      <c r="E3000" t="s">
        <v>39</v>
      </c>
      <c r="F3000" s="5">
        <v>400</v>
      </c>
    </row>
    <row r="3001" spans="1:6">
      <c r="A3001" t="s">
        <v>3951</v>
      </c>
      <c r="B3001" t="s">
        <v>3952</v>
      </c>
      <c r="C3001">
        <v>76227758</v>
      </c>
      <c r="D3001">
        <v>2502516</v>
      </c>
      <c r="E3001" t="s">
        <v>729</v>
      </c>
      <c r="F3001" s="5">
        <v>200</v>
      </c>
    </row>
    <row r="3002" spans="1:6" hidden="1">
      <c r="A3002" t="s">
        <v>4242</v>
      </c>
      <c r="B3002" t="s">
        <v>4243</v>
      </c>
      <c r="C3002">
        <v>76235273</v>
      </c>
      <c r="D3002">
        <v>2502868</v>
      </c>
      <c r="E3002" t="s">
        <v>39</v>
      </c>
      <c r="F3002" s="5">
        <v>400</v>
      </c>
    </row>
    <row r="3003" spans="1:6">
      <c r="A3003" t="s">
        <v>4242</v>
      </c>
      <c r="B3003" t="s">
        <v>4243</v>
      </c>
      <c r="C3003">
        <v>76235273</v>
      </c>
      <c r="D3003">
        <v>2502868</v>
      </c>
      <c r="E3003" t="s">
        <v>729</v>
      </c>
      <c r="F3003" s="5">
        <v>200</v>
      </c>
    </row>
    <row r="3004" spans="1:6" hidden="1">
      <c r="A3004" t="s">
        <v>3683</v>
      </c>
      <c r="B3004" t="s">
        <v>3684</v>
      </c>
      <c r="C3004">
        <v>76217708</v>
      </c>
      <c r="D3004">
        <v>2501556</v>
      </c>
      <c r="E3004" t="s">
        <v>39</v>
      </c>
      <c r="F3004" s="5">
        <v>400</v>
      </c>
    </row>
    <row r="3005" spans="1:6">
      <c r="A3005" t="s">
        <v>3683</v>
      </c>
      <c r="B3005" t="s">
        <v>3684</v>
      </c>
      <c r="C3005">
        <v>76217708</v>
      </c>
      <c r="D3005">
        <v>2501556</v>
      </c>
      <c r="E3005" t="s">
        <v>729</v>
      </c>
      <c r="F3005" s="5">
        <v>200</v>
      </c>
    </row>
    <row r="3006" spans="1:6" hidden="1">
      <c r="A3006" t="s">
        <v>3425</v>
      </c>
      <c r="B3006" t="s">
        <v>3426</v>
      </c>
      <c r="C3006">
        <v>76205537</v>
      </c>
      <c r="D3006">
        <v>2500606</v>
      </c>
      <c r="E3006" t="s">
        <v>39</v>
      </c>
      <c r="F3006" s="5">
        <v>300</v>
      </c>
    </row>
    <row r="3007" spans="1:6">
      <c r="A3007" t="s">
        <v>3425</v>
      </c>
      <c r="B3007" t="s">
        <v>3426</v>
      </c>
      <c r="C3007">
        <v>76205537</v>
      </c>
      <c r="D3007">
        <v>2500606</v>
      </c>
      <c r="E3007" t="s">
        <v>729</v>
      </c>
      <c r="F3007" s="5">
        <v>200</v>
      </c>
    </row>
    <row r="3008" spans="1:6" hidden="1">
      <c r="A3008" t="s">
        <v>3177</v>
      </c>
      <c r="B3008" t="s">
        <v>3178</v>
      </c>
      <c r="C3008">
        <v>76177905</v>
      </c>
      <c r="D3008">
        <v>2500604</v>
      </c>
      <c r="E3008" t="s">
        <v>39</v>
      </c>
      <c r="F3008" s="5">
        <v>400</v>
      </c>
    </row>
    <row r="3009" spans="1:6">
      <c r="A3009" t="s">
        <v>3177</v>
      </c>
      <c r="B3009" t="s">
        <v>3178</v>
      </c>
      <c r="C3009">
        <v>76177905</v>
      </c>
      <c r="D3009">
        <v>2500604</v>
      </c>
      <c r="E3009" t="s">
        <v>729</v>
      </c>
      <c r="F3009" s="5">
        <v>200</v>
      </c>
    </row>
    <row r="3010" spans="1:6" hidden="1">
      <c r="A3010" t="s">
        <v>1649</v>
      </c>
      <c r="B3010" t="s">
        <v>1650</v>
      </c>
      <c r="C3010">
        <v>8300163</v>
      </c>
      <c r="D3010">
        <v>2500596</v>
      </c>
      <c r="E3010" t="s">
        <v>39</v>
      </c>
      <c r="F3010" s="5">
        <v>400</v>
      </c>
    </row>
    <row r="3011" spans="1:6">
      <c r="A3011" t="s">
        <v>1649</v>
      </c>
      <c r="B3011" t="s">
        <v>1650</v>
      </c>
      <c r="C3011">
        <v>8300163</v>
      </c>
      <c r="D3011">
        <v>2500596</v>
      </c>
      <c r="E3011" t="s">
        <v>729</v>
      </c>
      <c r="F3011" s="5">
        <v>200</v>
      </c>
    </row>
    <row r="3012" spans="1:6" hidden="1">
      <c r="A3012" t="s">
        <v>3579</v>
      </c>
      <c r="B3012" t="s">
        <v>3580</v>
      </c>
      <c r="C3012">
        <v>76211435</v>
      </c>
      <c r="D3012">
        <v>3000395</v>
      </c>
      <c r="E3012" t="s">
        <v>39</v>
      </c>
      <c r="F3012" s="5">
        <v>300</v>
      </c>
    </row>
    <row r="3013" spans="1:6">
      <c r="A3013" t="s">
        <v>3579</v>
      </c>
      <c r="B3013" t="s">
        <v>3580</v>
      </c>
      <c r="C3013">
        <v>76211435</v>
      </c>
      <c r="D3013">
        <v>3000395</v>
      </c>
      <c r="E3013" t="s">
        <v>729</v>
      </c>
      <c r="F3013" s="5">
        <v>200</v>
      </c>
    </row>
    <row r="3014" spans="1:6" hidden="1">
      <c r="A3014" t="s">
        <v>3573</v>
      </c>
      <c r="B3014" t="s">
        <v>3574</v>
      </c>
      <c r="C3014">
        <v>76210799</v>
      </c>
      <c r="D3014">
        <v>2600018</v>
      </c>
      <c r="E3014" t="s">
        <v>39</v>
      </c>
      <c r="F3014" s="5">
        <v>300</v>
      </c>
    </row>
    <row r="3015" spans="1:6">
      <c r="A3015" t="s">
        <v>3573</v>
      </c>
      <c r="B3015" t="s">
        <v>3574</v>
      </c>
      <c r="C3015">
        <v>76210799</v>
      </c>
      <c r="D3015">
        <v>2600018</v>
      </c>
      <c r="E3015" t="s">
        <v>729</v>
      </c>
      <c r="F3015" s="5">
        <v>200</v>
      </c>
    </row>
    <row r="3016" spans="1:6" hidden="1">
      <c r="A3016" t="s">
        <v>3551</v>
      </c>
      <c r="B3016" t="s">
        <v>3552</v>
      </c>
      <c r="C3016">
        <v>76209988</v>
      </c>
      <c r="D3016">
        <v>2600016</v>
      </c>
      <c r="E3016" t="s">
        <v>39</v>
      </c>
      <c r="F3016" s="5">
        <v>300</v>
      </c>
    </row>
    <row r="3017" spans="1:6">
      <c r="A3017" t="s">
        <v>3551</v>
      </c>
      <c r="B3017" t="s">
        <v>3552</v>
      </c>
      <c r="C3017">
        <v>76209988</v>
      </c>
      <c r="D3017">
        <v>2600016</v>
      </c>
      <c r="E3017" t="s">
        <v>729</v>
      </c>
      <c r="F3017" s="5">
        <v>200</v>
      </c>
    </row>
    <row r="3018" spans="1:6" hidden="1">
      <c r="A3018" t="s">
        <v>1948</v>
      </c>
      <c r="B3018" t="s">
        <v>1949</v>
      </c>
      <c r="C3018">
        <v>41529201</v>
      </c>
      <c r="D3018">
        <v>8098</v>
      </c>
      <c r="E3018" t="s">
        <v>39</v>
      </c>
      <c r="F3018" s="5">
        <v>300</v>
      </c>
    </row>
    <row r="3019" spans="1:6">
      <c r="A3019" t="s">
        <v>1948</v>
      </c>
      <c r="B3019" t="s">
        <v>1949</v>
      </c>
      <c r="C3019">
        <v>41529201</v>
      </c>
      <c r="D3019">
        <v>8098</v>
      </c>
      <c r="E3019" t="s">
        <v>729</v>
      </c>
      <c r="F3019" s="5">
        <v>200</v>
      </c>
    </row>
    <row r="3020" spans="1:6" hidden="1">
      <c r="A3020" t="s">
        <v>3553</v>
      </c>
      <c r="B3020" t="s">
        <v>3554</v>
      </c>
      <c r="C3020">
        <v>76209991</v>
      </c>
      <c r="D3020">
        <v>2600017</v>
      </c>
      <c r="E3020" t="s">
        <v>39</v>
      </c>
      <c r="F3020" s="5">
        <v>300</v>
      </c>
    </row>
    <row r="3021" spans="1:6">
      <c r="A3021" t="s">
        <v>3553</v>
      </c>
      <c r="B3021" t="s">
        <v>3554</v>
      </c>
      <c r="C3021">
        <v>76209991</v>
      </c>
      <c r="D3021">
        <v>2600017</v>
      </c>
      <c r="E3021" t="s">
        <v>729</v>
      </c>
      <c r="F3021" s="5">
        <v>200</v>
      </c>
    </row>
    <row r="3022" spans="1:6" hidden="1">
      <c r="A3022" t="s">
        <v>1739</v>
      </c>
      <c r="B3022" t="s">
        <v>1740</v>
      </c>
      <c r="C3022">
        <v>13495554</v>
      </c>
      <c r="D3022">
        <v>123007</v>
      </c>
      <c r="E3022" t="s">
        <v>39</v>
      </c>
      <c r="F3022" s="5">
        <v>450</v>
      </c>
    </row>
    <row r="3023" spans="1:6">
      <c r="A3023" t="s">
        <v>1739</v>
      </c>
      <c r="B3023" t="s">
        <v>1740</v>
      </c>
      <c r="C3023">
        <v>13495554</v>
      </c>
      <c r="D3023">
        <v>123007</v>
      </c>
      <c r="E3023" t="s">
        <v>729</v>
      </c>
      <c r="F3023" s="5">
        <v>200</v>
      </c>
    </row>
    <row r="3024" spans="1:6" hidden="1">
      <c r="A3024" t="s">
        <v>3759</v>
      </c>
      <c r="B3024" t="s">
        <v>3760</v>
      </c>
      <c r="C3024">
        <v>76220334</v>
      </c>
      <c r="D3024">
        <v>0</v>
      </c>
      <c r="E3024" t="s">
        <v>39</v>
      </c>
      <c r="F3024" s="5">
        <v>400</v>
      </c>
    </row>
    <row r="3025" spans="1:6">
      <c r="A3025" t="s">
        <v>3759</v>
      </c>
      <c r="B3025" t="s">
        <v>3760</v>
      </c>
      <c r="C3025">
        <v>76220334</v>
      </c>
      <c r="D3025">
        <v>0</v>
      </c>
      <c r="E3025" t="s">
        <v>729</v>
      </c>
      <c r="F3025" s="5">
        <v>200</v>
      </c>
    </row>
    <row r="3026" spans="1:6" hidden="1">
      <c r="A3026" t="s">
        <v>4130</v>
      </c>
      <c r="B3026" t="s">
        <v>4131</v>
      </c>
      <c r="C3026">
        <v>76231925</v>
      </c>
      <c r="D3026">
        <v>2503121</v>
      </c>
      <c r="E3026" t="s">
        <v>39</v>
      </c>
      <c r="F3026" s="5">
        <v>400</v>
      </c>
    </row>
    <row r="3027" spans="1:6">
      <c r="A3027" t="s">
        <v>4130</v>
      </c>
      <c r="B3027" t="s">
        <v>4131</v>
      </c>
      <c r="C3027">
        <v>76231925</v>
      </c>
      <c r="D3027">
        <v>2503121</v>
      </c>
      <c r="E3027" t="s">
        <v>729</v>
      </c>
      <c r="F3027" s="5">
        <v>200</v>
      </c>
    </row>
    <row r="3028" spans="1:6" hidden="1">
      <c r="A3028" t="s">
        <v>2584</v>
      </c>
      <c r="B3028" t="s">
        <v>2585</v>
      </c>
      <c r="C3028">
        <v>76055805</v>
      </c>
      <c r="D3028">
        <v>3117</v>
      </c>
      <c r="E3028" t="s">
        <v>39</v>
      </c>
      <c r="F3028" s="5">
        <v>400</v>
      </c>
    </row>
    <row r="3029" spans="1:6">
      <c r="A3029" t="s">
        <v>2584</v>
      </c>
      <c r="B3029" t="s">
        <v>2585</v>
      </c>
      <c r="C3029">
        <v>76055805</v>
      </c>
      <c r="D3029">
        <v>3117</v>
      </c>
      <c r="E3029" t="s">
        <v>729</v>
      </c>
      <c r="F3029" s="5">
        <v>200</v>
      </c>
    </row>
    <row r="3030" spans="1:6" hidden="1">
      <c r="A3030" t="s">
        <v>2717</v>
      </c>
      <c r="B3030" t="s">
        <v>2718</v>
      </c>
      <c r="C3030">
        <v>76067571</v>
      </c>
      <c r="D3030">
        <v>2003014</v>
      </c>
      <c r="E3030" t="s">
        <v>39</v>
      </c>
      <c r="F3030" s="5">
        <v>300</v>
      </c>
    </row>
    <row r="3031" spans="1:6">
      <c r="A3031" t="s">
        <v>2717</v>
      </c>
      <c r="B3031" t="s">
        <v>2718</v>
      </c>
      <c r="C3031">
        <v>76067571</v>
      </c>
      <c r="D3031">
        <v>2003014</v>
      </c>
      <c r="E3031" t="s">
        <v>729</v>
      </c>
      <c r="F3031" s="5">
        <v>200</v>
      </c>
    </row>
    <row r="3032" spans="1:6" hidden="1">
      <c r="A3032" t="s">
        <v>87</v>
      </c>
      <c r="B3032" t="s">
        <v>88</v>
      </c>
      <c r="C3032">
        <v>76097658</v>
      </c>
      <c r="D3032">
        <v>3000911</v>
      </c>
      <c r="E3032" t="s">
        <v>39</v>
      </c>
      <c r="F3032" s="5">
        <v>300</v>
      </c>
    </row>
    <row r="3033" spans="1:6">
      <c r="A3033" t="s">
        <v>87</v>
      </c>
      <c r="B3033" t="s">
        <v>88</v>
      </c>
      <c r="C3033">
        <v>76097658</v>
      </c>
      <c r="D3033">
        <v>3000911</v>
      </c>
      <c r="E3033" t="s">
        <v>729</v>
      </c>
      <c r="F3033" s="5">
        <v>200</v>
      </c>
    </row>
    <row r="3034" spans="1:6" hidden="1">
      <c r="A3034" t="s">
        <v>3485</v>
      </c>
      <c r="B3034" t="s">
        <v>3486</v>
      </c>
      <c r="C3034">
        <v>76208516</v>
      </c>
      <c r="D3034">
        <v>2501047</v>
      </c>
      <c r="E3034" t="s">
        <v>39</v>
      </c>
      <c r="F3034" s="5">
        <v>300</v>
      </c>
    </row>
    <row r="3035" spans="1:6">
      <c r="A3035" t="s">
        <v>3485</v>
      </c>
      <c r="B3035" t="s">
        <v>3486</v>
      </c>
      <c r="C3035">
        <v>76208516</v>
      </c>
      <c r="D3035">
        <v>2501047</v>
      </c>
      <c r="E3035" t="s">
        <v>729</v>
      </c>
      <c r="F3035" s="5">
        <v>200</v>
      </c>
    </row>
    <row r="3036" spans="1:6" hidden="1">
      <c r="A3036" t="s">
        <v>2785</v>
      </c>
      <c r="B3036" t="s">
        <v>2786</v>
      </c>
      <c r="C3036">
        <v>76076364</v>
      </c>
      <c r="D3036">
        <v>6044</v>
      </c>
      <c r="E3036" t="s">
        <v>39</v>
      </c>
      <c r="F3036" s="5">
        <v>300</v>
      </c>
    </row>
    <row r="3037" spans="1:6">
      <c r="A3037" t="s">
        <v>2785</v>
      </c>
      <c r="B3037" t="s">
        <v>2786</v>
      </c>
      <c r="C3037">
        <v>76076364</v>
      </c>
      <c r="D3037">
        <v>6044</v>
      </c>
      <c r="E3037" t="s">
        <v>729</v>
      </c>
      <c r="F3037" s="5">
        <v>200</v>
      </c>
    </row>
    <row r="3038" spans="1:6" hidden="1">
      <c r="A3038" t="s">
        <v>3889</v>
      </c>
      <c r="B3038" t="s">
        <v>3890</v>
      </c>
      <c r="C3038">
        <v>76225783</v>
      </c>
      <c r="D3038">
        <v>2503566</v>
      </c>
      <c r="E3038" t="s">
        <v>39</v>
      </c>
      <c r="F3038" s="5">
        <v>300</v>
      </c>
    </row>
    <row r="3039" spans="1:6">
      <c r="A3039" t="s">
        <v>3889</v>
      </c>
      <c r="B3039" t="s">
        <v>3890</v>
      </c>
      <c r="C3039">
        <v>76225783</v>
      </c>
      <c r="D3039">
        <v>2503566</v>
      </c>
      <c r="E3039" t="s">
        <v>729</v>
      </c>
      <c r="F3039" s="5">
        <v>200</v>
      </c>
    </row>
    <row r="3040" spans="1:6" hidden="1">
      <c r="A3040" t="s">
        <v>3047</v>
      </c>
      <c r="B3040" t="s">
        <v>3048</v>
      </c>
      <c r="C3040">
        <v>76163572</v>
      </c>
      <c r="D3040">
        <v>2502531</v>
      </c>
      <c r="E3040" t="s">
        <v>39</v>
      </c>
      <c r="F3040" s="5">
        <v>450</v>
      </c>
    </row>
    <row r="3041" spans="1:6">
      <c r="A3041" t="s">
        <v>3047</v>
      </c>
      <c r="B3041" t="s">
        <v>3048</v>
      </c>
      <c r="C3041">
        <v>76163572</v>
      </c>
      <c r="D3041">
        <v>2502531</v>
      </c>
      <c r="E3041" t="s">
        <v>729</v>
      </c>
      <c r="F3041" s="5">
        <v>200</v>
      </c>
    </row>
    <row r="3042" spans="1:6" hidden="1">
      <c r="A3042" t="s">
        <v>3865</v>
      </c>
      <c r="B3042" t="s">
        <v>3866</v>
      </c>
      <c r="C3042">
        <v>76224858</v>
      </c>
      <c r="D3042">
        <v>2002625</v>
      </c>
      <c r="E3042" t="s">
        <v>39</v>
      </c>
      <c r="F3042" s="5">
        <v>300</v>
      </c>
    </row>
    <row r="3043" spans="1:6">
      <c r="A3043" t="s">
        <v>3865</v>
      </c>
      <c r="B3043" t="s">
        <v>3866</v>
      </c>
      <c r="C3043">
        <v>76224858</v>
      </c>
      <c r="D3043">
        <v>2002625</v>
      </c>
      <c r="E3043" t="s">
        <v>729</v>
      </c>
      <c r="F3043" s="5">
        <v>200</v>
      </c>
    </row>
    <row r="3044" spans="1:6" hidden="1">
      <c r="A3044" t="s">
        <v>3871</v>
      </c>
      <c r="B3044" t="s">
        <v>3872</v>
      </c>
      <c r="C3044">
        <v>76224886</v>
      </c>
      <c r="D3044">
        <v>2001946</v>
      </c>
      <c r="E3044" t="s">
        <v>39</v>
      </c>
      <c r="F3044" s="5">
        <v>300</v>
      </c>
    </row>
    <row r="3045" spans="1:6">
      <c r="A3045" t="s">
        <v>3871</v>
      </c>
      <c r="B3045" t="s">
        <v>3872</v>
      </c>
      <c r="C3045">
        <v>76224886</v>
      </c>
      <c r="D3045">
        <v>2001946</v>
      </c>
      <c r="E3045" t="s">
        <v>729</v>
      </c>
      <c r="F3045" s="5">
        <v>200</v>
      </c>
    </row>
    <row r="3046" spans="1:6" hidden="1">
      <c r="A3046" t="s">
        <v>3869</v>
      </c>
      <c r="B3046" t="s">
        <v>3870</v>
      </c>
      <c r="C3046">
        <v>76224862</v>
      </c>
      <c r="D3046">
        <v>2001958</v>
      </c>
      <c r="E3046" t="s">
        <v>39</v>
      </c>
      <c r="F3046" s="5">
        <v>300</v>
      </c>
    </row>
    <row r="3047" spans="1:6">
      <c r="A3047" t="s">
        <v>3869</v>
      </c>
      <c r="B3047" t="s">
        <v>3870</v>
      </c>
      <c r="C3047">
        <v>76224862</v>
      </c>
      <c r="D3047">
        <v>2001958</v>
      </c>
      <c r="E3047" t="s">
        <v>729</v>
      </c>
      <c r="F3047" s="5">
        <v>200</v>
      </c>
    </row>
    <row r="3048" spans="1:6" hidden="1">
      <c r="A3048" t="s">
        <v>2278</v>
      </c>
      <c r="B3048" t="s">
        <v>2279</v>
      </c>
      <c r="C3048">
        <v>76010352</v>
      </c>
      <c r="D3048">
        <v>2502086</v>
      </c>
      <c r="E3048" t="s">
        <v>39</v>
      </c>
      <c r="F3048" s="5">
        <v>300</v>
      </c>
    </row>
    <row r="3049" spans="1:6">
      <c r="A3049" t="s">
        <v>2278</v>
      </c>
      <c r="B3049" t="s">
        <v>2279</v>
      </c>
      <c r="C3049">
        <v>76010352</v>
      </c>
      <c r="D3049">
        <v>2502086</v>
      </c>
      <c r="E3049" t="s">
        <v>729</v>
      </c>
      <c r="F3049" s="5">
        <v>200</v>
      </c>
    </row>
    <row r="3050" spans="1:6" hidden="1">
      <c r="A3050" t="s">
        <v>2735</v>
      </c>
      <c r="B3050" t="s">
        <v>2736</v>
      </c>
      <c r="C3050">
        <v>76071366</v>
      </c>
      <c r="D3050">
        <v>369</v>
      </c>
      <c r="E3050" t="s">
        <v>39</v>
      </c>
      <c r="F3050" s="5">
        <v>300</v>
      </c>
    </row>
    <row r="3051" spans="1:6">
      <c r="A3051" t="s">
        <v>2735</v>
      </c>
      <c r="B3051" t="s">
        <v>2736</v>
      </c>
      <c r="C3051">
        <v>76071366</v>
      </c>
      <c r="D3051">
        <v>369</v>
      </c>
      <c r="E3051" t="s">
        <v>729</v>
      </c>
      <c r="F3051" s="5">
        <v>200</v>
      </c>
    </row>
    <row r="3052" spans="1:6" hidden="1">
      <c r="A3052" t="s">
        <v>3779</v>
      </c>
      <c r="B3052" t="s">
        <v>3780</v>
      </c>
      <c r="C3052">
        <v>76220780</v>
      </c>
      <c r="D3052">
        <v>2501639</v>
      </c>
      <c r="E3052" t="s">
        <v>39</v>
      </c>
      <c r="F3052" s="5">
        <v>300</v>
      </c>
    </row>
    <row r="3053" spans="1:6">
      <c r="A3053" t="s">
        <v>3779</v>
      </c>
      <c r="B3053" t="s">
        <v>3780</v>
      </c>
      <c r="C3053">
        <v>76220780</v>
      </c>
      <c r="D3053">
        <v>2501639</v>
      </c>
      <c r="E3053" t="s">
        <v>729</v>
      </c>
      <c r="F3053" s="5">
        <v>200</v>
      </c>
    </row>
    <row r="3054" spans="1:6" hidden="1">
      <c r="A3054" t="s">
        <v>3333</v>
      </c>
      <c r="B3054" t="s">
        <v>3334</v>
      </c>
      <c r="C3054">
        <v>76199824</v>
      </c>
      <c r="D3054">
        <v>2500094</v>
      </c>
      <c r="E3054" t="s">
        <v>39</v>
      </c>
      <c r="F3054" s="5">
        <v>300</v>
      </c>
    </row>
    <row r="3055" spans="1:6">
      <c r="A3055" t="s">
        <v>3333</v>
      </c>
      <c r="B3055" t="s">
        <v>3334</v>
      </c>
      <c r="C3055">
        <v>76199824</v>
      </c>
      <c r="D3055">
        <v>2500094</v>
      </c>
      <c r="E3055" t="s">
        <v>729</v>
      </c>
      <c r="F3055" s="5">
        <v>200</v>
      </c>
    </row>
    <row r="3056" spans="1:6" hidden="1">
      <c r="A3056" t="s">
        <v>1631</v>
      </c>
      <c r="B3056" t="s">
        <v>1632</v>
      </c>
      <c r="C3056">
        <v>5720064</v>
      </c>
      <c r="D3056">
        <v>2002571</v>
      </c>
      <c r="E3056" t="s">
        <v>39</v>
      </c>
      <c r="F3056" s="5">
        <v>300</v>
      </c>
    </row>
    <row r="3057" spans="1:6">
      <c r="A3057" t="s">
        <v>1631</v>
      </c>
      <c r="B3057" t="s">
        <v>1632</v>
      </c>
      <c r="C3057">
        <v>5720064</v>
      </c>
      <c r="D3057">
        <v>2002571</v>
      </c>
      <c r="E3057" t="s">
        <v>729</v>
      </c>
      <c r="F3057" s="5">
        <v>200</v>
      </c>
    </row>
    <row r="3058" spans="1:6" hidden="1">
      <c r="A3058" t="s">
        <v>4146</v>
      </c>
      <c r="B3058" t="s">
        <v>4147</v>
      </c>
      <c r="C3058">
        <v>76232628</v>
      </c>
      <c r="D3058">
        <v>2502893</v>
      </c>
      <c r="E3058" t="s">
        <v>39</v>
      </c>
      <c r="F3058" s="5">
        <v>300</v>
      </c>
    </row>
    <row r="3059" spans="1:6">
      <c r="A3059" t="s">
        <v>4146</v>
      </c>
      <c r="B3059" t="s">
        <v>4147</v>
      </c>
      <c r="C3059">
        <v>76232628</v>
      </c>
      <c r="D3059">
        <v>2502893</v>
      </c>
      <c r="E3059" t="s">
        <v>729</v>
      </c>
      <c r="F3059" s="5">
        <v>200</v>
      </c>
    </row>
    <row r="3060" spans="1:6" hidden="1">
      <c r="A3060" t="s">
        <v>2761</v>
      </c>
      <c r="B3060" t="s">
        <v>2762</v>
      </c>
      <c r="C3060">
        <v>76073554</v>
      </c>
      <c r="D3060">
        <v>2500947</v>
      </c>
      <c r="E3060" t="s">
        <v>39</v>
      </c>
      <c r="F3060" s="5">
        <v>300</v>
      </c>
    </row>
    <row r="3061" spans="1:6">
      <c r="A3061" t="s">
        <v>2761</v>
      </c>
      <c r="B3061" t="s">
        <v>2762</v>
      </c>
      <c r="C3061">
        <v>76073554</v>
      </c>
      <c r="D3061">
        <v>2500947</v>
      </c>
      <c r="E3061" t="s">
        <v>729</v>
      </c>
      <c r="F3061" s="5">
        <v>200</v>
      </c>
    </row>
    <row r="3062" spans="1:6" hidden="1">
      <c r="A3062" t="s">
        <v>138</v>
      </c>
      <c r="B3062" t="s">
        <v>139</v>
      </c>
      <c r="C3062">
        <v>76220332</v>
      </c>
      <c r="D3062">
        <v>2501684</v>
      </c>
      <c r="E3062" t="s">
        <v>39</v>
      </c>
      <c r="F3062" s="5">
        <v>300</v>
      </c>
    </row>
    <row r="3063" spans="1:6">
      <c r="A3063" t="s">
        <v>138</v>
      </c>
      <c r="B3063" t="s">
        <v>139</v>
      </c>
      <c r="C3063">
        <v>76220332</v>
      </c>
      <c r="D3063">
        <v>2501684</v>
      </c>
      <c r="E3063" t="s">
        <v>729</v>
      </c>
      <c r="F3063" s="5">
        <v>200</v>
      </c>
    </row>
    <row r="3064" spans="1:6" hidden="1">
      <c r="A3064" t="s">
        <v>3659</v>
      </c>
      <c r="B3064" t="s">
        <v>3660</v>
      </c>
      <c r="C3064">
        <v>76215989</v>
      </c>
      <c r="D3064">
        <v>2001811</v>
      </c>
      <c r="E3064" t="s">
        <v>39</v>
      </c>
      <c r="F3064" s="5">
        <v>400</v>
      </c>
    </row>
    <row r="3065" spans="1:6">
      <c r="A3065" t="s">
        <v>3659</v>
      </c>
      <c r="B3065" t="s">
        <v>3660</v>
      </c>
      <c r="C3065">
        <v>76215989</v>
      </c>
      <c r="D3065">
        <v>2001811</v>
      </c>
      <c r="E3065" t="s">
        <v>729</v>
      </c>
      <c r="F3065" s="5">
        <v>200</v>
      </c>
    </row>
    <row r="3066" spans="1:6" hidden="1">
      <c r="A3066" t="s">
        <v>243</v>
      </c>
      <c r="B3066" t="s">
        <v>244</v>
      </c>
      <c r="C3066">
        <v>76241005</v>
      </c>
      <c r="D3066">
        <v>2002833</v>
      </c>
      <c r="E3066" t="s">
        <v>39</v>
      </c>
      <c r="F3066" s="5">
        <v>300</v>
      </c>
    </row>
    <row r="3067" spans="1:6">
      <c r="A3067" t="s">
        <v>243</v>
      </c>
      <c r="B3067" t="s">
        <v>244</v>
      </c>
      <c r="C3067">
        <v>76241005</v>
      </c>
      <c r="D3067">
        <v>2002833</v>
      </c>
      <c r="E3067" t="s">
        <v>729</v>
      </c>
      <c r="F3067" s="5">
        <v>200</v>
      </c>
    </row>
    <row r="3068" spans="1:6" hidden="1">
      <c r="A3068" t="s">
        <v>4360</v>
      </c>
      <c r="B3068" t="s">
        <v>4361</v>
      </c>
      <c r="C3068">
        <v>76241734</v>
      </c>
      <c r="D3068">
        <v>2002859</v>
      </c>
      <c r="E3068" t="s">
        <v>39</v>
      </c>
      <c r="F3068" s="5">
        <v>300</v>
      </c>
    </row>
    <row r="3069" spans="1:6">
      <c r="A3069" t="s">
        <v>4360</v>
      </c>
      <c r="B3069" t="s">
        <v>4361</v>
      </c>
      <c r="C3069">
        <v>76241734</v>
      </c>
      <c r="D3069">
        <v>2002859</v>
      </c>
      <c r="E3069" t="s">
        <v>729</v>
      </c>
      <c r="F3069" s="5">
        <v>200</v>
      </c>
    </row>
    <row r="3070" spans="1:6" hidden="1">
      <c r="A3070" t="s">
        <v>4262</v>
      </c>
      <c r="B3070" t="s">
        <v>4263</v>
      </c>
      <c r="C3070">
        <v>76236039</v>
      </c>
      <c r="D3070">
        <v>2502898</v>
      </c>
      <c r="E3070" t="s">
        <v>39</v>
      </c>
      <c r="F3070" s="5">
        <v>300</v>
      </c>
    </row>
    <row r="3071" spans="1:6">
      <c r="A3071" t="s">
        <v>4262</v>
      </c>
      <c r="B3071" t="s">
        <v>4263</v>
      </c>
      <c r="C3071">
        <v>76236039</v>
      </c>
      <c r="D3071">
        <v>2502898</v>
      </c>
      <c r="E3071" t="s">
        <v>729</v>
      </c>
      <c r="F3071" s="5">
        <v>200</v>
      </c>
    </row>
    <row r="3072" spans="1:6" hidden="1">
      <c r="A3072" t="s">
        <v>2891</v>
      </c>
      <c r="B3072" t="s">
        <v>2892</v>
      </c>
      <c r="C3072">
        <v>76143629</v>
      </c>
      <c r="D3072">
        <v>143140</v>
      </c>
      <c r="E3072" t="s">
        <v>39</v>
      </c>
      <c r="F3072" s="5">
        <v>450</v>
      </c>
    </row>
    <row r="3073" spans="1:6">
      <c r="A3073" t="s">
        <v>2891</v>
      </c>
      <c r="B3073" t="s">
        <v>2892</v>
      </c>
      <c r="C3073">
        <v>76143629</v>
      </c>
      <c r="D3073">
        <v>143140</v>
      </c>
      <c r="E3073" t="s">
        <v>729</v>
      </c>
      <c r="F3073" s="5">
        <v>200</v>
      </c>
    </row>
    <row r="3074" spans="1:6" hidden="1">
      <c r="A3074" t="s">
        <v>2723</v>
      </c>
      <c r="B3074" t="s">
        <v>2724</v>
      </c>
      <c r="C3074">
        <v>76067841</v>
      </c>
      <c r="D3074">
        <v>2500952</v>
      </c>
      <c r="E3074" t="s">
        <v>39</v>
      </c>
      <c r="F3074" s="5">
        <v>300</v>
      </c>
    </row>
    <row r="3075" spans="1:6">
      <c r="A3075" t="s">
        <v>2723</v>
      </c>
      <c r="B3075" t="s">
        <v>2724</v>
      </c>
      <c r="C3075">
        <v>76067841</v>
      </c>
      <c r="D3075">
        <v>2500952</v>
      </c>
      <c r="E3075" t="s">
        <v>729</v>
      </c>
      <c r="F3075" s="5">
        <v>200</v>
      </c>
    </row>
    <row r="3076" spans="1:6" hidden="1">
      <c r="A3076" t="s">
        <v>135</v>
      </c>
      <c r="B3076" t="s">
        <v>136</v>
      </c>
      <c r="C3076">
        <v>76220331</v>
      </c>
      <c r="D3076">
        <v>2501681</v>
      </c>
      <c r="E3076" t="s">
        <v>39</v>
      </c>
      <c r="F3076" s="5">
        <v>300</v>
      </c>
    </row>
    <row r="3077" spans="1:6">
      <c r="A3077" t="s">
        <v>135</v>
      </c>
      <c r="B3077" t="s">
        <v>136</v>
      </c>
      <c r="C3077">
        <v>76220331</v>
      </c>
      <c r="D3077">
        <v>2501681</v>
      </c>
      <c r="E3077" t="s">
        <v>729</v>
      </c>
      <c r="F3077" s="5">
        <v>200</v>
      </c>
    </row>
    <row r="3078" spans="1:6" hidden="1">
      <c r="A3078" t="s">
        <v>3891</v>
      </c>
      <c r="B3078" t="s">
        <v>3892</v>
      </c>
      <c r="C3078">
        <v>76225789</v>
      </c>
      <c r="D3078">
        <v>2001843</v>
      </c>
      <c r="E3078" t="s">
        <v>39</v>
      </c>
      <c r="F3078" s="5">
        <v>400</v>
      </c>
    </row>
    <row r="3079" spans="1:6">
      <c r="A3079" t="s">
        <v>3891</v>
      </c>
      <c r="B3079" t="s">
        <v>3892</v>
      </c>
      <c r="C3079">
        <v>76225789</v>
      </c>
      <c r="D3079">
        <v>2001843</v>
      </c>
      <c r="E3079" t="s">
        <v>729</v>
      </c>
      <c r="F3079" s="5">
        <v>200</v>
      </c>
    </row>
    <row r="3080" spans="1:6" hidden="1">
      <c r="A3080" t="s">
        <v>2835</v>
      </c>
      <c r="B3080" t="s">
        <v>2836</v>
      </c>
      <c r="C3080">
        <v>76114898</v>
      </c>
      <c r="D3080">
        <v>2001709</v>
      </c>
      <c r="E3080" t="s">
        <v>39</v>
      </c>
      <c r="F3080" s="5">
        <v>300</v>
      </c>
    </row>
    <row r="3081" spans="1:6">
      <c r="A3081" t="s">
        <v>2835</v>
      </c>
      <c r="B3081" t="s">
        <v>2836</v>
      </c>
      <c r="C3081">
        <v>76114898</v>
      </c>
      <c r="D3081">
        <v>2001709</v>
      </c>
      <c r="E3081" t="s">
        <v>729</v>
      </c>
      <c r="F3081" s="5">
        <v>200</v>
      </c>
    </row>
    <row r="3082" spans="1:6" hidden="1">
      <c r="A3082" t="s">
        <v>2438</v>
      </c>
      <c r="B3082" t="s">
        <v>2439</v>
      </c>
      <c r="C3082">
        <v>76036970</v>
      </c>
      <c r="D3082">
        <v>2000284</v>
      </c>
      <c r="E3082" t="s">
        <v>39</v>
      </c>
      <c r="F3082" s="5">
        <v>300</v>
      </c>
    </row>
    <row r="3083" spans="1:6">
      <c r="A3083" t="s">
        <v>2438</v>
      </c>
      <c r="B3083" t="s">
        <v>2439</v>
      </c>
      <c r="C3083">
        <v>76036970</v>
      </c>
      <c r="D3083">
        <v>2000284</v>
      </c>
      <c r="E3083" t="s">
        <v>729</v>
      </c>
      <c r="F3083" s="5">
        <v>200</v>
      </c>
    </row>
    <row r="3084" spans="1:6" hidden="1">
      <c r="A3084" t="s">
        <v>2907</v>
      </c>
      <c r="B3084" t="s">
        <v>2908</v>
      </c>
      <c r="C3084">
        <v>76145456</v>
      </c>
      <c r="D3084">
        <v>2500633</v>
      </c>
      <c r="E3084" t="s">
        <v>39</v>
      </c>
      <c r="F3084" s="5">
        <v>300</v>
      </c>
    </row>
    <row r="3085" spans="1:6">
      <c r="A3085" t="s">
        <v>2907</v>
      </c>
      <c r="B3085" t="s">
        <v>2908</v>
      </c>
      <c r="C3085">
        <v>76145456</v>
      </c>
      <c r="D3085">
        <v>2500633</v>
      </c>
      <c r="E3085" t="s">
        <v>729</v>
      </c>
      <c r="F3085" s="5">
        <v>200</v>
      </c>
    </row>
    <row r="3086" spans="1:6" hidden="1">
      <c r="A3086" t="s">
        <v>2871</v>
      </c>
      <c r="B3086" t="s">
        <v>2872</v>
      </c>
      <c r="C3086">
        <v>76139791</v>
      </c>
      <c r="D3086">
        <v>3000735</v>
      </c>
      <c r="E3086" t="s">
        <v>39</v>
      </c>
      <c r="F3086" s="5">
        <v>300</v>
      </c>
    </row>
    <row r="3087" spans="1:6">
      <c r="A3087" t="s">
        <v>2871</v>
      </c>
      <c r="B3087" t="s">
        <v>2872</v>
      </c>
      <c r="C3087">
        <v>76139791</v>
      </c>
      <c r="D3087">
        <v>3000735</v>
      </c>
      <c r="E3087" t="s">
        <v>729</v>
      </c>
      <c r="F3087" s="5">
        <v>200</v>
      </c>
    </row>
    <row r="3088" spans="1:6" hidden="1">
      <c r="A3088" t="s">
        <v>2064</v>
      </c>
      <c r="B3088" t="s">
        <v>2065</v>
      </c>
      <c r="C3088">
        <v>71044304</v>
      </c>
      <c r="D3088">
        <v>2500889</v>
      </c>
      <c r="E3088" t="s">
        <v>39</v>
      </c>
      <c r="F3088" s="5">
        <v>400</v>
      </c>
    </row>
    <row r="3089" spans="1:6">
      <c r="A3089" t="s">
        <v>2064</v>
      </c>
      <c r="B3089" t="s">
        <v>2065</v>
      </c>
      <c r="C3089">
        <v>71044304</v>
      </c>
      <c r="D3089">
        <v>2500889</v>
      </c>
      <c r="E3089" t="s">
        <v>729</v>
      </c>
      <c r="F3089" s="5">
        <v>200</v>
      </c>
    </row>
    <row r="3090" spans="1:6" hidden="1">
      <c r="A3090" t="s">
        <v>4500</v>
      </c>
      <c r="B3090" t="s">
        <v>1311</v>
      </c>
      <c r="C3090">
        <v>76252069</v>
      </c>
      <c r="D3090">
        <v>2502422</v>
      </c>
      <c r="E3090" t="s">
        <v>39</v>
      </c>
      <c r="F3090" s="5">
        <v>300</v>
      </c>
    </row>
    <row r="3091" spans="1:6">
      <c r="A3091" t="s">
        <v>4500</v>
      </c>
      <c r="B3091" t="s">
        <v>1311</v>
      </c>
      <c r="C3091">
        <v>76252069</v>
      </c>
      <c r="D3091">
        <v>2502422</v>
      </c>
      <c r="E3091" t="s">
        <v>729</v>
      </c>
      <c r="F3091" s="5">
        <v>200</v>
      </c>
    </row>
    <row r="3092" spans="1:6" hidden="1">
      <c r="A3092" t="s">
        <v>2781</v>
      </c>
      <c r="B3092" t="s">
        <v>2782</v>
      </c>
      <c r="C3092">
        <v>76075751</v>
      </c>
      <c r="D3092">
        <v>0</v>
      </c>
      <c r="E3092" t="s">
        <v>39</v>
      </c>
      <c r="F3092" s="5">
        <v>450</v>
      </c>
    </row>
    <row r="3093" spans="1:6">
      <c r="A3093" t="s">
        <v>2781</v>
      </c>
      <c r="B3093" t="s">
        <v>2782</v>
      </c>
      <c r="C3093">
        <v>76075751</v>
      </c>
      <c r="D3093">
        <v>0</v>
      </c>
      <c r="E3093" t="s">
        <v>729</v>
      </c>
      <c r="F3093" s="5">
        <v>200</v>
      </c>
    </row>
    <row r="3094" spans="1:6" hidden="1">
      <c r="A3094" t="s">
        <v>2574</v>
      </c>
      <c r="B3094" t="s">
        <v>2575</v>
      </c>
      <c r="C3094">
        <v>76055609</v>
      </c>
      <c r="D3094">
        <v>3367</v>
      </c>
      <c r="E3094" t="s">
        <v>39</v>
      </c>
      <c r="F3094" s="5">
        <v>300</v>
      </c>
    </row>
    <row r="3095" spans="1:6">
      <c r="A3095" t="s">
        <v>2574</v>
      </c>
      <c r="B3095" t="s">
        <v>2575</v>
      </c>
      <c r="C3095">
        <v>76055609</v>
      </c>
      <c r="D3095">
        <v>3367</v>
      </c>
      <c r="E3095" t="s">
        <v>729</v>
      </c>
      <c r="F3095" s="5">
        <v>200</v>
      </c>
    </row>
    <row r="3096" spans="1:6" hidden="1">
      <c r="A3096" t="s">
        <v>4549</v>
      </c>
      <c r="B3096" t="s">
        <v>4550</v>
      </c>
      <c r="C3096">
        <v>76254483</v>
      </c>
      <c r="D3096">
        <v>3000617</v>
      </c>
      <c r="E3096" t="s">
        <v>39</v>
      </c>
      <c r="F3096" s="5">
        <v>300</v>
      </c>
    </row>
    <row r="3097" spans="1:6">
      <c r="A3097" t="s">
        <v>4549</v>
      </c>
      <c r="B3097" t="s">
        <v>4550</v>
      </c>
      <c r="C3097">
        <v>76254483</v>
      </c>
      <c r="D3097">
        <v>3000617</v>
      </c>
      <c r="E3097" t="s">
        <v>729</v>
      </c>
      <c r="F3097" s="5">
        <v>200</v>
      </c>
    </row>
    <row r="3098" spans="1:6" hidden="1">
      <c r="A3098" t="s">
        <v>4527</v>
      </c>
      <c r="B3098" t="s">
        <v>4528</v>
      </c>
      <c r="C3098">
        <v>76253347</v>
      </c>
      <c r="D3098">
        <v>2503603</v>
      </c>
      <c r="E3098" t="s">
        <v>39</v>
      </c>
      <c r="F3098" s="5">
        <v>300</v>
      </c>
    </row>
    <row r="3099" spans="1:6">
      <c r="A3099" t="s">
        <v>4527</v>
      </c>
      <c r="B3099" t="s">
        <v>4528</v>
      </c>
      <c r="C3099">
        <v>76253347</v>
      </c>
      <c r="D3099">
        <v>2503603</v>
      </c>
      <c r="E3099" t="s">
        <v>729</v>
      </c>
      <c r="F3099" s="5">
        <v>200</v>
      </c>
    </row>
    <row r="3100" spans="1:6" hidden="1">
      <c r="A3100" t="s">
        <v>1503</v>
      </c>
      <c r="B3100" t="s">
        <v>1504</v>
      </c>
      <c r="C3100">
        <v>1013001</v>
      </c>
      <c r="D3100">
        <v>2503657</v>
      </c>
      <c r="E3100" t="s">
        <v>39</v>
      </c>
      <c r="F3100" s="5">
        <v>300</v>
      </c>
    </row>
    <row r="3101" spans="1:6">
      <c r="A3101" t="s">
        <v>1503</v>
      </c>
      <c r="B3101" t="s">
        <v>1504</v>
      </c>
      <c r="C3101">
        <v>1013001</v>
      </c>
      <c r="D3101">
        <v>2503657</v>
      </c>
      <c r="E3101" t="s">
        <v>729</v>
      </c>
      <c r="F3101" s="5">
        <v>200</v>
      </c>
    </row>
    <row r="3102" spans="1:6" hidden="1">
      <c r="A3102" t="s">
        <v>2424</v>
      </c>
      <c r="B3102" t="s">
        <v>2425</v>
      </c>
      <c r="C3102">
        <v>76034188</v>
      </c>
      <c r="D3102">
        <v>2503634</v>
      </c>
      <c r="E3102" t="s">
        <v>39</v>
      </c>
      <c r="F3102" s="5">
        <v>300</v>
      </c>
    </row>
    <row r="3103" spans="1:6">
      <c r="A3103" t="s">
        <v>2424</v>
      </c>
      <c r="B3103" t="s">
        <v>2425</v>
      </c>
      <c r="C3103">
        <v>76034188</v>
      </c>
      <c r="D3103">
        <v>2503634</v>
      </c>
      <c r="E3103" t="s">
        <v>729</v>
      </c>
      <c r="F3103" s="5">
        <v>200</v>
      </c>
    </row>
    <row r="3104" spans="1:6" hidden="1">
      <c r="A3104" t="s">
        <v>2711</v>
      </c>
      <c r="B3104" t="s">
        <v>2712</v>
      </c>
      <c r="C3104">
        <v>76067225</v>
      </c>
      <c r="D3104">
        <v>2501744</v>
      </c>
      <c r="E3104" t="s">
        <v>39</v>
      </c>
      <c r="F3104" s="5">
        <v>300</v>
      </c>
    </row>
    <row r="3105" spans="1:6">
      <c r="A3105" t="s">
        <v>2711</v>
      </c>
      <c r="B3105" t="s">
        <v>2712</v>
      </c>
      <c r="C3105">
        <v>76067225</v>
      </c>
      <c r="D3105">
        <v>2501744</v>
      </c>
      <c r="E3105" t="s">
        <v>729</v>
      </c>
      <c r="F3105" s="5">
        <v>200</v>
      </c>
    </row>
    <row r="3106" spans="1:6" hidden="1">
      <c r="A3106" t="s">
        <v>4246</v>
      </c>
      <c r="B3106" t="s">
        <v>4247</v>
      </c>
      <c r="C3106">
        <v>76235381</v>
      </c>
      <c r="D3106">
        <v>2503000</v>
      </c>
      <c r="E3106" t="s">
        <v>39</v>
      </c>
      <c r="F3106" s="5">
        <v>450</v>
      </c>
    </row>
    <row r="3107" spans="1:6">
      <c r="A3107" t="s">
        <v>4246</v>
      </c>
      <c r="B3107" t="s">
        <v>4247</v>
      </c>
      <c r="C3107">
        <v>76235381</v>
      </c>
      <c r="D3107">
        <v>2503000</v>
      </c>
      <c r="E3107" t="s">
        <v>729</v>
      </c>
      <c r="F3107" s="5">
        <v>200</v>
      </c>
    </row>
    <row r="3108" spans="1:6" hidden="1">
      <c r="A3108" t="s">
        <v>1645</v>
      </c>
      <c r="B3108" t="s">
        <v>1646</v>
      </c>
      <c r="C3108">
        <v>8300046</v>
      </c>
      <c r="D3108">
        <v>2501241</v>
      </c>
      <c r="E3108" t="s">
        <v>39</v>
      </c>
      <c r="F3108" s="5">
        <v>450</v>
      </c>
    </row>
    <row r="3109" spans="1:6">
      <c r="A3109" t="s">
        <v>1645</v>
      </c>
      <c r="B3109" t="s">
        <v>1646</v>
      </c>
      <c r="C3109">
        <v>8300046</v>
      </c>
      <c r="D3109">
        <v>2501241</v>
      </c>
      <c r="E3109" t="s">
        <v>729</v>
      </c>
      <c r="F3109" s="5">
        <v>200</v>
      </c>
    </row>
    <row r="3110" spans="1:6" hidden="1">
      <c r="A3110" t="s">
        <v>2304</v>
      </c>
      <c r="B3110" t="s">
        <v>2305</v>
      </c>
      <c r="C3110">
        <v>76019924</v>
      </c>
      <c r="D3110">
        <v>2000649</v>
      </c>
      <c r="E3110" t="s">
        <v>39</v>
      </c>
      <c r="F3110" s="5">
        <v>300</v>
      </c>
    </row>
    <row r="3111" spans="1:6">
      <c r="A3111" t="s">
        <v>2304</v>
      </c>
      <c r="B3111" t="s">
        <v>2305</v>
      </c>
      <c r="C3111">
        <v>76019924</v>
      </c>
      <c r="D3111">
        <v>2000649</v>
      </c>
      <c r="E3111" t="s">
        <v>729</v>
      </c>
      <c r="F3111" s="5">
        <v>200</v>
      </c>
    </row>
    <row r="3112" spans="1:6" hidden="1">
      <c r="A3112" t="s">
        <v>102</v>
      </c>
      <c r="B3112" t="s">
        <v>103</v>
      </c>
      <c r="C3112">
        <v>76184938</v>
      </c>
      <c r="D3112">
        <v>3000690</v>
      </c>
      <c r="E3112" t="s">
        <v>39</v>
      </c>
      <c r="F3112" s="5">
        <v>300</v>
      </c>
    </row>
    <row r="3113" spans="1:6">
      <c r="A3113" t="s">
        <v>102</v>
      </c>
      <c r="B3113" t="s">
        <v>103</v>
      </c>
      <c r="C3113">
        <v>76184938</v>
      </c>
      <c r="D3113">
        <v>3000690</v>
      </c>
      <c r="E3113" t="s">
        <v>729</v>
      </c>
      <c r="F3113" s="5">
        <v>200</v>
      </c>
    </row>
    <row r="3114" spans="1:6" hidden="1">
      <c r="A3114" t="s">
        <v>56</v>
      </c>
      <c r="B3114" t="s">
        <v>57</v>
      </c>
      <c r="C3114">
        <v>37216003</v>
      </c>
      <c r="D3114">
        <v>2700001</v>
      </c>
      <c r="E3114" t="s">
        <v>39</v>
      </c>
      <c r="F3114" s="5">
        <v>300</v>
      </c>
    </row>
    <row r="3115" spans="1:6">
      <c r="A3115" t="s">
        <v>56</v>
      </c>
      <c r="B3115" t="s">
        <v>57</v>
      </c>
      <c r="C3115">
        <v>37216003</v>
      </c>
      <c r="D3115">
        <v>2700001</v>
      </c>
      <c r="E3115" t="s">
        <v>729</v>
      </c>
      <c r="F3115" s="5">
        <v>200</v>
      </c>
    </row>
    <row r="3116" spans="1:6" hidden="1">
      <c r="A3116" t="s">
        <v>1793</v>
      </c>
      <c r="B3116" t="s">
        <v>1794</v>
      </c>
      <c r="C3116">
        <v>25007706</v>
      </c>
      <c r="D3116">
        <v>2501028</v>
      </c>
      <c r="E3116" t="s">
        <v>39</v>
      </c>
      <c r="F3116" s="5">
        <v>300</v>
      </c>
    </row>
    <row r="3117" spans="1:6">
      <c r="A3117" t="s">
        <v>1793</v>
      </c>
      <c r="B3117" t="s">
        <v>1794</v>
      </c>
      <c r="C3117">
        <v>25007706</v>
      </c>
      <c r="D3117">
        <v>2501028</v>
      </c>
      <c r="E3117" t="s">
        <v>729</v>
      </c>
      <c r="F3117" s="5">
        <v>200</v>
      </c>
    </row>
    <row r="3118" spans="1:6" hidden="1">
      <c r="A3118" t="s">
        <v>1587</v>
      </c>
      <c r="B3118" t="s">
        <v>1588</v>
      </c>
      <c r="C3118">
        <v>5172601</v>
      </c>
      <c r="D3118">
        <v>2502511</v>
      </c>
      <c r="E3118" t="s">
        <v>39</v>
      </c>
      <c r="F3118" s="5">
        <v>450</v>
      </c>
    </row>
    <row r="3119" spans="1:6">
      <c r="A3119" t="s">
        <v>1587</v>
      </c>
      <c r="B3119" t="s">
        <v>1588</v>
      </c>
      <c r="C3119">
        <v>5172601</v>
      </c>
      <c r="D3119">
        <v>2502511</v>
      </c>
      <c r="E3119" t="s">
        <v>729</v>
      </c>
      <c r="F3119" s="5">
        <v>200</v>
      </c>
    </row>
    <row r="3120" spans="1:6" hidden="1">
      <c r="A3120" t="s">
        <v>1759</v>
      </c>
      <c r="B3120" t="s">
        <v>1760</v>
      </c>
      <c r="C3120">
        <v>17003601</v>
      </c>
      <c r="D3120">
        <v>143071</v>
      </c>
      <c r="E3120" t="s">
        <v>39</v>
      </c>
      <c r="F3120" s="5">
        <v>300</v>
      </c>
    </row>
    <row r="3121" spans="1:6">
      <c r="A3121" t="s">
        <v>1759</v>
      </c>
      <c r="B3121" t="s">
        <v>1760</v>
      </c>
      <c r="C3121">
        <v>17003601</v>
      </c>
      <c r="D3121">
        <v>143071</v>
      </c>
      <c r="E3121" t="s">
        <v>729</v>
      </c>
      <c r="F3121" s="5">
        <v>200</v>
      </c>
    </row>
    <row r="3122" spans="1:6" hidden="1">
      <c r="A3122" t="s">
        <v>2306</v>
      </c>
      <c r="B3122" t="s">
        <v>2307</v>
      </c>
      <c r="C3122">
        <v>76019998</v>
      </c>
      <c r="D3122">
        <v>2503204</v>
      </c>
      <c r="E3122" t="s">
        <v>39</v>
      </c>
      <c r="F3122" s="5">
        <v>300</v>
      </c>
    </row>
    <row r="3123" spans="1:6">
      <c r="A3123" t="s">
        <v>2306</v>
      </c>
      <c r="B3123" t="s">
        <v>2307</v>
      </c>
      <c r="C3123">
        <v>76019998</v>
      </c>
      <c r="D3123">
        <v>2503204</v>
      </c>
      <c r="E3123" t="s">
        <v>729</v>
      </c>
      <c r="F3123" s="5">
        <v>200</v>
      </c>
    </row>
    <row r="3124" spans="1:6" hidden="1">
      <c r="A3124" t="s">
        <v>4633</v>
      </c>
      <c r="B3124" t="s">
        <v>4634</v>
      </c>
      <c r="C3124">
        <v>76258429</v>
      </c>
      <c r="D3124">
        <v>0</v>
      </c>
      <c r="E3124" t="s">
        <v>39</v>
      </c>
      <c r="F3124" s="5">
        <v>300</v>
      </c>
    </row>
    <row r="3125" spans="1:6">
      <c r="A3125" t="s">
        <v>4633</v>
      </c>
      <c r="B3125" t="s">
        <v>4634</v>
      </c>
      <c r="C3125">
        <v>76258429</v>
      </c>
      <c r="D3125">
        <v>0</v>
      </c>
      <c r="E3125" t="s">
        <v>729</v>
      </c>
      <c r="F3125" s="5">
        <v>200</v>
      </c>
    </row>
    <row r="3126" spans="1:6" hidden="1">
      <c r="A3126" t="s">
        <v>3153</v>
      </c>
      <c r="B3126" t="s">
        <v>3154</v>
      </c>
      <c r="C3126">
        <v>76174026</v>
      </c>
      <c r="D3126">
        <v>3000051</v>
      </c>
      <c r="E3126" t="s">
        <v>39</v>
      </c>
      <c r="F3126" s="5">
        <v>300</v>
      </c>
    </row>
    <row r="3127" spans="1:6">
      <c r="A3127" t="s">
        <v>3153</v>
      </c>
      <c r="B3127" t="s">
        <v>3154</v>
      </c>
      <c r="C3127">
        <v>76174026</v>
      </c>
      <c r="D3127">
        <v>3000051</v>
      </c>
      <c r="E3127" t="s">
        <v>729</v>
      </c>
      <c r="F3127" s="5">
        <v>200</v>
      </c>
    </row>
    <row r="3128" spans="1:6" hidden="1">
      <c r="A3128" t="s">
        <v>2364</v>
      </c>
      <c r="B3128" t="s">
        <v>2365</v>
      </c>
      <c r="C3128">
        <v>76025893</v>
      </c>
      <c r="D3128">
        <v>2503335</v>
      </c>
      <c r="E3128" t="s">
        <v>39</v>
      </c>
      <c r="F3128" s="5">
        <v>300</v>
      </c>
    </row>
    <row r="3129" spans="1:6">
      <c r="A3129" t="s">
        <v>2364</v>
      </c>
      <c r="B3129" t="s">
        <v>2365</v>
      </c>
      <c r="C3129">
        <v>76025893</v>
      </c>
      <c r="D3129">
        <v>2503335</v>
      </c>
      <c r="E3129" t="s">
        <v>729</v>
      </c>
      <c r="F3129" s="5">
        <v>200</v>
      </c>
    </row>
    <row r="3130" spans="1:6" hidden="1">
      <c r="A3130" t="s">
        <v>2959</v>
      </c>
      <c r="B3130" t="s">
        <v>2960</v>
      </c>
      <c r="C3130">
        <v>76153500</v>
      </c>
      <c r="D3130">
        <v>2700009</v>
      </c>
      <c r="E3130" t="s">
        <v>39</v>
      </c>
      <c r="F3130" s="5">
        <v>300</v>
      </c>
    </row>
    <row r="3131" spans="1:6">
      <c r="A3131" t="s">
        <v>2959</v>
      </c>
      <c r="B3131" t="s">
        <v>2960</v>
      </c>
      <c r="C3131">
        <v>76153500</v>
      </c>
      <c r="D3131">
        <v>2700009</v>
      </c>
      <c r="E3131" t="s">
        <v>729</v>
      </c>
      <c r="F3131" s="5">
        <v>200</v>
      </c>
    </row>
    <row r="3132" spans="1:6" hidden="1">
      <c r="A3132" t="s">
        <v>2564</v>
      </c>
      <c r="B3132" t="s">
        <v>2565</v>
      </c>
      <c r="C3132">
        <v>76055051</v>
      </c>
      <c r="D3132">
        <v>0</v>
      </c>
      <c r="E3132" t="s">
        <v>39</v>
      </c>
      <c r="F3132" s="5">
        <v>400</v>
      </c>
    </row>
    <row r="3133" spans="1:6">
      <c r="A3133" t="s">
        <v>2564</v>
      </c>
      <c r="B3133" t="s">
        <v>2565</v>
      </c>
      <c r="C3133">
        <v>76055051</v>
      </c>
      <c r="D3133">
        <v>0</v>
      </c>
      <c r="E3133" t="s">
        <v>729</v>
      </c>
      <c r="F3133" s="5">
        <v>200</v>
      </c>
    </row>
    <row r="3134" spans="1:6" hidden="1">
      <c r="A3134" t="s">
        <v>4631</v>
      </c>
      <c r="B3134" t="s">
        <v>4632</v>
      </c>
      <c r="C3134">
        <v>76258379</v>
      </c>
      <c r="D3134">
        <v>2501178</v>
      </c>
      <c r="E3134" t="s">
        <v>39</v>
      </c>
      <c r="F3134" s="5">
        <v>300</v>
      </c>
    </row>
    <row r="3135" spans="1:6">
      <c r="A3135" t="s">
        <v>4631</v>
      </c>
      <c r="B3135" t="s">
        <v>4632</v>
      </c>
      <c r="C3135">
        <v>76258379</v>
      </c>
      <c r="D3135">
        <v>2501178</v>
      </c>
      <c r="E3135" t="s">
        <v>729</v>
      </c>
      <c r="F3135" s="5">
        <v>200</v>
      </c>
    </row>
    <row r="3136" spans="1:6" hidden="1">
      <c r="A3136" t="s">
        <v>2086</v>
      </c>
      <c r="B3136" t="s">
        <v>2087</v>
      </c>
      <c r="C3136">
        <v>71046598</v>
      </c>
      <c r="D3136">
        <v>2000287</v>
      </c>
      <c r="E3136" t="s">
        <v>39</v>
      </c>
      <c r="F3136" s="5">
        <v>300</v>
      </c>
    </row>
    <row r="3137" spans="1:6">
      <c r="A3137" t="s">
        <v>2086</v>
      </c>
      <c r="B3137" t="s">
        <v>2087</v>
      </c>
      <c r="C3137">
        <v>71046598</v>
      </c>
      <c r="D3137">
        <v>2000287</v>
      </c>
      <c r="E3137" t="s">
        <v>729</v>
      </c>
      <c r="F3137" s="5">
        <v>200</v>
      </c>
    </row>
    <row r="3138" spans="1:6" hidden="1">
      <c r="A3138" t="s">
        <v>2414</v>
      </c>
      <c r="B3138" t="s">
        <v>2415</v>
      </c>
      <c r="C3138">
        <v>76032698</v>
      </c>
      <c r="D3138">
        <v>3001139</v>
      </c>
      <c r="E3138" t="s">
        <v>39</v>
      </c>
      <c r="F3138" s="5">
        <v>450</v>
      </c>
    </row>
    <row r="3139" spans="1:6">
      <c r="A3139" t="s">
        <v>2414</v>
      </c>
      <c r="B3139" t="s">
        <v>2415</v>
      </c>
      <c r="C3139">
        <v>76032698</v>
      </c>
      <c r="D3139">
        <v>3001139</v>
      </c>
      <c r="E3139" t="s">
        <v>729</v>
      </c>
      <c r="F3139" s="5">
        <v>200</v>
      </c>
    </row>
    <row r="3140" spans="1:6" hidden="1">
      <c r="A3140" t="s">
        <v>4398</v>
      </c>
      <c r="B3140" t="s">
        <v>4399</v>
      </c>
      <c r="C3140">
        <v>76244702</v>
      </c>
      <c r="D3140" t="s">
        <v>438</v>
      </c>
      <c r="E3140" t="s">
        <v>39</v>
      </c>
      <c r="F3140" s="5">
        <v>300</v>
      </c>
    </row>
    <row r="3141" spans="1:6">
      <c r="A3141" t="s">
        <v>4398</v>
      </c>
      <c r="B3141" t="s">
        <v>4399</v>
      </c>
      <c r="C3141">
        <v>76244702</v>
      </c>
      <c r="D3141" t="s">
        <v>438</v>
      </c>
      <c r="E3141" t="s">
        <v>729</v>
      </c>
      <c r="F3141" s="5">
        <v>200</v>
      </c>
    </row>
    <row r="3142" spans="1:6" hidden="1">
      <c r="A3142" t="s">
        <v>2088</v>
      </c>
      <c r="B3142" t="s">
        <v>2089</v>
      </c>
      <c r="C3142">
        <v>71046603</v>
      </c>
      <c r="D3142">
        <v>2001202</v>
      </c>
      <c r="E3142" t="s">
        <v>39</v>
      </c>
      <c r="F3142" s="5">
        <v>300</v>
      </c>
    </row>
    <row r="3143" spans="1:6">
      <c r="A3143" t="s">
        <v>2088</v>
      </c>
      <c r="B3143" t="s">
        <v>2089</v>
      </c>
      <c r="C3143">
        <v>71046603</v>
      </c>
      <c r="D3143">
        <v>2001202</v>
      </c>
      <c r="E3143" t="s">
        <v>729</v>
      </c>
      <c r="F3143" s="5">
        <v>200</v>
      </c>
    </row>
    <row r="3144" spans="1:6" hidden="1">
      <c r="A3144" t="s">
        <v>3921</v>
      </c>
      <c r="B3144" t="s">
        <v>3922</v>
      </c>
      <c r="C3144">
        <v>76226581</v>
      </c>
      <c r="D3144">
        <v>2502285</v>
      </c>
      <c r="E3144" t="s">
        <v>39</v>
      </c>
      <c r="F3144" s="5">
        <v>450</v>
      </c>
    </row>
    <row r="3145" spans="1:6">
      <c r="A3145" t="s">
        <v>3921</v>
      </c>
      <c r="B3145" t="s">
        <v>3922</v>
      </c>
      <c r="C3145">
        <v>76226581</v>
      </c>
      <c r="D3145">
        <v>2502285</v>
      </c>
      <c r="E3145" t="s">
        <v>729</v>
      </c>
      <c r="F3145" s="5">
        <v>200</v>
      </c>
    </row>
    <row r="3146" spans="1:6" hidden="1">
      <c r="A3146" t="s">
        <v>539</v>
      </c>
      <c r="B3146" t="s">
        <v>540</v>
      </c>
      <c r="C3146">
        <v>76164480</v>
      </c>
      <c r="D3146">
        <v>2000978</v>
      </c>
      <c r="E3146" t="s">
        <v>39</v>
      </c>
      <c r="F3146" s="5">
        <v>300</v>
      </c>
    </row>
    <row r="3147" spans="1:6">
      <c r="A3147" t="s">
        <v>539</v>
      </c>
      <c r="B3147" t="s">
        <v>540</v>
      </c>
      <c r="C3147">
        <v>76164480</v>
      </c>
      <c r="D3147">
        <v>2000978</v>
      </c>
      <c r="E3147" t="s">
        <v>729</v>
      </c>
      <c r="F3147" s="5">
        <v>200</v>
      </c>
    </row>
    <row r="3148" spans="1:6" hidden="1">
      <c r="A3148" t="s">
        <v>2506</v>
      </c>
      <c r="B3148" t="s">
        <v>2507</v>
      </c>
      <c r="C3148">
        <v>76042782</v>
      </c>
      <c r="D3148">
        <v>7109</v>
      </c>
      <c r="E3148" t="s">
        <v>39</v>
      </c>
      <c r="F3148" s="5">
        <v>300</v>
      </c>
    </row>
    <row r="3149" spans="1:6">
      <c r="A3149" t="s">
        <v>2506</v>
      </c>
      <c r="B3149" t="s">
        <v>2507</v>
      </c>
      <c r="C3149">
        <v>76042782</v>
      </c>
      <c r="D3149">
        <v>7109</v>
      </c>
      <c r="E3149" t="s">
        <v>729</v>
      </c>
      <c r="F3149" s="5">
        <v>200</v>
      </c>
    </row>
    <row r="3150" spans="1:6" hidden="1">
      <c r="A3150" t="s">
        <v>2154</v>
      </c>
      <c r="B3150" t="s">
        <v>2155</v>
      </c>
      <c r="C3150">
        <v>71053494</v>
      </c>
      <c r="D3150">
        <v>2501131</v>
      </c>
      <c r="E3150" t="s">
        <v>39</v>
      </c>
      <c r="F3150" s="5">
        <v>300</v>
      </c>
    </row>
    <row r="3151" spans="1:6">
      <c r="A3151" t="s">
        <v>2154</v>
      </c>
      <c r="B3151" t="s">
        <v>2155</v>
      </c>
      <c r="C3151">
        <v>71053494</v>
      </c>
      <c r="D3151">
        <v>2501131</v>
      </c>
      <c r="E3151" t="s">
        <v>729</v>
      </c>
      <c r="F3151" s="5">
        <v>200</v>
      </c>
    </row>
    <row r="3152" spans="1:6" hidden="1">
      <c r="A3152" t="s">
        <v>3959</v>
      </c>
      <c r="B3152" t="s">
        <v>3960</v>
      </c>
      <c r="C3152">
        <v>76228101</v>
      </c>
      <c r="D3152">
        <v>2503383</v>
      </c>
      <c r="E3152" t="s">
        <v>39</v>
      </c>
      <c r="F3152" s="5">
        <v>300</v>
      </c>
    </row>
    <row r="3153" spans="1:6">
      <c r="A3153" t="s">
        <v>3959</v>
      </c>
      <c r="B3153" t="s">
        <v>3960</v>
      </c>
      <c r="C3153">
        <v>76228101</v>
      </c>
      <c r="D3153">
        <v>2503383</v>
      </c>
      <c r="E3153" t="s">
        <v>729</v>
      </c>
      <c r="F3153" s="5">
        <v>200</v>
      </c>
    </row>
    <row r="3154" spans="1:6" hidden="1">
      <c r="A3154" t="s">
        <v>1767</v>
      </c>
      <c r="B3154" t="s">
        <v>1768</v>
      </c>
      <c r="C3154">
        <v>17117601</v>
      </c>
      <c r="D3154">
        <v>123003</v>
      </c>
      <c r="E3154" t="s">
        <v>39</v>
      </c>
      <c r="F3154" s="5">
        <v>300</v>
      </c>
    </row>
    <row r="3155" spans="1:6">
      <c r="A3155" t="s">
        <v>1767</v>
      </c>
      <c r="B3155" t="s">
        <v>1768</v>
      </c>
      <c r="C3155">
        <v>17117601</v>
      </c>
      <c r="D3155">
        <v>123003</v>
      </c>
      <c r="E3155" t="s">
        <v>729</v>
      </c>
      <c r="F3155" s="5">
        <v>200</v>
      </c>
    </row>
    <row r="3156" spans="1:6" hidden="1">
      <c r="A3156" t="s">
        <v>3645</v>
      </c>
      <c r="B3156" t="s">
        <v>3646</v>
      </c>
      <c r="C3156">
        <v>76215341</v>
      </c>
      <c r="D3156" t="s">
        <v>438</v>
      </c>
      <c r="E3156" t="s">
        <v>39</v>
      </c>
      <c r="F3156" s="5">
        <v>300</v>
      </c>
    </row>
    <row r="3157" spans="1:6">
      <c r="A3157" t="s">
        <v>3645</v>
      </c>
      <c r="B3157" t="s">
        <v>3646</v>
      </c>
      <c r="C3157">
        <v>76215341</v>
      </c>
      <c r="D3157" t="s">
        <v>438</v>
      </c>
      <c r="E3157" t="s">
        <v>729</v>
      </c>
      <c r="F3157" s="5">
        <v>200</v>
      </c>
    </row>
    <row r="3158" spans="1:6" hidden="1">
      <c r="A3158" t="s">
        <v>3797</v>
      </c>
      <c r="B3158" t="s">
        <v>3798</v>
      </c>
      <c r="C3158">
        <v>76221255</v>
      </c>
      <c r="D3158" t="s">
        <v>438</v>
      </c>
      <c r="E3158" t="s">
        <v>39</v>
      </c>
      <c r="F3158" s="5">
        <v>300</v>
      </c>
    </row>
    <row r="3159" spans="1:6">
      <c r="A3159" t="s">
        <v>3797</v>
      </c>
      <c r="B3159" t="s">
        <v>3798</v>
      </c>
      <c r="C3159">
        <v>76221255</v>
      </c>
      <c r="D3159" t="s">
        <v>438</v>
      </c>
      <c r="E3159" t="s">
        <v>729</v>
      </c>
      <c r="F3159" s="5">
        <v>200</v>
      </c>
    </row>
    <row r="3160" spans="1:6" hidden="1">
      <c r="A3160" t="s">
        <v>3057</v>
      </c>
      <c r="B3160" t="s">
        <v>3058</v>
      </c>
      <c r="C3160">
        <v>76164488</v>
      </c>
      <c r="D3160" t="s">
        <v>438</v>
      </c>
      <c r="E3160" t="s">
        <v>39</v>
      </c>
      <c r="F3160" s="5">
        <v>300</v>
      </c>
    </row>
    <row r="3161" spans="1:6">
      <c r="A3161" t="s">
        <v>3057</v>
      </c>
      <c r="B3161" t="s">
        <v>3058</v>
      </c>
      <c r="C3161">
        <v>76164488</v>
      </c>
      <c r="D3161" t="s">
        <v>438</v>
      </c>
      <c r="E3161" t="s">
        <v>729</v>
      </c>
      <c r="F3161" s="5">
        <v>200</v>
      </c>
    </row>
    <row r="3162" spans="1:6" hidden="1">
      <c r="A3162" t="s">
        <v>3053</v>
      </c>
      <c r="B3162" t="s">
        <v>3054</v>
      </c>
      <c r="C3162">
        <v>76164483</v>
      </c>
      <c r="D3162" t="s">
        <v>438</v>
      </c>
      <c r="E3162" t="s">
        <v>39</v>
      </c>
      <c r="F3162" s="5">
        <v>300</v>
      </c>
    </row>
    <row r="3163" spans="1:6">
      <c r="A3163" t="s">
        <v>3053</v>
      </c>
      <c r="B3163" t="s">
        <v>3054</v>
      </c>
      <c r="C3163">
        <v>76164483</v>
      </c>
      <c r="D3163" t="s">
        <v>438</v>
      </c>
      <c r="E3163" t="s">
        <v>729</v>
      </c>
      <c r="F3163" s="5">
        <v>200</v>
      </c>
    </row>
    <row r="3164" spans="1:6" hidden="1">
      <c r="A3164" t="s">
        <v>3069</v>
      </c>
      <c r="B3164" t="s">
        <v>3070</v>
      </c>
      <c r="C3164">
        <v>76164505</v>
      </c>
      <c r="D3164" t="s">
        <v>438</v>
      </c>
      <c r="E3164" t="s">
        <v>39</v>
      </c>
      <c r="F3164" s="5">
        <v>300</v>
      </c>
    </row>
    <row r="3165" spans="1:6">
      <c r="A3165" t="s">
        <v>3069</v>
      </c>
      <c r="B3165" t="s">
        <v>3070</v>
      </c>
      <c r="C3165">
        <v>76164505</v>
      </c>
      <c r="D3165" t="s">
        <v>438</v>
      </c>
      <c r="E3165" t="s">
        <v>729</v>
      </c>
      <c r="F3165" s="5">
        <v>200</v>
      </c>
    </row>
    <row r="3166" spans="1:6" hidden="1">
      <c r="A3166" t="s">
        <v>4194</v>
      </c>
      <c r="B3166" t="s">
        <v>4195</v>
      </c>
      <c r="C3166">
        <v>76234267</v>
      </c>
      <c r="D3166" t="s">
        <v>438</v>
      </c>
      <c r="E3166" t="s">
        <v>39</v>
      </c>
      <c r="F3166" s="5">
        <v>300</v>
      </c>
    </row>
    <row r="3167" spans="1:6">
      <c r="A3167" t="s">
        <v>4194</v>
      </c>
      <c r="B3167" t="s">
        <v>4195</v>
      </c>
      <c r="C3167">
        <v>76234267</v>
      </c>
      <c r="D3167" t="s">
        <v>438</v>
      </c>
      <c r="E3167" t="s">
        <v>729</v>
      </c>
      <c r="F3167" s="5">
        <v>200</v>
      </c>
    </row>
    <row r="3168" spans="1:6" hidden="1">
      <c r="A3168" t="s">
        <v>3063</v>
      </c>
      <c r="B3168" t="s">
        <v>3064</v>
      </c>
      <c r="C3168">
        <v>76164494</v>
      </c>
      <c r="D3168" t="s">
        <v>438</v>
      </c>
      <c r="E3168" t="s">
        <v>39</v>
      </c>
      <c r="F3168" s="5">
        <v>300</v>
      </c>
    </row>
    <row r="3169" spans="1:6">
      <c r="A3169" t="s">
        <v>3063</v>
      </c>
      <c r="B3169" t="s">
        <v>3064</v>
      </c>
      <c r="C3169">
        <v>76164494</v>
      </c>
      <c r="D3169" t="s">
        <v>438</v>
      </c>
      <c r="E3169" t="s">
        <v>729</v>
      </c>
      <c r="F3169" s="5">
        <v>200</v>
      </c>
    </row>
    <row r="3170" spans="1:6" hidden="1">
      <c r="A3170" t="s">
        <v>3097</v>
      </c>
      <c r="B3170" t="s">
        <v>3098</v>
      </c>
      <c r="C3170">
        <v>76168076</v>
      </c>
      <c r="D3170" t="s">
        <v>438</v>
      </c>
      <c r="E3170" t="s">
        <v>39</v>
      </c>
      <c r="F3170" s="5">
        <v>300</v>
      </c>
    </row>
    <row r="3171" spans="1:6">
      <c r="A3171" t="s">
        <v>3097</v>
      </c>
      <c r="B3171" t="s">
        <v>3098</v>
      </c>
      <c r="C3171">
        <v>76168076</v>
      </c>
      <c r="D3171" t="s">
        <v>438</v>
      </c>
      <c r="E3171" t="s">
        <v>729</v>
      </c>
      <c r="F3171" s="5">
        <v>200</v>
      </c>
    </row>
    <row r="3172" spans="1:6" hidden="1">
      <c r="A3172" t="s">
        <v>4230</v>
      </c>
      <c r="B3172" t="s">
        <v>4231</v>
      </c>
      <c r="C3172">
        <v>76235193</v>
      </c>
      <c r="D3172" t="s">
        <v>438</v>
      </c>
      <c r="E3172" t="s">
        <v>39</v>
      </c>
      <c r="F3172" s="5">
        <v>300</v>
      </c>
    </row>
    <row r="3173" spans="1:6">
      <c r="A3173" t="s">
        <v>4230</v>
      </c>
      <c r="B3173" t="s">
        <v>4231</v>
      </c>
      <c r="C3173">
        <v>76235193</v>
      </c>
      <c r="D3173" t="s">
        <v>438</v>
      </c>
      <c r="E3173" t="s">
        <v>729</v>
      </c>
      <c r="F3173" s="5">
        <v>200</v>
      </c>
    </row>
    <row r="3174" spans="1:6" hidden="1">
      <c r="A3174" t="s">
        <v>3237</v>
      </c>
      <c r="B3174" t="s">
        <v>3238</v>
      </c>
      <c r="C3174">
        <v>76187407</v>
      </c>
      <c r="D3174" t="s">
        <v>438</v>
      </c>
      <c r="E3174" t="s">
        <v>39</v>
      </c>
      <c r="F3174" s="5">
        <v>300</v>
      </c>
    </row>
    <row r="3175" spans="1:6">
      <c r="A3175" t="s">
        <v>3237</v>
      </c>
      <c r="B3175" t="s">
        <v>3238</v>
      </c>
      <c r="C3175">
        <v>76187407</v>
      </c>
      <c r="D3175" t="s">
        <v>438</v>
      </c>
      <c r="E3175" t="s">
        <v>729</v>
      </c>
      <c r="F3175" s="5">
        <v>200</v>
      </c>
    </row>
    <row r="3176" spans="1:6" hidden="1">
      <c r="A3176" t="s">
        <v>4557</v>
      </c>
      <c r="B3176" t="s">
        <v>4558</v>
      </c>
      <c r="C3176">
        <v>76255151</v>
      </c>
      <c r="D3176">
        <v>2600014</v>
      </c>
      <c r="E3176" t="s">
        <v>39</v>
      </c>
      <c r="F3176" s="5">
        <v>300</v>
      </c>
    </row>
    <row r="3177" spans="1:6">
      <c r="A3177" t="s">
        <v>4557</v>
      </c>
      <c r="B3177" t="s">
        <v>4558</v>
      </c>
      <c r="C3177">
        <v>76255151</v>
      </c>
      <c r="D3177">
        <v>2600014</v>
      </c>
      <c r="E3177" t="s">
        <v>729</v>
      </c>
      <c r="F3177" s="5">
        <v>200</v>
      </c>
    </row>
    <row r="3178" spans="1:6" hidden="1">
      <c r="A3178" t="s">
        <v>2973</v>
      </c>
      <c r="B3178" t="s">
        <v>2974</v>
      </c>
      <c r="C3178">
        <v>76154476</v>
      </c>
      <c r="D3178">
        <v>2501489</v>
      </c>
      <c r="E3178" t="s">
        <v>39</v>
      </c>
      <c r="F3178" s="5">
        <v>300</v>
      </c>
    </row>
    <row r="3179" spans="1:6">
      <c r="A3179" t="s">
        <v>2973</v>
      </c>
      <c r="B3179" t="s">
        <v>2974</v>
      </c>
      <c r="C3179">
        <v>76154476</v>
      </c>
      <c r="D3179">
        <v>2501489</v>
      </c>
      <c r="E3179" t="s">
        <v>729</v>
      </c>
      <c r="F3179" s="5">
        <v>200</v>
      </c>
    </row>
    <row r="3180" spans="1:6" hidden="1">
      <c r="A3180" t="s">
        <v>3679</v>
      </c>
      <c r="B3180" t="s">
        <v>3680</v>
      </c>
      <c r="C3180">
        <v>76217515</v>
      </c>
      <c r="D3180">
        <v>2502096</v>
      </c>
      <c r="E3180" t="s">
        <v>39</v>
      </c>
      <c r="F3180" s="5">
        <v>300</v>
      </c>
    </row>
    <row r="3181" spans="1:6">
      <c r="A3181" t="s">
        <v>3679</v>
      </c>
      <c r="B3181" t="s">
        <v>3680</v>
      </c>
      <c r="C3181">
        <v>76217515</v>
      </c>
      <c r="D3181">
        <v>2502096</v>
      </c>
      <c r="E3181" t="s">
        <v>729</v>
      </c>
      <c r="F3181" s="5">
        <v>200</v>
      </c>
    </row>
    <row r="3182" spans="1:6" hidden="1">
      <c r="A3182" t="s">
        <v>3857</v>
      </c>
      <c r="B3182" t="s">
        <v>3858</v>
      </c>
      <c r="C3182">
        <v>76224141</v>
      </c>
      <c r="D3182">
        <v>2502385</v>
      </c>
      <c r="E3182" t="s">
        <v>39</v>
      </c>
      <c r="F3182" s="5">
        <v>300</v>
      </c>
    </row>
    <row r="3183" spans="1:6">
      <c r="A3183" t="s">
        <v>3857</v>
      </c>
      <c r="B3183" t="s">
        <v>3858</v>
      </c>
      <c r="C3183">
        <v>76224141</v>
      </c>
      <c r="D3183">
        <v>2502385</v>
      </c>
      <c r="E3183" t="s">
        <v>729</v>
      </c>
      <c r="F3183" s="5">
        <v>200</v>
      </c>
    </row>
    <row r="3184" spans="1:6" hidden="1">
      <c r="A3184" t="s">
        <v>2899</v>
      </c>
      <c r="B3184" t="s">
        <v>2900</v>
      </c>
      <c r="C3184">
        <v>76144717</v>
      </c>
      <c r="D3184">
        <v>2502473</v>
      </c>
      <c r="E3184" t="s">
        <v>39</v>
      </c>
      <c r="F3184" s="5">
        <v>450</v>
      </c>
    </row>
    <row r="3185" spans="1:6">
      <c r="A3185" t="s">
        <v>2899</v>
      </c>
      <c r="B3185" t="s">
        <v>2900</v>
      </c>
      <c r="C3185">
        <v>76144717</v>
      </c>
      <c r="D3185">
        <v>2502473</v>
      </c>
      <c r="E3185" t="s">
        <v>729</v>
      </c>
      <c r="F3185" s="5">
        <v>200</v>
      </c>
    </row>
    <row r="3186" spans="1:6" hidden="1">
      <c r="A3186" t="s">
        <v>1970</v>
      </c>
      <c r="B3186" t="s">
        <v>1971</v>
      </c>
      <c r="C3186">
        <v>52072201</v>
      </c>
      <c r="D3186">
        <v>6023</v>
      </c>
      <c r="E3186" t="s">
        <v>39</v>
      </c>
      <c r="F3186" s="5">
        <v>300</v>
      </c>
    </row>
    <row r="3187" spans="1:6">
      <c r="A3187" t="s">
        <v>1970</v>
      </c>
      <c r="B3187" t="s">
        <v>1971</v>
      </c>
      <c r="C3187">
        <v>52072201</v>
      </c>
      <c r="D3187">
        <v>6023</v>
      </c>
      <c r="E3187" t="s">
        <v>729</v>
      </c>
      <c r="F3187" s="5">
        <v>200</v>
      </c>
    </row>
    <row r="3188" spans="1:6" hidden="1">
      <c r="A3188" t="s">
        <v>4484</v>
      </c>
      <c r="B3188" t="s">
        <v>4485</v>
      </c>
      <c r="C3188">
        <v>76251645</v>
      </c>
      <c r="D3188">
        <v>2002985</v>
      </c>
      <c r="E3188" t="s">
        <v>39</v>
      </c>
      <c r="F3188" s="5">
        <v>300</v>
      </c>
    </row>
    <row r="3189" spans="1:6">
      <c r="A3189" t="s">
        <v>4484</v>
      </c>
      <c r="B3189" t="s">
        <v>4485</v>
      </c>
      <c r="C3189">
        <v>76251645</v>
      </c>
      <c r="D3189">
        <v>2002985</v>
      </c>
      <c r="E3189" t="s">
        <v>729</v>
      </c>
      <c r="F3189" s="5">
        <v>200</v>
      </c>
    </row>
    <row r="3190" spans="1:6" hidden="1">
      <c r="A3190" t="s">
        <v>207</v>
      </c>
      <c r="B3190" t="s">
        <v>208</v>
      </c>
      <c r="C3190">
        <v>76233242</v>
      </c>
      <c r="D3190">
        <v>0</v>
      </c>
      <c r="E3190" t="s">
        <v>39</v>
      </c>
      <c r="F3190" s="5">
        <v>400</v>
      </c>
    </row>
    <row r="3191" spans="1:6">
      <c r="A3191" t="s">
        <v>207</v>
      </c>
      <c r="B3191" t="s">
        <v>208</v>
      </c>
      <c r="C3191">
        <v>76233242</v>
      </c>
      <c r="D3191">
        <v>0</v>
      </c>
      <c r="E3191" t="s">
        <v>729</v>
      </c>
      <c r="F3191" s="5">
        <v>200</v>
      </c>
    </row>
    <row r="3192" spans="1:6" hidden="1">
      <c r="A3192" t="s">
        <v>4088</v>
      </c>
      <c r="B3192" t="s">
        <v>4089</v>
      </c>
      <c r="C3192">
        <v>76230814</v>
      </c>
      <c r="D3192">
        <v>2502690</v>
      </c>
      <c r="E3192" t="s">
        <v>39</v>
      </c>
      <c r="F3192" s="5">
        <v>400</v>
      </c>
    </row>
    <row r="3193" spans="1:6">
      <c r="A3193" t="s">
        <v>4088</v>
      </c>
      <c r="B3193" t="s">
        <v>4089</v>
      </c>
      <c r="C3193">
        <v>76230814</v>
      </c>
      <c r="D3193">
        <v>2502690</v>
      </c>
      <c r="E3193" t="s">
        <v>729</v>
      </c>
      <c r="F3193" s="5">
        <v>200</v>
      </c>
    </row>
    <row r="3194" spans="1:6" hidden="1">
      <c r="A3194" t="s">
        <v>3847</v>
      </c>
      <c r="B3194" t="s">
        <v>3848</v>
      </c>
      <c r="C3194">
        <v>76223611</v>
      </c>
      <c r="D3194">
        <v>2001174</v>
      </c>
      <c r="E3194" t="s">
        <v>39</v>
      </c>
      <c r="F3194" s="5">
        <v>450</v>
      </c>
    </row>
    <row r="3195" spans="1:6">
      <c r="A3195" t="s">
        <v>3847</v>
      </c>
      <c r="B3195" t="s">
        <v>3848</v>
      </c>
      <c r="C3195">
        <v>76223611</v>
      </c>
      <c r="D3195">
        <v>2001174</v>
      </c>
      <c r="E3195" t="s">
        <v>729</v>
      </c>
      <c r="F3195" s="5">
        <v>200</v>
      </c>
    </row>
    <row r="3196" spans="1:6" hidden="1">
      <c r="A3196" t="s">
        <v>3753</v>
      </c>
      <c r="B3196" t="s">
        <v>3754</v>
      </c>
      <c r="C3196">
        <v>76220197</v>
      </c>
      <c r="D3196">
        <v>2001858</v>
      </c>
      <c r="E3196" t="s">
        <v>39</v>
      </c>
      <c r="F3196" s="5">
        <v>300</v>
      </c>
    </row>
    <row r="3197" spans="1:6">
      <c r="A3197" t="s">
        <v>3753</v>
      </c>
      <c r="B3197" t="s">
        <v>3754</v>
      </c>
      <c r="C3197">
        <v>76220197</v>
      </c>
      <c r="D3197">
        <v>2001858</v>
      </c>
      <c r="E3197" t="s">
        <v>729</v>
      </c>
      <c r="F3197" s="5">
        <v>200</v>
      </c>
    </row>
    <row r="3198" spans="1:6" hidden="1">
      <c r="A3198" t="s">
        <v>2148</v>
      </c>
      <c r="B3198" t="s">
        <v>2149</v>
      </c>
      <c r="C3198">
        <v>71053065</v>
      </c>
      <c r="D3198">
        <v>3000726</v>
      </c>
      <c r="E3198" t="s">
        <v>39</v>
      </c>
      <c r="F3198" s="5">
        <v>300</v>
      </c>
    </row>
    <row r="3199" spans="1:6">
      <c r="A3199" t="s">
        <v>2148</v>
      </c>
      <c r="B3199" t="s">
        <v>2149</v>
      </c>
      <c r="C3199">
        <v>71053065</v>
      </c>
      <c r="D3199">
        <v>3000726</v>
      </c>
      <c r="E3199" t="s">
        <v>729</v>
      </c>
      <c r="F3199" s="5">
        <v>200</v>
      </c>
    </row>
    <row r="3200" spans="1:6" hidden="1">
      <c r="A3200" t="s">
        <v>1869</v>
      </c>
      <c r="B3200" t="s">
        <v>1870</v>
      </c>
      <c r="C3200">
        <v>25300521</v>
      </c>
      <c r="D3200">
        <v>3001629</v>
      </c>
      <c r="E3200" t="s">
        <v>39</v>
      </c>
      <c r="F3200" s="5">
        <v>300</v>
      </c>
    </row>
    <row r="3201" spans="1:6">
      <c r="A3201" t="s">
        <v>1869</v>
      </c>
      <c r="B3201" t="s">
        <v>1870</v>
      </c>
      <c r="C3201">
        <v>25300521</v>
      </c>
      <c r="D3201">
        <v>3001629</v>
      </c>
      <c r="E3201" t="s">
        <v>729</v>
      </c>
      <c r="F3201" s="5">
        <v>200</v>
      </c>
    </row>
    <row r="3202" spans="1:6" hidden="1">
      <c r="A3202" t="s">
        <v>2326</v>
      </c>
      <c r="B3202" t="s">
        <v>2327</v>
      </c>
      <c r="C3202">
        <v>76021841</v>
      </c>
      <c r="D3202">
        <v>2002759</v>
      </c>
      <c r="E3202" t="s">
        <v>39</v>
      </c>
      <c r="F3202" s="5">
        <v>300</v>
      </c>
    </row>
    <row r="3203" spans="1:6">
      <c r="A3203" t="s">
        <v>2326</v>
      </c>
      <c r="B3203" t="s">
        <v>2327</v>
      </c>
      <c r="C3203">
        <v>76021841</v>
      </c>
      <c r="D3203">
        <v>2002759</v>
      </c>
      <c r="E3203" t="s">
        <v>729</v>
      </c>
      <c r="F3203" s="5">
        <v>200</v>
      </c>
    </row>
    <row r="3204" spans="1:6" hidden="1">
      <c r="A3204" t="s">
        <v>1855</v>
      </c>
      <c r="B3204" t="s">
        <v>1856</v>
      </c>
      <c r="C3204">
        <v>25298904</v>
      </c>
      <c r="D3204">
        <v>10169</v>
      </c>
      <c r="E3204" t="s">
        <v>39</v>
      </c>
      <c r="F3204" s="5">
        <v>300</v>
      </c>
    </row>
    <row r="3205" spans="1:6">
      <c r="A3205" t="s">
        <v>1855</v>
      </c>
      <c r="B3205" t="s">
        <v>1856</v>
      </c>
      <c r="C3205">
        <v>25298904</v>
      </c>
      <c r="D3205">
        <v>10169</v>
      </c>
      <c r="E3205" t="s">
        <v>729</v>
      </c>
      <c r="F3205" s="5">
        <v>200</v>
      </c>
    </row>
    <row r="3206" spans="1:6" hidden="1">
      <c r="A3206" t="s">
        <v>4521</v>
      </c>
      <c r="B3206" t="s">
        <v>4522</v>
      </c>
      <c r="C3206">
        <v>76252980</v>
      </c>
      <c r="D3206">
        <v>2003074</v>
      </c>
      <c r="E3206" t="s">
        <v>39</v>
      </c>
      <c r="F3206" s="5">
        <v>300</v>
      </c>
    </row>
    <row r="3207" spans="1:6">
      <c r="A3207" t="s">
        <v>4521</v>
      </c>
      <c r="B3207" t="s">
        <v>4522</v>
      </c>
      <c r="C3207">
        <v>76252980</v>
      </c>
      <c r="D3207">
        <v>2003074</v>
      </c>
      <c r="E3207" t="s">
        <v>729</v>
      </c>
      <c r="F3207" s="5">
        <v>200</v>
      </c>
    </row>
    <row r="3208" spans="1:6" hidden="1">
      <c r="A3208" t="s">
        <v>3051</v>
      </c>
      <c r="B3208" t="s">
        <v>3052</v>
      </c>
      <c r="C3208">
        <v>76164461</v>
      </c>
      <c r="D3208">
        <v>10098</v>
      </c>
      <c r="E3208" t="s">
        <v>39</v>
      </c>
      <c r="F3208" s="5">
        <v>300</v>
      </c>
    </row>
    <row r="3209" spans="1:6">
      <c r="A3209" t="s">
        <v>3051</v>
      </c>
      <c r="B3209" t="s">
        <v>3052</v>
      </c>
      <c r="C3209">
        <v>76164461</v>
      </c>
      <c r="D3209">
        <v>10098</v>
      </c>
      <c r="E3209" t="s">
        <v>729</v>
      </c>
      <c r="F3209" s="5">
        <v>200</v>
      </c>
    </row>
    <row r="3210" spans="1:6" hidden="1">
      <c r="A3210" t="s">
        <v>2394</v>
      </c>
      <c r="B3210" t="s">
        <v>2395</v>
      </c>
      <c r="C3210">
        <v>76030678</v>
      </c>
      <c r="D3210">
        <v>2000239</v>
      </c>
      <c r="E3210" t="s">
        <v>39</v>
      </c>
      <c r="F3210" s="5">
        <v>300</v>
      </c>
    </row>
    <row r="3211" spans="1:6">
      <c r="A3211" t="s">
        <v>2394</v>
      </c>
      <c r="B3211" t="s">
        <v>2395</v>
      </c>
      <c r="C3211">
        <v>76030678</v>
      </c>
      <c r="D3211">
        <v>2000239</v>
      </c>
      <c r="E3211" t="s">
        <v>729</v>
      </c>
      <c r="F3211" s="5">
        <v>200</v>
      </c>
    </row>
    <row r="3212" spans="1:6" hidden="1">
      <c r="A3212" t="s">
        <v>3501</v>
      </c>
      <c r="B3212" t="s">
        <v>3502</v>
      </c>
      <c r="C3212">
        <v>76209028</v>
      </c>
      <c r="D3212">
        <v>2503281</v>
      </c>
      <c r="E3212" t="s">
        <v>39</v>
      </c>
      <c r="F3212" s="5">
        <v>400</v>
      </c>
    </row>
    <row r="3213" spans="1:6">
      <c r="A3213" t="s">
        <v>3501</v>
      </c>
      <c r="B3213" t="s">
        <v>3502</v>
      </c>
      <c r="C3213">
        <v>76209028</v>
      </c>
      <c r="D3213">
        <v>2503281</v>
      </c>
      <c r="E3213" t="s">
        <v>729</v>
      </c>
      <c r="F3213" s="5">
        <v>200</v>
      </c>
    </row>
    <row r="3214" spans="1:6" hidden="1">
      <c r="A3214" t="s">
        <v>4519</v>
      </c>
      <c r="B3214" t="s">
        <v>4520</v>
      </c>
      <c r="C3214">
        <v>76252940</v>
      </c>
      <c r="D3214">
        <v>2003073</v>
      </c>
      <c r="E3214" t="s">
        <v>39</v>
      </c>
      <c r="F3214" s="5">
        <v>300</v>
      </c>
    </row>
    <row r="3215" spans="1:6">
      <c r="A3215" t="s">
        <v>4519</v>
      </c>
      <c r="B3215" t="s">
        <v>4520</v>
      </c>
      <c r="C3215">
        <v>76252940</v>
      </c>
      <c r="D3215">
        <v>2003073</v>
      </c>
      <c r="E3215" t="s">
        <v>729</v>
      </c>
      <c r="F3215" s="5">
        <v>200</v>
      </c>
    </row>
    <row r="3216" spans="1:6" hidden="1">
      <c r="A3216" t="s">
        <v>2156</v>
      </c>
      <c r="B3216" t="s">
        <v>2157</v>
      </c>
      <c r="C3216">
        <v>71053697</v>
      </c>
      <c r="D3216">
        <v>1500223</v>
      </c>
      <c r="E3216" t="s">
        <v>39</v>
      </c>
      <c r="F3216" s="5">
        <v>300</v>
      </c>
    </row>
    <row r="3217" spans="1:6">
      <c r="A3217" t="s">
        <v>2156</v>
      </c>
      <c r="B3217" t="s">
        <v>2157</v>
      </c>
      <c r="C3217">
        <v>71053697</v>
      </c>
      <c r="D3217">
        <v>1500223</v>
      </c>
      <c r="E3217" t="s">
        <v>729</v>
      </c>
      <c r="F3217" s="5">
        <v>200</v>
      </c>
    </row>
    <row r="3218" spans="1:6" hidden="1">
      <c r="A3218" t="s">
        <v>2787</v>
      </c>
      <c r="B3218" t="s">
        <v>2788</v>
      </c>
      <c r="C3218">
        <v>76076543</v>
      </c>
      <c r="D3218">
        <v>1500222</v>
      </c>
      <c r="E3218" t="s">
        <v>39</v>
      </c>
      <c r="F3218" s="5">
        <v>300</v>
      </c>
    </row>
    <row r="3219" spans="1:6">
      <c r="A3219" t="s">
        <v>2787</v>
      </c>
      <c r="B3219" t="s">
        <v>2788</v>
      </c>
      <c r="C3219">
        <v>76076543</v>
      </c>
      <c r="D3219">
        <v>1500222</v>
      </c>
      <c r="E3219" t="s">
        <v>729</v>
      </c>
      <c r="F3219" s="5">
        <v>200</v>
      </c>
    </row>
    <row r="3220" spans="1:6" hidden="1">
      <c r="A3220" t="s">
        <v>2392</v>
      </c>
      <c r="B3220" t="s">
        <v>2393</v>
      </c>
      <c r="C3220">
        <v>76030318</v>
      </c>
      <c r="D3220">
        <v>2503285</v>
      </c>
      <c r="E3220" t="s">
        <v>39</v>
      </c>
      <c r="F3220" s="5">
        <v>300</v>
      </c>
    </row>
    <row r="3221" spans="1:6">
      <c r="A3221" t="s">
        <v>2392</v>
      </c>
      <c r="B3221" t="s">
        <v>2393</v>
      </c>
      <c r="C3221">
        <v>76030318</v>
      </c>
      <c r="D3221">
        <v>2503285</v>
      </c>
      <c r="E3221" t="s">
        <v>729</v>
      </c>
      <c r="F3221" s="5">
        <v>200</v>
      </c>
    </row>
    <row r="3222" spans="1:6" hidden="1">
      <c r="A3222" t="s">
        <v>4559</v>
      </c>
      <c r="B3222" t="s">
        <v>4560</v>
      </c>
      <c r="C3222">
        <v>76255194</v>
      </c>
      <c r="D3222">
        <v>3000316</v>
      </c>
      <c r="E3222" t="s">
        <v>39</v>
      </c>
      <c r="F3222" s="5">
        <v>300</v>
      </c>
    </row>
    <row r="3223" spans="1:6">
      <c r="A3223" t="s">
        <v>4559</v>
      </c>
      <c r="B3223" t="s">
        <v>4560</v>
      </c>
      <c r="C3223">
        <v>76255194</v>
      </c>
      <c r="D3223">
        <v>3000316</v>
      </c>
      <c r="E3223" t="s">
        <v>729</v>
      </c>
      <c r="F3223" s="5">
        <v>200</v>
      </c>
    </row>
    <row r="3224" spans="1:6" hidden="1">
      <c r="A3224" t="s">
        <v>3319</v>
      </c>
      <c r="B3224" t="s">
        <v>3320</v>
      </c>
      <c r="C3224">
        <v>76195982</v>
      </c>
      <c r="D3224">
        <v>2001448</v>
      </c>
      <c r="E3224" t="s">
        <v>39</v>
      </c>
      <c r="F3224" s="5">
        <v>300</v>
      </c>
    </row>
    <row r="3225" spans="1:6">
      <c r="A3225" t="s">
        <v>3319</v>
      </c>
      <c r="B3225" t="s">
        <v>3320</v>
      </c>
      <c r="C3225">
        <v>76195982</v>
      </c>
      <c r="D3225">
        <v>2001448</v>
      </c>
      <c r="E3225" t="s">
        <v>729</v>
      </c>
      <c r="F3225" s="5">
        <v>200</v>
      </c>
    </row>
    <row r="3226" spans="1:6" hidden="1">
      <c r="A3226" t="s">
        <v>3129</v>
      </c>
      <c r="B3226" t="s">
        <v>3130</v>
      </c>
      <c r="C3226">
        <v>76171624</v>
      </c>
      <c r="D3226">
        <v>143018</v>
      </c>
      <c r="E3226" t="s">
        <v>39</v>
      </c>
      <c r="F3226" s="5">
        <v>300</v>
      </c>
    </row>
    <row r="3227" spans="1:6">
      <c r="A3227" t="s">
        <v>3129</v>
      </c>
      <c r="B3227" t="s">
        <v>3130</v>
      </c>
      <c r="C3227">
        <v>76171624</v>
      </c>
      <c r="D3227">
        <v>143018</v>
      </c>
      <c r="E3227" t="s">
        <v>729</v>
      </c>
      <c r="F3227" s="5">
        <v>200</v>
      </c>
    </row>
    <row r="3228" spans="1:6" hidden="1">
      <c r="A3228" t="s">
        <v>4086</v>
      </c>
      <c r="B3228" t="s">
        <v>4087</v>
      </c>
      <c r="C3228">
        <v>76230643</v>
      </c>
      <c r="D3228">
        <v>3000081</v>
      </c>
      <c r="E3228" t="s">
        <v>39</v>
      </c>
      <c r="F3228" s="5">
        <v>400</v>
      </c>
    </row>
    <row r="3229" spans="1:6">
      <c r="A3229" t="s">
        <v>4086</v>
      </c>
      <c r="B3229" t="s">
        <v>4087</v>
      </c>
      <c r="C3229">
        <v>76230643</v>
      </c>
      <c r="D3229">
        <v>3000081</v>
      </c>
      <c r="E3229" t="s">
        <v>729</v>
      </c>
      <c r="F3229" s="5">
        <v>200</v>
      </c>
    </row>
    <row r="3230" spans="1:6" hidden="1">
      <c r="A3230" t="s">
        <v>4396</v>
      </c>
      <c r="B3230" t="s">
        <v>4397</v>
      </c>
      <c r="C3230">
        <v>76244565</v>
      </c>
      <c r="D3230">
        <v>2002869</v>
      </c>
      <c r="E3230" t="s">
        <v>39</v>
      </c>
      <c r="F3230" s="5">
        <v>300</v>
      </c>
    </row>
    <row r="3231" spans="1:6">
      <c r="A3231" t="s">
        <v>4396</v>
      </c>
      <c r="B3231" t="s">
        <v>4397</v>
      </c>
      <c r="C3231">
        <v>76244565</v>
      </c>
      <c r="D3231">
        <v>2002869</v>
      </c>
      <c r="E3231" t="s">
        <v>729</v>
      </c>
      <c r="F3231" s="5">
        <v>200</v>
      </c>
    </row>
    <row r="3232" spans="1:6" hidden="1">
      <c r="A3232" t="s">
        <v>3117</v>
      </c>
      <c r="B3232" t="s">
        <v>3118</v>
      </c>
      <c r="C3232">
        <v>76170343</v>
      </c>
      <c r="D3232">
        <v>9049</v>
      </c>
      <c r="E3232" t="s">
        <v>39</v>
      </c>
      <c r="F3232" s="5">
        <v>300</v>
      </c>
    </row>
    <row r="3233" spans="1:6">
      <c r="A3233" t="s">
        <v>3117</v>
      </c>
      <c r="B3233" t="s">
        <v>3118</v>
      </c>
      <c r="C3233">
        <v>76170343</v>
      </c>
      <c r="D3233">
        <v>9049</v>
      </c>
      <c r="E3233" t="s">
        <v>729</v>
      </c>
      <c r="F3233" s="5">
        <v>200</v>
      </c>
    </row>
    <row r="3234" spans="1:6" hidden="1">
      <c r="A3234" t="s">
        <v>2929</v>
      </c>
      <c r="B3234" t="s">
        <v>2930</v>
      </c>
      <c r="C3234">
        <v>76149630</v>
      </c>
      <c r="D3234">
        <v>2000733</v>
      </c>
      <c r="E3234" t="s">
        <v>39</v>
      </c>
      <c r="F3234" s="5">
        <v>300</v>
      </c>
    </row>
    <row r="3235" spans="1:6">
      <c r="A3235" t="s">
        <v>2929</v>
      </c>
      <c r="B3235" t="s">
        <v>2930</v>
      </c>
      <c r="C3235">
        <v>76149630</v>
      </c>
      <c r="D3235">
        <v>2000733</v>
      </c>
      <c r="E3235" t="s">
        <v>729</v>
      </c>
      <c r="F3235" s="5">
        <v>200</v>
      </c>
    </row>
    <row r="3236" spans="1:6" hidden="1">
      <c r="A3236" t="s">
        <v>2044</v>
      </c>
      <c r="B3236" t="s">
        <v>2045</v>
      </c>
      <c r="C3236">
        <v>71042332</v>
      </c>
      <c r="D3236">
        <v>8104</v>
      </c>
      <c r="E3236" t="s">
        <v>39</v>
      </c>
      <c r="F3236" s="5">
        <v>300</v>
      </c>
    </row>
    <row r="3237" spans="1:6">
      <c r="A3237" t="s">
        <v>2044</v>
      </c>
      <c r="B3237" t="s">
        <v>2045</v>
      </c>
      <c r="C3237">
        <v>71042332</v>
      </c>
      <c r="D3237">
        <v>8104</v>
      </c>
      <c r="E3237" t="s">
        <v>729</v>
      </c>
      <c r="F3237" s="5">
        <v>200</v>
      </c>
    </row>
    <row r="3238" spans="1:6" hidden="1">
      <c r="A3238" t="s">
        <v>1268</v>
      </c>
      <c r="B3238" t="s">
        <v>1295</v>
      </c>
      <c r="C3238">
        <v>25149306</v>
      </c>
      <c r="D3238">
        <v>2501243</v>
      </c>
      <c r="E3238" t="s">
        <v>39</v>
      </c>
      <c r="F3238" s="5">
        <v>300</v>
      </c>
    </row>
    <row r="3239" spans="1:6">
      <c r="A3239" t="s">
        <v>1268</v>
      </c>
      <c r="B3239" t="s">
        <v>1295</v>
      </c>
      <c r="C3239">
        <v>25149306</v>
      </c>
      <c r="D3239">
        <v>2501243</v>
      </c>
      <c r="E3239" t="s">
        <v>729</v>
      </c>
      <c r="F3239" s="5">
        <v>200</v>
      </c>
    </row>
    <row r="3240" spans="1:6" hidden="1">
      <c r="A3240" t="s">
        <v>2184</v>
      </c>
      <c r="B3240" t="s">
        <v>2185</v>
      </c>
      <c r="C3240">
        <v>71056819</v>
      </c>
      <c r="D3240">
        <v>8081</v>
      </c>
      <c r="E3240" t="s">
        <v>39</v>
      </c>
      <c r="F3240" s="5">
        <v>300</v>
      </c>
    </row>
    <row r="3241" spans="1:6">
      <c r="A3241" t="s">
        <v>2184</v>
      </c>
      <c r="B3241" t="s">
        <v>2185</v>
      </c>
      <c r="C3241">
        <v>71056819</v>
      </c>
      <c r="D3241">
        <v>8081</v>
      </c>
      <c r="E3241" t="s">
        <v>729</v>
      </c>
      <c r="F3241" s="5">
        <v>200</v>
      </c>
    </row>
    <row r="3242" spans="1:6" hidden="1">
      <c r="A3242" t="s">
        <v>2032</v>
      </c>
      <c r="B3242" t="s">
        <v>2033</v>
      </c>
      <c r="C3242">
        <v>71040845</v>
      </c>
      <c r="D3242">
        <v>3000554</v>
      </c>
      <c r="E3242" t="s">
        <v>39</v>
      </c>
      <c r="F3242" s="5">
        <v>300</v>
      </c>
    </row>
    <row r="3243" spans="1:6">
      <c r="A3243" t="s">
        <v>2032</v>
      </c>
      <c r="B3243" t="s">
        <v>2033</v>
      </c>
      <c r="C3243">
        <v>71040845</v>
      </c>
      <c r="D3243">
        <v>3000554</v>
      </c>
      <c r="E3243" t="s">
        <v>729</v>
      </c>
      <c r="F3243" s="5">
        <v>200</v>
      </c>
    </row>
    <row r="3244" spans="1:6" hidden="1">
      <c r="A3244" t="s">
        <v>497</v>
      </c>
      <c r="B3244" t="s">
        <v>498</v>
      </c>
      <c r="C3244">
        <v>76044062</v>
      </c>
      <c r="D3244">
        <v>2503554</v>
      </c>
      <c r="E3244" t="s">
        <v>39</v>
      </c>
      <c r="F3244" s="5">
        <v>300</v>
      </c>
    </row>
    <row r="3245" spans="1:6">
      <c r="A3245" t="s">
        <v>497</v>
      </c>
      <c r="B3245" t="s">
        <v>498</v>
      </c>
      <c r="C3245">
        <v>76044062</v>
      </c>
      <c r="D3245">
        <v>2503554</v>
      </c>
      <c r="E3245" t="s">
        <v>729</v>
      </c>
      <c r="F3245" s="5">
        <v>200</v>
      </c>
    </row>
    <row r="3246" spans="1:6" hidden="1">
      <c r="A3246" t="s">
        <v>2991</v>
      </c>
      <c r="B3246" t="s">
        <v>2992</v>
      </c>
      <c r="C3246">
        <v>76157328</v>
      </c>
      <c r="D3246">
        <v>532</v>
      </c>
      <c r="E3246" t="s">
        <v>39</v>
      </c>
      <c r="F3246" s="5">
        <v>300</v>
      </c>
    </row>
    <row r="3247" spans="1:6">
      <c r="A3247" t="s">
        <v>2991</v>
      </c>
      <c r="B3247" t="s">
        <v>2992</v>
      </c>
      <c r="C3247">
        <v>76157328</v>
      </c>
      <c r="D3247">
        <v>532</v>
      </c>
      <c r="E3247" t="s">
        <v>729</v>
      </c>
      <c r="F3247" s="5">
        <v>200</v>
      </c>
    </row>
    <row r="3248" spans="1:6" hidden="1">
      <c r="A3248" t="s">
        <v>2510</v>
      </c>
      <c r="B3248" t="s">
        <v>2511</v>
      </c>
      <c r="C3248">
        <v>76042979</v>
      </c>
      <c r="D3248">
        <v>8048</v>
      </c>
      <c r="E3248" t="s">
        <v>39</v>
      </c>
      <c r="F3248" s="5">
        <v>450</v>
      </c>
    </row>
    <row r="3249" spans="1:6">
      <c r="A3249" t="s">
        <v>2510</v>
      </c>
      <c r="B3249" t="s">
        <v>2511</v>
      </c>
      <c r="C3249">
        <v>76042979</v>
      </c>
      <c r="D3249">
        <v>8048</v>
      </c>
      <c r="E3249" t="s">
        <v>729</v>
      </c>
      <c r="F3249" s="5">
        <v>200</v>
      </c>
    </row>
    <row r="3250" spans="1:6" hidden="1">
      <c r="A3250" t="s">
        <v>3397</v>
      </c>
      <c r="B3250" t="s">
        <v>3398</v>
      </c>
      <c r="C3250">
        <v>76204278</v>
      </c>
      <c r="D3250">
        <v>2001698</v>
      </c>
      <c r="E3250" t="s">
        <v>39</v>
      </c>
      <c r="F3250" s="5">
        <v>400</v>
      </c>
    </row>
    <row r="3251" spans="1:6">
      <c r="A3251" t="s">
        <v>3397</v>
      </c>
      <c r="B3251" t="s">
        <v>3398</v>
      </c>
      <c r="C3251">
        <v>76204278</v>
      </c>
      <c r="D3251">
        <v>2001698</v>
      </c>
      <c r="E3251" t="s">
        <v>729</v>
      </c>
      <c r="F3251" s="5">
        <v>200</v>
      </c>
    </row>
    <row r="3252" spans="1:6" hidden="1">
      <c r="A3252" t="s">
        <v>1647</v>
      </c>
      <c r="B3252" t="s">
        <v>1648</v>
      </c>
      <c r="C3252">
        <v>8300105</v>
      </c>
      <c r="D3252">
        <v>2001705</v>
      </c>
      <c r="E3252" t="s">
        <v>39</v>
      </c>
      <c r="F3252" s="5">
        <v>400</v>
      </c>
    </row>
    <row r="3253" spans="1:6">
      <c r="A3253" t="s">
        <v>1647</v>
      </c>
      <c r="B3253" t="s">
        <v>1648</v>
      </c>
      <c r="C3253">
        <v>8300105</v>
      </c>
      <c r="D3253">
        <v>2001705</v>
      </c>
      <c r="E3253" t="s">
        <v>729</v>
      </c>
      <c r="F3253" s="5">
        <v>200</v>
      </c>
    </row>
    <row r="3254" spans="1:6" hidden="1">
      <c r="A3254" t="s">
        <v>2120</v>
      </c>
      <c r="B3254" t="s">
        <v>2121</v>
      </c>
      <c r="C3254">
        <v>71049363</v>
      </c>
      <c r="D3254">
        <v>2001710</v>
      </c>
      <c r="E3254" t="s">
        <v>39</v>
      </c>
      <c r="F3254" s="5">
        <v>300</v>
      </c>
    </row>
    <row r="3255" spans="1:6">
      <c r="A3255" t="s">
        <v>2120</v>
      </c>
      <c r="B3255" t="s">
        <v>2121</v>
      </c>
      <c r="C3255">
        <v>71049363</v>
      </c>
      <c r="D3255">
        <v>2001710</v>
      </c>
      <c r="E3255" t="s">
        <v>729</v>
      </c>
      <c r="F3255" s="5">
        <v>200</v>
      </c>
    </row>
    <row r="3256" spans="1:6" hidden="1">
      <c r="A3256" t="s">
        <v>3641</v>
      </c>
      <c r="B3256" t="s">
        <v>3642</v>
      </c>
      <c r="C3256">
        <v>76214560</v>
      </c>
      <c r="D3256">
        <v>2503608</v>
      </c>
      <c r="E3256" t="s">
        <v>39</v>
      </c>
      <c r="F3256" s="5">
        <v>300</v>
      </c>
    </row>
    <row r="3257" spans="1:6">
      <c r="A3257" t="s">
        <v>3641</v>
      </c>
      <c r="B3257" t="s">
        <v>3642</v>
      </c>
      <c r="C3257">
        <v>76214560</v>
      </c>
      <c r="D3257">
        <v>2503608</v>
      </c>
      <c r="E3257" t="s">
        <v>729</v>
      </c>
      <c r="F3257" s="5">
        <v>200</v>
      </c>
    </row>
    <row r="3258" spans="1:6" hidden="1">
      <c r="A3258" t="s">
        <v>572</v>
      </c>
      <c r="B3258" t="s">
        <v>573</v>
      </c>
      <c r="C3258">
        <v>76188296</v>
      </c>
      <c r="D3258">
        <v>3001076</v>
      </c>
      <c r="E3258" t="s">
        <v>39</v>
      </c>
      <c r="F3258" s="5">
        <v>300</v>
      </c>
    </row>
    <row r="3259" spans="1:6">
      <c r="A3259" t="s">
        <v>572</v>
      </c>
      <c r="B3259" t="s">
        <v>573</v>
      </c>
      <c r="C3259">
        <v>76188296</v>
      </c>
      <c r="D3259">
        <v>3001076</v>
      </c>
      <c r="E3259" t="s">
        <v>729</v>
      </c>
      <c r="F3259" s="5">
        <v>200</v>
      </c>
    </row>
    <row r="3260" spans="1:6" hidden="1">
      <c r="A3260" t="s">
        <v>566</v>
      </c>
      <c r="B3260" t="s">
        <v>567</v>
      </c>
      <c r="C3260">
        <v>76181513</v>
      </c>
      <c r="D3260">
        <v>3001083</v>
      </c>
      <c r="E3260" t="s">
        <v>39</v>
      </c>
      <c r="F3260" s="5">
        <v>300</v>
      </c>
    </row>
    <row r="3261" spans="1:6">
      <c r="A3261" t="s">
        <v>566</v>
      </c>
      <c r="B3261" t="s">
        <v>567</v>
      </c>
      <c r="C3261">
        <v>76181513</v>
      </c>
      <c r="D3261">
        <v>3001083</v>
      </c>
      <c r="E3261" t="s">
        <v>729</v>
      </c>
      <c r="F3261" s="5">
        <v>200</v>
      </c>
    </row>
    <row r="3262" spans="1:6" hidden="1">
      <c r="A3262" t="s">
        <v>2741</v>
      </c>
      <c r="B3262" t="s">
        <v>2742</v>
      </c>
      <c r="C3262">
        <v>76072230</v>
      </c>
      <c r="D3262">
        <v>2000509</v>
      </c>
      <c r="E3262" t="s">
        <v>39</v>
      </c>
      <c r="F3262" s="5">
        <v>300</v>
      </c>
    </row>
    <row r="3263" spans="1:6">
      <c r="A3263" t="s">
        <v>2741</v>
      </c>
      <c r="B3263" t="s">
        <v>2742</v>
      </c>
      <c r="C3263">
        <v>76072230</v>
      </c>
      <c r="D3263">
        <v>2000509</v>
      </c>
      <c r="E3263" t="s">
        <v>729</v>
      </c>
      <c r="F3263" s="5">
        <v>200</v>
      </c>
    </row>
    <row r="3264" spans="1:6" hidden="1">
      <c r="A3264" t="s">
        <v>533</v>
      </c>
      <c r="B3264" t="s">
        <v>534</v>
      </c>
      <c r="C3264">
        <v>76159225</v>
      </c>
      <c r="D3264">
        <v>2502115</v>
      </c>
      <c r="E3264" t="s">
        <v>39</v>
      </c>
      <c r="F3264" s="5">
        <v>300</v>
      </c>
    </row>
    <row r="3265" spans="1:6">
      <c r="A3265" t="s">
        <v>533</v>
      </c>
      <c r="B3265" t="s">
        <v>534</v>
      </c>
      <c r="C3265">
        <v>76159225</v>
      </c>
      <c r="D3265">
        <v>2502115</v>
      </c>
      <c r="E3265" t="s">
        <v>729</v>
      </c>
      <c r="F3265" s="5">
        <v>200</v>
      </c>
    </row>
    <row r="3266" spans="1:6" hidden="1">
      <c r="A3266" t="s">
        <v>2388</v>
      </c>
      <c r="B3266" t="s">
        <v>2389</v>
      </c>
      <c r="C3266">
        <v>76027813</v>
      </c>
      <c r="D3266">
        <v>8060</v>
      </c>
      <c r="E3266" t="s">
        <v>39</v>
      </c>
      <c r="F3266" s="5">
        <v>450</v>
      </c>
    </row>
    <row r="3267" spans="1:6">
      <c r="A3267" t="s">
        <v>2388</v>
      </c>
      <c r="B3267" t="s">
        <v>2389</v>
      </c>
      <c r="C3267">
        <v>76027813</v>
      </c>
      <c r="D3267">
        <v>8060</v>
      </c>
      <c r="E3267" t="s">
        <v>729</v>
      </c>
      <c r="F3267" s="5">
        <v>200</v>
      </c>
    </row>
    <row r="3268" spans="1:6" hidden="1">
      <c r="A3268" t="s">
        <v>3833</v>
      </c>
      <c r="B3268" t="s">
        <v>3834</v>
      </c>
      <c r="C3268">
        <v>76222986</v>
      </c>
      <c r="D3268">
        <v>2503556</v>
      </c>
      <c r="E3268" t="s">
        <v>39</v>
      </c>
      <c r="F3268" s="5">
        <v>300</v>
      </c>
    </row>
    <row r="3269" spans="1:6">
      <c r="A3269" t="s">
        <v>3833</v>
      </c>
      <c r="B3269" t="s">
        <v>3834</v>
      </c>
      <c r="C3269">
        <v>76222986</v>
      </c>
      <c r="D3269">
        <v>2503556</v>
      </c>
      <c r="E3269" t="s">
        <v>729</v>
      </c>
      <c r="F3269" s="5">
        <v>200</v>
      </c>
    </row>
    <row r="3270" spans="1:6" hidden="1">
      <c r="A3270" t="s">
        <v>1527</v>
      </c>
      <c r="B3270" t="s">
        <v>1528</v>
      </c>
      <c r="C3270">
        <v>1046701</v>
      </c>
      <c r="D3270">
        <v>2503537</v>
      </c>
      <c r="E3270" t="s">
        <v>39</v>
      </c>
      <c r="F3270" s="5">
        <v>300</v>
      </c>
    </row>
    <row r="3271" spans="1:6">
      <c r="A3271" t="s">
        <v>1527</v>
      </c>
      <c r="B3271" t="s">
        <v>1528</v>
      </c>
      <c r="C3271">
        <v>1046701</v>
      </c>
      <c r="D3271">
        <v>2503537</v>
      </c>
      <c r="E3271" t="s">
        <v>729</v>
      </c>
      <c r="F3271" s="5">
        <v>200</v>
      </c>
    </row>
    <row r="3272" spans="1:6" hidden="1">
      <c r="A3272" t="s">
        <v>3071</v>
      </c>
      <c r="B3272" t="s">
        <v>3072</v>
      </c>
      <c r="C3272">
        <v>76164507</v>
      </c>
      <c r="D3272" t="s">
        <v>438</v>
      </c>
      <c r="E3272" t="s">
        <v>39</v>
      </c>
      <c r="F3272" s="5">
        <v>300</v>
      </c>
    </row>
    <row r="3273" spans="1:6">
      <c r="A3273" t="s">
        <v>3071</v>
      </c>
      <c r="B3273" t="s">
        <v>3072</v>
      </c>
      <c r="C3273">
        <v>76164507</v>
      </c>
      <c r="D3273" t="s">
        <v>438</v>
      </c>
      <c r="E3273" t="s">
        <v>729</v>
      </c>
      <c r="F3273" s="5">
        <v>200</v>
      </c>
    </row>
    <row r="3274" spans="1:6" hidden="1">
      <c r="A3274" t="s">
        <v>3087</v>
      </c>
      <c r="B3274" t="s">
        <v>3088</v>
      </c>
      <c r="C3274">
        <v>76167047</v>
      </c>
      <c r="D3274">
        <v>3000746</v>
      </c>
      <c r="E3274" t="s">
        <v>39</v>
      </c>
      <c r="F3274" s="5">
        <v>300</v>
      </c>
    </row>
    <row r="3275" spans="1:6">
      <c r="A3275" t="s">
        <v>3087</v>
      </c>
      <c r="B3275" t="s">
        <v>3088</v>
      </c>
      <c r="C3275">
        <v>76167047</v>
      </c>
      <c r="D3275">
        <v>3000746</v>
      </c>
      <c r="E3275" t="s">
        <v>729</v>
      </c>
      <c r="F3275" s="5">
        <v>200</v>
      </c>
    </row>
    <row r="3276" spans="1:6" hidden="1">
      <c r="A3276" t="s">
        <v>192</v>
      </c>
      <c r="B3276" t="s">
        <v>193</v>
      </c>
      <c r="C3276">
        <v>76232064</v>
      </c>
      <c r="D3276">
        <v>2502968</v>
      </c>
      <c r="E3276" t="s">
        <v>39</v>
      </c>
      <c r="F3276" s="5">
        <v>300</v>
      </c>
    </row>
    <row r="3277" spans="1:6">
      <c r="A3277" t="s">
        <v>192</v>
      </c>
      <c r="B3277" t="s">
        <v>193</v>
      </c>
      <c r="C3277">
        <v>76232064</v>
      </c>
      <c r="D3277">
        <v>2502968</v>
      </c>
      <c r="E3277" t="s">
        <v>729</v>
      </c>
      <c r="F3277" s="5">
        <v>200</v>
      </c>
    </row>
    <row r="3278" spans="1:6" hidden="1">
      <c r="A3278" t="s">
        <v>2534</v>
      </c>
      <c r="B3278" t="s">
        <v>2535</v>
      </c>
      <c r="C3278">
        <v>76045003</v>
      </c>
      <c r="D3278">
        <v>2501055</v>
      </c>
      <c r="E3278" t="s">
        <v>39</v>
      </c>
      <c r="F3278" s="5">
        <v>300</v>
      </c>
    </row>
    <row r="3279" spans="1:6">
      <c r="A3279" t="s">
        <v>2534</v>
      </c>
      <c r="B3279" t="s">
        <v>2535</v>
      </c>
      <c r="C3279">
        <v>76045003</v>
      </c>
      <c r="D3279">
        <v>2501055</v>
      </c>
      <c r="E3279" t="s">
        <v>729</v>
      </c>
      <c r="F3279" s="5">
        <v>200</v>
      </c>
    </row>
    <row r="3280" spans="1:6" hidden="1">
      <c r="A3280" t="s">
        <v>2883</v>
      </c>
      <c r="B3280" t="s">
        <v>2884</v>
      </c>
      <c r="C3280">
        <v>76141860</v>
      </c>
      <c r="D3280">
        <v>2001293</v>
      </c>
      <c r="E3280" t="s">
        <v>39</v>
      </c>
      <c r="F3280" s="5">
        <v>300</v>
      </c>
    </row>
    <row r="3281" spans="1:6">
      <c r="A3281" t="s">
        <v>2883</v>
      </c>
      <c r="B3281" t="s">
        <v>2884</v>
      </c>
      <c r="C3281">
        <v>76141860</v>
      </c>
      <c r="D3281">
        <v>2001293</v>
      </c>
      <c r="E3281" t="s">
        <v>729</v>
      </c>
      <c r="F3281" s="5">
        <v>200</v>
      </c>
    </row>
    <row r="3282" spans="1:6" hidden="1">
      <c r="A3282" t="s">
        <v>4362</v>
      </c>
      <c r="B3282" t="s">
        <v>4363</v>
      </c>
      <c r="C3282">
        <v>76242076</v>
      </c>
      <c r="D3282">
        <v>3000730</v>
      </c>
      <c r="E3282" t="s">
        <v>39</v>
      </c>
      <c r="F3282" s="5">
        <v>300</v>
      </c>
    </row>
    <row r="3283" spans="1:6">
      <c r="A3283" t="s">
        <v>4362</v>
      </c>
      <c r="B3283" t="s">
        <v>4363</v>
      </c>
      <c r="C3283">
        <v>76242076</v>
      </c>
      <c r="D3283">
        <v>3000730</v>
      </c>
      <c r="E3283" t="s">
        <v>729</v>
      </c>
      <c r="F3283" s="5">
        <v>200</v>
      </c>
    </row>
    <row r="3284" spans="1:6" hidden="1">
      <c r="A3284" t="s">
        <v>2885</v>
      </c>
      <c r="B3284" t="s">
        <v>2886</v>
      </c>
      <c r="C3284">
        <v>76141861</v>
      </c>
      <c r="D3284">
        <v>2001309</v>
      </c>
      <c r="E3284" t="s">
        <v>39</v>
      </c>
      <c r="F3284" s="5">
        <v>300</v>
      </c>
    </row>
    <row r="3285" spans="1:6">
      <c r="A3285" t="s">
        <v>2885</v>
      </c>
      <c r="B3285" t="s">
        <v>2886</v>
      </c>
      <c r="C3285">
        <v>76141861</v>
      </c>
      <c r="D3285">
        <v>2001309</v>
      </c>
      <c r="E3285" t="s">
        <v>729</v>
      </c>
      <c r="F3285" s="5">
        <v>200</v>
      </c>
    </row>
    <row r="3286" spans="1:6" hidden="1">
      <c r="A3286" t="s">
        <v>4190</v>
      </c>
      <c r="B3286" t="s">
        <v>4191</v>
      </c>
      <c r="C3286">
        <v>76234114</v>
      </c>
      <c r="D3286">
        <v>2002509</v>
      </c>
      <c r="E3286" t="s">
        <v>39</v>
      </c>
      <c r="F3286" s="5">
        <v>300</v>
      </c>
    </row>
    <row r="3287" spans="1:6">
      <c r="A3287" t="s">
        <v>4190</v>
      </c>
      <c r="B3287" t="s">
        <v>4191</v>
      </c>
      <c r="C3287">
        <v>76234114</v>
      </c>
      <c r="D3287">
        <v>2002509</v>
      </c>
      <c r="E3287" t="s">
        <v>729</v>
      </c>
      <c r="F3287" s="5">
        <v>200</v>
      </c>
    </row>
    <row r="3288" spans="1:6" hidden="1">
      <c r="A3288" t="s">
        <v>1623</v>
      </c>
      <c r="B3288" t="s">
        <v>1624</v>
      </c>
      <c r="C3288">
        <v>5710031</v>
      </c>
      <c r="D3288">
        <v>212</v>
      </c>
      <c r="E3288" t="s">
        <v>39</v>
      </c>
      <c r="F3288" s="5">
        <v>300</v>
      </c>
    </row>
    <row r="3289" spans="1:6">
      <c r="A3289" t="s">
        <v>1623</v>
      </c>
      <c r="B3289" t="s">
        <v>1624</v>
      </c>
      <c r="C3289">
        <v>5710031</v>
      </c>
      <c r="D3289">
        <v>212</v>
      </c>
      <c r="E3289" t="s">
        <v>729</v>
      </c>
      <c r="F3289" s="5">
        <v>200</v>
      </c>
    </row>
    <row r="3290" spans="1:6" hidden="1">
      <c r="A3290" t="s">
        <v>634</v>
      </c>
      <c r="B3290" t="s">
        <v>635</v>
      </c>
      <c r="C3290">
        <v>76222545</v>
      </c>
      <c r="D3290">
        <v>0</v>
      </c>
      <c r="E3290" t="s">
        <v>39</v>
      </c>
      <c r="F3290" s="5">
        <v>300</v>
      </c>
    </row>
    <row r="3291" spans="1:6">
      <c r="A3291" t="s">
        <v>634</v>
      </c>
      <c r="B3291" t="s">
        <v>635</v>
      </c>
      <c r="C3291">
        <v>76222545</v>
      </c>
      <c r="D3291">
        <v>0</v>
      </c>
      <c r="E3291" t="s">
        <v>729</v>
      </c>
      <c r="F3291" s="5">
        <v>200</v>
      </c>
    </row>
    <row r="3292" spans="1:6" hidden="1">
      <c r="A3292" t="s">
        <v>3791</v>
      </c>
      <c r="B3292" t="s">
        <v>3792</v>
      </c>
      <c r="C3292">
        <v>76221173</v>
      </c>
      <c r="D3292">
        <v>2002022</v>
      </c>
      <c r="E3292" t="s">
        <v>39</v>
      </c>
      <c r="F3292" s="5">
        <v>450</v>
      </c>
    </row>
    <row r="3293" spans="1:6">
      <c r="A3293" t="s">
        <v>3791</v>
      </c>
      <c r="B3293" t="s">
        <v>3792</v>
      </c>
      <c r="C3293">
        <v>76221173</v>
      </c>
      <c r="D3293">
        <v>2002022</v>
      </c>
      <c r="E3293" t="s">
        <v>729</v>
      </c>
      <c r="F3293" s="5">
        <v>200</v>
      </c>
    </row>
    <row r="3294" spans="1:6" hidden="1">
      <c r="A3294" t="s">
        <v>3787</v>
      </c>
      <c r="B3294" t="s">
        <v>3788</v>
      </c>
      <c r="C3294">
        <v>76221170</v>
      </c>
      <c r="D3294">
        <v>2002100</v>
      </c>
      <c r="E3294" t="s">
        <v>39</v>
      </c>
      <c r="F3294" s="5">
        <v>450</v>
      </c>
    </row>
    <row r="3295" spans="1:6">
      <c r="A3295" t="s">
        <v>3787</v>
      </c>
      <c r="B3295" t="s">
        <v>3788</v>
      </c>
      <c r="C3295">
        <v>76221170</v>
      </c>
      <c r="D3295">
        <v>2002100</v>
      </c>
      <c r="E3295" t="s">
        <v>729</v>
      </c>
      <c r="F3295" s="5">
        <v>200</v>
      </c>
    </row>
    <row r="3296" spans="1:6" hidden="1">
      <c r="A3296" t="s">
        <v>3789</v>
      </c>
      <c r="B3296" t="s">
        <v>3790</v>
      </c>
      <c r="C3296">
        <v>76221172</v>
      </c>
      <c r="D3296">
        <v>2002525</v>
      </c>
      <c r="E3296" t="s">
        <v>39</v>
      </c>
      <c r="F3296" s="5">
        <v>300</v>
      </c>
    </row>
    <row r="3297" spans="1:6">
      <c r="A3297" t="s">
        <v>3789</v>
      </c>
      <c r="B3297" t="s">
        <v>3790</v>
      </c>
      <c r="C3297">
        <v>76221172</v>
      </c>
      <c r="D3297">
        <v>2002525</v>
      </c>
      <c r="E3297" t="s">
        <v>729</v>
      </c>
      <c r="F3297" s="5">
        <v>200</v>
      </c>
    </row>
    <row r="3298" spans="1:6" hidden="1">
      <c r="A3298" t="s">
        <v>174</v>
      </c>
      <c r="B3298" t="s">
        <v>175</v>
      </c>
      <c r="C3298">
        <v>76229684</v>
      </c>
      <c r="D3298">
        <v>2002036</v>
      </c>
      <c r="E3298" t="s">
        <v>39</v>
      </c>
      <c r="F3298" s="5">
        <v>400</v>
      </c>
    </row>
    <row r="3299" spans="1:6">
      <c r="A3299" t="s">
        <v>174</v>
      </c>
      <c r="B3299" t="s">
        <v>175</v>
      </c>
      <c r="C3299">
        <v>76229684</v>
      </c>
      <c r="D3299">
        <v>2002036</v>
      </c>
      <c r="E3299" t="s">
        <v>729</v>
      </c>
      <c r="F3299" s="5">
        <v>200</v>
      </c>
    </row>
    <row r="3300" spans="1:6" hidden="1">
      <c r="A3300" t="s">
        <v>2803</v>
      </c>
      <c r="B3300" t="s">
        <v>2804</v>
      </c>
      <c r="C3300">
        <v>76078800</v>
      </c>
      <c r="D3300">
        <v>2000914</v>
      </c>
      <c r="E3300" t="s">
        <v>39</v>
      </c>
      <c r="F3300" s="5">
        <v>300</v>
      </c>
    </row>
    <row r="3301" spans="1:6">
      <c r="A3301" t="s">
        <v>2803</v>
      </c>
      <c r="B3301" t="s">
        <v>2804</v>
      </c>
      <c r="C3301">
        <v>76078800</v>
      </c>
      <c r="D3301">
        <v>2000914</v>
      </c>
      <c r="E3301" t="s">
        <v>729</v>
      </c>
      <c r="F3301" s="5">
        <v>200</v>
      </c>
    </row>
    <row r="3302" spans="1:6" hidden="1">
      <c r="A3302" t="s">
        <v>1962</v>
      </c>
      <c r="B3302" t="s">
        <v>1963</v>
      </c>
      <c r="C3302">
        <v>44815401</v>
      </c>
      <c r="D3302">
        <v>2002156</v>
      </c>
      <c r="E3302" t="s">
        <v>39</v>
      </c>
      <c r="F3302" s="5">
        <v>450</v>
      </c>
    </row>
    <row r="3303" spans="1:6">
      <c r="A3303" t="s">
        <v>1962</v>
      </c>
      <c r="B3303" t="s">
        <v>1963</v>
      </c>
      <c r="C3303">
        <v>44815401</v>
      </c>
      <c r="D3303">
        <v>2002156</v>
      </c>
      <c r="E3303" t="s">
        <v>729</v>
      </c>
      <c r="F3303" s="5">
        <v>200</v>
      </c>
    </row>
    <row r="3304" spans="1:6" hidden="1">
      <c r="A3304" t="s">
        <v>2799</v>
      </c>
      <c r="B3304" t="s">
        <v>2800</v>
      </c>
      <c r="C3304">
        <v>76078758</v>
      </c>
      <c r="D3304">
        <v>2002967</v>
      </c>
      <c r="E3304" t="s">
        <v>39</v>
      </c>
      <c r="F3304" s="5">
        <v>300</v>
      </c>
    </row>
    <row r="3305" spans="1:6">
      <c r="A3305" t="s">
        <v>2799</v>
      </c>
      <c r="B3305" t="s">
        <v>2800</v>
      </c>
      <c r="C3305">
        <v>76078758</v>
      </c>
      <c r="D3305">
        <v>2002967</v>
      </c>
      <c r="E3305" t="s">
        <v>729</v>
      </c>
      <c r="F3305" s="5">
        <v>200</v>
      </c>
    </row>
    <row r="3306" spans="1:6" hidden="1">
      <c r="A3306" t="s">
        <v>3321</v>
      </c>
      <c r="B3306" t="s">
        <v>3322</v>
      </c>
      <c r="C3306">
        <v>76196475</v>
      </c>
      <c r="D3306">
        <v>2503005</v>
      </c>
      <c r="E3306" t="s">
        <v>39</v>
      </c>
      <c r="F3306" s="5">
        <v>300</v>
      </c>
    </row>
    <row r="3307" spans="1:6">
      <c r="A3307" t="s">
        <v>3321</v>
      </c>
      <c r="B3307" t="s">
        <v>3322</v>
      </c>
      <c r="C3307">
        <v>76196475</v>
      </c>
      <c r="D3307">
        <v>2503005</v>
      </c>
      <c r="E3307" t="s">
        <v>729</v>
      </c>
      <c r="F3307" s="5">
        <v>200</v>
      </c>
    </row>
    <row r="3308" spans="1:6" hidden="1">
      <c r="A3308" t="s">
        <v>2106</v>
      </c>
      <c r="B3308" t="s">
        <v>2107</v>
      </c>
      <c r="C3308">
        <v>71048080</v>
      </c>
      <c r="D3308">
        <v>2003133</v>
      </c>
      <c r="E3308" t="s">
        <v>39</v>
      </c>
      <c r="F3308" s="5">
        <v>300</v>
      </c>
    </row>
    <row r="3309" spans="1:6">
      <c r="A3309" t="s">
        <v>2106</v>
      </c>
      <c r="B3309" t="s">
        <v>2107</v>
      </c>
      <c r="C3309">
        <v>71048080</v>
      </c>
      <c r="D3309">
        <v>2003133</v>
      </c>
      <c r="E3309" t="s">
        <v>729</v>
      </c>
      <c r="F3309" s="5">
        <v>200</v>
      </c>
    </row>
    <row r="3310" spans="1:6" hidden="1">
      <c r="A3310" t="s">
        <v>1727</v>
      </c>
      <c r="B3310" t="s">
        <v>1728</v>
      </c>
      <c r="C3310">
        <v>13495129</v>
      </c>
      <c r="D3310">
        <v>2003128</v>
      </c>
      <c r="E3310" t="s">
        <v>39</v>
      </c>
      <c r="F3310" s="5">
        <v>300</v>
      </c>
    </row>
    <row r="3311" spans="1:6">
      <c r="A3311" t="s">
        <v>1727</v>
      </c>
      <c r="B3311" t="s">
        <v>1728</v>
      </c>
      <c r="C3311">
        <v>13495129</v>
      </c>
      <c r="D3311">
        <v>2003128</v>
      </c>
      <c r="E3311" t="s">
        <v>729</v>
      </c>
      <c r="F3311" s="5">
        <v>200</v>
      </c>
    </row>
    <row r="3312" spans="1:6" hidden="1">
      <c r="A3312" t="s">
        <v>646</v>
      </c>
      <c r="B3312" t="s">
        <v>647</v>
      </c>
      <c r="C3312">
        <v>76227697</v>
      </c>
      <c r="D3312" t="s">
        <v>438</v>
      </c>
      <c r="E3312" t="s">
        <v>39</v>
      </c>
      <c r="F3312" s="5">
        <v>300</v>
      </c>
    </row>
    <row r="3313" spans="1:6">
      <c r="A3313" t="s">
        <v>646</v>
      </c>
      <c r="B3313" t="s">
        <v>647</v>
      </c>
      <c r="C3313">
        <v>76227697</v>
      </c>
      <c r="D3313" t="s">
        <v>438</v>
      </c>
      <c r="E3313" t="s">
        <v>729</v>
      </c>
      <c r="F3313" s="5">
        <v>200</v>
      </c>
    </row>
    <row r="3314" spans="1:6" hidden="1">
      <c r="A3314" t="s">
        <v>4416</v>
      </c>
      <c r="B3314" t="s">
        <v>4417</v>
      </c>
      <c r="C3314">
        <v>76245916</v>
      </c>
      <c r="D3314">
        <v>2503307</v>
      </c>
      <c r="E3314" t="s">
        <v>39</v>
      </c>
      <c r="F3314" s="5">
        <v>300</v>
      </c>
    </row>
    <row r="3315" spans="1:6">
      <c r="A3315" t="s">
        <v>4416</v>
      </c>
      <c r="B3315" t="s">
        <v>4417</v>
      </c>
      <c r="C3315">
        <v>76245916</v>
      </c>
      <c r="D3315">
        <v>2503307</v>
      </c>
      <c r="E3315" t="s">
        <v>729</v>
      </c>
      <c r="F3315" s="5">
        <v>200</v>
      </c>
    </row>
    <row r="3316" spans="1:6" hidden="1">
      <c r="A3316" t="s">
        <v>1699</v>
      </c>
      <c r="B3316" t="s">
        <v>1700</v>
      </c>
      <c r="C3316">
        <v>13344301</v>
      </c>
      <c r="D3316">
        <v>903093</v>
      </c>
      <c r="E3316" t="s">
        <v>39</v>
      </c>
      <c r="F3316" s="5">
        <v>300</v>
      </c>
    </row>
    <row r="3317" spans="1:6">
      <c r="A3317" t="s">
        <v>1699</v>
      </c>
      <c r="B3317" t="s">
        <v>1700</v>
      </c>
      <c r="C3317">
        <v>13344301</v>
      </c>
      <c r="D3317">
        <v>903093</v>
      </c>
      <c r="E3317" t="s">
        <v>729</v>
      </c>
      <c r="F3317" s="5">
        <v>200</v>
      </c>
    </row>
    <row r="3318" spans="1:6" hidden="1">
      <c r="A3318" t="s">
        <v>1603</v>
      </c>
      <c r="B3318" t="s">
        <v>1604</v>
      </c>
      <c r="C3318">
        <v>5236645</v>
      </c>
      <c r="D3318">
        <v>2000417</v>
      </c>
      <c r="E3318" t="s">
        <v>39</v>
      </c>
      <c r="F3318" s="5">
        <v>450</v>
      </c>
    </row>
    <row r="3319" spans="1:6">
      <c r="A3319" t="s">
        <v>1603</v>
      </c>
      <c r="B3319" t="s">
        <v>1604</v>
      </c>
      <c r="C3319">
        <v>5236645</v>
      </c>
      <c r="D3319">
        <v>2000417</v>
      </c>
      <c r="E3319" t="s">
        <v>729</v>
      </c>
      <c r="F3319" s="5">
        <v>200</v>
      </c>
    </row>
    <row r="3320" spans="1:6" hidden="1">
      <c r="A3320" t="s">
        <v>1753</v>
      </c>
      <c r="B3320" t="s">
        <v>1754</v>
      </c>
      <c r="C3320">
        <v>14090150</v>
      </c>
      <c r="D3320">
        <v>0</v>
      </c>
      <c r="E3320" t="s">
        <v>39</v>
      </c>
      <c r="F3320" s="5">
        <v>300</v>
      </c>
    </row>
    <row r="3321" spans="1:6">
      <c r="A3321" t="s">
        <v>1753</v>
      </c>
      <c r="B3321" t="s">
        <v>1754</v>
      </c>
      <c r="C3321">
        <v>14090150</v>
      </c>
      <c r="D3321">
        <v>0</v>
      </c>
      <c r="E3321" t="s">
        <v>729</v>
      </c>
      <c r="F3321" s="5">
        <v>200</v>
      </c>
    </row>
    <row r="3322" spans="1:6" hidden="1">
      <c r="A3322" t="s">
        <v>4218</v>
      </c>
      <c r="B3322" t="s">
        <v>4219</v>
      </c>
      <c r="C3322">
        <v>76234930</v>
      </c>
      <c r="D3322">
        <v>2502790</v>
      </c>
      <c r="E3322" t="s">
        <v>39</v>
      </c>
      <c r="F3322" s="5">
        <v>300</v>
      </c>
    </row>
    <row r="3323" spans="1:6">
      <c r="A3323" t="s">
        <v>4218</v>
      </c>
      <c r="B3323" t="s">
        <v>4219</v>
      </c>
      <c r="C3323">
        <v>76234930</v>
      </c>
      <c r="D3323">
        <v>2502790</v>
      </c>
      <c r="E3323" t="s">
        <v>729</v>
      </c>
      <c r="F3323" s="5">
        <v>200</v>
      </c>
    </row>
    <row r="3324" spans="1:6" hidden="1">
      <c r="A3324" t="s">
        <v>3383</v>
      </c>
      <c r="B3324" t="s">
        <v>3384</v>
      </c>
      <c r="C3324">
        <v>76203763</v>
      </c>
      <c r="D3324">
        <v>2502645</v>
      </c>
      <c r="E3324" t="s">
        <v>39</v>
      </c>
      <c r="F3324" s="5">
        <v>300</v>
      </c>
    </row>
    <row r="3325" spans="1:6">
      <c r="A3325" t="s">
        <v>3383</v>
      </c>
      <c r="B3325" t="s">
        <v>3384</v>
      </c>
      <c r="C3325">
        <v>76203763</v>
      </c>
      <c r="D3325">
        <v>2502645</v>
      </c>
      <c r="E3325" t="s">
        <v>729</v>
      </c>
      <c r="F3325" s="5">
        <v>200</v>
      </c>
    </row>
    <row r="3326" spans="1:6" hidden="1">
      <c r="A3326" t="s">
        <v>1685</v>
      </c>
      <c r="B3326" t="s">
        <v>1686</v>
      </c>
      <c r="C3326">
        <v>13059104</v>
      </c>
      <c r="D3326">
        <v>12088</v>
      </c>
      <c r="E3326" t="s">
        <v>39</v>
      </c>
      <c r="F3326" s="5">
        <v>300</v>
      </c>
    </row>
    <row r="3327" spans="1:6">
      <c r="A3327" t="s">
        <v>1685</v>
      </c>
      <c r="B3327" t="s">
        <v>1686</v>
      </c>
      <c r="C3327">
        <v>13059104</v>
      </c>
      <c r="D3327">
        <v>12088</v>
      </c>
      <c r="E3327" t="s">
        <v>729</v>
      </c>
      <c r="F3327" s="5">
        <v>200</v>
      </c>
    </row>
    <row r="3328" spans="1:6" hidden="1">
      <c r="A3328" t="s">
        <v>1665</v>
      </c>
      <c r="B3328" t="s">
        <v>1666</v>
      </c>
      <c r="C3328">
        <v>8320062</v>
      </c>
      <c r="D3328">
        <v>2503320</v>
      </c>
      <c r="E3328" t="s">
        <v>39</v>
      </c>
      <c r="F3328" s="5">
        <v>300</v>
      </c>
    </row>
    <row r="3329" spans="1:6">
      <c r="A3329" t="s">
        <v>1665</v>
      </c>
      <c r="B3329" t="s">
        <v>1666</v>
      </c>
      <c r="C3329">
        <v>8320062</v>
      </c>
      <c r="D3329">
        <v>2503320</v>
      </c>
      <c r="E3329" t="s">
        <v>729</v>
      </c>
      <c r="F3329" s="5">
        <v>200</v>
      </c>
    </row>
    <row r="3330" spans="1:6" hidden="1">
      <c r="A3330" t="s">
        <v>3695</v>
      </c>
      <c r="B3330" t="s">
        <v>3696</v>
      </c>
      <c r="C3330">
        <v>76218750</v>
      </c>
      <c r="D3330">
        <v>2501691</v>
      </c>
      <c r="E3330" t="s">
        <v>39</v>
      </c>
      <c r="F3330" s="5">
        <v>300</v>
      </c>
    </row>
    <row r="3331" spans="1:6">
      <c r="A3331" t="s">
        <v>3695</v>
      </c>
      <c r="B3331" t="s">
        <v>3696</v>
      </c>
      <c r="C3331">
        <v>76218750</v>
      </c>
      <c r="D3331">
        <v>2501691</v>
      </c>
      <c r="E3331" t="s">
        <v>729</v>
      </c>
      <c r="F3331" s="5">
        <v>200</v>
      </c>
    </row>
    <row r="3332" spans="1:6" hidden="1">
      <c r="A3332" t="s">
        <v>4410</v>
      </c>
      <c r="B3332" t="s">
        <v>4411</v>
      </c>
      <c r="C3332">
        <v>76245330</v>
      </c>
      <c r="D3332">
        <v>2503396</v>
      </c>
      <c r="E3332" t="s">
        <v>39</v>
      </c>
      <c r="F3332" s="5">
        <v>300</v>
      </c>
    </row>
    <row r="3333" spans="1:6">
      <c r="A3333" t="s">
        <v>4410</v>
      </c>
      <c r="B3333" t="s">
        <v>4411</v>
      </c>
      <c r="C3333">
        <v>76245330</v>
      </c>
      <c r="D3333">
        <v>2503396</v>
      </c>
      <c r="E3333" t="s">
        <v>729</v>
      </c>
      <c r="F3333" s="5">
        <v>200</v>
      </c>
    </row>
    <row r="3334" spans="1:6" hidden="1">
      <c r="A3334" t="s">
        <v>3697</v>
      </c>
      <c r="B3334" t="s">
        <v>3698</v>
      </c>
      <c r="C3334">
        <v>76218753</v>
      </c>
      <c r="D3334">
        <v>2501677</v>
      </c>
      <c r="E3334" t="s">
        <v>39</v>
      </c>
      <c r="F3334" s="5">
        <v>300</v>
      </c>
    </row>
    <row r="3335" spans="1:6">
      <c r="A3335" t="s">
        <v>3697</v>
      </c>
      <c r="B3335" t="s">
        <v>3698</v>
      </c>
      <c r="C3335">
        <v>76218753</v>
      </c>
      <c r="D3335">
        <v>2501677</v>
      </c>
      <c r="E3335" t="s">
        <v>729</v>
      </c>
      <c r="F3335" s="5">
        <v>200</v>
      </c>
    </row>
    <row r="3336" spans="1:6" hidden="1">
      <c r="A3336" t="s">
        <v>3699</v>
      </c>
      <c r="B3336" t="s">
        <v>3700</v>
      </c>
      <c r="C3336">
        <v>76218754</v>
      </c>
      <c r="D3336">
        <v>2501693</v>
      </c>
      <c r="E3336" t="s">
        <v>39</v>
      </c>
      <c r="F3336" s="5">
        <v>300</v>
      </c>
    </row>
    <row r="3337" spans="1:6">
      <c r="A3337" t="s">
        <v>3699</v>
      </c>
      <c r="B3337" t="s">
        <v>3700</v>
      </c>
      <c r="C3337">
        <v>76218754</v>
      </c>
      <c r="D3337">
        <v>2501693</v>
      </c>
      <c r="E3337" t="s">
        <v>729</v>
      </c>
      <c r="F3337" s="5">
        <v>200</v>
      </c>
    </row>
    <row r="3338" spans="1:6" hidden="1">
      <c r="A3338" t="s">
        <v>2508</v>
      </c>
      <c r="B3338" t="s">
        <v>2509</v>
      </c>
      <c r="C3338">
        <v>76042791</v>
      </c>
      <c r="D3338">
        <v>2500815</v>
      </c>
      <c r="E3338" t="s">
        <v>39</v>
      </c>
      <c r="F3338" s="5">
        <v>300</v>
      </c>
    </row>
    <row r="3339" spans="1:6">
      <c r="A3339" t="s">
        <v>2508</v>
      </c>
      <c r="B3339" t="s">
        <v>2509</v>
      </c>
      <c r="C3339">
        <v>76042791</v>
      </c>
      <c r="D3339">
        <v>2500815</v>
      </c>
      <c r="E3339" t="s">
        <v>729</v>
      </c>
      <c r="F3339" s="5">
        <v>200</v>
      </c>
    </row>
    <row r="3340" spans="1:6" hidden="1">
      <c r="A3340" t="s">
        <v>4617</v>
      </c>
      <c r="B3340" t="s">
        <v>4618</v>
      </c>
      <c r="C3340">
        <v>76257496</v>
      </c>
      <c r="D3340">
        <v>3001686</v>
      </c>
      <c r="E3340" t="s">
        <v>39</v>
      </c>
      <c r="F3340" s="5">
        <v>300</v>
      </c>
    </row>
    <row r="3341" spans="1:6">
      <c r="A3341" t="s">
        <v>4617</v>
      </c>
      <c r="B3341" t="s">
        <v>4618</v>
      </c>
      <c r="C3341">
        <v>76257496</v>
      </c>
      <c r="D3341">
        <v>3001686</v>
      </c>
      <c r="E3341" t="s">
        <v>729</v>
      </c>
      <c r="F3341" s="5">
        <v>200</v>
      </c>
    </row>
    <row r="3342" spans="1:6" hidden="1">
      <c r="A3342" t="s">
        <v>2789</v>
      </c>
      <c r="B3342" t="s">
        <v>2790</v>
      </c>
      <c r="C3342">
        <v>76076581</v>
      </c>
      <c r="D3342">
        <v>2002637</v>
      </c>
      <c r="E3342" t="s">
        <v>39</v>
      </c>
      <c r="F3342" s="5">
        <v>300</v>
      </c>
    </row>
    <row r="3343" spans="1:6">
      <c r="A3343" t="s">
        <v>2789</v>
      </c>
      <c r="B3343" t="s">
        <v>2790</v>
      </c>
      <c r="C3343">
        <v>76076581</v>
      </c>
      <c r="D3343">
        <v>2002637</v>
      </c>
      <c r="E3343" t="s">
        <v>729</v>
      </c>
      <c r="F3343" s="5">
        <v>200</v>
      </c>
    </row>
    <row r="3344" spans="1:6" hidden="1">
      <c r="A3344" t="s">
        <v>4635</v>
      </c>
      <c r="B3344" t="s">
        <v>4636</v>
      </c>
      <c r="C3344">
        <v>76258460</v>
      </c>
      <c r="D3344">
        <v>3002496</v>
      </c>
      <c r="E3344" t="s">
        <v>39</v>
      </c>
      <c r="F3344" s="5">
        <v>300</v>
      </c>
    </row>
    <row r="3345" spans="1:6">
      <c r="A3345" t="s">
        <v>4635</v>
      </c>
      <c r="B3345" t="s">
        <v>4636</v>
      </c>
      <c r="C3345">
        <v>76258460</v>
      </c>
      <c r="D3345">
        <v>3002496</v>
      </c>
      <c r="E3345" t="s">
        <v>729</v>
      </c>
      <c r="F3345" s="5">
        <v>200</v>
      </c>
    </row>
    <row r="3346" spans="1:6" hidden="1">
      <c r="A3346" t="s">
        <v>1565</v>
      </c>
      <c r="B3346" t="s">
        <v>1566</v>
      </c>
      <c r="C3346">
        <v>1326689</v>
      </c>
      <c r="D3346">
        <v>2501221</v>
      </c>
      <c r="E3346" t="s">
        <v>39</v>
      </c>
      <c r="F3346" s="5">
        <v>300</v>
      </c>
    </row>
    <row r="3347" spans="1:6">
      <c r="A3347" t="s">
        <v>1565</v>
      </c>
      <c r="B3347" t="s">
        <v>1566</v>
      </c>
      <c r="C3347">
        <v>1326689</v>
      </c>
      <c r="D3347">
        <v>2501221</v>
      </c>
      <c r="E3347" t="s">
        <v>729</v>
      </c>
      <c r="F3347" s="5">
        <v>200</v>
      </c>
    </row>
    <row r="3348" spans="1:6" hidden="1">
      <c r="A3348" t="s">
        <v>4444</v>
      </c>
      <c r="B3348" t="s">
        <v>4445</v>
      </c>
      <c r="C3348">
        <v>76247020</v>
      </c>
      <c r="D3348">
        <v>2503453</v>
      </c>
      <c r="E3348" t="s">
        <v>39</v>
      </c>
      <c r="F3348" s="5">
        <v>300</v>
      </c>
    </row>
    <row r="3349" spans="1:6">
      <c r="A3349" t="s">
        <v>4444</v>
      </c>
      <c r="B3349" t="s">
        <v>4445</v>
      </c>
      <c r="C3349">
        <v>76247020</v>
      </c>
      <c r="D3349">
        <v>2503453</v>
      </c>
      <c r="E3349" t="s">
        <v>729</v>
      </c>
      <c r="F3349" s="5">
        <v>200</v>
      </c>
    </row>
    <row r="3350" spans="1:6" hidden="1">
      <c r="A3350" t="s">
        <v>4122</v>
      </c>
      <c r="B3350" t="s">
        <v>4123</v>
      </c>
      <c r="C3350">
        <v>76231802</v>
      </c>
      <c r="D3350">
        <v>2503448</v>
      </c>
      <c r="E3350" t="s">
        <v>39</v>
      </c>
      <c r="F3350" s="5">
        <v>300</v>
      </c>
    </row>
    <row r="3351" spans="1:6">
      <c r="A3351" t="s">
        <v>4122</v>
      </c>
      <c r="B3351" t="s">
        <v>4123</v>
      </c>
      <c r="C3351">
        <v>76231802</v>
      </c>
      <c r="D3351">
        <v>2503448</v>
      </c>
      <c r="E3351" t="s">
        <v>729</v>
      </c>
      <c r="F3351" s="5">
        <v>200</v>
      </c>
    </row>
    <row r="3352" spans="1:6" hidden="1">
      <c r="A3352" t="s">
        <v>4124</v>
      </c>
      <c r="B3352" t="s">
        <v>4125</v>
      </c>
      <c r="C3352">
        <v>76231803</v>
      </c>
      <c r="D3352">
        <v>2501001</v>
      </c>
      <c r="E3352" t="s">
        <v>39</v>
      </c>
      <c r="F3352" s="5">
        <v>300</v>
      </c>
    </row>
    <row r="3353" spans="1:6">
      <c r="A3353" t="s">
        <v>4124</v>
      </c>
      <c r="B3353" t="s">
        <v>4125</v>
      </c>
      <c r="C3353">
        <v>76231803</v>
      </c>
      <c r="D3353">
        <v>2501001</v>
      </c>
      <c r="E3353" t="s">
        <v>729</v>
      </c>
      <c r="F3353" s="5">
        <v>200</v>
      </c>
    </row>
    <row r="3354" spans="1:6" hidden="1">
      <c r="A3354" t="s">
        <v>4120</v>
      </c>
      <c r="B3354" t="s">
        <v>4121</v>
      </c>
      <c r="C3354">
        <v>76231800</v>
      </c>
      <c r="D3354">
        <v>2500979</v>
      </c>
      <c r="E3354" t="s">
        <v>39</v>
      </c>
      <c r="F3354" s="5">
        <v>300</v>
      </c>
    </row>
    <row r="3355" spans="1:6">
      <c r="A3355" t="s">
        <v>4120</v>
      </c>
      <c r="B3355" t="s">
        <v>4121</v>
      </c>
      <c r="C3355">
        <v>76231800</v>
      </c>
      <c r="D3355">
        <v>2500979</v>
      </c>
      <c r="E3355" t="s">
        <v>729</v>
      </c>
      <c r="F3355" s="5">
        <v>200</v>
      </c>
    </row>
    <row r="3356" spans="1:6" hidden="1">
      <c r="A3356" t="s">
        <v>4126</v>
      </c>
      <c r="B3356" t="s">
        <v>4127</v>
      </c>
      <c r="C3356">
        <v>76231805</v>
      </c>
      <c r="D3356">
        <v>2501006</v>
      </c>
      <c r="E3356" t="s">
        <v>39</v>
      </c>
      <c r="F3356" s="5">
        <v>300</v>
      </c>
    </row>
    <row r="3357" spans="1:6">
      <c r="A3357" t="s">
        <v>4126</v>
      </c>
      <c r="B3357" t="s">
        <v>4127</v>
      </c>
      <c r="C3357">
        <v>76231805</v>
      </c>
      <c r="D3357">
        <v>2501006</v>
      </c>
      <c r="E3357" t="s">
        <v>729</v>
      </c>
      <c r="F3357" s="5">
        <v>200</v>
      </c>
    </row>
    <row r="3358" spans="1:6" hidden="1">
      <c r="A3358" t="s">
        <v>2933</v>
      </c>
      <c r="B3358" t="s">
        <v>2934</v>
      </c>
      <c r="C3358">
        <v>76150535</v>
      </c>
      <c r="D3358">
        <v>2503374</v>
      </c>
      <c r="E3358" t="s">
        <v>39</v>
      </c>
      <c r="F3358" s="5">
        <v>300</v>
      </c>
    </row>
    <row r="3359" spans="1:6">
      <c r="A3359" t="s">
        <v>2933</v>
      </c>
      <c r="B3359" t="s">
        <v>2934</v>
      </c>
      <c r="C3359">
        <v>76150535</v>
      </c>
      <c r="D3359">
        <v>2503374</v>
      </c>
      <c r="E3359" t="s">
        <v>729</v>
      </c>
      <c r="F3359" s="5">
        <v>200</v>
      </c>
    </row>
    <row r="3360" spans="1:6" hidden="1">
      <c r="A3360" t="s">
        <v>4470</v>
      </c>
      <c r="B3360" t="s">
        <v>4471</v>
      </c>
      <c r="C3360">
        <v>76251176</v>
      </c>
      <c r="D3360">
        <v>2003016</v>
      </c>
      <c r="E3360" t="s">
        <v>39</v>
      </c>
      <c r="F3360" s="5">
        <v>300</v>
      </c>
    </row>
    <row r="3361" spans="1:6">
      <c r="A3361" t="s">
        <v>4470</v>
      </c>
      <c r="B3361" t="s">
        <v>4471</v>
      </c>
      <c r="C3361">
        <v>76251176</v>
      </c>
      <c r="D3361">
        <v>2003016</v>
      </c>
      <c r="E3361" t="s">
        <v>729</v>
      </c>
      <c r="F3361" s="5">
        <v>200</v>
      </c>
    </row>
    <row r="3362" spans="1:6" hidden="1">
      <c r="A3362" t="s">
        <v>3527</v>
      </c>
      <c r="B3362" t="s">
        <v>3528</v>
      </c>
      <c r="C3362">
        <v>76209545</v>
      </c>
      <c r="D3362">
        <v>2500923</v>
      </c>
      <c r="E3362" t="s">
        <v>39</v>
      </c>
      <c r="F3362" s="5">
        <v>300</v>
      </c>
    </row>
    <row r="3363" spans="1:6">
      <c r="A3363" t="s">
        <v>3527</v>
      </c>
      <c r="B3363" t="s">
        <v>3528</v>
      </c>
      <c r="C3363">
        <v>76209545</v>
      </c>
      <c r="D3363">
        <v>2500923</v>
      </c>
      <c r="E3363" t="s">
        <v>729</v>
      </c>
      <c r="F3363" s="5">
        <v>200</v>
      </c>
    </row>
    <row r="3364" spans="1:6" hidden="1">
      <c r="A3364" t="s">
        <v>1537</v>
      </c>
      <c r="B3364" t="s">
        <v>1538</v>
      </c>
      <c r="C3364">
        <v>1214106</v>
      </c>
      <c r="D3364">
        <v>2500760</v>
      </c>
      <c r="E3364" t="s">
        <v>39</v>
      </c>
      <c r="F3364" s="5">
        <v>300</v>
      </c>
    </row>
    <row r="3365" spans="1:6">
      <c r="A3365" t="s">
        <v>1537</v>
      </c>
      <c r="B3365" t="s">
        <v>1538</v>
      </c>
      <c r="C3365">
        <v>1214106</v>
      </c>
      <c r="D3365">
        <v>2500760</v>
      </c>
      <c r="E3365" t="s">
        <v>729</v>
      </c>
      <c r="F3365" s="5">
        <v>200</v>
      </c>
    </row>
    <row r="3366" spans="1:6" hidden="1">
      <c r="A3366" t="s">
        <v>2947</v>
      </c>
      <c r="B3366" t="s">
        <v>2948</v>
      </c>
      <c r="C3366">
        <v>76152121</v>
      </c>
      <c r="D3366">
        <v>2000785</v>
      </c>
      <c r="E3366" t="s">
        <v>39</v>
      </c>
      <c r="F3366" s="5">
        <v>300</v>
      </c>
    </row>
    <row r="3367" spans="1:6">
      <c r="A3367" t="s">
        <v>2947</v>
      </c>
      <c r="B3367" t="s">
        <v>2948</v>
      </c>
      <c r="C3367">
        <v>76152121</v>
      </c>
      <c r="D3367">
        <v>2000785</v>
      </c>
      <c r="E3367" t="s">
        <v>729</v>
      </c>
      <c r="F3367" s="5">
        <v>200</v>
      </c>
    </row>
    <row r="3368" spans="1:6" hidden="1">
      <c r="A3368" t="s">
        <v>3525</v>
      </c>
      <c r="B3368" t="s">
        <v>3526</v>
      </c>
      <c r="C3368">
        <v>76209538</v>
      </c>
      <c r="D3368">
        <v>2503398</v>
      </c>
      <c r="E3368" t="s">
        <v>39</v>
      </c>
      <c r="F3368" s="5">
        <v>300</v>
      </c>
    </row>
    <row r="3369" spans="1:6">
      <c r="A3369" t="s">
        <v>3525</v>
      </c>
      <c r="B3369" t="s">
        <v>3526</v>
      </c>
      <c r="C3369">
        <v>76209538</v>
      </c>
      <c r="D3369">
        <v>2503398</v>
      </c>
      <c r="E3369" t="s">
        <v>729</v>
      </c>
      <c r="F3369" s="5">
        <v>200</v>
      </c>
    </row>
    <row r="3370" spans="1:6" hidden="1">
      <c r="A3370" t="s">
        <v>2641</v>
      </c>
      <c r="B3370" t="s">
        <v>2642</v>
      </c>
      <c r="C3370">
        <v>76060936</v>
      </c>
      <c r="D3370">
        <v>2000269</v>
      </c>
      <c r="E3370" t="s">
        <v>39</v>
      </c>
      <c r="F3370" s="5">
        <v>300</v>
      </c>
    </row>
    <row r="3371" spans="1:6">
      <c r="A3371" t="s">
        <v>2641</v>
      </c>
      <c r="B3371" t="s">
        <v>2642</v>
      </c>
      <c r="C3371">
        <v>76060936</v>
      </c>
      <c r="D3371">
        <v>2000269</v>
      </c>
      <c r="E3371" t="s">
        <v>729</v>
      </c>
      <c r="F3371" s="5">
        <v>200</v>
      </c>
    </row>
    <row r="3372" spans="1:6" hidden="1">
      <c r="A3372" t="s">
        <v>3079</v>
      </c>
      <c r="B3372" t="s">
        <v>3080</v>
      </c>
      <c r="C3372">
        <v>76166150</v>
      </c>
      <c r="D3372">
        <v>2500654</v>
      </c>
      <c r="E3372" t="s">
        <v>39</v>
      </c>
      <c r="F3372" s="5">
        <v>300</v>
      </c>
    </row>
    <row r="3373" spans="1:6">
      <c r="A3373" t="s">
        <v>3079</v>
      </c>
      <c r="B3373" t="s">
        <v>3080</v>
      </c>
      <c r="C3373">
        <v>76166150</v>
      </c>
      <c r="D3373">
        <v>2500654</v>
      </c>
      <c r="E3373" t="s">
        <v>729</v>
      </c>
      <c r="F3373" s="5">
        <v>200</v>
      </c>
    </row>
    <row r="3374" spans="1:6" hidden="1">
      <c r="A3374" t="s">
        <v>3313</v>
      </c>
      <c r="B3374" t="s">
        <v>3314</v>
      </c>
      <c r="C3374">
        <v>76195519</v>
      </c>
      <c r="D3374">
        <v>2501885</v>
      </c>
      <c r="E3374" t="s">
        <v>39</v>
      </c>
      <c r="F3374" s="5">
        <v>300</v>
      </c>
    </row>
    <row r="3375" spans="1:6">
      <c r="A3375" t="s">
        <v>3313</v>
      </c>
      <c r="B3375" t="s">
        <v>3314</v>
      </c>
      <c r="C3375">
        <v>76195519</v>
      </c>
      <c r="D3375">
        <v>2501885</v>
      </c>
      <c r="E3375" t="s">
        <v>729</v>
      </c>
      <c r="F3375" s="5">
        <v>200</v>
      </c>
    </row>
    <row r="3376" spans="1:6" hidden="1">
      <c r="A3376" t="s">
        <v>2182</v>
      </c>
      <c r="B3376" t="s">
        <v>2183</v>
      </c>
      <c r="C3376">
        <v>71056605</v>
      </c>
      <c r="D3376">
        <v>2500632</v>
      </c>
      <c r="E3376" t="s">
        <v>39</v>
      </c>
      <c r="F3376" s="5">
        <v>300</v>
      </c>
    </row>
    <row r="3377" spans="1:6">
      <c r="A3377" t="s">
        <v>2182</v>
      </c>
      <c r="B3377" t="s">
        <v>2183</v>
      </c>
      <c r="C3377">
        <v>71056605</v>
      </c>
      <c r="D3377">
        <v>2500632</v>
      </c>
      <c r="E3377" t="s">
        <v>729</v>
      </c>
      <c r="F3377" s="5">
        <v>200</v>
      </c>
    </row>
    <row r="3378" spans="1:6" hidden="1">
      <c r="A3378" t="s">
        <v>3565</v>
      </c>
      <c r="B3378" t="s">
        <v>3566</v>
      </c>
      <c r="C3378">
        <v>76210348</v>
      </c>
      <c r="D3378">
        <v>2001540</v>
      </c>
      <c r="E3378" t="s">
        <v>39</v>
      </c>
      <c r="F3378" s="5">
        <v>400</v>
      </c>
    </row>
    <row r="3379" spans="1:6">
      <c r="A3379" t="s">
        <v>3565</v>
      </c>
      <c r="B3379" t="s">
        <v>3566</v>
      </c>
      <c r="C3379">
        <v>76210348</v>
      </c>
      <c r="D3379">
        <v>2001540</v>
      </c>
      <c r="E3379" t="s">
        <v>729</v>
      </c>
      <c r="F3379" s="5">
        <v>200</v>
      </c>
    </row>
    <row r="3380" spans="1:6" hidden="1">
      <c r="A3380" t="s">
        <v>3725</v>
      </c>
      <c r="B3380" t="s">
        <v>3726</v>
      </c>
      <c r="C3380">
        <v>76219391</v>
      </c>
      <c r="D3380">
        <v>2502089</v>
      </c>
      <c r="E3380" t="s">
        <v>39</v>
      </c>
      <c r="F3380" s="5">
        <v>450</v>
      </c>
    </row>
    <row r="3381" spans="1:6">
      <c r="A3381" t="s">
        <v>3725</v>
      </c>
      <c r="B3381" t="s">
        <v>3726</v>
      </c>
      <c r="C3381">
        <v>76219391</v>
      </c>
      <c r="D3381">
        <v>2502089</v>
      </c>
      <c r="E3381" t="s">
        <v>729</v>
      </c>
      <c r="F3381" s="5">
        <v>200</v>
      </c>
    </row>
    <row r="3382" spans="1:6" hidden="1">
      <c r="A3382" t="s">
        <v>2601</v>
      </c>
      <c r="B3382" t="s">
        <v>2602</v>
      </c>
      <c r="C3382">
        <v>76058144</v>
      </c>
      <c r="D3382">
        <v>2001850</v>
      </c>
      <c r="E3382" t="s">
        <v>39</v>
      </c>
      <c r="F3382" s="5">
        <v>300</v>
      </c>
    </row>
    <row r="3383" spans="1:6">
      <c r="A3383" t="s">
        <v>2601</v>
      </c>
      <c r="B3383" t="s">
        <v>2602</v>
      </c>
      <c r="C3383">
        <v>76058144</v>
      </c>
      <c r="D3383">
        <v>2001850</v>
      </c>
      <c r="E3383" t="s">
        <v>729</v>
      </c>
      <c r="F3383" s="5">
        <v>200</v>
      </c>
    </row>
    <row r="3384" spans="1:6" hidden="1">
      <c r="A3384" t="s">
        <v>4026</v>
      </c>
      <c r="B3384" t="s">
        <v>4027</v>
      </c>
      <c r="C3384">
        <v>76229492</v>
      </c>
      <c r="D3384">
        <v>2500501</v>
      </c>
      <c r="E3384" t="s">
        <v>39</v>
      </c>
      <c r="F3384" s="5">
        <v>300</v>
      </c>
    </row>
    <row r="3385" spans="1:6">
      <c r="A3385" t="s">
        <v>4026</v>
      </c>
      <c r="B3385" t="s">
        <v>4027</v>
      </c>
      <c r="C3385">
        <v>76229492</v>
      </c>
      <c r="D3385">
        <v>2500501</v>
      </c>
      <c r="E3385" t="s">
        <v>729</v>
      </c>
      <c r="F3385" s="5">
        <v>200</v>
      </c>
    </row>
    <row r="3386" spans="1:6" hidden="1">
      <c r="A3386" t="s">
        <v>3101</v>
      </c>
      <c r="B3386" t="s">
        <v>3102</v>
      </c>
      <c r="C3386">
        <v>76168775</v>
      </c>
      <c r="D3386">
        <v>2502083</v>
      </c>
      <c r="E3386" t="s">
        <v>39</v>
      </c>
      <c r="F3386" s="5">
        <v>300</v>
      </c>
    </row>
    <row r="3387" spans="1:6">
      <c r="A3387" t="s">
        <v>3101</v>
      </c>
      <c r="B3387" t="s">
        <v>3102</v>
      </c>
      <c r="C3387">
        <v>76168775</v>
      </c>
      <c r="D3387">
        <v>2502083</v>
      </c>
      <c r="E3387" t="s">
        <v>729</v>
      </c>
      <c r="F3387" s="5">
        <v>200</v>
      </c>
    </row>
    <row r="3388" spans="1:6" hidden="1">
      <c r="A3388" t="s">
        <v>3733</v>
      </c>
      <c r="B3388" t="s">
        <v>3734</v>
      </c>
      <c r="C3388">
        <v>76219395</v>
      </c>
      <c r="D3388">
        <v>2502024</v>
      </c>
      <c r="E3388" t="s">
        <v>39</v>
      </c>
      <c r="F3388" s="5">
        <v>450</v>
      </c>
    </row>
    <row r="3389" spans="1:6">
      <c r="A3389" t="s">
        <v>3733</v>
      </c>
      <c r="B3389" t="s">
        <v>3734</v>
      </c>
      <c r="C3389">
        <v>76219395</v>
      </c>
      <c r="D3389">
        <v>2502024</v>
      </c>
      <c r="E3389" t="s">
        <v>729</v>
      </c>
      <c r="F3389" s="5">
        <v>200</v>
      </c>
    </row>
    <row r="3390" spans="1:6" hidden="1">
      <c r="A3390" t="s">
        <v>3261</v>
      </c>
      <c r="B3390" t="s">
        <v>3262</v>
      </c>
      <c r="C3390">
        <v>76189684</v>
      </c>
      <c r="D3390">
        <v>2503437</v>
      </c>
      <c r="E3390" t="s">
        <v>39</v>
      </c>
      <c r="F3390" s="5">
        <v>300</v>
      </c>
    </row>
    <row r="3391" spans="1:6">
      <c r="A3391" t="s">
        <v>3261</v>
      </c>
      <c r="B3391" t="s">
        <v>3262</v>
      </c>
      <c r="C3391">
        <v>76189684</v>
      </c>
      <c r="D3391">
        <v>2503437</v>
      </c>
      <c r="E3391" t="s">
        <v>729</v>
      </c>
      <c r="F3391" s="5">
        <v>200</v>
      </c>
    </row>
    <row r="3392" spans="1:6" hidden="1">
      <c r="A3392" t="s">
        <v>4114</v>
      </c>
      <c r="B3392" t="s">
        <v>4115</v>
      </c>
      <c r="C3392">
        <v>76231549</v>
      </c>
      <c r="D3392">
        <v>2503071</v>
      </c>
      <c r="E3392" t="s">
        <v>39</v>
      </c>
      <c r="F3392" s="5">
        <v>300</v>
      </c>
    </row>
    <row r="3393" spans="1:6">
      <c r="A3393" t="s">
        <v>4114</v>
      </c>
      <c r="B3393" t="s">
        <v>4115</v>
      </c>
      <c r="C3393">
        <v>76231549</v>
      </c>
      <c r="D3393">
        <v>2503071</v>
      </c>
      <c r="E3393" t="s">
        <v>729</v>
      </c>
      <c r="F3393" s="5">
        <v>200</v>
      </c>
    </row>
    <row r="3394" spans="1:6" hidden="1">
      <c r="A3394" t="s">
        <v>111</v>
      </c>
      <c r="B3394" t="s">
        <v>112</v>
      </c>
      <c r="C3394">
        <v>76201836</v>
      </c>
      <c r="D3394">
        <v>3000889</v>
      </c>
      <c r="E3394" t="s">
        <v>39</v>
      </c>
      <c r="F3394" s="5">
        <v>300</v>
      </c>
    </row>
    <row r="3395" spans="1:6">
      <c r="A3395" t="s">
        <v>111</v>
      </c>
      <c r="B3395" t="s">
        <v>112</v>
      </c>
      <c r="C3395">
        <v>76201836</v>
      </c>
      <c r="D3395">
        <v>3000889</v>
      </c>
      <c r="E3395" t="s">
        <v>729</v>
      </c>
      <c r="F3395" s="5">
        <v>200</v>
      </c>
    </row>
    <row r="3396" spans="1:6" hidden="1">
      <c r="A3396" t="s">
        <v>4028</v>
      </c>
      <c r="B3396" t="s">
        <v>4029</v>
      </c>
      <c r="C3396">
        <v>76229543</v>
      </c>
      <c r="D3396">
        <v>2002050</v>
      </c>
      <c r="E3396" t="s">
        <v>39</v>
      </c>
      <c r="F3396" s="5">
        <v>450</v>
      </c>
    </row>
    <row r="3397" spans="1:6">
      <c r="A3397" t="s">
        <v>4028</v>
      </c>
      <c r="B3397" t="s">
        <v>4029</v>
      </c>
      <c r="C3397">
        <v>76229543</v>
      </c>
      <c r="D3397">
        <v>2002050</v>
      </c>
      <c r="E3397" t="s">
        <v>729</v>
      </c>
      <c r="F3397" s="5">
        <v>200</v>
      </c>
    </row>
    <row r="3398" spans="1:6" hidden="1">
      <c r="A3398" t="s">
        <v>3707</v>
      </c>
      <c r="B3398" t="s">
        <v>3708</v>
      </c>
      <c r="C3398">
        <v>76218993</v>
      </c>
      <c r="D3398">
        <v>2001816</v>
      </c>
      <c r="E3398" t="s">
        <v>39</v>
      </c>
      <c r="F3398" s="5">
        <v>300</v>
      </c>
    </row>
    <row r="3399" spans="1:6">
      <c r="A3399" t="s">
        <v>3707</v>
      </c>
      <c r="B3399" t="s">
        <v>3708</v>
      </c>
      <c r="C3399">
        <v>76218993</v>
      </c>
      <c r="D3399">
        <v>2001816</v>
      </c>
      <c r="E3399" t="s">
        <v>729</v>
      </c>
      <c r="F3399" s="5">
        <v>200</v>
      </c>
    </row>
    <row r="3400" spans="1:6" hidden="1">
      <c r="A3400" t="s">
        <v>2913</v>
      </c>
      <c r="B3400" t="s">
        <v>2914</v>
      </c>
      <c r="C3400">
        <v>76146760</v>
      </c>
      <c r="D3400">
        <v>9084</v>
      </c>
      <c r="E3400" t="s">
        <v>39</v>
      </c>
      <c r="F3400" s="5">
        <v>300</v>
      </c>
    </row>
    <row r="3401" spans="1:6">
      <c r="A3401" t="s">
        <v>2913</v>
      </c>
      <c r="B3401" t="s">
        <v>2914</v>
      </c>
      <c r="C3401">
        <v>76146760</v>
      </c>
      <c r="D3401">
        <v>9084</v>
      </c>
      <c r="E3401" t="s">
        <v>729</v>
      </c>
      <c r="F3401" s="5">
        <v>200</v>
      </c>
    </row>
    <row r="3402" spans="1:6" hidden="1">
      <c r="A3402" t="s">
        <v>4342</v>
      </c>
      <c r="B3402" t="s">
        <v>4343</v>
      </c>
      <c r="C3402">
        <v>76241219</v>
      </c>
      <c r="D3402">
        <v>2002807</v>
      </c>
      <c r="E3402" t="s">
        <v>39</v>
      </c>
      <c r="F3402" s="5">
        <v>300</v>
      </c>
    </row>
    <row r="3403" spans="1:6">
      <c r="A3403" t="s">
        <v>4342</v>
      </c>
      <c r="B3403" t="s">
        <v>4343</v>
      </c>
      <c r="C3403">
        <v>76241219</v>
      </c>
      <c r="D3403">
        <v>2002807</v>
      </c>
      <c r="E3403" t="s">
        <v>729</v>
      </c>
      <c r="F3403" s="5">
        <v>200</v>
      </c>
    </row>
    <row r="3404" spans="1:6" hidden="1">
      <c r="A3404" t="s">
        <v>2384</v>
      </c>
      <c r="B3404" t="s">
        <v>2385</v>
      </c>
      <c r="C3404">
        <v>76027238</v>
      </c>
      <c r="D3404">
        <v>2600006</v>
      </c>
      <c r="E3404" t="s">
        <v>39</v>
      </c>
      <c r="F3404" s="5">
        <v>300</v>
      </c>
    </row>
    <row r="3405" spans="1:6">
      <c r="A3405" t="s">
        <v>2384</v>
      </c>
      <c r="B3405" t="s">
        <v>2385</v>
      </c>
      <c r="C3405">
        <v>76027238</v>
      </c>
      <c r="D3405">
        <v>2600006</v>
      </c>
      <c r="E3405" t="s">
        <v>729</v>
      </c>
      <c r="F3405" s="5">
        <v>200</v>
      </c>
    </row>
    <row r="3406" spans="1:6" hidden="1">
      <c r="A3406" t="s">
        <v>4290</v>
      </c>
      <c r="B3406" t="s">
        <v>4291</v>
      </c>
      <c r="C3406">
        <v>76237749</v>
      </c>
      <c r="D3406">
        <v>2002676</v>
      </c>
      <c r="E3406" t="s">
        <v>39</v>
      </c>
      <c r="F3406" s="5">
        <v>300</v>
      </c>
    </row>
    <row r="3407" spans="1:6">
      <c r="A3407" t="s">
        <v>4290</v>
      </c>
      <c r="B3407" t="s">
        <v>4291</v>
      </c>
      <c r="C3407">
        <v>76237749</v>
      </c>
      <c r="D3407">
        <v>2002676</v>
      </c>
      <c r="E3407" t="s">
        <v>729</v>
      </c>
      <c r="F3407" s="5">
        <v>200</v>
      </c>
    </row>
    <row r="3408" spans="1:6" hidden="1">
      <c r="A3408" t="s">
        <v>4440</v>
      </c>
      <c r="B3408" t="s">
        <v>4441</v>
      </c>
      <c r="C3408">
        <v>76246941</v>
      </c>
      <c r="D3408">
        <v>2503557</v>
      </c>
      <c r="E3408" t="s">
        <v>39</v>
      </c>
      <c r="F3408" s="5">
        <v>300</v>
      </c>
    </row>
    <row r="3409" spans="1:6">
      <c r="A3409" t="s">
        <v>4440</v>
      </c>
      <c r="B3409" t="s">
        <v>4441</v>
      </c>
      <c r="C3409">
        <v>76246941</v>
      </c>
      <c r="D3409">
        <v>2503557</v>
      </c>
      <c r="E3409" t="s">
        <v>729</v>
      </c>
      <c r="F3409" s="5">
        <v>200</v>
      </c>
    </row>
    <row r="3410" spans="1:6" hidden="1">
      <c r="A3410" t="s">
        <v>1769</v>
      </c>
      <c r="B3410" t="s">
        <v>1770</v>
      </c>
      <c r="C3410">
        <v>17121105</v>
      </c>
      <c r="D3410">
        <v>2500559</v>
      </c>
      <c r="E3410" t="s">
        <v>39</v>
      </c>
      <c r="F3410" s="5">
        <v>300</v>
      </c>
    </row>
    <row r="3411" spans="1:6">
      <c r="A3411" t="s">
        <v>1769</v>
      </c>
      <c r="B3411" t="s">
        <v>1770</v>
      </c>
      <c r="C3411">
        <v>17121105</v>
      </c>
      <c r="D3411">
        <v>2500559</v>
      </c>
      <c r="E3411" t="s">
        <v>729</v>
      </c>
      <c r="F3411" s="5">
        <v>200</v>
      </c>
    </row>
    <row r="3412" spans="1:6" hidden="1">
      <c r="A3412" t="s">
        <v>1615</v>
      </c>
      <c r="B3412" t="s">
        <v>1616</v>
      </c>
      <c r="C3412">
        <v>5400192</v>
      </c>
      <c r="D3412">
        <v>2500551</v>
      </c>
      <c r="E3412" t="s">
        <v>39</v>
      </c>
      <c r="F3412" s="5">
        <v>300</v>
      </c>
    </row>
    <row r="3413" spans="1:6">
      <c r="A3413" t="s">
        <v>1615</v>
      </c>
      <c r="B3413" t="s">
        <v>1616</v>
      </c>
      <c r="C3413">
        <v>5400192</v>
      </c>
      <c r="D3413">
        <v>2500551</v>
      </c>
      <c r="E3413" t="s">
        <v>729</v>
      </c>
      <c r="F3413" s="5">
        <v>200</v>
      </c>
    </row>
    <row r="3414" spans="1:6" hidden="1">
      <c r="A3414" t="s">
        <v>231</v>
      </c>
      <c r="B3414" t="s">
        <v>232</v>
      </c>
      <c r="C3414">
        <v>76238669</v>
      </c>
      <c r="D3414">
        <v>2503205</v>
      </c>
      <c r="E3414" t="s">
        <v>39</v>
      </c>
      <c r="F3414" s="5">
        <v>300</v>
      </c>
    </row>
    <row r="3415" spans="1:6">
      <c r="A3415" t="s">
        <v>231</v>
      </c>
      <c r="B3415" t="s">
        <v>232</v>
      </c>
      <c r="C3415">
        <v>76238669</v>
      </c>
      <c r="D3415">
        <v>2503205</v>
      </c>
      <c r="E3415" t="s">
        <v>729</v>
      </c>
      <c r="F3415" s="5">
        <v>200</v>
      </c>
    </row>
    <row r="3416" spans="1:6" hidden="1">
      <c r="A3416" t="s">
        <v>2202</v>
      </c>
      <c r="B3416" t="s">
        <v>2203</v>
      </c>
      <c r="C3416">
        <v>71059955</v>
      </c>
      <c r="D3416">
        <v>2501134</v>
      </c>
      <c r="E3416" t="s">
        <v>39</v>
      </c>
      <c r="F3416" s="5">
        <v>300</v>
      </c>
    </row>
    <row r="3417" spans="1:6">
      <c r="A3417" t="s">
        <v>2202</v>
      </c>
      <c r="B3417" t="s">
        <v>2203</v>
      </c>
      <c r="C3417">
        <v>71059955</v>
      </c>
      <c r="D3417">
        <v>2501134</v>
      </c>
      <c r="E3417" t="s">
        <v>729</v>
      </c>
      <c r="F3417" s="5">
        <v>200</v>
      </c>
    </row>
    <row r="3418" spans="1:6" hidden="1">
      <c r="A3418" t="s">
        <v>1605</v>
      </c>
      <c r="B3418" t="s">
        <v>1606</v>
      </c>
      <c r="C3418">
        <v>5236759</v>
      </c>
      <c r="D3418">
        <v>8096</v>
      </c>
      <c r="E3418" t="s">
        <v>39</v>
      </c>
      <c r="F3418" s="5">
        <v>300</v>
      </c>
    </row>
    <row r="3419" spans="1:6">
      <c r="A3419" t="s">
        <v>1605</v>
      </c>
      <c r="B3419" t="s">
        <v>1606</v>
      </c>
      <c r="C3419">
        <v>5236759</v>
      </c>
      <c r="D3419">
        <v>8096</v>
      </c>
      <c r="E3419" t="s">
        <v>729</v>
      </c>
      <c r="F3419" s="5">
        <v>200</v>
      </c>
    </row>
    <row r="3420" spans="1:6" hidden="1">
      <c r="A3420" t="s">
        <v>3151</v>
      </c>
      <c r="B3420" t="s">
        <v>3152</v>
      </c>
      <c r="C3420">
        <v>76172751</v>
      </c>
      <c r="D3420">
        <v>3000979</v>
      </c>
      <c r="E3420" t="s">
        <v>39</v>
      </c>
      <c r="F3420" s="5">
        <v>300</v>
      </c>
    </row>
    <row r="3421" spans="1:6">
      <c r="A3421" t="s">
        <v>3151</v>
      </c>
      <c r="B3421" t="s">
        <v>3152</v>
      </c>
      <c r="C3421">
        <v>76172751</v>
      </c>
      <c r="D3421">
        <v>3000979</v>
      </c>
      <c r="E3421" t="s">
        <v>729</v>
      </c>
      <c r="F3421" s="5">
        <v>200</v>
      </c>
    </row>
    <row r="3422" spans="1:6" hidden="1">
      <c r="A3422" t="s">
        <v>4192</v>
      </c>
      <c r="B3422" t="s">
        <v>4193</v>
      </c>
      <c r="C3422">
        <v>76234233</v>
      </c>
      <c r="D3422">
        <v>3000874</v>
      </c>
      <c r="E3422" t="s">
        <v>39</v>
      </c>
      <c r="F3422" s="5">
        <v>300</v>
      </c>
    </row>
    <row r="3423" spans="1:6">
      <c r="A3423" t="s">
        <v>4192</v>
      </c>
      <c r="B3423" t="s">
        <v>4193</v>
      </c>
      <c r="C3423">
        <v>76234233</v>
      </c>
      <c r="D3423">
        <v>3000874</v>
      </c>
      <c r="E3423" t="s">
        <v>729</v>
      </c>
      <c r="F3423" s="5">
        <v>200</v>
      </c>
    </row>
    <row r="3424" spans="1:6" hidden="1">
      <c r="A3424" t="s">
        <v>4426</v>
      </c>
      <c r="B3424" t="s">
        <v>4427</v>
      </c>
      <c r="C3424">
        <v>76246482</v>
      </c>
      <c r="D3424">
        <v>2503483</v>
      </c>
      <c r="E3424" t="s">
        <v>39</v>
      </c>
      <c r="F3424" s="5">
        <v>300</v>
      </c>
    </row>
    <row r="3425" spans="1:6">
      <c r="A3425" t="s">
        <v>4426</v>
      </c>
      <c r="B3425" t="s">
        <v>4427</v>
      </c>
      <c r="C3425">
        <v>76246482</v>
      </c>
      <c r="D3425">
        <v>2503483</v>
      </c>
      <c r="E3425" t="s">
        <v>729</v>
      </c>
      <c r="F3425" s="5">
        <v>200</v>
      </c>
    </row>
    <row r="3426" spans="1:6" hidden="1">
      <c r="A3426" t="s">
        <v>1533</v>
      </c>
      <c r="B3426" t="s">
        <v>1534</v>
      </c>
      <c r="C3426">
        <v>1188402</v>
      </c>
      <c r="D3426">
        <v>2500234</v>
      </c>
      <c r="E3426" t="s">
        <v>39</v>
      </c>
      <c r="F3426" s="5">
        <v>300</v>
      </c>
    </row>
    <row r="3427" spans="1:6">
      <c r="A3427" t="s">
        <v>1533</v>
      </c>
      <c r="B3427" t="s">
        <v>1534</v>
      </c>
      <c r="C3427">
        <v>1188402</v>
      </c>
      <c r="D3427">
        <v>2500234</v>
      </c>
      <c r="E3427" t="s">
        <v>729</v>
      </c>
      <c r="F3427" s="5">
        <v>200</v>
      </c>
    </row>
    <row r="3428" spans="1:6" hidden="1">
      <c r="A3428" t="s">
        <v>1749</v>
      </c>
      <c r="B3428" t="s">
        <v>1750</v>
      </c>
      <c r="C3428">
        <v>13498091</v>
      </c>
      <c r="D3428">
        <v>0</v>
      </c>
      <c r="E3428" t="s">
        <v>39</v>
      </c>
      <c r="F3428" s="5">
        <v>400</v>
      </c>
    </row>
    <row r="3429" spans="1:6">
      <c r="A3429" t="s">
        <v>1749</v>
      </c>
      <c r="B3429" t="s">
        <v>1750</v>
      </c>
      <c r="C3429">
        <v>13498091</v>
      </c>
      <c r="D3429">
        <v>0</v>
      </c>
      <c r="E3429" t="s">
        <v>729</v>
      </c>
      <c r="F3429" s="5">
        <v>200</v>
      </c>
    </row>
    <row r="3430" spans="1:6" hidden="1">
      <c r="A3430" t="s">
        <v>2346</v>
      </c>
      <c r="B3430" t="s">
        <v>2347</v>
      </c>
      <c r="C3430">
        <v>76023794</v>
      </c>
      <c r="D3430">
        <v>6096</v>
      </c>
      <c r="E3430" t="s">
        <v>39</v>
      </c>
      <c r="F3430" s="5">
        <v>450</v>
      </c>
    </row>
    <row r="3431" spans="1:6">
      <c r="A3431" t="s">
        <v>2346</v>
      </c>
      <c r="B3431" t="s">
        <v>2347</v>
      </c>
      <c r="C3431">
        <v>76023794</v>
      </c>
      <c r="D3431">
        <v>6096</v>
      </c>
      <c r="E3431" t="s">
        <v>729</v>
      </c>
      <c r="F3431" s="5">
        <v>200</v>
      </c>
    </row>
    <row r="3432" spans="1:6" hidden="1">
      <c r="A3432" t="s">
        <v>3531</v>
      </c>
      <c r="B3432" t="s">
        <v>3532</v>
      </c>
      <c r="C3432">
        <v>76209637</v>
      </c>
      <c r="D3432">
        <v>2501337</v>
      </c>
      <c r="E3432" t="s">
        <v>39</v>
      </c>
      <c r="F3432" s="5">
        <v>300</v>
      </c>
    </row>
    <row r="3433" spans="1:6">
      <c r="A3433" t="s">
        <v>3531</v>
      </c>
      <c r="B3433" t="s">
        <v>3532</v>
      </c>
      <c r="C3433">
        <v>76209637</v>
      </c>
      <c r="D3433">
        <v>2501337</v>
      </c>
      <c r="E3433" t="s">
        <v>729</v>
      </c>
      <c r="F3433" s="5">
        <v>200</v>
      </c>
    </row>
    <row r="3434" spans="1:6" hidden="1">
      <c r="A3434" t="s">
        <v>2849</v>
      </c>
      <c r="B3434" t="s">
        <v>2850</v>
      </c>
      <c r="C3434">
        <v>76134179</v>
      </c>
      <c r="D3434">
        <v>2501342</v>
      </c>
      <c r="E3434" t="s">
        <v>39</v>
      </c>
      <c r="F3434" s="5">
        <v>300</v>
      </c>
    </row>
    <row r="3435" spans="1:6">
      <c r="A3435" t="s">
        <v>2849</v>
      </c>
      <c r="B3435" t="s">
        <v>2850</v>
      </c>
      <c r="C3435">
        <v>76134179</v>
      </c>
      <c r="D3435">
        <v>2501342</v>
      </c>
      <c r="E3435" t="s">
        <v>729</v>
      </c>
      <c r="F3435" s="5">
        <v>200</v>
      </c>
    </row>
    <row r="3436" spans="1:6" hidden="1">
      <c r="A3436" t="s">
        <v>418</v>
      </c>
      <c r="B3436" t="s">
        <v>419</v>
      </c>
      <c r="C3436">
        <v>25212501</v>
      </c>
      <c r="D3436">
        <v>6024</v>
      </c>
      <c r="E3436" t="s">
        <v>39</v>
      </c>
      <c r="F3436" s="5">
        <v>300</v>
      </c>
    </row>
    <row r="3437" spans="1:6">
      <c r="A3437" t="s">
        <v>418</v>
      </c>
      <c r="B3437" t="s">
        <v>419</v>
      </c>
      <c r="C3437">
        <v>25212501</v>
      </c>
      <c r="D3437">
        <v>6024</v>
      </c>
      <c r="E3437" t="s">
        <v>729</v>
      </c>
      <c r="F3437" s="5">
        <v>200</v>
      </c>
    </row>
    <row r="3438" spans="1:6" hidden="1">
      <c r="A3438" t="s">
        <v>4597</v>
      </c>
      <c r="B3438" t="s">
        <v>4598</v>
      </c>
      <c r="C3438">
        <v>76256834</v>
      </c>
      <c r="D3438">
        <v>3000486</v>
      </c>
      <c r="E3438" t="s">
        <v>39</v>
      </c>
      <c r="F3438" s="5">
        <v>300</v>
      </c>
    </row>
    <row r="3439" spans="1:6">
      <c r="A3439" t="s">
        <v>4597</v>
      </c>
      <c r="B3439" t="s">
        <v>4598</v>
      </c>
      <c r="C3439">
        <v>76256834</v>
      </c>
      <c r="D3439">
        <v>3000486</v>
      </c>
      <c r="E3439" t="s">
        <v>729</v>
      </c>
      <c r="F3439" s="5">
        <v>200</v>
      </c>
    </row>
    <row r="3440" spans="1:6" hidden="1">
      <c r="A3440" t="s">
        <v>2062</v>
      </c>
      <c r="B3440" t="s">
        <v>2063</v>
      </c>
      <c r="C3440">
        <v>71043960</v>
      </c>
      <c r="D3440">
        <v>2502637</v>
      </c>
      <c r="E3440" t="s">
        <v>39</v>
      </c>
      <c r="F3440" s="5">
        <v>450</v>
      </c>
    </row>
    <row r="3441" spans="1:6">
      <c r="A3441" t="s">
        <v>2062</v>
      </c>
      <c r="B3441" t="s">
        <v>2063</v>
      </c>
      <c r="C3441">
        <v>71043960</v>
      </c>
      <c r="D3441">
        <v>2502637</v>
      </c>
      <c r="E3441" t="s">
        <v>729</v>
      </c>
      <c r="F3441" s="5">
        <v>200</v>
      </c>
    </row>
    <row r="3442" spans="1:6" hidden="1">
      <c r="A3442" t="s">
        <v>4214</v>
      </c>
      <c r="B3442" t="s">
        <v>4215</v>
      </c>
      <c r="C3442">
        <v>76234768</v>
      </c>
      <c r="D3442">
        <v>2503621</v>
      </c>
      <c r="E3442" t="s">
        <v>39</v>
      </c>
      <c r="F3442" s="5">
        <v>300</v>
      </c>
    </row>
    <row r="3443" spans="1:6">
      <c r="A3443" t="s">
        <v>4214</v>
      </c>
      <c r="B3443" t="s">
        <v>4215</v>
      </c>
      <c r="C3443">
        <v>76234768</v>
      </c>
      <c r="D3443">
        <v>2503621</v>
      </c>
      <c r="E3443" t="s">
        <v>729</v>
      </c>
      <c r="F3443" s="5">
        <v>200</v>
      </c>
    </row>
    <row r="3444" spans="1:6" hidden="1">
      <c r="A3444" t="s">
        <v>3245</v>
      </c>
      <c r="B3444" t="s">
        <v>3246</v>
      </c>
      <c r="C3444">
        <v>76188331</v>
      </c>
      <c r="D3444">
        <v>2502624</v>
      </c>
      <c r="E3444" t="s">
        <v>39</v>
      </c>
      <c r="F3444" s="5">
        <v>450</v>
      </c>
    </row>
    <row r="3445" spans="1:6">
      <c r="A3445" t="s">
        <v>3245</v>
      </c>
      <c r="B3445" t="s">
        <v>3246</v>
      </c>
      <c r="C3445">
        <v>76188331</v>
      </c>
      <c r="D3445">
        <v>2502624</v>
      </c>
      <c r="E3445" t="s">
        <v>729</v>
      </c>
      <c r="F3445" s="5">
        <v>200</v>
      </c>
    </row>
    <row r="3446" spans="1:6" hidden="1">
      <c r="A3446" t="s">
        <v>2939</v>
      </c>
      <c r="B3446" t="s">
        <v>2940</v>
      </c>
      <c r="C3446">
        <v>76151557</v>
      </c>
      <c r="D3446">
        <v>3001298</v>
      </c>
      <c r="E3446" t="s">
        <v>39</v>
      </c>
      <c r="F3446" s="5">
        <v>300</v>
      </c>
    </row>
    <row r="3447" spans="1:6">
      <c r="A3447" t="s">
        <v>2939</v>
      </c>
      <c r="B3447" t="s">
        <v>2940</v>
      </c>
      <c r="C3447">
        <v>76151557</v>
      </c>
      <c r="D3447">
        <v>3001298</v>
      </c>
      <c r="E3447" t="s">
        <v>729</v>
      </c>
      <c r="F3447" s="5">
        <v>200</v>
      </c>
    </row>
    <row r="3448" spans="1:6" hidden="1">
      <c r="A3448" t="s">
        <v>2715</v>
      </c>
      <c r="B3448" t="s">
        <v>2716</v>
      </c>
      <c r="C3448">
        <v>76067505</v>
      </c>
      <c r="D3448">
        <v>2501983</v>
      </c>
      <c r="E3448" t="s">
        <v>39</v>
      </c>
      <c r="F3448" s="5">
        <v>300</v>
      </c>
    </row>
    <row r="3449" spans="1:6">
      <c r="A3449" t="s">
        <v>2715</v>
      </c>
      <c r="B3449" t="s">
        <v>2716</v>
      </c>
      <c r="C3449">
        <v>76067505</v>
      </c>
      <c r="D3449">
        <v>2501983</v>
      </c>
      <c r="E3449" t="s">
        <v>729</v>
      </c>
      <c r="F3449" s="5">
        <v>200</v>
      </c>
    </row>
    <row r="3450" spans="1:6" hidden="1">
      <c r="A3450" t="s">
        <v>3717</v>
      </c>
      <c r="B3450" t="s">
        <v>3718</v>
      </c>
      <c r="C3450">
        <v>76219273</v>
      </c>
      <c r="D3450">
        <v>3001817</v>
      </c>
      <c r="E3450" t="s">
        <v>39</v>
      </c>
      <c r="F3450" s="5">
        <v>300</v>
      </c>
    </row>
    <row r="3451" spans="1:6">
      <c r="A3451" t="s">
        <v>3717</v>
      </c>
      <c r="B3451" t="s">
        <v>3718</v>
      </c>
      <c r="C3451">
        <v>76219273</v>
      </c>
      <c r="D3451">
        <v>3001817</v>
      </c>
      <c r="E3451" t="s">
        <v>729</v>
      </c>
      <c r="F3451" s="5">
        <v>200</v>
      </c>
    </row>
    <row r="3452" spans="1:6" hidden="1">
      <c r="A3452" t="s">
        <v>2937</v>
      </c>
      <c r="B3452" t="s">
        <v>2938</v>
      </c>
      <c r="C3452">
        <v>76151556</v>
      </c>
      <c r="D3452">
        <v>3001564</v>
      </c>
      <c r="E3452" t="s">
        <v>39</v>
      </c>
      <c r="F3452" s="5">
        <v>300</v>
      </c>
    </row>
    <row r="3453" spans="1:6">
      <c r="A3453" t="s">
        <v>2937</v>
      </c>
      <c r="B3453" t="s">
        <v>2938</v>
      </c>
      <c r="C3453">
        <v>76151556</v>
      </c>
      <c r="D3453">
        <v>3001564</v>
      </c>
      <c r="E3453" t="s">
        <v>729</v>
      </c>
      <c r="F3453" s="5">
        <v>200</v>
      </c>
    </row>
    <row r="3454" spans="1:6" hidden="1">
      <c r="A3454" t="s">
        <v>3719</v>
      </c>
      <c r="B3454" t="s">
        <v>3720</v>
      </c>
      <c r="C3454">
        <v>76219274</v>
      </c>
      <c r="D3454">
        <v>3001706</v>
      </c>
      <c r="E3454" t="s">
        <v>39</v>
      </c>
      <c r="F3454" s="5">
        <v>300</v>
      </c>
    </row>
    <row r="3455" spans="1:6">
      <c r="A3455" t="s">
        <v>3719</v>
      </c>
      <c r="B3455" t="s">
        <v>3720</v>
      </c>
      <c r="C3455">
        <v>76219274</v>
      </c>
      <c r="D3455">
        <v>3001706</v>
      </c>
      <c r="E3455" t="s">
        <v>729</v>
      </c>
      <c r="F3455" s="5">
        <v>200</v>
      </c>
    </row>
    <row r="3456" spans="1:6" hidden="1">
      <c r="A3456" t="s">
        <v>4629</v>
      </c>
      <c r="B3456" t="s">
        <v>4630</v>
      </c>
      <c r="C3456">
        <v>76258275</v>
      </c>
      <c r="D3456">
        <v>3002462</v>
      </c>
      <c r="E3456" t="s">
        <v>39</v>
      </c>
      <c r="F3456" s="5">
        <v>300</v>
      </c>
    </row>
    <row r="3457" spans="1:6">
      <c r="A3457" t="s">
        <v>4629</v>
      </c>
      <c r="B3457" t="s">
        <v>4630</v>
      </c>
      <c r="C3457">
        <v>76258275</v>
      </c>
      <c r="D3457">
        <v>3002462</v>
      </c>
      <c r="E3457" t="s">
        <v>729</v>
      </c>
      <c r="F3457" s="5">
        <v>200</v>
      </c>
    </row>
    <row r="3458" spans="1:6" hidden="1">
      <c r="A3458" t="s">
        <v>3859</v>
      </c>
      <c r="B3458" t="s">
        <v>3860</v>
      </c>
      <c r="C3458">
        <v>76224533</v>
      </c>
      <c r="D3458">
        <v>2501485</v>
      </c>
      <c r="E3458" t="s">
        <v>39</v>
      </c>
      <c r="F3458" s="5">
        <v>300</v>
      </c>
    </row>
    <row r="3459" spans="1:6">
      <c r="A3459" t="s">
        <v>3859</v>
      </c>
      <c r="B3459" t="s">
        <v>3860</v>
      </c>
      <c r="C3459">
        <v>76224533</v>
      </c>
      <c r="D3459">
        <v>2501485</v>
      </c>
      <c r="E3459" t="s">
        <v>729</v>
      </c>
      <c r="F3459" s="5">
        <v>200</v>
      </c>
    </row>
    <row r="3460" spans="1:6" hidden="1">
      <c r="A3460" t="s">
        <v>4188</v>
      </c>
      <c r="B3460" t="s">
        <v>4189</v>
      </c>
      <c r="C3460">
        <v>76234095</v>
      </c>
      <c r="D3460">
        <v>0</v>
      </c>
      <c r="E3460" t="s">
        <v>39</v>
      </c>
      <c r="F3460" s="5">
        <v>400</v>
      </c>
    </row>
    <row r="3461" spans="1:6">
      <c r="A3461" t="s">
        <v>4188</v>
      </c>
      <c r="B3461" t="s">
        <v>4189</v>
      </c>
      <c r="C3461">
        <v>76234095</v>
      </c>
      <c r="D3461">
        <v>0</v>
      </c>
      <c r="E3461" t="s">
        <v>729</v>
      </c>
      <c r="F3461" s="5">
        <v>200</v>
      </c>
    </row>
    <row r="3462" spans="1:6" hidden="1">
      <c r="A3462" t="s">
        <v>1519</v>
      </c>
      <c r="B3462" t="s">
        <v>1520</v>
      </c>
      <c r="C3462">
        <v>1029901</v>
      </c>
      <c r="D3462">
        <v>13134</v>
      </c>
      <c r="E3462" t="s">
        <v>39</v>
      </c>
      <c r="F3462" s="5">
        <v>450</v>
      </c>
    </row>
    <row r="3463" spans="1:6">
      <c r="A3463" t="s">
        <v>1519</v>
      </c>
      <c r="B3463" t="s">
        <v>1520</v>
      </c>
      <c r="C3463">
        <v>1029901</v>
      </c>
      <c r="D3463">
        <v>13134</v>
      </c>
      <c r="E3463" t="s">
        <v>729</v>
      </c>
      <c r="F3463" s="5">
        <v>200</v>
      </c>
    </row>
    <row r="3464" spans="1:6" hidden="1">
      <c r="A3464" t="s">
        <v>1523</v>
      </c>
      <c r="B3464" t="s">
        <v>1524</v>
      </c>
      <c r="C3464">
        <v>1029906</v>
      </c>
      <c r="D3464">
        <v>13139</v>
      </c>
      <c r="E3464" t="s">
        <v>39</v>
      </c>
      <c r="F3464" s="5">
        <v>450</v>
      </c>
    </row>
    <row r="3465" spans="1:6">
      <c r="A3465" t="s">
        <v>1523</v>
      </c>
      <c r="B3465" t="s">
        <v>1524</v>
      </c>
      <c r="C3465">
        <v>1029906</v>
      </c>
      <c r="D3465">
        <v>13139</v>
      </c>
      <c r="E3465" t="s">
        <v>729</v>
      </c>
      <c r="F3465" s="5">
        <v>200</v>
      </c>
    </row>
    <row r="3466" spans="1:6" hidden="1">
      <c r="A3466" t="s">
        <v>2078</v>
      </c>
      <c r="B3466" t="s">
        <v>2079</v>
      </c>
      <c r="C3466">
        <v>71045475</v>
      </c>
      <c r="D3466">
        <v>9050</v>
      </c>
      <c r="E3466" t="s">
        <v>39</v>
      </c>
      <c r="F3466" s="5">
        <v>450</v>
      </c>
    </row>
    <row r="3467" spans="1:6">
      <c r="A3467" t="s">
        <v>2078</v>
      </c>
      <c r="B3467" t="s">
        <v>2079</v>
      </c>
      <c r="C3467">
        <v>71045475</v>
      </c>
      <c r="D3467">
        <v>9050</v>
      </c>
      <c r="E3467" t="s">
        <v>729</v>
      </c>
      <c r="F3467" s="5">
        <v>200</v>
      </c>
    </row>
    <row r="3468" spans="1:6" hidden="1">
      <c r="A3468" t="s">
        <v>4326</v>
      </c>
      <c r="B3468" t="s">
        <v>4327</v>
      </c>
      <c r="C3468">
        <v>76240482</v>
      </c>
      <c r="D3468">
        <v>2001833</v>
      </c>
      <c r="E3468" t="s">
        <v>39</v>
      </c>
      <c r="F3468" s="5">
        <v>300</v>
      </c>
    </row>
    <row r="3469" spans="1:6">
      <c r="A3469" t="s">
        <v>4326</v>
      </c>
      <c r="B3469" t="s">
        <v>4327</v>
      </c>
      <c r="C3469">
        <v>76240482</v>
      </c>
      <c r="D3469">
        <v>2001833</v>
      </c>
      <c r="E3469" t="s">
        <v>729</v>
      </c>
      <c r="F3469" s="5">
        <v>200</v>
      </c>
    </row>
    <row r="3470" spans="1:6" hidden="1">
      <c r="A3470" t="s">
        <v>1873</v>
      </c>
      <c r="B3470" t="s">
        <v>1874</v>
      </c>
      <c r="C3470">
        <v>29044101</v>
      </c>
      <c r="D3470">
        <v>2002003</v>
      </c>
      <c r="E3470" t="s">
        <v>39</v>
      </c>
      <c r="F3470" s="5">
        <v>300</v>
      </c>
    </row>
    <row r="3471" spans="1:6">
      <c r="A3471" t="s">
        <v>1873</v>
      </c>
      <c r="B3471" t="s">
        <v>1874</v>
      </c>
      <c r="C3471">
        <v>29044101</v>
      </c>
      <c r="D3471">
        <v>2002003</v>
      </c>
      <c r="E3471" t="s">
        <v>729</v>
      </c>
      <c r="F3471" s="5">
        <v>200</v>
      </c>
    </row>
    <row r="3472" spans="1:6" hidden="1">
      <c r="A3472" t="s">
        <v>3963</v>
      </c>
      <c r="B3472" t="s">
        <v>3964</v>
      </c>
      <c r="C3472">
        <v>76228314</v>
      </c>
      <c r="D3472">
        <v>2001976</v>
      </c>
      <c r="E3472" t="s">
        <v>39</v>
      </c>
      <c r="F3472" s="5">
        <v>300</v>
      </c>
    </row>
    <row r="3473" spans="1:6">
      <c r="A3473" t="s">
        <v>3963</v>
      </c>
      <c r="B3473" t="s">
        <v>3964</v>
      </c>
      <c r="C3473">
        <v>76228314</v>
      </c>
      <c r="D3473">
        <v>2001976</v>
      </c>
      <c r="E3473" t="s">
        <v>729</v>
      </c>
      <c r="F3473" s="5">
        <v>200</v>
      </c>
    </row>
    <row r="3474" spans="1:6" hidden="1">
      <c r="A3474" t="s">
        <v>96</v>
      </c>
      <c r="B3474" t="s">
        <v>97</v>
      </c>
      <c r="C3474">
        <v>76173064</v>
      </c>
      <c r="D3474">
        <v>3000888</v>
      </c>
      <c r="E3474" t="s">
        <v>39</v>
      </c>
      <c r="F3474" s="5">
        <v>300</v>
      </c>
    </row>
    <row r="3475" spans="1:6">
      <c r="A3475" t="s">
        <v>96</v>
      </c>
      <c r="B3475" t="s">
        <v>97</v>
      </c>
      <c r="C3475">
        <v>76173064</v>
      </c>
      <c r="D3475">
        <v>3000888</v>
      </c>
      <c r="E3475" t="s">
        <v>729</v>
      </c>
      <c r="F3475" s="5">
        <v>200</v>
      </c>
    </row>
    <row r="3476" spans="1:6" hidden="1">
      <c r="A3476" t="s">
        <v>2867</v>
      </c>
      <c r="B3476" t="s">
        <v>2868</v>
      </c>
      <c r="C3476">
        <v>76138081</v>
      </c>
      <c r="D3476">
        <v>2500981</v>
      </c>
      <c r="E3476" t="s">
        <v>39</v>
      </c>
      <c r="F3476" s="5">
        <v>300</v>
      </c>
    </row>
    <row r="3477" spans="1:6">
      <c r="A3477" t="s">
        <v>2867</v>
      </c>
      <c r="B3477" t="s">
        <v>2868</v>
      </c>
      <c r="C3477">
        <v>76138081</v>
      </c>
      <c r="D3477">
        <v>2500981</v>
      </c>
      <c r="E3477" t="s">
        <v>729</v>
      </c>
      <c r="F3477" s="5">
        <v>200</v>
      </c>
    </row>
    <row r="3478" spans="1:6" hidden="1">
      <c r="A3478" t="s">
        <v>1881</v>
      </c>
      <c r="B3478" t="s">
        <v>1882</v>
      </c>
      <c r="C3478">
        <v>29116172</v>
      </c>
      <c r="D3478">
        <v>2003083</v>
      </c>
      <c r="E3478" t="s">
        <v>39</v>
      </c>
      <c r="F3478" s="5">
        <v>300</v>
      </c>
    </row>
    <row r="3479" spans="1:6">
      <c r="A3479" t="s">
        <v>1881</v>
      </c>
      <c r="B3479" t="s">
        <v>1882</v>
      </c>
      <c r="C3479">
        <v>29116172</v>
      </c>
      <c r="D3479">
        <v>2003083</v>
      </c>
      <c r="E3479" t="s">
        <v>729</v>
      </c>
      <c r="F3479" s="5">
        <v>200</v>
      </c>
    </row>
    <row r="3480" spans="1:6" hidden="1">
      <c r="A3480" t="s">
        <v>1265</v>
      </c>
      <c r="B3480" t="s">
        <v>1288</v>
      </c>
      <c r="C3480">
        <v>25149301</v>
      </c>
      <c r="D3480">
        <v>2501277</v>
      </c>
      <c r="E3480" t="s">
        <v>39</v>
      </c>
      <c r="F3480" s="5">
        <v>300</v>
      </c>
    </row>
    <row r="3481" spans="1:6">
      <c r="A3481" t="s">
        <v>1265</v>
      </c>
      <c r="B3481" t="s">
        <v>1288</v>
      </c>
      <c r="C3481">
        <v>25149301</v>
      </c>
      <c r="D3481">
        <v>2501277</v>
      </c>
      <c r="E3481" t="s">
        <v>729</v>
      </c>
      <c r="F3481" s="5">
        <v>200</v>
      </c>
    </row>
    <row r="3482" spans="1:6" hidden="1">
      <c r="A3482" t="s">
        <v>1213</v>
      </c>
      <c r="B3482" t="s">
        <v>1925</v>
      </c>
      <c r="C3482">
        <v>37141201</v>
      </c>
      <c r="D3482">
        <v>9050</v>
      </c>
      <c r="E3482" t="s">
        <v>39</v>
      </c>
      <c r="F3482" s="5">
        <v>450</v>
      </c>
    </row>
    <row r="3483" spans="1:6">
      <c r="A3483" t="s">
        <v>1213</v>
      </c>
      <c r="B3483" t="s">
        <v>1925</v>
      </c>
      <c r="C3483">
        <v>37141201</v>
      </c>
      <c r="D3483">
        <v>9050</v>
      </c>
      <c r="E3483" t="s">
        <v>729</v>
      </c>
      <c r="F3483" s="5">
        <v>200</v>
      </c>
    </row>
    <row r="3484" spans="1:6" hidden="1">
      <c r="A3484" t="s">
        <v>1926</v>
      </c>
      <c r="B3484" t="s">
        <v>1927</v>
      </c>
      <c r="C3484">
        <v>37141201</v>
      </c>
      <c r="D3484">
        <v>3000813</v>
      </c>
      <c r="E3484" t="s">
        <v>39</v>
      </c>
      <c r="F3484" s="5">
        <v>300</v>
      </c>
    </row>
    <row r="3485" spans="1:6">
      <c r="A3485" t="s">
        <v>1926</v>
      </c>
      <c r="B3485" t="s">
        <v>1927</v>
      </c>
      <c r="C3485">
        <v>37141201</v>
      </c>
      <c r="D3485">
        <v>3000813</v>
      </c>
      <c r="E3485" t="s">
        <v>729</v>
      </c>
      <c r="F3485" s="5">
        <v>200</v>
      </c>
    </row>
    <row r="3486" spans="1:6" hidden="1">
      <c r="A3486" t="s">
        <v>1954</v>
      </c>
      <c r="B3486" t="s">
        <v>1955</v>
      </c>
      <c r="C3486">
        <v>42854401</v>
      </c>
      <c r="D3486">
        <v>8033</v>
      </c>
      <c r="E3486" t="s">
        <v>39</v>
      </c>
      <c r="F3486" s="5">
        <v>300</v>
      </c>
    </row>
    <row r="3487" spans="1:6">
      <c r="A3487" t="s">
        <v>1954</v>
      </c>
      <c r="B3487" t="s">
        <v>1955</v>
      </c>
      <c r="C3487">
        <v>42854401</v>
      </c>
      <c r="D3487">
        <v>8033</v>
      </c>
      <c r="E3487" t="s">
        <v>729</v>
      </c>
      <c r="F3487" s="5">
        <v>200</v>
      </c>
    </row>
    <row r="3488" spans="1:6" hidden="1">
      <c r="A3488" t="s">
        <v>2242</v>
      </c>
      <c r="B3488" t="s">
        <v>2243</v>
      </c>
      <c r="C3488">
        <v>71064453</v>
      </c>
      <c r="D3488">
        <v>2001138</v>
      </c>
      <c r="E3488" t="s">
        <v>39</v>
      </c>
      <c r="F3488" s="5">
        <v>300</v>
      </c>
    </row>
    <row r="3489" spans="1:6">
      <c r="A3489" t="s">
        <v>2242</v>
      </c>
      <c r="B3489" t="s">
        <v>2243</v>
      </c>
      <c r="C3489">
        <v>71064453</v>
      </c>
      <c r="D3489">
        <v>2001138</v>
      </c>
      <c r="E3489" t="s">
        <v>729</v>
      </c>
      <c r="F3489" s="5">
        <v>200</v>
      </c>
    </row>
    <row r="3490" spans="1:6" hidden="1">
      <c r="A3490" t="s">
        <v>409</v>
      </c>
      <c r="B3490" t="s">
        <v>410</v>
      </c>
      <c r="C3490">
        <v>17237901</v>
      </c>
      <c r="D3490">
        <v>2501985</v>
      </c>
      <c r="E3490" t="s">
        <v>39</v>
      </c>
      <c r="F3490" s="5">
        <v>300</v>
      </c>
    </row>
    <row r="3491" spans="1:6">
      <c r="A3491" t="s">
        <v>409</v>
      </c>
      <c r="B3491" t="s">
        <v>410</v>
      </c>
      <c r="C3491">
        <v>17237901</v>
      </c>
      <c r="D3491">
        <v>2501985</v>
      </c>
      <c r="E3491" t="s">
        <v>729</v>
      </c>
      <c r="F3491" s="5">
        <v>200</v>
      </c>
    </row>
    <row r="3492" spans="1:6" hidden="1">
      <c r="A3492" t="s">
        <v>2146</v>
      </c>
      <c r="B3492" t="s">
        <v>2147</v>
      </c>
      <c r="C3492">
        <v>71052990</v>
      </c>
      <c r="D3492">
        <v>143170</v>
      </c>
      <c r="E3492" t="s">
        <v>39</v>
      </c>
      <c r="F3492" s="5">
        <v>300</v>
      </c>
    </row>
    <row r="3493" spans="1:6">
      <c r="A3493" t="s">
        <v>2146</v>
      </c>
      <c r="B3493" t="s">
        <v>2147</v>
      </c>
      <c r="C3493">
        <v>71052990</v>
      </c>
      <c r="D3493">
        <v>143170</v>
      </c>
      <c r="E3493" t="s">
        <v>729</v>
      </c>
      <c r="F3493" s="5">
        <v>200</v>
      </c>
    </row>
    <row r="3494" spans="1:6" hidden="1">
      <c r="A3494" t="s">
        <v>1627</v>
      </c>
      <c r="B3494" t="s">
        <v>1628</v>
      </c>
      <c r="C3494">
        <v>5710177</v>
      </c>
      <c r="D3494">
        <v>2503610</v>
      </c>
      <c r="E3494" t="s">
        <v>39</v>
      </c>
      <c r="F3494" s="5">
        <v>300</v>
      </c>
    </row>
    <row r="3495" spans="1:6">
      <c r="A3495" t="s">
        <v>1627</v>
      </c>
      <c r="B3495" t="s">
        <v>1628</v>
      </c>
      <c r="C3495">
        <v>5710177</v>
      </c>
      <c r="D3495">
        <v>2503610</v>
      </c>
      <c r="E3495" t="s">
        <v>729</v>
      </c>
      <c r="F3495" s="5">
        <v>200</v>
      </c>
    </row>
    <row r="3496" spans="1:6" hidden="1">
      <c r="A3496" t="s">
        <v>2568</v>
      </c>
      <c r="B3496" t="s">
        <v>2569</v>
      </c>
      <c r="C3496">
        <v>76055600</v>
      </c>
      <c r="D3496">
        <v>2501130</v>
      </c>
      <c r="E3496" t="s">
        <v>39</v>
      </c>
      <c r="F3496" s="5">
        <v>400</v>
      </c>
    </row>
    <row r="3497" spans="1:6">
      <c r="A3497" t="s">
        <v>2568</v>
      </c>
      <c r="B3497" t="s">
        <v>2569</v>
      </c>
      <c r="C3497">
        <v>76055600</v>
      </c>
      <c r="D3497">
        <v>2501130</v>
      </c>
      <c r="E3497" t="s">
        <v>729</v>
      </c>
      <c r="F3497" s="5">
        <v>200</v>
      </c>
    </row>
    <row r="3498" spans="1:6" hidden="1">
      <c r="A3498" t="s">
        <v>2578</v>
      </c>
      <c r="B3498" t="s">
        <v>2579</v>
      </c>
      <c r="C3498">
        <v>76055623</v>
      </c>
      <c r="D3498">
        <v>2501142</v>
      </c>
      <c r="E3498" t="s">
        <v>39</v>
      </c>
      <c r="F3498" s="5">
        <v>450</v>
      </c>
    </row>
    <row r="3499" spans="1:6">
      <c r="A3499" t="s">
        <v>2578</v>
      </c>
      <c r="B3499" t="s">
        <v>2579</v>
      </c>
      <c r="C3499">
        <v>76055623</v>
      </c>
      <c r="D3499">
        <v>2501142</v>
      </c>
      <c r="E3499" t="s">
        <v>729</v>
      </c>
      <c r="F3499" s="5">
        <v>200</v>
      </c>
    </row>
    <row r="3500" spans="1:6" hidden="1">
      <c r="A3500" t="s">
        <v>2580</v>
      </c>
      <c r="B3500" t="s">
        <v>2581</v>
      </c>
      <c r="C3500">
        <v>76055624</v>
      </c>
      <c r="D3500">
        <v>2501122</v>
      </c>
      <c r="E3500" t="s">
        <v>39</v>
      </c>
      <c r="F3500" s="5">
        <v>400</v>
      </c>
    </row>
    <row r="3501" spans="1:6">
      <c r="A3501" t="s">
        <v>2580</v>
      </c>
      <c r="B3501" t="s">
        <v>2581</v>
      </c>
      <c r="C3501">
        <v>76055624</v>
      </c>
      <c r="D3501">
        <v>2501122</v>
      </c>
      <c r="E3501" t="s">
        <v>729</v>
      </c>
      <c r="F3501" s="5">
        <v>200</v>
      </c>
    </row>
    <row r="3502" spans="1:6" hidden="1">
      <c r="A3502" t="s">
        <v>3385</v>
      </c>
      <c r="B3502" t="s">
        <v>3386</v>
      </c>
      <c r="C3502">
        <v>76203889</v>
      </c>
      <c r="D3502">
        <v>2501136</v>
      </c>
      <c r="E3502" t="s">
        <v>39</v>
      </c>
      <c r="F3502" s="5">
        <v>400</v>
      </c>
    </row>
    <row r="3503" spans="1:6">
      <c r="A3503" t="s">
        <v>3385</v>
      </c>
      <c r="B3503" t="s">
        <v>3386</v>
      </c>
      <c r="C3503">
        <v>76203889</v>
      </c>
      <c r="D3503">
        <v>2501136</v>
      </c>
      <c r="E3503" t="s">
        <v>729</v>
      </c>
      <c r="F3503" s="5">
        <v>200</v>
      </c>
    </row>
    <row r="3504" spans="1:6" hidden="1">
      <c r="A3504" t="s">
        <v>1837</v>
      </c>
      <c r="B3504" t="s">
        <v>1838</v>
      </c>
      <c r="C3504">
        <v>25298066</v>
      </c>
      <c r="D3504">
        <v>9095</v>
      </c>
      <c r="E3504" t="s">
        <v>39</v>
      </c>
      <c r="F3504" s="5">
        <v>300</v>
      </c>
    </row>
    <row r="3505" spans="1:6">
      <c r="A3505" t="s">
        <v>1837</v>
      </c>
      <c r="B3505" t="s">
        <v>1838</v>
      </c>
      <c r="C3505">
        <v>25298066</v>
      </c>
      <c r="D3505">
        <v>9095</v>
      </c>
      <c r="E3505" t="s">
        <v>729</v>
      </c>
      <c r="F3505" s="5">
        <v>200</v>
      </c>
    </row>
    <row r="3506" spans="1:6" hidden="1">
      <c r="A3506" t="s">
        <v>2759</v>
      </c>
      <c r="B3506" t="s">
        <v>2760</v>
      </c>
      <c r="C3506">
        <v>76073516</v>
      </c>
      <c r="D3506">
        <v>2502428</v>
      </c>
      <c r="E3506" t="s">
        <v>39</v>
      </c>
      <c r="F3506" s="5">
        <v>400</v>
      </c>
    </row>
    <row r="3507" spans="1:6">
      <c r="A3507" t="s">
        <v>2759</v>
      </c>
      <c r="B3507" t="s">
        <v>2760</v>
      </c>
      <c r="C3507">
        <v>76073516</v>
      </c>
      <c r="D3507">
        <v>2502428</v>
      </c>
      <c r="E3507" t="s">
        <v>729</v>
      </c>
      <c r="F3507" s="5">
        <v>200</v>
      </c>
    </row>
    <row r="3508" spans="1:6" hidden="1">
      <c r="A3508" t="s">
        <v>2582</v>
      </c>
      <c r="B3508" t="s">
        <v>2583</v>
      </c>
      <c r="C3508">
        <v>76055641</v>
      </c>
      <c r="D3508">
        <v>2502432</v>
      </c>
      <c r="E3508" t="s">
        <v>39</v>
      </c>
      <c r="F3508" s="5">
        <v>400</v>
      </c>
    </row>
    <row r="3509" spans="1:6">
      <c r="A3509" t="s">
        <v>2582</v>
      </c>
      <c r="B3509" t="s">
        <v>2583</v>
      </c>
      <c r="C3509">
        <v>76055641</v>
      </c>
      <c r="D3509">
        <v>2502432</v>
      </c>
      <c r="E3509" t="s">
        <v>729</v>
      </c>
      <c r="F3509" s="5">
        <v>200</v>
      </c>
    </row>
    <row r="3510" spans="1:6" hidden="1">
      <c r="A3510" t="s">
        <v>2586</v>
      </c>
      <c r="B3510" t="s">
        <v>2587</v>
      </c>
      <c r="C3510">
        <v>76055894</v>
      </c>
      <c r="D3510">
        <v>2502435</v>
      </c>
      <c r="E3510" t="s">
        <v>39</v>
      </c>
      <c r="F3510" s="5">
        <v>300</v>
      </c>
    </row>
    <row r="3511" spans="1:6">
      <c r="A3511" t="s">
        <v>2586</v>
      </c>
      <c r="B3511" t="s">
        <v>2587</v>
      </c>
      <c r="C3511">
        <v>76055894</v>
      </c>
      <c r="D3511">
        <v>2502435</v>
      </c>
      <c r="E3511" t="s">
        <v>729</v>
      </c>
      <c r="F3511" s="5">
        <v>200</v>
      </c>
    </row>
    <row r="3512" spans="1:6" hidden="1">
      <c r="A3512" t="s">
        <v>2544</v>
      </c>
      <c r="B3512" t="s">
        <v>2545</v>
      </c>
      <c r="C3512">
        <v>76048287</v>
      </c>
      <c r="D3512">
        <v>3000107</v>
      </c>
      <c r="E3512" t="s">
        <v>39</v>
      </c>
      <c r="F3512" s="5">
        <v>300</v>
      </c>
    </row>
    <row r="3513" spans="1:6">
      <c r="A3513" t="s">
        <v>2544</v>
      </c>
      <c r="B3513" t="s">
        <v>2545</v>
      </c>
      <c r="C3513">
        <v>76048287</v>
      </c>
      <c r="D3513">
        <v>3000107</v>
      </c>
      <c r="E3513" t="s">
        <v>729</v>
      </c>
      <c r="F3513" s="5">
        <v>200</v>
      </c>
    </row>
    <row r="3514" spans="1:6" hidden="1">
      <c r="A3514" t="s">
        <v>2008</v>
      </c>
      <c r="B3514" t="s">
        <v>2009</v>
      </c>
      <c r="C3514">
        <v>71037486</v>
      </c>
      <c r="D3514">
        <v>3113</v>
      </c>
      <c r="E3514" t="s">
        <v>39</v>
      </c>
      <c r="F3514" s="5">
        <v>300</v>
      </c>
    </row>
    <row r="3515" spans="1:6">
      <c r="A3515" t="s">
        <v>2008</v>
      </c>
      <c r="B3515" t="s">
        <v>2009</v>
      </c>
      <c r="C3515">
        <v>71037486</v>
      </c>
      <c r="D3515">
        <v>3113</v>
      </c>
      <c r="E3515" t="s">
        <v>729</v>
      </c>
      <c r="F3515" s="5">
        <v>200</v>
      </c>
    </row>
    <row r="3516" spans="1:6" hidden="1">
      <c r="A3516" t="s">
        <v>1998</v>
      </c>
      <c r="B3516" t="s">
        <v>1999</v>
      </c>
      <c r="C3516">
        <v>61001516</v>
      </c>
      <c r="D3516">
        <v>2001753</v>
      </c>
      <c r="E3516" t="s">
        <v>39</v>
      </c>
      <c r="F3516" s="5">
        <v>300</v>
      </c>
    </row>
    <row r="3517" spans="1:6">
      <c r="A3517" t="s">
        <v>1998</v>
      </c>
      <c r="B3517" t="s">
        <v>1999</v>
      </c>
      <c r="C3517">
        <v>61001516</v>
      </c>
      <c r="D3517">
        <v>2001753</v>
      </c>
      <c r="E3517" t="s">
        <v>729</v>
      </c>
      <c r="F3517" s="5">
        <v>200</v>
      </c>
    </row>
    <row r="3518" spans="1:6" hidden="1">
      <c r="A3518" t="s">
        <v>2725</v>
      </c>
      <c r="B3518" t="s">
        <v>2726</v>
      </c>
      <c r="C3518">
        <v>76069424</v>
      </c>
      <c r="D3518">
        <v>3000399</v>
      </c>
      <c r="E3518" t="s">
        <v>39</v>
      </c>
      <c r="F3518" s="5">
        <v>300</v>
      </c>
    </row>
    <row r="3519" spans="1:6">
      <c r="A3519" t="s">
        <v>2725</v>
      </c>
      <c r="B3519" t="s">
        <v>2726</v>
      </c>
      <c r="C3519">
        <v>76069424</v>
      </c>
      <c r="D3519">
        <v>3000399</v>
      </c>
      <c r="E3519" t="s">
        <v>729</v>
      </c>
      <c r="F3519" s="5">
        <v>200</v>
      </c>
    </row>
    <row r="3520" spans="1:6" hidden="1">
      <c r="A3520" t="s">
        <v>2096</v>
      </c>
      <c r="B3520" t="s">
        <v>2097</v>
      </c>
      <c r="C3520">
        <v>71047225</v>
      </c>
      <c r="D3520">
        <v>2001849</v>
      </c>
      <c r="E3520" t="s">
        <v>39</v>
      </c>
      <c r="F3520" s="5">
        <v>300</v>
      </c>
    </row>
    <row r="3521" spans="1:6">
      <c r="A3521" t="s">
        <v>2096</v>
      </c>
      <c r="B3521" t="s">
        <v>2097</v>
      </c>
      <c r="C3521">
        <v>71047225</v>
      </c>
      <c r="D3521">
        <v>2001849</v>
      </c>
      <c r="E3521" t="s">
        <v>729</v>
      </c>
      <c r="F3521" s="5">
        <v>200</v>
      </c>
    </row>
    <row r="3522" spans="1:6" hidden="1">
      <c r="A3522" t="s">
        <v>1745</v>
      </c>
      <c r="B3522" t="s">
        <v>1746</v>
      </c>
      <c r="C3522">
        <v>13496939</v>
      </c>
      <c r="D3522">
        <v>2001169</v>
      </c>
      <c r="E3522" t="s">
        <v>39</v>
      </c>
      <c r="F3522" s="5">
        <v>300</v>
      </c>
    </row>
    <row r="3523" spans="1:6">
      <c r="A3523" t="s">
        <v>1745</v>
      </c>
      <c r="B3523" t="s">
        <v>1746</v>
      </c>
      <c r="C3523">
        <v>13496939</v>
      </c>
      <c r="D3523">
        <v>2001169</v>
      </c>
      <c r="E3523" t="s">
        <v>729</v>
      </c>
      <c r="F3523" s="5">
        <v>200</v>
      </c>
    </row>
    <row r="3524" spans="1:6" hidden="1">
      <c r="A3524" t="s">
        <v>3845</v>
      </c>
      <c r="B3524" t="s">
        <v>3846</v>
      </c>
      <c r="C3524">
        <v>76223590</v>
      </c>
      <c r="D3524">
        <v>2001903</v>
      </c>
      <c r="E3524" t="s">
        <v>39</v>
      </c>
      <c r="F3524" s="5">
        <v>300</v>
      </c>
    </row>
    <row r="3525" spans="1:6">
      <c r="A3525" t="s">
        <v>3845</v>
      </c>
      <c r="B3525" t="s">
        <v>3846</v>
      </c>
      <c r="C3525">
        <v>76223590</v>
      </c>
      <c r="D3525">
        <v>2001903</v>
      </c>
      <c r="E3525" t="s">
        <v>729</v>
      </c>
      <c r="F3525" s="5">
        <v>200</v>
      </c>
    </row>
    <row r="3526" spans="1:6" hidden="1">
      <c r="A3526" t="s">
        <v>2240</v>
      </c>
      <c r="B3526" t="s">
        <v>2241</v>
      </c>
      <c r="C3526">
        <v>71064423</v>
      </c>
      <c r="D3526">
        <v>2000278</v>
      </c>
      <c r="E3526" t="s">
        <v>39</v>
      </c>
      <c r="F3526" s="5">
        <v>300</v>
      </c>
    </row>
    <row r="3527" spans="1:6">
      <c r="A3527" t="s">
        <v>2240</v>
      </c>
      <c r="B3527" t="s">
        <v>2241</v>
      </c>
      <c r="C3527">
        <v>71064423</v>
      </c>
      <c r="D3527">
        <v>2000278</v>
      </c>
      <c r="E3527" t="s">
        <v>729</v>
      </c>
      <c r="F3527" s="5">
        <v>200</v>
      </c>
    </row>
    <row r="3528" spans="1:6" hidden="1">
      <c r="A3528" t="s">
        <v>2791</v>
      </c>
      <c r="B3528" t="s">
        <v>2792</v>
      </c>
      <c r="C3528">
        <v>76076583</v>
      </c>
      <c r="D3528">
        <v>2001924</v>
      </c>
      <c r="E3528" t="s">
        <v>39</v>
      </c>
      <c r="F3528" s="5">
        <v>300</v>
      </c>
    </row>
    <row r="3529" spans="1:6">
      <c r="A3529" t="s">
        <v>2791</v>
      </c>
      <c r="B3529" t="s">
        <v>2792</v>
      </c>
      <c r="C3529">
        <v>76076583</v>
      </c>
      <c r="D3529">
        <v>2001924</v>
      </c>
      <c r="E3529" t="s">
        <v>729</v>
      </c>
      <c r="F3529" s="5">
        <v>200</v>
      </c>
    </row>
    <row r="3530" spans="1:6" hidden="1">
      <c r="A3530" t="s">
        <v>3893</v>
      </c>
      <c r="B3530" t="s">
        <v>3894</v>
      </c>
      <c r="C3530">
        <v>76225799</v>
      </c>
      <c r="D3530">
        <v>2001925</v>
      </c>
      <c r="E3530" t="s">
        <v>39</v>
      </c>
      <c r="F3530" s="5">
        <v>300</v>
      </c>
    </row>
    <row r="3531" spans="1:6">
      <c r="A3531" t="s">
        <v>3893</v>
      </c>
      <c r="B3531" t="s">
        <v>3894</v>
      </c>
      <c r="C3531">
        <v>76225799</v>
      </c>
      <c r="D3531">
        <v>2001925</v>
      </c>
      <c r="E3531" t="s">
        <v>729</v>
      </c>
      <c r="F3531" s="5">
        <v>200</v>
      </c>
    </row>
    <row r="3532" spans="1:6" hidden="1">
      <c r="A3532" t="s">
        <v>2060</v>
      </c>
      <c r="B3532" t="s">
        <v>2061</v>
      </c>
      <c r="C3532">
        <v>71043924</v>
      </c>
      <c r="D3532">
        <v>3000261</v>
      </c>
      <c r="E3532" t="s">
        <v>39</v>
      </c>
      <c r="F3532" s="5">
        <v>300</v>
      </c>
    </row>
    <row r="3533" spans="1:6">
      <c r="A3533" t="s">
        <v>2060</v>
      </c>
      <c r="B3533" t="s">
        <v>2061</v>
      </c>
      <c r="C3533">
        <v>71043924</v>
      </c>
      <c r="D3533">
        <v>3000261</v>
      </c>
      <c r="E3533" t="s">
        <v>729</v>
      </c>
      <c r="F3533" s="5">
        <v>200</v>
      </c>
    </row>
    <row r="3534" spans="1:6" hidden="1">
      <c r="A3534" t="s">
        <v>670</v>
      </c>
      <c r="B3534" t="s">
        <v>671</v>
      </c>
      <c r="C3534">
        <v>76233833</v>
      </c>
      <c r="D3534">
        <v>2002292</v>
      </c>
      <c r="E3534" t="s">
        <v>39</v>
      </c>
      <c r="F3534" s="5">
        <v>300</v>
      </c>
    </row>
    <row r="3535" spans="1:6">
      <c r="A3535" t="s">
        <v>670</v>
      </c>
      <c r="B3535" t="s">
        <v>671</v>
      </c>
      <c r="C3535">
        <v>76233833</v>
      </c>
      <c r="D3535">
        <v>2002292</v>
      </c>
      <c r="E3535" t="s">
        <v>729</v>
      </c>
      <c r="F3535" s="5">
        <v>200</v>
      </c>
    </row>
    <row r="3536" spans="1:6" hidden="1">
      <c r="A3536" t="s">
        <v>4456</v>
      </c>
      <c r="B3536" t="s">
        <v>4457</v>
      </c>
      <c r="C3536">
        <v>76250582</v>
      </c>
      <c r="D3536">
        <v>286</v>
      </c>
      <c r="E3536" t="s">
        <v>39</v>
      </c>
      <c r="F3536" s="5">
        <v>300</v>
      </c>
    </row>
    <row r="3537" spans="1:6">
      <c r="A3537" t="s">
        <v>4456</v>
      </c>
      <c r="B3537" t="s">
        <v>4457</v>
      </c>
      <c r="C3537">
        <v>76250582</v>
      </c>
      <c r="D3537">
        <v>286</v>
      </c>
      <c r="E3537" t="s">
        <v>729</v>
      </c>
      <c r="F3537" s="5">
        <v>200</v>
      </c>
    </row>
    <row r="3538" spans="1:6" hidden="1">
      <c r="A3538" t="s">
        <v>2765</v>
      </c>
      <c r="B3538" t="s">
        <v>2766</v>
      </c>
      <c r="C3538">
        <v>76074106</v>
      </c>
      <c r="D3538">
        <v>2502001</v>
      </c>
      <c r="E3538" t="s">
        <v>39</v>
      </c>
      <c r="F3538" s="5">
        <v>300</v>
      </c>
    </row>
    <row r="3539" spans="1:6">
      <c r="A3539" t="s">
        <v>2765</v>
      </c>
      <c r="B3539" t="s">
        <v>2766</v>
      </c>
      <c r="C3539">
        <v>76074106</v>
      </c>
      <c r="D3539">
        <v>2502001</v>
      </c>
      <c r="E3539" t="s">
        <v>729</v>
      </c>
      <c r="F3539" s="5">
        <v>200</v>
      </c>
    </row>
    <row r="3540" spans="1:6" hidden="1">
      <c r="A3540" t="s">
        <v>676</v>
      </c>
      <c r="B3540" t="s">
        <v>677</v>
      </c>
      <c r="C3540">
        <v>76236503</v>
      </c>
      <c r="D3540">
        <v>3002961</v>
      </c>
      <c r="E3540" t="s">
        <v>39</v>
      </c>
      <c r="F3540" s="5">
        <v>300</v>
      </c>
    </row>
    <row r="3541" spans="1:6">
      <c r="A3541" t="s">
        <v>676</v>
      </c>
      <c r="B3541" t="s">
        <v>677</v>
      </c>
      <c r="C3541">
        <v>76236503</v>
      </c>
      <c r="D3541">
        <v>3002961</v>
      </c>
      <c r="E3541" t="s">
        <v>729</v>
      </c>
      <c r="F3541" s="5">
        <v>200</v>
      </c>
    </row>
    <row r="3542" spans="1:6" hidden="1">
      <c r="A3542" t="s">
        <v>37</v>
      </c>
      <c r="B3542" t="s">
        <v>38</v>
      </c>
      <c r="C3542">
        <v>5088801</v>
      </c>
      <c r="D3542">
        <v>2503075</v>
      </c>
      <c r="E3542" t="s">
        <v>39</v>
      </c>
      <c r="F3542" s="5">
        <v>300</v>
      </c>
    </row>
    <row r="3543" spans="1:6">
      <c r="A3543" t="s">
        <v>37</v>
      </c>
      <c r="B3543" t="s">
        <v>38</v>
      </c>
      <c r="C3543">
        <v>5088801</v>
      </c>
      <c r="D3543">
        <v>2503075</v>
      </c>
      <c r="E3543" t="s">
        <v>729</v>
      </c>
      <c r="F3543" s="5">
        <v>200</v>
      </c>
    </row>
    <row r="3544" spans="1:6" hidden="1">
      <c r="A3544" t="s">
        <v>62</v>
      </c>
      <c r="B3544" t="s">
        <v>63</v>
      </c>
      <c r="C3544">
        <v>71062428</v>
      </c>
      <c r="D3544">
        <v>2503087</v>
      </c>
      <c r="E3544" t="s">
        <v>39</v>
      </c>
      <c r="F3544" s="5">
        <v>300</v>
      </c>
    </row>
    <row r="3545" spans="1:6">
      <c r="A3545" t="s">
        <v>62</v>
      </c>
      <c r="B3545" t="s">
        <v>63</v>
      </c>
      <c r="C3545">
        <v>71062428</v>
      </c>
      <c r="D3545">
        <v>2503087</v>
      </c>
      <c r="E3545" t="s">
        <v>729</v>
      </c>
      <c r="F3545" s="5">
        <v>200</v>
      </c>
    </row>
    <row r="3546" spans="1:6" hidden="1">
      <c r="A3546" t="s">
        <v>1817</v>
      </c>
      <c r="B3546" t="s">
        <v>1818</v>
      </c>
      <c r="C3546">
        <v>25142501</v>
      </c>
      <c r="D3546">
        <v>2002765</v>
      </c>
      <c r="E3546" t="s">
        <v>39</v>
      </c>
      <c r="F3546" s="5">
        <v>300</v>
      </c>
    </row>
    <row r="3547" spans="1:6">
      <c r="A3547" t="s">
        <v>1817</v>
      </c>
      <c r="B3547" t="s">
        <v>1818</v>
      </c>
      <c r="C3547">
        <v>25142501</v>
      </c>
      <c r="D3547">
        <v>2002765</v>
      </c>
      <c r="E3547" t="s">
        <v>729</v>
      </c>
      <c r="F3547" s="5">
        <v>200</v>
      </c>
    </row>
    <row r="3548" spans="1:6" hidden="1">
      <c r="A3548" t="s">
        <v>1976</v>
      </c>
      <c r="B3548" t="s">
        <v>1977</v>
      </c>
      <c r="C3548">
        <v>52214201</v>
      </c>
      <c r="D3548">
        <v>2000127</v>
      </c>
      <c r="E3548" t="s">
        <v>39</v>
      </c>
      <c r="F3548" s="5">
        <v>300</v>
      </c>
    </row>
    <row r="3549" spans="1:6">
      <c r="A3549" t="s">
        <v>1976</v>
      </c>
      <c r="B3549" t="s">
        <v>1977</v>
      </c>
      <c r="C3549">
        <v>52214201</v>
      </c>
      <c r="D3549">
        <v>2000127</v>
      </c>
      <c r="E3549" t="s">
        <v>729</v>
      </c>
      <c r="F3549" s="5">
        <v>200</v>
      </c>
    </row>
    <row r="3550" spans="1:6" hidden="1">
      <c r="A3550" t="s">
        <v>4517</v>
      </c>
      <c r="B3550" t="s">
        <v>4518</v>
      </c>
      <c r="C3550">
        <v>76252938</v>
      </c>
      <c r="D3550">
        <v>2503533</v>
      </c>
      <c r="E3550" t="s">
        <v>39</v>
      </c>
      <c r="F3550" s="5">
        <v>300</v>
      </c>
    </row>
    <row r="3551" spans="1:6">
      <c r="A3551" t="s">
        <v>4517</v>
      </c>
      <c r="B3551" t="s">
        <v>4518</v>
      </c>
      <c r="C3551">
        <v>76252938</v>
      </c>
      <c r="D3551">
        <v>2503533</v>
      </c>
      <c r="E3551" t="s">
        <v>729</v>
      </c>
      <c r="F3551" s="5">
        <v>200</v>
      </c>
    </row>
    <row r="3552" spans="1:6" hidden="1">
      <c r="A3552" t="s">
        <v>3001</v>
      </c>
      <c r="B3552" t="s">
        <v>3002</v>
      </c>
      <c r="C3552">
        <v>76158138</v>
      </c>
      <c r="D3552">
        <v>3000756</v>
      </c>
      <c r="E3552" t="s">
        <v>39</v>
      </c>
      <c r="F3552" s="5">
        <v>300</v>
      </c>
    </row>
    <row r="3553" spans="1:6">
      <c r="A3553" t="s">
        <v>3001</v>
      </c>
      <c r="B3553" t="s">
        <v>3002</v>
      </c>
      <c r="C3553">
        <v>76158138</v>
      </c>
      <c r="D3553">
        <v>3000756</v>
      </c>
      <c r="E3553" t="s">
        <v>729</v>
      </c>
      <c r="F3553" s="5">
        <v>200</v>
      </c>
    </row>
    <row r="3554" spans="1:6" hidden="1">
      <c r="A3554" t="s">
        <v>2276</v>
      </c>
      <c r="B3554" t="s">
        <v>2277</v>
      </c>
      <c r="C3554">
        <v>76007113</v>
      </c>
      <c r="D3554">
        <v>2501354</v>
      </c>
      <c r="E3554" t="s">
        <v>39</v>
      </c>
      <c r="F3554" s="5">
        <v>300</v>
      </c>
    </row>
    <row r="3555" spans="1:6">
      <c r="A3555" t="s">
        <v>2276</v>
      </c>
      <c r="B3555" t="s">
        <v>2277</v>
      </c>
      <c r="C3555">
        <v>76007113</v>
      </c>
      <c r="D3555">
        <v>2501354</v>
      </c>
      <c r="E3555" t="s">
        <v>729</v>
      </c>
      <c r="F3555" s="5">
        <v>200</v>
      </c>
    </row>
    <row r="3556" spans="1:6" hidden="1">
      <c r="A3556" t="s">
        <v>3651</v>
      </c>
      <c r="B3556" t="s">
        <v>3652</v>
      </c>
      <c r="C3556">
        <v>76215741</v>
      </c>
      <c r="D3556">
        <v>2501330</v>
      </c>
      <c r="E3556" t="s">
        <v>39</v>
      </c>
      <c r="F3556" s="5">
        <v>300</v>
      </c>
    </row>
    <row r="3557" spans="1:6">
      <c r="A3557" t="s">
        <v>3651</v>
      </c>
      <c r="B3557" t="s">
        <v>3652</v>
      </c>
      <c r="C3557">
        <v>76215741</v>
      </c>
      <c r="D3557">
        <v>2501330</v>
      </c>
      <c r="E3557" t="s">
        <v>729</v>
      </c>
      <c r="F3557" s="5">
        <v>200</v>
      </c>
    </row>
    <row r="3558" spans="1:6" hidden="1">
      <c r="A3558" t="s">
        <v>2410</v>
      </c>
      <c r="B3558" t="s">
        <v>2411</v>
      </c>
      <c r="C3558">
        <v>76032553</v>
      </c>
      <c r="D3558">
        <v>10135</v>
      </c>
      <c r="E3558" t="s">
        <v>39</v>
      </c>
      <c r="F3558" s="5">
        <v>300</v>
      </c>
    </row>
    <row r="3559" spans="1:6">
      <c r="A3559" t="s">
        <v>2410</v>
      </c>
      <c r="B3559" t="s">
        <v>2411</v>
      </c>
      <c r="C3559">
        <v>76032553</v>
      </c>
      <c r="D3559">
        <v>10135</v>
      </c>
      <c r="E3559" t="s">
        <v>729</v>
      </c>
      <c r="F3559" s="5">
        <v>200</v>
      </c>
    </row>
    <row r="3560" spans="1:6" hidden="1">
      <c r="A3560" t="s">
        <v>3739</v>
      </c>
      <c r="B3560" t="s">
        <v>3740</v>
      </c>
      <c r="C3560">
        <v>76219548</v>
      </c>
      <c r="D3560">
        <v>2502019</v>
      </c>
      <c r="E3560" t="s">
        <v>39</v>
      </c>
      <c r="F3560" s="5">
        <v>300</v>
      </c>
    </row>
    <row r="3561" spans="1:6">
      <c r="A3561" t="s">
        <v>3739</v>
      </c>
      <c r="B3561" t="s">
        <v>3740</v>
      </c>
      <c r="C3561">
        <v>76219548</v>
      </c>
      <c r="D3561">
        <v>2502019</v>
      </c>
      <c r="E3561" t="s">
        <v>729</v>
      </c>
      <c r="F3561" s="5">
        <v>200</v>
      </c>
    </row>
    <row r="3562" spans="1:6" hidden="1">
      <c r="A3562" t="s">
        <v>3741</v>
      </c>
      <c r="B3562" t="s">
        <v>3742</v>
      </c>
      <c r="C3562">
        <v>76219550</v>
      </c>
      <c r="D3562">
        <v>2502288</v>
      </c>
      <c r="E3562" t="s">
        <v>39</v>
      </c>
      <c r="F3562" s="5">
        <v>300</v>
      </c>
    </row>
    <row r="3563" spans="1:6">
      <c r="A3563" t="s">
        <v>3741</v>
      </c>
      <c r="B3563" t="s">
        <v>3742</v>
      </c>
      <c r="C3563">
        <v>76219550</v>
      </c>
      <c r="D3563">
        <v>2502288</v>
      </c>
      <c r="E3563" t="s">
        <v>729</v>
      </c>
      <c r="F3563" s="5">
        <v>200</v>
      </c>
    </row>
    <row r="3564" spans="1:6" hidden="1">
      <c r="A3564" t="s">
        <v>1932</v>
      </c>
      <c r="B3564" t="s">
        <v>1933</v>
      </c>
      <c r="C3564">
        <v>37193301</v>
      </c>
      <c r="D3564">
        <v>2502950</v>
      </c>
      <c r="E3564" t="s">
        <v>39</v>
      </c>
      <c r="F3564" s="5">
        <v>300</v>
      </c>
    </row>
    <row r="3565" spans="1:6">
      <c r="A3565" t="s">
        <v>1932</v>
      </c>
      <c r="B3565" t="s">
        <v>1933</v>
      </c>
      <c r="C3565">
        <v>37193301</v>
      </c>
      <c r="D3565">
        <v>2502950</v>
      </c>
      <c r="E3565" t="s">
        <v>729</v>
      </c>
      <c r="F3565" s="5">
        <v>200</v>
      </c>
    </row>
    <row r="3566" spans="1:6" hidden="1">
      <c r="A3566" t="s">
        <v>2216</v>
      </c>
      <c r="B3566" t="s">
        <v>2217</v>
      </c>
      <c r="C3566">
        <v>71061908</v>
      </c>
      <c r="D3566">
        <v>2001588</v>
      </c>
      <c r="E3566" t="s">
        <v>39</v>
      </c>
      <c r="F3566" s="5">
        <v>300</v>
      </c>
    </row>
    <row r="3567" spans="1:6">
      <c r="A3567" t="s">
        <v>2216</v>
      </c>
      <c r="B3567" t="s">
        <v>2217</v>
      </c>
      <c r="C3567">
        <v>71061908</v>
      </c>
      <c r="D3567">
        <v>2001588</v>
      </c>
      <c r="E3567" t="s">
        <v>729</v>
      </c>
      <c r="F3567" s="5">
        <v>200</v>
      </c>
    </row>
    <row r="3568" spans="1:6" hidden="1">
      <c r="A3568" t="s">
        <v>3931</v>
      </c>
      <c r="B3568" t="s">
        <v>3932</v>
      </c>
      <c r="C3568">
        <v>76226767</v>
      </c>
      <c r="D3568">
        <v>2001954</v>
      </c>
      <c r="E3568" t="s">
        <v>39</v>
      </c>
      <c r="F3568" s="5">
        <v>450</v>
      </c>
    </row>
    <row r="3569" spans="1:6">
      <c r="A3569" t="s">
        <v>3931</v>
      </c>
      <c r="B3569" t="s">
        <v>3932</v>
      </c>
      <c r="C3569">
        <v>76226767</v>
      </c>
      <c r="D3569">
        <v>2001954</v>
      </c>
      <c r="E3569" t="s">
        <v>729</v>
      </c>
      <c r="F3569" s="5">
        <v>200</v>
      </c>
    </row>
    <row r="3570" spans="1:6" hidden="1">
      <c r="A3570" t="s">
        <v>3929</v>
      </c>
      <c r="B3570" t="s">
        <v>3930</v>
      </c>
      <c r="C3570">
        <v>76226765</v>
      </c>
      <c r="D3570">
        <v>2001955</v>
      </c>
      <c r="E3570" t="s">
        <v>39</v>
      </c>
      <c r="F3570" s="5">
        <v>450</v>
      </c>
    </row>
    <row r="3571" spans="1:6">
      <c r="A3571" t="s">
        <v>3929</v>
      </c>
      <c r="B3571" t="s">
        <v>3930</v>
      </c>
      <c r="C3571">
        <v>76226765</v>
      </c>
      <c r="D3571">
        <v>2001955</v>
      </c>
      <c r="E3571" t="s">
        <v>729</v>
      </c>
      <c r="F3571" s="5">
        <v>200</v>
      </c>
    </row>
    <row r="3572" spans="1:6" hidden="1">
      <c r="A3572" t="s">
        <v>4476</v>
      </c>
      <c r="B3572" t="s">
        <v>4477</v>
      </c>
      <c r="C3572">
        <v>76251463</v>
      </c>
      <c r="D3572">
        <v>2503618</v>
      </c>
      <c r="E3572" t="s">
        <v>39</v>
      </c>
      <c r="F3572" s="5">
        <v>300</v>
      </c>
    </row>
    <row r="3573" spans="1:6">
      <c r="A3573" t="s">
        <v>4476</v>
      </c>
      <c r="B3573" t="s">
        <v>4477</v>
      </c>
      <c r="C3573">
        <v>76251463</v>
      </c>
      <c r="D3573">
        <v>2503618</v>
      </c>
      <c r="E3573" t="s">
        <v>729</v>
      </c>
      <c r="F3573" s="5">
        <v>200</v>
      </c>
    </row>
    <row r="3574" spans="1:6" hidden="1">
      <c r="A3574" t="s">
        <v>93</v>
      </c>
      <c r="B3574" t="s">
        <v>94</v>
      </c>
      <c r="C3574">
        <v>76157327</v>
      </c>
      <c r="D3574">
        <v>10190</v>
      </c>
      <c r="E3574" t="s">
        <v>39</v>
      </c>
      <c r="F3574" s="5">
        <v>300</v>
      </c>
    </row>
    <row r="3575" spans="1:6">
      <c r="A3575" t="s">
        <v>93</v>
      </c>
      <c r="B3575" t="s">
        <v>94</v>
      </c>
      <c r="C3575">
        <v>76157327</v>
      </c>
      <c r="D3575">
        <v>10190</v>
      </c>
      <c r="E3575" t="s">
        <v>729</v>
      </c>
      <c r="F3575" s="5">
        <v>200</v>
      </c>
    </row>
    <row r="3577" spans="1:6">
      <c r="A3577" s="8" t="s">
        <v>4656</v>
      </c>
      <c r="B3577" s="8"/>
      <c r="C3577" s="10"/>
      <c r="D3577" s="11"/>
      <c r="E3577" s="11"/>
      <c r="F3577" s="11">
        <f>SUM(F2:F3575)</f>
        <v>943300</v>
      </c>
    </row>
  </sheetData>
  <autoFilter ref="A1:F3575" xr:uid="{778F71C2-2BD5-4199-872E-F6FAC8FE4C85}">
    <filterColumn colId="4">
      <filters>
        <filter val="TruVideo AI Suite"/>
      </filters>
    </filterColumn>
  </autoFilter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05628-A493-4011-A9F7-1076D5097925}">
  <dimension ref="A1:L1745"/>
  <sheetViews>
    <sheetView topLeftCell="A1164" workbookViewId="0">
      <selection activeCell="A1175" sqref="A1175:XFD1175"/>
    </sheetView>
  </sheetViews>
  <sheetFormatPr defaultRowHeight="15"/>
  <cols>
    <col min="2" max="2" width="15.28515625" customWidth="1"/>
    <col min="3" max="3" width="33.7109375" customWidth="1"/>
    <col min="4" max="4" width="32.5703125" customWidth="1"/>
    <col min="5" max="5" width="51.85546875" customWidth="1"/>
    <col min="6" max="6" width="20.28515625" bestFit="1" customWidth="1"/>
    <col min="7" max="7" width="47.85546875" bestFit="1" customWidth="1"/>
    <col min="8" max="8" width="5.7109375" customWidth="1"/>
    <col min="9" max="9" width="10.5703125" style="12" bestFit="1" customWidth="1"/>
    <col min="11" max="11" width="20.85546875" bestFit="1" customWidth="1"/>
    <col min="12" max="12" width="36" bestFit="1" customWidth="1"/>
  </cols>
  <sheetData>
    <row r="1" spans="1:12">
      <c r="A1" t="s">
        <v>22</v>
      </c>
      <c r="B1" t="s">
        <v>25</v>
      </c>
      <c r="C1" t="s">
        <v>731</v>
      </c>
      <c r="D1" t="s">
        <v>732</v>
      </c>
      <c r="E1" t="s">
        <v>733</v>
      </c>
      <c r="F1" t="s">
        <v>734</v>
      </c>
      <c r="G1" t="s">
        <v>735</v>
      </c>
      <c r="H1" t="s">
        <v>736</v>
      </c>
      <c r="I1" s="12" t="s">
        <v>737</v>
      </c>
      <c r="J1" t="s">
        <v>738</v>
      </c>
      <c r="K1" s="14" t="s">
        <v>4657</v>
      </c>
      <c r="L1" s="14" t="s">
        <v>4658</v>
      </c>
    </row>
    <row r="2" spans="1:12">
      <c r="A2" t="str">
        <f t="shared" ref="A2:A65" si="0">TRIM(B2)</f>
        <v>01012401</v>
      </c>
      <c r="B2" t="s">
        <v>4659</v>
      </c>
      <c r="C2" t="s">
        <v>4660</v>
      </c>
      <c r="D2" t="s">
        <v>4661</v>
      </c>
      <c r="E2">
        <v>4408593</v>
      </c>
      <c r="F2" t="s">
        <v>742</v>
      </c>
      <c r="G2" t="s">
        <v>782</v>
      </c>
      <c r="H2" t="s">
        <v>4661</v>
      </c>
      <c r="I2" s="12">
        <v>45793</v>
      </c>
      <c r="J2">
        <v>1</v>
      </c>
      <c r="K2" t="str">
        <f>VLOOKUP(A2,'TV May Monthly Billing Sites'!$A:$L,1,0)</f>
        <v>01012401</v>
      </c>
    </row>
    <row r="3" spans="1:12">
      <c r="A3" t="str">
        <f t="shared" si="0"/>
        <v>01013001</v>
      </c>
      <c r="B3" t="s">
        <v>4662</v>
      </c>
      <c r="C3" t="s">
        <v>4663</v>
      </c>
      <c r="D3" t="s">
        <v>4664</v>
      </c>
      <c r="E3">
        <v>4508714</v>
      </c>
      <c r="F3" t="s">
        <v>742</v>
      </c>
      <c r="G3" t="s">
        <v>743</v>
      </c>
      <c r="H3" t="s">
        <v>4665</v>
      </c>
      <c r="I3" s="12">
        <v>45719</v>
      </c>
      <c r="J3">
        <v>1</v>
      </c>
      <c r="K3" t="str">
        <f>VLOOKUP(A3,'TV May Monthly Billing Sites'!$A:$L,1,0)</f>
        <v>01013001</v>
      </c>
    </row>
    <row r="4" spans="1:12">
      <c r="A4" t="str">
        <f t="shared" si="0"/>
        <v>01017901</v>
      </c>
      <c r="B4" t="s">
        <v>4666</v>
      </c>
      <c r="C4" t="s">
        <v>4667</v>
      </c>
      <c r="D4" t="s">
        <v>1505</v>
      </c>
      <c r="E4">
        <v>4508714</v>
      </c>
      <c r="F4" t="s">
        <v>742</v>
      </c>
      <c r="G4" t="s">
        <v>743</v>
      </c>
      <c r="H4" t="s">
        <v>4668</v>
      </c>
      <c r="I4" s="12">
        <v>45870</v>
      </c>
      <c r="J4">
        <v>1</v>
      </c>
      <c r="K4" t="str">
        <f>VLOOKUP(A4,'TV May Monthly Billing Sites'!$A:$L,1,0)</f>
        <v>01017901</v>
      </c>
    </row>
    <row r="5" spans="1:12">
      <c r="A5" t="str">
        <f t="shared" si="0"/>
        <v>01023201</v>
      </c>
      <c r="B5" t="s">
        <v>4669</v>
      </c>
      <c r="C5" t="s">
        <v>4670</v>
      </c>
      <c r="D5" t="s">
        <v>4671</v>
      </c>
      <c r="E5">
        <v>4508714</v>
      </c>
      <c r="F5" t="s">
        <v>742</v>
      </c>
      <c r="G5" t="s">
        <v>743</v>
      </c>
      <c r="H5" t="s">
        <v>4672</v>
      </c>
      <c r="I5" s="12">
        <v>45629</v>
      </c>
      <c r="J5">
        <v>1</v>
      </c>
      <c r="K5" t="str">
        <f>VLOOKUP(A5,'TV May Monthly Billing Sites'!$A:$L,1,0)</f>
        <v>01023201</v>
      </c>
    </row>
    <row r="6" spans="1:12">
      <c r="A6" t="str">
        <f t="shared" si="0"/>
        <v>01027202</v>
      </c>
      <c r="B6" t="s">
        <v>4673</v>
      </c>
      <c r="C6" t="s">
        <v>4674</v>
      </c>
      <c r="D6" t="s">
        <v>4675</v>
      </c>
      <c r="E6">
        <v>4508714</v>
      </c>
      <c r="F6" t="s">
        <v>742</v>
      </c>
      <c r="G6" t="s">
        <v>743</v>
      </c>
      <c r="H6" t="s">
        <v>1175</v>
      </c>
      <c r="I6" s="12">
        <v>45622</v>
      </c>
      <c r="J6">
        <v>1</v>
      </c>
      <c r="K6" t="str">
        <f>VLOOKUP(A6,'TV May Monthly Billing Sites'!$A:$L,1,0)</f>
        <v>01027202</v>
      </c>
    </row>
    <row r="7" spans="1:12">
      <c r="A7" t="str">
        <f t="shared" si="0"/>
        <v>01027210</v>
      </c>
      <c r="B7" t="s">
        <v>4676</v>
      </c>
      <c r="C7" t="s">
        <v>4677</v>
      </c>
      <c r="D7" t="s">
        <v>4678</v>
      </c>
      <c r="E7">
        <v>4508714</v>
      </c>
      <c r="F7" t="s">
        <v>742</v>
      </c>
      <c r="G7" t="s">
        <v>743</v>
      </c>
      <c r="H7" t="s">
        <v>1175</v>
      </c>
      <c r="I7" s="12">
        <v>45622</v>
      </c>
      <c r="J7">
        <v>1</v>
      </c>
      <c r="K7" t="str">
        <f>VLOOKUP(A7,'TV May Monthly Billing Sites'!$A:$L,1,0)</f>
        <v>01027210</v>
      </c>
    </row>
    <row r="8" spans="1:12">
      <c r="A8" t="str">
        <f t="shared" si="0"/>
        <v>01028106</v>
      </c>
      <c r="B8" t="s">
        <v>4679</v>
      </c>
      <c r="C8" t="s">
        <v>4680</v>
      </c>
      <c r="D8" t="s">
        <v>1513</v>
      </c>
      <c r="E8">
        <v>4408594</v>
      </c>
      <c r="F8" t="s">
        <v>742</v>
      </c>
      <c r="G8" t="s">
        <v>909</v>
      </c>
      <c r="H8" t="s">
        <v>4681</v>
      </c>
      <c r="I8" s="12">
        <v>44708</v>
      </c>
      <c r="J8">
        <v>1</v>
      </c>
      <c r="K8" t="str">
        <f>VLOOKUP(A8,'TV May Monthly Billing Sites'!$A:$L,1,0)</f>
        <v>01028106</v>
      </c>
    </row>
    <row r="9" spans="1:12">
      <c r="A9" t="str">
        <f t="shared" si="0"/>
        <v>01029201</v>
      </c>
      <c r="B9" t="s">
        <v>4682</v>
      </c>
      <c r="C9" t="s">
        <v>4683</v>
      </c>
      <c r="D9" t="s">
        <v>4684</v>
      </c>
      <c r="E9">
        <v>4508714</v>
      </c>
      <c r="F9" t="s">
        <v>742</v>
      </c>
      <c r="G9" t="s">
        <v>743</v>
      </c>
      <c r="H9" t="s">
        <v>4685</v>
      </c>
      <c r="I9" s="12">
        <v>45847</v>
      </c>
      <c r="J9">
        <v>1</v>
      </c>
      <c r="K9" t="str">
        <f>VLOOKUP(A9,'TV May Monthly Billing Sites'!$A:$L,1,0)</f>
        <v>01029201</v>
      </c>
    </row>
    <row r="10" spans="1:12">
      <c r="A10" t="str">
        <f t="shared" si="0"/>
        <v>01029202</v>
      </c>
      <c r="B10" t="s">
        <v>4686</v>
      </c>
      <c r="C10" t="s">
        <v>4687</v>
      </c>
      <c r="D10" t="s">
        <v>4688</v>
      </c>
      <c r="E10">
        <v>4508714</v>
      </c>
      <c r="F10" t="s">
        <v>742</v>
      </c>
      <c r="G10" t="s">
        <v>743</v>
      </c>
      <c r="H10" t="s">
        <v>4685</v>
      </c>
      <c r="I10" s="12">
        <v>45847</v>
      </c>
      <c r="J10">
        <v>1</v>
      </c>
      <c r="K10" t="str">
        <f>VLOOKUP(A10,'TV May Monthly Billing Sites'!$A:$L,1,0)</f>
        <v>01029202</v>
      </c>
    </row>
    <row r="11" spans="1:12">
      <c r="A11" t="str">
        <f t="shared" si="0"/>
        <v>01029901</v>
      </c>
      <c r="B11" t="s">
        <v>4689</v>
      </c>
      <c r="C11" t="s">
        <v>4690</v>
      </c>
      <c r="D11" t="s">
        <v>1519</v>
      </c>
      <c r="E11">
        <v>4508714</v>
      </c>
      <c r="F11" t="s">
        <v>742</v>
      </c>
      <c r="G11" t="s">
        <v>743</v>
      </c>
      <c r="H11" t="s">
        <v>4691</v>
      </c>
      <c r="I11" s="12">
        <v>45597</v>
      </c>
      <c r="J11">
        <v>1</v>
      </c>
      <c r="K11" t="str">
        <f>VLOOKUP(A11,'TV May Monthly Billing Sites'!$A:$L,1,0)</f>
        <v>01029901</v>
      </c>
    </row>
    <row r="12" spans="1:12">
      <c r="A12" t="str">
        <f t="shared" si="0"/>
        <v>01029905</v>
      </c>
      <c r="B12" t="s">
        <v>4692</v>
      </c>
      <c r="C12" t="s">
        <v>4693</v>
      </c>
      <c r="D12" t="s">
        <v>1521</v>
      </c>
      <c r="E12">
        <v>4508714</v>
      </c>
      <c r="F12" t="s">
        <v>742</v>
      </c>
      <c r="G12" t="s">
        <v>743</v>
      </c>
      <c r="H12" t="s">
        <v>4691</v>
      </c>
      <c r="I12" s="12">
        <v>45597</v>
      </c>
      <c r="J12">
        <v>1</v>
      </c>
      <c r="K12" t="str">
        <f>VLOOKUP(A12,'TV May Monthly Billing Sites'!$A:$L,1,0)</f>
        <v>01029905</v>
      </c>
    </row>
    <row r="13" spans="1:12">
      <c r="A13" t="str">
        <f t="shared" si="0"/>
        <v>01029906</v>
      </c>
      <c r="B13" t="s">
        <v>4694</v>
      </c>
      <c r="C13" t="s">
        <v>4695</v>
      </c>
      <c r="D13" t="s">
        <v>1523</v>
      </c>
      <c r="E13">
        <v>4508714</v>
      </c>
      <c r="F13" t="s">
        <v>742</v>
      </c>
      <c r="G13" t="s">
        <v>743</v>
      </c>
      <c r="H13" t="s">
        <v>4691</v>
      </c>
      <c r="I13" s="12">
        <v>45597</v>
      </c>
      <c r="J13">
        <v>1</v>
      </c>
      <c r="K13" t="str">
        <f>VLOOKUP(A13,'TV May Monthly Billing Sites'!$A:$L,1,0)</f>
        <v>01029906</v>
      </c>
    </row>
    <row r="14" spans="1:12">
      <c r="A14" t="str">
        <f t="shared" si="0"/>
        <v>01046402</v>
      </c>
      <c r="B14" t="s">
        <v>4696</v>
      </c>
      <c r="C14" t="s">
        <v>4697</v>
      </c>
      <c r="D14" t="s">
        <v>4698</v>
      </c>
      <c r="E14">
        <v>4508714</v>
      </c>
      <c r="F14" t="s">
        <v>742</v>
      </c>
      <c r="G14" t="s">
        <v>743</v>
      </c>
      <c r="H14" t="s">
        <v>4699</v>
      </c>
      <c r="I14" s="12">
        <v>45694</v>
      </c>
      <c r="J14">
        <v>1</v>
      </c>
      <c r="K14" t="str">
        <f>VLOOKUP(A14,'TV May Monthly Billing Sites'!$A:$L,1,0)</f>
        <v>01046402</v>
      </c>
    </row>
    <row r="15" spans="1:12">
      <c r="A15" t="str">
        <f t="shared" si="0"/>
        <v>01046701</v>
      </c>
      <c r="B15" t="s">
        <v>4700</v>
      </c>
      <c r="C15" t="s">
        <v>4701</v>
      </c>
      <c r="D15" t="s">
        <v>4702</v>
      </c>
      <c r="E15">
        <v>4508714</v>
      </c>
      <c r="F15" t="s">
        <v>742</v>
      </c>
      <c r="G15" t="s">
        <v>743</v>
      </c>
      <c r="H15" t="s">
        <v>4703</v>
      </c>
      <c r="I15" s="12">
        <v>45632</v>
      </c>
      <c r="J15">
        <v>1</v>
      </c>
      <c r="K15" t="str">
        <f>VLOOKUP(A15,'TV May Monthly Billing Sites'!$A:$L,1,0)</f>
        <v>01046701</v>
      </c>
    </row>
    <row r="16" spans="1:12">
      <c r="A16" t="str">
        <f t="shared" si="0"/>
        <v>01071601</v>
      </c>
      <c r="B16" t="s">
        <v>4704</v>
      </c>
      <c r="C16" t="s">
        <v>4705</v>
      </c>
      <c r="D16" t="s">
        <v>4706</v>
      </c>
      <c r="E16">
        <v>4408593</v>
      </c>
      <c r="F16" t="s">
        <v>742</v>
      </c>
      <c r="G16" t="s">
        <v>782</v>
      </c>
      <c r="H16" t="s">
        <v>4707</v>
      </c>
      <c r="I16" s="12">
        <v>45691</v>
      </c>
      <c r="J16">
        <v>1</v>
      </c>
      <c r="K16" t="str">
        <f>VLOOKUP(A16,'TV May Monthly Billing Sites'!$A:$L,1,0)</f>
        <v>01071601</v>
      </c>
    </row>
    <row r="17" spans="1:11">
      <c r="A17" t="str">
        <f t="shared" si="0"/>
        <v>01154301</v>
      </c>
      <c r="B17" t="s">
        <v>4708</v>
      </c>
      <c r="C17" t="s">
        <v>4709</v>
      </c>
      <c r="D17" t="s">
        <v>4710</v>
      </c>
      <c r="E17">
        <v>4508714</v>
      </c>
      <c r="F17" t="s">
        <v>742</v>
      </c>
      <c r="G17" t="s">
        <v>743</v>
      </c>
      <c r="H17" t="s">
        <v>1531</v>
      </c>
      <c r="I17" s="12">
        <v>45923</v>
      </c>
      <c r="J17">
        <v>1</v>
      </c>
      <c r="K17" t="str">
        <f>VLOOKUP(A17,'TV May Monthly Billing Sites'!$A:$L,1,0)</f>
        <v>01154301</v>
      </c>
    </row>
    <row r="18" spans="1:11">
      <c r="A18" t="str">
        <f t="shared" si="0"/>
        <v>01188402</v>
      </c>
      <c r="B18" t="s">
        <v>4711</v>
      </c>
      <c r="C18" t="s">
        <v>4712</v>
      </c>
      <c r="D18" t="s">
        <v>4713</v>
      </c>
      <c r="E18">
        <v>4508714</v>
      </c>
      <c r="F18" t="s">
        <v>742</v>
      </c>
      <c r="G18" t="s">
        <v>743</v>
      </c>
      <c r="H18" t="s">
        <v>4714</v>
      </c>
      <c r="I18" s="12">
        <v>45622</v>
      </c>
      <c r="J18">
        <v>1</v>
      </c>
      <c r="K18" t="str">
        <f>VLOOKUP(A18,'TV May Monthly Billing Sites'!$A:$L,1,0)</f>
        <v>01188402</v>
      </c>
    </row>
    <row r="19" spans="1:11">
      <c r="A19" t="str">
        <f t="shared" si="0"/>
        <v>01214101</v>
      </c>
      <c r="B19" t="s">
        <v>4715</v>
      </c>
      <c r="C19" t="s">
        <v>4716</v>
      </c>
      <c r="D19" t="s">
        <v>4717</v>
      </c>
      <c r="E19">
        <v>4408593</v>
      </c>
      <c r="F19" t="s">
        <v>742</v>
      </c>
      <c r="G19" t="s">
        <v>782</v>
      </c>
      <c r="H19" t="s">
        <v>4718</v>
      </c>
      <c r="I19" s="12">
        <v>45621</v>
      </c>
      <c r="J19">
        <v>1</v>
      </c>
      <c r="K19" t="str">
        <f>VLOOKUP(A19,'TV May Monthly Billing Sites'!$A:$L,1,0)</f>
        <v>01214101</v>
      </c>
    </row>
    <row r="20" spans="1:11">
      <c r="A20" t="str">
        <f t="shared" si="0"/>
        <v>01214106</v>
      </c>
      <c r="B20" t="s">
        <v>4719</v>
      </c>
      <c r="C20" t="s">
        <v>4720</v>
      </c>
      <c r="D20" t="s">
        <v>4721</v>
      </c>
      <c r="E20">
        <v>4408593</v>
      </c>
      <c r="F20" t="s">
        <v>742</v>
      </c>
      <c r="G20" t="s">
        <v>782</v>
      </c>
      <c r="H20" t="s">
        <v>4718</v>
      </c>
      <c r="I20" s="12">
        <v>45621</v>
      </c>
      <c r="J20">
        <v>1</v>
      </c>
      <c r="K20" t="str">
        <f>VLOOKUP(A20,'TV May Monthly Billing Sites'!$A:$L,1,0)</f>
        <v>01214106</v>
      </c>
    </row>
    <row r="21" spans="1:11">
      <c r="A21" t="str">
        <f t="shared" si="0"/>
        <v>01247501</v>
      </c>
      <c r="B21" t="s">
        <v>4722</v>
      </c>
      <c r="C21" t="s">
        <v>4723</v>
      </c>
      <c r="D21" t="s">
        <v>4724</v>
      </c>
      <c r="E21">
        <v>4508714</v>
      </c>
      <c r="F21" t="s">
        <v>742</v>
      </c>
      <c r="G21" t="s">
        <v>743</v>
      </c>
      <c r="H21" t="s">
        <v>4725</v>
      </c>
      <c r="I21" s="12">
        <v>45622</v>
      </c>
      <c r="J21">
        <v>1</v>
      </c>
      <c r="K21" t="str">
        <f>VLOOKUP(A21,'TV May Monthly Billing Sites'!$A:$L,1,0)</f>
        <v>01247501</v>
      </c>
    </row>
    <row r="22" spans="1:11">
      <c r="A22" t="str">
        <f t="shared" si="0"/>
        <v>01262401</v>
      </c>
      <c r="B22" t="s">
        <v>4726</v>
      </c>
      <c r="C22" t="s">
        <v>4727</v>
      </c>
      <c r="D22" t="s">
        <v>1541</v>
      </c>
      <c r="E22">
        <v>4408593</v>
      </c>
      <c r="F22" t="s">
        <v>742</v>
      </c>
      <c r="G22" t="s">
        <v>782</v>
      </c>
      <c r="H22" t="s">
        <v>4728</v>
      </c>
      <c r="I22" s="12">
        <v>45754</v>
      </c>
      <c r="J22">
        <v>1</v>
      </c>
      <c r="K22" t="str">
        <f>VLOOKUP(A22,'TV May Monthly Billing Sites'!$A:$L,1,0)</f>
        <v>01262401</v>
      </c>
    </row>
    <row r="23" spans="1:11">
      <c r="A23" t="str">
        <f t="shared" si="0"/>
        <v>01275801</v>
      </c>
      <c r="B23" t="s">
        <v>4729</v>
      </c>
      <c r="C23" t="s">
        <v>4730</v>
      </c>
      <c r="D23" t="s">
        <v>1543</v>
      </c>
      <c r="E23">
        <v>4508714</v>
      </c>
      <c r="F23" t="s">
        <v>742</v>
      </c>
      <c r="G23" t="s">
        <v>743</v>
      </c>
      <c r="H23" t="s">
        <v>1543</v>
      </c>
      <c r="I23" s="12">
        <v>45623</v>
      </c>
      <c r="J23">
        <v>1</v>
      </c>
      <c r="K23" t="str">
        <f>VLOOKUP(A23,'TV May Monthly Billing Sites'!$A:$L,1,0)</f>
        <v>01275801</v>
      </c>
    </row>
    <row r="24" spans="1:11">
      <c r="A24" t="str">
        <f t="shared" si="0"/>
        <v>01275801</v>
      </c>
      <c r="B24" t="s">
        <v>4729</v>
      </c>
      <c r="C24" t="s">
        <v>4731</v>
      </c>
      <c r="D24" t="s">
        <v>1543</v>
      </c>
      <c r="E24">
        <v>4408593</v>
      </c>
      <c r="F24" t="s">
        <v>742</v>
      </c>
      <c r="G24" t="s">
        <v>782</v>
      </c>
      <c r="H24" t="s">
        <v>1543</v>
      </c>
      <c r="I24" s="12">
        <v>45806</v>
      </c>
      <c r="J24">
        <v>1</v>
      </c>
      <c r="K24" t="str">
        <f>VLOOKUP(A24,'TV May Monthly Billing Sites'!$A:$L,1,0)</f>
        <v>01275801</v>
      </c>
    </row>
    <row r="25" spans="1:11">
      <c r="A25" t="str">
        <f t="shared" si="0"/>
        <v>01312701</v>
      </c>
      <c r="B25" t="s">
        <v>4732</v>
      </c>
      <c r="C25" t="s">
        <v>4733</v>
      </c>
      <c r="D25" t="s">
        <v>1545</v>
      </c>
      <c r="E25">
        <v>4508714</v>
      </c>
      <c r="F25" t="s">
        <v>742</v>
      </c>
      <c r="G25" t="s">
        <v>743</v>
      </c>
      <c r="H25" t="s">
        <v>4734</v>
      </c>
      <c r="I25" s="12">
        <v>45833</v>
      </c>
      <c r="J25">
        <v>1</v>
      </c>
      <c r="K25" t="str">
        <f>VLOOKUP(A25,'TV May Monthly Billing Sites'!$A:$L,1,0)</f>
        <v>01312701</v>
      </c>
    </row>
    <row r="26" spans="1:11">
      <c r="A26" t="str">
        <f t="shared" si="0"/>
        <v>01312701</v>
      </c>
      <c r="B26" t="s">
        <v>4732</v>
      </c>
      <c r="C26" t="s">
        <v>4735</v>
      </c>
      <c r="D26" t="s">
        <v>1545</v>
      </c>
      <c r="E26">
        <v>4508714</v>
      </c>
      <c r="F26" t="s">
        <v>742</v>
      </c>
      <c r="G26" t="s">
        <v>743</v>
      </c>
      <c r="H26" t="s">
        <v>4734</v>
      </c>
      <c r="I26" s="12">
        <v>45833</v>
      </c>
      <c r="J26">
        <v>1</v>
      </c>
      <c r="K26" t="str">
        <f>VLOOKUP(A26,'TV May Monthly Billing Sites'!$A:$L,1,0)</f>
        <v>01312701</v>
      </c>
    </row>
    <row r="27" spans="1:11">
      <c r="A27" t="str">
        <f t="shared" si="0"/>
        <v>01322901</v>
      </c>
      <c r="B27" t="s">
        <v>4736</v>
      </c>
      <c r="C27" t="s">
        <v>4737</v>
      </c>
      <c r="D27" t="s">
        <v>4738</v>
      </c>
      <c r="E27">
        <v>4508714</v>
      </c>
      <c r="F27" t="s">
        <v>742</v>
      </c>
      <c r="G27" t="s">
        <v>743</v>
      </c>
      <c r="H27" t="s">
        <v>4739</v>
      </c>
      <c r="I27" s="12">
        <v>45895</v>
      </c>
      <c r="J27">
        <v>1</v>
      </c>
      <c r="K27" t="str">
        <f>VLOOKUP(A27,'TV May Monthly Billing Sites'!$A:$L,1,0)</f>
        <v>01322901</v>
      </c>
    </row>
    <row r="28" spans="1:11">
      <c r="A28" t="str">
        <f t="shared" si="0"/>
        <v>01325654</v>
      </c>
      <c r="B28" t="s">
        <v>4740</v>
      </c>
      <c r="C28" t="s">
        <v>4741</v>
      </c>
      <c r="D28" t="s">
        <v>4742</v>
      </c>
      <c r="E28">
        <v>4508714</v>
      </c>
      <c r="F28" t="s">
        <v>742</v>
      </c>
      <c r="G28" t="s">
        <v>743</v>
      </c>
      <c r="H28" t="s">
        <v>4743</v>
      </c>
      <c r="I28" s="12">
        <v>45810</v>
      </c>
      <c r="J28">
        <v>1</v>
      </c>
      <c r="K28" t="str">
        <f>VLOOKUP(A28,'TV May Monthly Billing Sites'!$A:$L,1,0)</f>
        <v>01325654</v>
      </c>
    </row>
    <row r="29" spans="1:11">
      <c r="A29" t="str">
        <f t="shared" si="0"/>
        <v>01325667</v>
      </c>
      <c r="B29" t="s">
        <v>4744</v>
      </c>
      <c r="C29" t="s">
        <v>4745</v>
      </c>
      <c r="D29" t="s">
        <v>1551</v>
      </c>
      <c r="E29">
        <v>4508714</v>
      </c>
      <c r="F29" t="s">
        <v>742</v>
      </c>
      <c r="G29" t="s">
        <v>743</v>
      </c>
      <c r="H29" t="s">
        <v>4746</v>
      </c>
      <c r="I29" s="12">
        <v>46111</v>
      </c>
      <c r="J29">
        <v>1</v>
      </c>
      <c r="K29" t="str">
        <f>VLOOKUP(A29,'TV May Monthly Billing Sites'!$A:$L,1,0)</f>
        <v>01325667</v>
      </c>
    </row>
    <row r="30" spans="1:11">
      <c r="A30" t="str">
        <f t="shared" si="0"/>
        <v>01326209</v>
      </c>
      <c r="B30" t="s">
        <v>4747</v>
      </c>
      <c r="C30" t="s">
        <v>4748</v>
      </c>
      <c r="D30" t="s">
        <v>1553</v>
      </c>
      <c r="E30">
        <v>4408593</v>
      </c>
      <c r="F30" t="s">
        <v>742</v>
      </c>
      <c r="G30" t="s">
        <v>782</v>
      </c>
      <c r="H30" t="s">
        <v>4691</v>
      </c>
      <c r="I30" s="12">
        <v>45597</v>
      </c>
      <c r="J30">
        <v>1</v>
      </c>
      <c r="K30" t="str">
        <f>VLOOKUP(A30,'TV May Monthly Billing Sites'!$A:$L,1,0)</f>
        <v>01326209</v>
      </c>
    </row>
    <row r="31" spans="1:11">
      <c r="A31" t="str">
        <f t="shared" si="0"/>
        <v>01326302</v>
      </c>
      <c r="B31" t="s">
        <v>4749</v>
      </c>
      <c r="C31" t="s">
        <v>4750</v>
      </c>
      <c r="D31" t="s">
        <v>4751</v>
      </c>
      <c r="E31">
        <v>4508714</v>
      </c>
      <c r="F31" t="s">
        <v>742</v>
      </c>
      <c r="G31" t="s">
        <v>743</v>
      </c>
      <c r="H31" t="s">
        <v>4672</v>
      </c>
      <c r="I31" s="12">
        <v>45629</v>
      </c>
      <c r="J31">
        <v>1</v>
      </c>
      <c r="K31" t="str">
        <f>VLOOKUP(A31,'TV May Monthly Billing Sites'!$A:$L,1,0)</f>
        <v>01326302</v>
      </c>
    </row>
    <row r="32" spans="1:11">
      <c r="A32" t="str">
        <f t="shared" si="0"/>
        <v>01326328</v>
      </c>
      <c r="B32" t="s">
        <v>4752</v>
      </c>
      <c r="C32" t="s">
        <v>4753</v>
      </c>
      <c r="D32" t="s">
        <v>4754</v>
      </c>
      <c r="E32">
        <v>4508714</v>
      </c>
      <c r="F32" t="s">
        <v>742</v>
      </c>
      <c r="G32" t="s">
        <v>743</v>
      </c>
      <c r="H32" t="s">
        <v>4672</v>
      </c>
      <c r="I32" s="12">
        <v>45629</v>
      </c>
      <c r="J32">
        <v>1</v>
      </c>
      <c r="K32" t="str">
        <f>VLOOKUP(A32,'TV May Monthly Billing Sites'!$A:$L,1,0)</f>
        <v>01326328</v>
      </c>
    </row>
    <row r="33" spans="1:11">
      <c r="A33" t="str">
        <f t="shared" si="0"/>
        <v>01326343</v>
      </c>
      <c r="B33" t="s">
        <v>4755</v>
      </c>
      <c r="C33" t="s">
        <v>4756</v>
      </c>
      <c r="D33" t="s">
        <v>1559</v>
      </c>
      <c r="E33">
        <v>4508714</v>
      </c>
      <c r="F33" t="s">
        <v>742</v>
      </c>
      <c r="G33" t="s">
        <v>743</v>
      </c>
      <c r="H33" t="s">
        <v>1559</v>
      </c>
      <c r="I33" s="12">
        <v>46023</v>
      </c>
      <c r="J33">
        <v>1</v>
      </c>
      <c r="K33" t="str">
        <f>VLOOKUP(A33,'TV May Monthly Billing Sites'!$A:$L,1,0)</f>
        <v>01326343</v>
      </c>
    </row>
    <row r="34" spans="1:11">
      <c r="A34" t="str">
        <f t="shared" si="0"/>
        <v>01326450</v>
      </c>
      <c r="B34" t="s">
        <v>4757</v>
      </c>
      <c r="C34" t="s">
        <v>4758</v>
      </c>
      <c r="D34" t="s">
        <v>4759</v>
      </c>
      <c r="E34">
        <v>4508684</v>
      </c>
      <c r="F34" t="s">
        <v>742</v>
      </c>
      <c r="G34" t="s">
        <v>4760</v>
      </c>
      <c r="H34" t="s">
        <v>1563</v>
      </c>
      <c r="I34" s="12">
        <v>45163</v>
      </c>
      <c r="J34">
        <v>1</v>
      </c>
      <c r="K34" t="str">
        <f>VLOOKUP(A34,'TV May Monthly Billing Sites'!$A:$L,1,0)</f>
        <v>01326450</v>
      </c>
    </row>
    <row r="35" spans="1:11">
      <c r="A35" t="str">
        <f t="shared" si="0"/>
        <v>01326689</v>
      </c>
      <c r="B35" t="s">
        <v>4761</v>
      </c>
      <c r="C35" t="s">
        <v>4762</v>
      </c>
      <c r="D35" t="s">
        <v>4763</v>
      </c>
      <c r="E35">
        <v>4408592</v>
      </c>
      <c r="F35" t="s">
        <v>742</v>
      </c>
      <c r="G35" t="s">
        <v>823</v>
      </c>
      <c r="H35" t="s">
        <v>4764</v>
      </c>
      <c r="I35" s="12">
        <v>44894</v>
      </c>
      <c r="J35">
        <v>1</v>
      </c>
      <c r="K35" t="str">
        <f>VLOOKUP(A35,'TV May Monthly Billing Sites'!$A:$L,1,0)</f>
        <v>01326689</v>
      </c>
    </row>
    <row r="36" spans="1:11">
      <c r="A36" t="str">
        <f t="shared" si="0"/>
        <v>01326804</v>
      </c>
      <c r="B36" t="s">
        <v>4765</v>
      </c>
      <c r="C36" t="s">
        <v>4766</v>
      </c>
      <c r="D36" t="s">
        <v>1567</v>
      </c>
      <c r="E36">
        <v>4408592</v>
      </c>
      <c r="F36" t="s">
        <v>742</v>
      </c>
      <c r="G36" t="s">
        <v>823</v>
      </c>
      <c r="H36" t="s">
        <v>4767</v>
      </c>
      <c r="I36" s="12">
        <v>45628</v>
      </c>
      <c r="J36">
        <v>1</v>
      </c>
      <c r="K36" t="str">
        <f>VLOOKUP(A36,'TV May Monthly Billing Sites'!$A:$L,1,0)</f>
        <v>01326804</v>
      </c>
    </row>
    <row r="37" spans="1:11">
      <c r="A37" t="str">
        <f t="shared" si="0"/>
        <v>01326804</v>
      </c>
      <c r="B37" t="s">
        <v>4765</v>
      </c>
      <c r="C37" t="s">
        <v>4768</v>
      </c>
      <c r="D37" t="s">
        <v>1567</v>
      </c>
      <c r="E37">
        <v>4408592</v>
      </c>
      <c r="F37" t="s">
        <v>742</v>
      </c>
      <c r="G37" t="s">
        <v>823</v>
      </c>
      <c r="H37" t="s">
        <v>4767</v>
      </c>
      <c r="I37" s="12">
        <v>46022</v>
      </c>
      <c r="J37">
        <v>1</v>
      </c>
      <c r="K37" t="str">
        <f>VLOOKUP(A37,'TV May Monthly Billing Sites'!$A:$L,1,0)</f>
        <v>01326804</v>
      </c>
    </row>
    <row r="38" spans="1:11">
      <c r="A38" t="str">
        <f t="shared" si="0"/>
        <v>01326917</v>
      </c>
      <c r="B38" t="s">
        <v>4769</v>
      </c>
      <c r="C38" t="s">
        <v>4770</v>
      </c>
      <c r="D38" t="s">
        <v>4771</v>
      </c>
      <c r="E38">
        <v>4508714</v>
      </c>
      <c r="F38" t="s">
        <v>742</v>
      </c>
      <c r="G38" t="s">
        <v>743</v>
      </c>
      <c r="H38" t="s">
        <v>4714</v>
      </c>
      <c r="I38" s="12">
        <v>45622</v>
      </c>
      <c r="J38">
        <v>1</v>
      </c>
      <c r="K38" t="str">
        <f>VLOOKUP(A38,'TV May Monthly Billing Sites'!$A:$L,1,0)</f>
        <v>01326917</v>
      </c>
    </row>
    <row r="39" spans="1:11">
      <c r="A39" t="str">
        <f t="shared" si="0"/>
        <v>01327435</v>
      </c>
      <c r="B39" t="s">
        <v>4772</v>
      </c>
      <c r="C39" t="s">
        <v>4773</v>
      </c>
      <c r="D39" t="s">
        <v>4774</v>
      </c>
      <c r="E39">
        <v>4508714</v>
      </c>
      <c r="F39" t="s">
        <v>742</v>
      </c>
      <c r="G39" t="s">
        <v>743</v>
      </c>
      <c r="H39" t="s">
        <v>4775</v>
      </c>
      <c r="I39" s="12">
        <v>46055</v>
      </c>
      <c r="J39">
        <v>1</v>
      </c>
      <c r="K39" t="str">
        <f>VLOOKUP(A39,'TV May Monthly Billing Sites'!$A:$L,1,0)</f>
        <v>01327435</v>
      </c>
    </row>
    <row r="40" spans="1:11">
      <c r="A40" t="str">
        <f t="shared" si="0"/>
        <v>01327499</v>
      </c>
      <c r="B40" t="s">
        <v>4776</v>
      </c>
      <c r="C40" t="s">
        <v>4777</v>
      </c>
      <c r="D40" t="s">
        <v>4778</v>
      </c>
      <c r="E40">
        <v>4508714</v>
      </c>
      <c r="F40" t="s">
        <v>742</v>
      </c>
      <c r="G40" t="s">
        <v>743</v>
      </c>
      <c r="H40" t="s">
        <v>4779</v>
      </c>
      <c r="I40" s="12">
        <v>46007</v>
      </c>
      <c r="J40">
        <v>1</v>
      </c>
      <c r="K40" t="str">
        <f>VLOOKUP(A40,'TV May Monthly Billing Sites'!$A:$L,1,0)</f>
        <v>01327499</v>
      </c>
    </row>
    <row r="41" spans="1:11">
      <c r="A41" t="str">
        <f t="shared" si="0"/>
        <v>05021101</v>
      </c>
      <c r="B41" t="s">
        <v>4780</v>
      </c>
      <c r="C41" t="s">
        <v>4781</v>
      </c>
      <c r="D41" t="s">
        <v>4782</v>
      </c>
      <c r="E41">
        <v>4408593</v>
      </c>
      <c r="F41" t="s">
        <v>742</v>
      </c>
      <c r="G41" t="s">
        <v>782</v>
      </c>
      <c r="H41" t="s">
        <v>1577</v>
      </c>
      <c r="I41" s="12">
        <v>45622</v>
      </c>
      <c r="J41">
        <v>1</v>
      </c>
      <c r="K41" t="str">
        <f>VLOOKUP(A41,'TV May Monthly Billing Sites'!$A:$L,1,0)</f>
        <v>05021101</v>
      </c>
    </row>
    <row r="42" spans="1:11">
      <c r="A42" t="str">
        <f t="shared" si="0"/>
        <v>05120806</v>
      </c>
      <c r="B42" t="s">
        <v>4783</v>
      </c>
      <c r="C42" t="s">
        <v>4784</v>
      </c>
      <c r="D42" t="s">
        <v>1579</v>
      </c>
      <c r="E42">
        <v>4408592</v>
      </c>
      <c r="F42" t="s">
        <v>742</v>
      </c>
      <c r="G42" t="s">
        <v>823</v>
      </c>
      <c r="H42" t="s">
        <v>4785</v>
      </c>
      <c r="I42" s="12">
        <v>44712</v>
      </c>
      <c r="J42">
        <v>1</v>
      </c>
      <c r="K42" t="str">
        <f>VLOOKUP(A42,'TV May Monthly Billing Sites'!$A:$L,1,0)</f>
        <v>05120806</v>
      </c>
    </row>
    <row r="43" spans="1:11">
      <c r="A43" t="str">
        <f t="shared" si="0"/>
        <v>05157307</v>
      </c>
      <c r="B43" t="s">
        <v>4786</v>
      </c>
      <c r="C43" t="s">
        <v>4787</v>
      </c>
      <c r="D43" t="s">
        <v>1581</v>
      </c>
      <c r="E43">
        <v>4408593</v>
      </c>
      <c r="F43" t="s">
        <v>742</v>
      </c>
      <c r="G43" t="s">
        <v>782</v>
      </c>
      <c r="H43" t="s">
        <v>4788</v>
      </c>
      <c r="I43" s="12">
        <v>45622</v>
      </c>
      <c r="J43">
        <v>1</v>
      </c>
      <c r="K43" t="str">
        <f>VLOOKUP(A43,'TV May Monthly Billing Sites'!$A:$L,1,0)</f>
        <v>05157307</v>
      </c>
    </row>
    <row r="44" spans="1:11">
      <c r="A44" t="str">
        <f t="shared" si="0"/>
        <v>05163201</v>
      </c>
      <c r="B44" t="s">
        <v>4789</v>
      </c>
      <c r="C44" t="s">
        <v>4790</v>
      </c>
      <c r="D44" t="s">
        <v>1583</v>
      </c>
      <c r="E44">
        <v>4408592</v>
      </c>
      <c r="F44" t="s">
        <v>742</v>
      </c>
      <c r="G44" t="s">
        <v>823</v>
      </c>
      <c r="H44" t="s">
        <v>4791</v>
      </c>
      <c r="I44" s="12">
        <v>45099</v>
      </c>
      <c r="J44">
        <v>1</v>
      </c>
      <c r="K44" t="str">
        <f>VLOOKUP(A44,'TV May Monthly Billing Sites'!$A:$L,1,0)</f>
        <v>05163201</v>
      </c>
    </row>
    <row r="45" spans="1:11">
      <c r="A45" t="str">
        <f t="shared" si="0"/>
        <v>05163202</v>
      </c>
      <c r="B45" t="s">
        <v>4792</v>
      </c>
      <c r="C45" t="s">
        <v>4793</v>
      </c>
      <c r="D45" t="s">
        <v>1585</v>
      </c>
      <c r="E45">
        <v>4408593</v>
      </c>
      <c r="F45" t="s">
        <v>742</v>
      </c>
      <c r="G45" t="s">
        <v>782</v>
      </c>
      <c r="H45" t="s">
        <v>4791</v>
      </c>
      <c r="I45" s="12">
        <v>45628</v>
      </c>
      <c r="J45">
        <v>1</v>
      </c>
      <c r="K45" t="str">
        <f>VLOOKUP(A45,'TV May Monthly Billing Sites'!$A:$L,1,0)</f>
        <v>05163202</v>
      </c>
    </row>
    <row r="46" spans="1:11">
      <c r="A46" t="str">
        <f t="shared" si="0"/>
        <v>05172601</v>
      </c>
      <c r="B46" t="s">
        <v>4794</v>
      </c>
      <c r="C46" t="s">
        <v>4795</v>
      </c>
      <c r="D46" t="s">
        <v>4796</v>
      </c>
      <c r="E46">
        <v>4408592</v>
      </c>
      <c r="F46" t="s">
        <v>742</v>
      </c>
      <c r="G46" t="s">
        <v>823</v>
      </c>
      <c r="H46" t="s">
        <v>4797</v>
      </c>
      <c r="I46" s="12">
        <v>44533</v>
      </c>
      <c r="J46">
        <v>1</v>
      </c>
      <c r="K46" t="str">
        <f>VLOOKUP(A46,'TV May Monthly Billing Sites'!$A:$L,1,0)</f>
        <v>05172601</v>
      </c>
    </row>
    <row r="47" spans="1:11">
      <c r="A47" t="str">
        <f t="shared" si="0"/>
        <v>05172603</v>
      </c>
      <c r="B47" t="s">
        <v>4798</v>
      </c>
      <c r="C47" t="s">
        <v>4799</v>
      </c>
      <c r="D47" t="s">
        <v>1589</v>
      </c>
      <c r="E47">
        <v>4408592</v>
      </c>
      <c r="F47" t="s">
        <v>742</v>
      </c>
      <c r="G47" t="s">
        <v>823</v>
      </c>
      <c r="H47" t="s">
        <v>4797</v>
      </c>
      <c r="I47" s="12">
        <v>44533</v>
      </c>
      <c r="J47">
        <v>1</v>
      </c>
      <c r="K47" t="str">
        <f>VLOOKUP(A47,'TV May Monthly Billing Sites'!$A:$L,1,0)</f>
        <v>05172603</v>
      </c>
    </row>
    <row r="48" spans="1:11">
      <c r="A48" t="str">
        <f t="shared" si="0"/>
        <v>05228101</v>
      </c>
      <c r="B48" t="s">
        <v>4800</v>
      </c>
      <c r="C48" t="s">
        <v>4801</v>
      </c>
      <c r="D48" t="s">
        <v>4802</v>
      </c>
      <c r="E48">
        <v>4508714</v>
      </c>
      <c r="F48" t="s">
        <v>742</v>
      </c>
      <c r="G48" t="s">
        <v>743</v>
      </c>
      <c r="H48" t="s">
        <v>4803</v>
      </c>
      <c r="I48" s="12">
        <v>45776</v>
      </c>
      <c r="J48">
        <v>1</v>
      </c>
      <c r="K48" t="str">
        <f>VLOOKUP(A48,'TV May Monthly Billing Sites'!$A:$L,1,0)</f>
        <v>05228101</v>
      </c>
    </row>
    <row r="49" spans="1:12">
      <c r="A49" t="str">
        <f t="shared" si="0"/>
        <v>05228102</v>
      </c>
      <c r="B49" t="s">
        <v>4804</v>
      </c>
      <c r="C49" t="s">
        <v>4805</v>
      </c>
      <c r="D49" t="s">
        <v>4806</v>
      </c>
      <c r="E49">
        <v>4508714</v>
      </c>
      <c r="F49" t="s">
        <v>742</v>
      </c>
      <c r="G49" t="s">
        <v>743</v>
      </c>
      <c r="H49" t="s">
        <v>4803</v>
      </c>
      <c r="I49" s="12">
        <v>45776</v>
      </c>
      <c r="J49">
        <v>1</v>
      </c>
      <c r="K49" t="str">
        <f>VLOOKUP(A49,'TV May Monthly Billing Sites'!$A:$L,1,0)</f>
        <v>05228102</v>
      </c>
    </row>
    <row r="50" spans="1:12">
      <c r="A50" t="str">
        <f t="shared" si="0"/>
        <v>05228501</v>
      </c>
      <c r="B50" t="s">
        <v>4807</v>
      </c>
      <c r="C50" t="s">
        <v>4808</v>
      </c>
      <c r="D50" t="s">
        <v>1595</v>
      </c>
      <c r="E50">
        <v>4508714</v>
      </c>
      <c r="F50" t="s">
        <v>742</v>
      </c>
      <c r="G50" t="s">
        <v>743</v>
      </c>
      <c r="H50" t="s">
        <v>1595</v>
      </c>
      <c r="I50" s="12">
        <v>45540</v>
      </c>
      <c r="J50">
        <v>1</v>
      </c>
      <c r="K50" t="str">
        <f>VLOOKUP(A50,'TV May Monthly Billing Sites'!$A:$L,1,0)</f>
        <v>05228501</v>
      </c>
    </row>
    <row r="51" spans="1:12">
      <c r="A51" t="str">
        <f t="shared" si="0"/>
        <v>05236216</v>
      </c>
      <c r="B51" t="s">
        <v>4809</v>
      </c>
      <c r="C51" t="s">
        <v>4810</v>
      </c>
      <c r="D51" t="s">
        <v>1597</v>
      </c>
      <c r="E51">
        <v>4508714</v>
      </c>
      <c r="F51" t="s">
        <v>742</v>
      </c>
      <c r="G51" t="s">
        <v>743</v>
      </c>
      <c r="H51" t="s">
        <v>1597</v>
      </c>
      <c r="I51" s="12">
        <v>45622</v>
      </c>
      <c r="J51">
        <v>1</v>
      </c>
      <c r="K51" t="str">
        <f>VLOOKUP(A51,'TV May Monthly Billing Sites'!$A:$L,1,0)</f>
        <v>05236216</v>
      </c>
    </row>
    <row r="52" spans="1:12">
      <c r="A52" t="str">
        <f t="shared" si="0"/>
        <v>05236425</v>
      </c>
      <c r="B52" t="s">
        <v>4811</v>
      </c>
      <c r="C52" t="s">
        <v>4812</v>
      </c>
      <c r="D52" t="s">
        <v>4813</v>
      </c>
      <c r="E52">
        <v>4508714</v>
      </c>
      <c r="F52" t="s">
        <v>742</v>
      </c>
      <c r="G52" t="s">
        <v>743</v>
      </c>
      <c r="H52" t="s">
        <v>4814</v>
      </c>
      <c r="I52" s="12">
        <v>45715</v>
      </c>
      <c r="J52">
        <v>1</v>
      </c>
      <c r="K52" t="str">
        <f>VLOOKUP(A52,'TV May Monthly Billing Sites'!$A:$L,1,0)</f>
        <v>05236425</v>
      </c>
    </row>
    <row r="53" spans="1:12">
      <c r="A53" t="str">
        <f t="shared" si="0"/>
        <v>05236492</v>
      </c>
      <c r="B53" t="s">
        <v>4815</v>
      </c>
      <c r="C53" t="s">
        <v>4816</v>
      </c>
      <c r="D53" t="s">
        <v>1601</v>
      </c>
      <c r="E53">
        <v>4408592</v>
      </c>
      <c r="F53" t="s">
        <v>742</v>
      </c>
      <c r="G53" t="s">
        <v>823</v>
      </c>
      <c r="H53" t="s">
        <v>4785</v>
      </c>
      <c r="I53" s="12">
        <v>44712</v>
      </c>
      <c r="J53">
        <v>1</v>
      </c>
      <c r="K53" t="str">
        <f>VLOOKUP(A53,'TV May Monthly Billing Sites'!$A:$L,1,0)</f>
        <v>05236492</v>
      </c>
    </row>
    <row r="54" spans="1:12">
      <c r="A54" t="str">
        <f t="shared" si="0"/>
        <v>05236645</v>
      </c>
      <c r="B54" t="s">
        <v>4817</v>
      </c>
      <c r="C54" t="s">
        <v>4818</v>
      </c>
      <c r="D54" t="s">
        <v>1603</v>
      </c>
      <c r="E54">
        <v>4508714</v>
      </c>
      <c r="F54" t="s">
        <v>742</v>
      </c>
      <c r="G54" t="s">
        <v>743</v>
      </c>
      <c r="H54" t="s">
        <v>4803</v>
      </c>
      <c r="I54" s="12">
        <v>45776</v>
      </c>
      <c r="J54">
        <v>1</v>
      </c>
      <c r="K54" t="str">
        <f>VLOOKUP(A54,'TV May Monthly Billing Sites'!$A:$L,1,0)</f>
        <v>05236645</v>
      </c>
    </row>
    <row r="55" spans="1:12">
      <c r="A55" t="str">
        <f t="shared" si="0"/>
        <v>05236759</v>
      </c>
      <c r="B55" t="s">
        <v>4819</v>
      </c>
      <c r="C55" t="s">
        <v>4820</v>
      </c>
      <c r="D55" t="s">
        <v>1605</v>
      </c>
      <c r="E55">
        <v>4508714</v>
      </c>
      <c r="F55" t="s">
        <v>742</v>
      </c>
      <c r="G55" t="s">
        <v>743</v>
      </c>
      <c r="H55" t="s">
        <v>4821</v>
      </c>
      <c r="I55" s="12">
        <v>46014</v>
      </c>
      <c r="J55">
        <v>1</v>
      </c>
      <c r="K55" t="str">
        <f>VLOOKUP(A55,'TV May Monthly Billing Sites'!$A:$L,1,0)</f>
        <v>05236759</v>
      </c>
    </row>
    <row r="56" spans="1:12">
      <c r="A56" t="str">
        <f t="shared" si="0"/>
        <v>05236822</v>
      </c>
      <c r="B56" t="s">
        <v>4822</v>
      </c>
      <c r="C56" t="s">
        <v>4823</v>
      </c>
      <c r="D56" t="s">
        <v>1607</v>
      </c>
      <c r="E56">
        <v>4508714</v>
      </c>
      <c r="F56" t="s">
        <v>742</v>
      </c>
      <c r="G56" t="s">
        <v>743</v>
      </c>
      <c r="H56" t="s">
        <v>1607</v>
      </c>
      <c r="I56" s="12">
        <v>45839</v>
      </c>
      <c r="J56">
        <v>1</v>
      </c>
      <c r="K56" t="str">
        <f>VLOOKUP(A56,'TV May Monthly Billing Sites'!$A:$L,1,0)</f>
        <v>05236822</v>
      </c>
    </row>
    <row r="57" spans="1:12">
      <c r="A57" t="str">
        <f t="shared" si="0"/>
        <v>05237164</v>
      </c>
      <c r="B57" t="s">
        <v>4824</v>
      </c>
      <c r="C57" t="s">
        <v>4825</v>
      </c>
      <c r="D57" t="s">
        <v>4826</v>
      </c>
      <c r="E57">
        <v>4508714</v>
      </c>
      <c r="F57" t="s">
        <v>742</v>
      </c>
      <c r="G57" t="s">
        <v>743</v>
      </c>
      <c r="H57" t="s">
        <v>4827</v>
      </c>
      <c r="I57" s="12">
        <v>45856</v>
      </c>
      <c r="J57">
        <v>1</v>
      </c>
      <c r="K57" t="str">
        <f>VLOOKUP(A57,'TV May Monthly Billing Sites'!$A:$L,1,0)</f>
        <v>05237164</v>
      </c>
    </row>
    <row r="58" spans="1:12">
      <c r="A58" t="str">
        <f t="shared" si="0"/>
        <v>05237677</v>
      </c>
      <c r="B58" t="s">
        <v>4828</v>
      </c>
      <c r="C58" t="s">
        <v>4829</v>
      </c>
      <c r="D58" t="s">
        <v>4830</v>
      </c>
      <c r="E58">
        <v>4508714</v>
      </c>
      <c r="F58" t="s">
        <v>742</v>
      </c>
      <c r="G58" t="s">
        <v>743</v>
      </c>
      <c r="H58" t="s">
        <v>4830</v>
      </c>
      <c r="I58" s="12">
        <v>45625</v>
      </c>
      <c r="J58">
        <v>1</v>
      </c>
      <c r="K58" t="str">
        <f>VLOOKUP(A58,'TV May Monthly Billing Sites'!$A:$L,1,0)</f>
        <v>05237677</v>
      </c>
    </row>
    <row r="59" spans="1:12">
      <c r="A59" t="str">
        <f t="shared" si="0"/>
        <v>05400042</v>
      </c>
      <c r="B59" t="s">
        <v>739</v>
      </c>
      <c r="C59" t="s">
        <v>740</v>
      </c>
      <c r="D59" t="s">
        <v>741</v>
      </c>
      <c r="E59">
        <v>4508714</v>
      </c>
      <c r="F59" t="s">
        <v>742</v>
      </c>
      <c r="G59" t="s">
        <v>743</v>
      </c>
      <c r="H59" t="s">
        <v>744</v>
      </c>
      <c r="I59" s="12">
        <v>45638</v>
      </c>
      <c r="J59">
        <v>1</v>
      </c>
      <c r="K59" t="e">
        <f>VLOOKUP(A59,'TV May Monthly Billing Sites'!$A:$L,1,0)</f>
        <v>#N/A</v>
      </c>
      <c r="L59" t="e">
        <f>VLOOKUP(D59,'TV May Monthly Billing Sites'!$B:$L,1,0)</f>
        <v>#N/A</v>
      </c>
    </row>
    <row r="60" spans="1:12">
      <c r="A60" t="str">
        <f t="shared" si="0"/>
        <v>05400043</v>
      </c>
      <c r="B60" t="s">
        <v>745</v>
      </c>
      <c r="C60" t="s">
        <v>746</v>
      </c>
      <c r="D60" t="s">
        <v>747</v>
      </c>
      <c r="E60">
        <v>4508714</v>
      </c>
      <c r="F60" t="s">
        <v>742</v>
      </c>
      <c r="G60" t="s">
        <v>743</v>
      </c>
      <c r="H60" t="s">
        <v>744</v>
      </c>
      <c r="I60" s="12">
        <v>45638</v>
      </c>
      <c r="J60">
        <v>1</v>
      </c>
      <c r="K60" t="e">
        <f>VLOOKUP(A60,'TV May Monthly Billing Sites'!$A:$L,1,0)</f>
        <v>#N/A</v>
      </c>
      <c r="L60" t="e">
        <f>VLOOKUP(D60,'TV May Monthly Billing Sites'!$B:$L,1,0)</f>
        <v>#N/A</v>
      </c>
    </row>
    <row r="61" spans="1:12">
      <c r="A61" t="str">
        <f t="shared" si="0"/>
        <v>05400118</v>
      </c>
      <c r="B61" t="s">
        <v>4831</v>
      </c>
      <c r="C61" t="s">
        <v>4832</v>
      </c>
      <c r="D61" t="s">
        <v>4833</v>
      </c>
      <c r="E61">
        <v>4408592</v>
      </c>
      <c r="F61" t="s">
        <v>742</v>
      </c>
      <c r="G61" t="s">
        <v>823</v>
      </c>
      <c r="H61" t="s">
        <v>4834</v>
      </c>
      <c r="I61" s="12">
        <v>45694</v>
      </c>
      <c r="J61">
        <v>1</v>
      </c>
      <c r="K61" t="str">
        <f>VLOOKUP(A61,'TV May Monthly Billing Sites'!$A:$L,1,0)</f>
        <v>05400118</v>
      </c>
    </row>
    <row r="62" spans="1:12">
      <c r="A62" t="str">
        <f t="shared" si="0"/>
        <v>05400192</v>
      </c>
      <c r="B62" t="s">
        <v>4835</v>
      </c>
      <c r="C62" t="s">
        <v>4836</v>
      </c>
      <c r="D62" t="s">
        <v>4837</v>
      </c>
      <c r="E62">
        <v>4508714</v>
      </c>
      <c r="F62" t="s">
        <v>742</v>
      </c>
      <c r="G62" t="s">
        <v>743</v>
      </c>
      <c r="H62" t="s">
        <v>4838</v>
      </c>
      <c r="I62" s="12">
        <v>45642</v>
      </c>
      <c r="J62">
        <v>1</v>
      </c>
      <c r="K62" t="str">
        <f>VLOOKUP(A62,'TV May Monthly Billing Sites'!$A:$L,1,0)</f>
        <v>05400192</v>
      </c>
    </row>
    <row r="63" spans="1:12">
      <c r="A63" t="str">
        <f t="shared" si="0"/>
        <v>05700077</v>
      </c>
      <c r="B63" t="s">
        <v>4839</v>
      </c>
      <c r="C63" t="s">
        <v>4840</v>
      </c>
      <c r="D63" t="s">
        <v>4841</v>
      </c>
      <c r="E63">
        <v>4508714</v>
      </c>
      <c r="F63" t="s">
        <v>742</v>
      </c>
      <c r="G63" t="s">
        <v>743</v>
      </c>
      <c r="H63" t="s">
        <v>4842</v>
      </c>
      <c r="I63" s="12">
        <v>45622</v>
      </c>
      <c r="J63">
        <v>1</v>
      </c>
      <c r="K63" t="str">
        <f>VLOOKUP(A63,'TV May Monthly Billing Sites'!$A:$L,1,0)</f>
        <v>05700077</v>
      </c>
    </row>
    <row r="64" spans="1:12">
      <c r="A64" t="str">
        <f t="shared" si="0"/>
        <v>05700078</v>
      </c>
      <c r="B64" t="s">
        <v>4843</v>
      </c>
      <c r="C64" t="s">
        <v>4844</v>
      </c>
      <c r="D64" t="s">
        <v>4845</v>
      </c>
      <c r="E64">
        <v>4508714</v>
      </c>
      <c r="F64" t="s">
        <v>742</v>
      </c>
      <c r="G64" t="s">
        <v>743</v>
      </c>
      <c r="H64" t="s">
        <v>4846</v>
      </c>
      <c r="I64" s="12">
        <v>45625</v>
      </c>
      <c r="J64">
        <v>1</v>
      </c>
      <c r="K64" t="str">
        <f>VLOOKUP(A64,'TV May Monthly Billing Sites'!$A:$L,1,0)</f>
        <v>05700078</v>
      </c>
    </row>
    <row r="65" spans="1:11">
      <c r="A65" t="str">
        <f t="shared" si="0"/>
        <v>05700175</v>
      </c>
      <c r="B65" t="s">
        <v>4847</v>
      </c>
      <c r="C65" t="s">
        <v>4848</v>
      </c>
      <c r="D65" t="s">
        <v>4849</v>
      </c>
      <c r="E65">
        <v>4508714</v>
      </c>
      <c r="F65" t="s">
        <v>742</v>
      </c>
      <c r="G65" t="s">
        <v>743</v>
      </c>
      <c r="H65" t="s">
        <v>4850</v>
      </c>
      <c r="I65" s="12">
        <v>45622</v>
      </c>
      <c r="J65">
        <v>1</v>
      </c>
      <c r="K65" t="str">
        <f>VLOOKUP(A65,'TV May Monthly Billing Sites'!$A:$L,1,0)</f>
        <v>05700175</v>
      </c>
    </row>
    <row r="66" spans="1:11">
      <c r="A66" t="str">
        <f t="shared" ref="A66:A129" si="1">TRIM(B66)</f>
        <v>05710031</v>
      </c>
      <c r="B66" t="s">
        <v>4851</v>
      </c>
      <c r="C66" t="s">
        <v>4852</v>
      </c>
      <c r="D66" t="s">
        <v>1623</v>
      </c>
      <c r="E66">
        <v>4508714</v>
      </c>
      <c r="F66" t="s">
        <v>742</v>
      </c>
      <c r="G66" t="s">
        <v>743</v>
      </c>
      <c r="H66" t="s">
        <v>1623</v>
      </c>
      <c r="I66" s="12">
        <v>45715</v>
      </c>
      <c r="J66">
        <v>1</v>
      </c>
      <c r="K66" t="str">
        <f>VLOOKUP(A66,'TV May Monthly Billing Sites'!$A:$L,1,0)</f>
        <v>05710031</v>
      </c>
    </row>
    <row r="67" spans="1:11">
      <c r="A67" t="str">
        <f t="shared" si="1"/>
        <v>05710042</v>
      </c>
      <c r="B67" t="s">
        <v>4853</v>
      </c>
      <c r="C67" t="s">
        <v>4854</v>
      </c>
      <c r="D67" t="s">
        <v>1625</v>
      </c>
      <c r="E67">
        <v>4508714</v>
      </c>
      <c r="F67" t="s">
        <v>742</v>
      </c>
      <c r="G67" t="s">
        <v>743</v>
      </c>
      <c r="H67" t="s">
        <v>1625</v>
      </c>
      <c r="I67" s="12">
        <v>46024</v>
      </c>
      <c r="J67">
        <v>1</v>
      </c>
      <c r="K67" t="str">
        <f>VLOOKUP(A67,'TV May Monthly Billing Sites'!$A:$L,1,0)</f>
        <v>05710042</v>
      </c>
    </row>
    <row r="68" spans="1:11">
      <c r="A68" t="str">
        <f t="shared" si="1"/>
        <v>05710177</v>
      </c>
      <c r="B68" t="s">
        <v>4855</v>
      </c>
      <c r="C68" t="s">
        <v>4856</v>
      </c>
      <c r="D68" t="s">
        <v>4857</v>
      </c>
      <c r="E68">
        <v>4408593</v>
      </c>
      <c r="F68" t="s">
        <v>742</v>
      </c>
      <c r="G68" t="s">
        <v>782</v>
      </c>
      <c r="H68" t="s">
        <v>4857</v>
      </c>
      <c r="I68" s="12">
        <v>45739</v>
      </c>
      <c r="J68">
        <v>1</v>
      </c>
      <c r="K68" t="str">
        <f>VLOOKUP(A68,'TV May Monthly Billing Sites'!$A:$L,1,0)</f>
        <v>05710177</v>
      </c>
    </row>
    <row r="69" spans="1:11">
      <c r="A69" t="str">
        <f t="shared" si="1"/>
        <v>05720026</v>
      </c>
      <c r="B69" t="s">
        <v>4858</v>
      </c>
      <c r="C69" t="s">
        <v>4859</v>
      </c>
      <c r="D69" t="s">
        <v>1629</v>
      </c>
      <c r="E69">
        <v>4508714</v>
      </c>
      <c r="F69" t="s">
        <v>742</v>
      </c>
      <c r="G69" t="s">
        <v>743</v>
      </c>
      <c r="H69" t="s">
        <v>4860</v>
      </c>
      <c r="I69" s="12">
        <v>45902</v>
      </c>
      <c r="J69">
        <v>1</v>
      </c>
      <c r="K69" t="str">
        <f>VLOOKUP(A69,'TV May Monthly Billing Sites'!$A:$L,1,0)</f>
        <v>05720026</v>
      </c>
    </row>
    <row r="70" spans="1:11">
      <c r="A70" t="str">
        <f t="shared" si="1"/>
        <v>05720064</v>
      </c>
      <c r="B70" t="s">
        <v>4861</v>
      </c>
      <c r="C70" t="s">
        <v>4862</v>
      </c>
      <c r="D70" t="s">
        <v>1631</v>
      </c>
      <c r="E70">
        <v>4408592</v>
      </c>
      <c r="F70" t="s">
        <v>742</v>
      </c>
      <c r="G70" t="s">
        <v>823</v>
      </c>
      <c r="H70" t="s">
        <v>4785</v>
      </c>
      <c r="I70" s="12">
        <v>44712</v>
      </c>
      <c r="J70">
        <v>1</v>
      </c>
      <c r="K70" t="str">
        <f>VLOOKUP(A70,'TV May Monthly Billing Sites'!$A:$L,1,0)</f>
        <v>05720064</v>
      </c>
    </row>
    <row r="71" spans="1:11">
      <c r="A71" t="str">
        <f t="shared" si="1"/>
        <v>06600066</v>
      </c>
      <c r="B71" t="s">
        <v>4863</v>
      </c>
      <c r="C71" t="s">
        <v>4864</v>
      </c>
      <c r="D71" t="s">
        <v>1633</v>
      </c>
      <c r="E71">
        <v>4408592</v>
      </c>
      <c r="F71" t="s">
        <v>742</v>
      </c>
      <c r="G71" t="s">
        <v>823</v>
      </c>
      <c r="H71" t="s">
        <v>4865</v>
      </c>
      <c r="I71" s="12">
        <v>45047</v>
      </c>
      <c r="J71">
        <v>1</v>
      </c>
      <c r="K71" t="str">
        <f>VLOOKUP(A71,'TV May Monthly Billing Sites'!$A:$L,1,0)</f>
        <v>06600066</v>
      </c>
    </row>
    <row r="72" spans="1:11">
      <c r="A72" t="str">
        <f t="shared" si="1"/>
        <v>06600309</v>
      </c>
      <c r="B72" t="s">
        <v>4866</v>
      </c>
      <c r="C72" t="s">
        <v>4867</v>
      </c>
      <c r="D72" t="s">
        <v>4868</v>
      </c>
      <c r="E72">
        <v>4508675</v>
      </c>
      <c r="F72" t="s">
        <v>742</v>
      </c>
      <c r="G72" t="s">
        <v>828</v>
      </c>
      <c r="H72" t="s">
        <v>4869</v>
      </c>
      <c r="I72" s="12">
        <v>45435</v>
      </c>
      <c r="J72">
        <v>1</v>
      </c>
      <c r="K72" t="str">
        <f>VLOOKUP(A72,'TV May Monthly Billing Sites'!$A:$L,1,0)</f>
        <v>06600309</v>
      </c>
    </row>
    <row r="73" spans="1:11">
      <c r="A73" t="str">
        <f t="shared" si="1"/>
        <v>06610123</v>
      </c>
      <c r="B73" t="s">
        <v>4870</v>
      </c>
      <c r="C73" t="s">
        <v>4871</v>
      </c>
      <c r="D73" t="s">
        <v>4872</v>
      </c>
      <c r="E73">
        <v>4508714</v>
      </c>
      <c r="F73" t="s">
        <v>742</v>
      </c>
      <c r="G73" t="s">
        <v>743</v>
      </c>
      <c r="H73" t="s">
        <v>1637</v>
      </c>
      <c r="I73" s="12">
        <v>45839</v>
      </c>
      <c r="J73">
        <v>1</v>
      </c>
      <c r="K73" t="str">
        <f>VLOOKUP(A73,'TV May Monthly Billing Sites'!$A:$L,1,0)</f>
        <v>06610123</v>
      </c>
    </row>
    <row r="74" spans="1:11">
      <c r="A74" t="str">
        <f t="shared" si="1"/>
        <v>08300012</v>
      </c>
      <c r="B74" t="s">
        <v>4873</v>
      </c>
      <c r="C74" t="s">
        <v>4874</v>
      </c>
      <c r="D74" t="s">
        <v>4875</v>
      </c>
      <c r="E74">
        <v>4408593</v>
      </c>
      <c r="F74" t="s">
        <v>742</v>
      </c>
      <c r="G74" t="s">
        <v>782</v>
      </c>
      <c r="H74" t="s">
        <v>4734</v>
      </c>
      <c r="I74" s="12">
        <v>45623</v>
      </c>
      <c r="J74">
        <v>1</v>
      </c>
      <c r="K74" t="str">
        <f>VLOOKUP(A74,'TV May Monthly Billing Sites'!$A:$L,1,0)</f>
        <v>08300012</v>
      </c>
    </row>
    <row r="75" spans="1:11">
      <c r="A75" t="str">
        <f t="shared" si="1"/>
        <v>08300012</v>
      </c>
      <c r="B75" t="s">
        <v>4873</v>
      </c>
      <c r="C75" t="s">
        <v>4876</v>
      </c>
      <c r="D75" t="s">
        <v>4875</v>
      </c>
      <c r="E75">
        <v>4508714</v>
      </c>
      <c r="F75" t="s">
        <v>742</v>
      </c>
      <c r="G75" t="s">
        <v>743</v>
      </c>
      <c r="H75" t="s">
        <v>4734</v>
      </c>
      <c r="I75" s="12">
        <v>45833</v>
      </c>
      <c r="J75">
        <v>1</v>
      </c>
      <c r="K75" t="str">
        <f>VLOOKUP(A75,'TV May Monthly Billing Sites'!$A:$L,1,0)</f>
        <v>08300012</v>
      </c>
    </row>
    <row r="76" spans="1:11">
      <c r="A76" t="str">
        <f t="shared" si="1"/>
        <v>08300016</v>
      </c>
      <c r="B76" t="s">
        <v>4877</v>
      </c>
      <c r="C76" t="s">
        <v>4878</v>
      </c>
      <c r="D76" t="s">
        <v>1641</v>
      </c>
      <c r="E76">
        <v>4508682</v>
      </c>
      <c r="F76" t="s">
        <v>742</v>
      </c>
      <c r="G76" t="s">
        <v>4879</v>
      </c>
      <c r="H76" t="s">
        <v>4880</v>
      </c>
      <c r="I76" s="12">
        <v>44679</v>
      </c>
      <c r="J76">
        <v>1</v>
      </c>
      <c r="K76" t="str">
        <f>VLOOKUP(A76,'TV May Monthly Billing Sites'!$A:$L,1,0)</f>
        <v>08300016</v>
      </c>
    </row>
    <row r="77" spans="1:11">
      <c r="A77" t="str">
        <f t="shared" si="1"/>
        <v>08300034</v>
      </c>
      <c r="B77" t="s">
        <v>4881</v>
      </c>
      <c r="C77" t="s">
        <v>4882</v>
      </c>
      <c r="D77" t="s">
        <v>1643</v>
      </c>
      <c r="E77">
        <v>4508714</v>
      </c>
      <c r="F77" t="s">
        <v>742</v>
      </c>
      <c r="G77" t="s">
        <v>743</v>
      </c>
      <c r="H77" t="s">
        <v>4883</v>
      </c>
      <c r="I77" s="12">
        <v>46045</v>
      </c>
      <c r="J77">
        <v>1</v>
      </c>
      <c r="K77" t="str">
        <f>VLOOKUP(A77,'TV May Monthly Billing Sites'!$A:$L,1,0)</f>
        <v>08300034</v>
      </c>
    </row>
    <row r="78" spans="1:11">
      <c r="A78" t="str">
        <f t="shared" si="1"/>
        <v>08300046</v>
      </c>
      <c r="B78" t="s">
        <v>4884</v>
      </c>
      <c r="C78" t="s">
        <v>4885</v>
      </c>
      <c r="D78" t="s">
        <v>4886</v>
      </c>
      <c r="E78">
        <v>4508675</v>
      </c>
      <c r="F78" t="s">
        <v>742</v>
      </c>
      <c r="G78" t="s">
        <v>828</v>
      </c>
      <c r="H78" t="s">
        <v>829</v>
      </c>
      <c r="I78" s="12">
        <v>45687</v>
      </c>
      <c r="J78">
        <v>1</v>
      </c>
      <c r="K78" t="str">
        <f>VLOOKUP(A78,'TV May Monthly Billing Sites'!$A:$L,1,0)</f>
        <v>08300046</v>
      </c>
    </row>
    <row r="79" spans="1:11">
      <c r="A79" t="str">
        <f t="shared" si="1"/>
        <v>08300105</v>
      </c>
      <c r="B79" t="s">
        <v>4887</v>
      </c>
      <c r="C79" t="s">
        <v>4888</v>
      </c>
      <c r="D79" t="s">
        <v>4889</v>
      </c>
      <c r="E79">
        <v>4508714</v>
      </c>
      <c r="F79" t="s">
        <v>742</v>
      </c>
      <c r="G79" t="s">
        <v>743</v>
      </c>
      <c r="H79" t="s">
        <v>4890</v>
      </c>
      <c r="I79" s="12">
        <v>45719</v>
      </c>
      <c r="J79">
        <v>1</v>
      </c>
      <c r="K79" t="str">
        <f>VLOOKUP(A79,'TV May Monthly Billing Sites'!$A:$L,1,0)</f>
        <v>08300105</v>
      </c>
    </row>
    <row r="80" spans="1:11">
      <c r="A80" t="str">
        <f t="shared" si="1"/>
        <v>08300163</v>
      </c>
      <c r="B80" t="s">
        <v>4891</v>
      </c>
      <c r="C80" t="s">
        <v>4892</v>
      </c>
      <c r="D80" t="s">
        <v>4893</v>
      </c>
      <c r="E80">
        <v>4508675</v>
      </c>
      <c r="F80" t="s">
        <v>742</v>
      </c>
      <c r="G80" t="s">
        <v>828</v>
      </c>
      <c r="H80" t="s">
        <v>4894</v>
      </c>
      <c r="I80" s="12">
        <v>45450</v>
      </c>
      <c r="J80">
        <v>1</v>
      </c>
      <c r="K80" t="str">
        <f>VLOOKUP(A80,'TV May Monthly Billing Sites'!$A:$L,1,0)</f>
        <v>08300163</v>
      </c>
    </row>
    <row r="81" spans="1:11">
      <c r="A81" t="str">
        <f t="shared" si="1"/>
        <v>08300287</v>
      </c>
      <c r="B81" t="s">
        <v>4895</v>
      </c>
      <c r="C81" t="s">
        <v>4896</v>
      </c>
      <c r="D81" t="s">
        <v>2080</v>
      </c>
      <c r="E81">
        <v>4508714</v>
      </c>
      <c r="F81" t="s">
        <v>742</v>
      </c>
      <c r="G81" t="s">
        <v>743</v>
      </c>
      <c r="H81" t="s">
        <v>2080</v>
      </c>
      <c r="I81" s="12">
        <v>45628</v>
      </c>
      <c r="J81">
        <v>1</v>
      </c>
      <c r="K81" t="str">
        <f>VLOOKUP(A81,'TV May Monthly Billing Sites'!$A:$L,1,0)</f>
        <v>08300287</v>
      </c>
    </row>
    <row r="82" spans="1:11">
      <c r="A82" t="str">
        <f t="shared" si="1"/>
        <v>08300299</v>
      </c>
      <c r="B82" t="s">
        <v>4897</v>
      </c>
      <c r="C82" t="s">
        <v>4898</v>
      </c>
      <c r="D82" t="s">
        <v>4899</v>
      </c>
      <c r="E82">
        <v>4408593</v>
      </c>
      <c r="F82" t="s">
        <v>742</v>
      </c>
      <c r="G82" t="s">
        <v>782</v>
      </c>
      <c r="H82" t="s">
        <v>910</v>
      </c>
      <c r="I82" s="12">
        <v>45625</v>
      </c>
      <c r="J82">
        <v>1</v>
      </c>
      <c r="K82" t="str">
        <f>VLOOKUP(A82,'TV May Monthly Billing Sites'!$A:$L,1,0)</f>
        <v>08300299</v>
      </c>
    </row>
    <row r="83" spans="1:11">
      <c r="A83" t="str">
        <f t="shared" si="1"/>
        <v>08310011</v>
      </c>
      <c r="B83" t="s">
        <v>4900</v>
      </c>
      <c r="C83" t="s">
        <v>4901</v>
      </c>
      <c r="D83" t="s">
        <v>4902</v>
      </c>
      <c r="E83">
        <v>4508714</v>
      </c>
      <c r="F83" t="s">
        <v>742</v>
      </c>
      <c r="G83" t="s">
        <v>743</v>
      </c>
      <c r="H83" t="s">
        <v>4903</v>
      </c>
      <c r="I83" s="12">
        <v>45961</v>
      </c>
      <c r="J83">
        <v>1</v>
      </c>
      <c r="K83" t="str">
        <f>VLOOKUP(A83,'TV May Monthly Billing Sites'!$A:$L,1,0)</f>
        <v>08310011</v>
      </c>
    </row>
    <row r="84" spans="1:11">
      <c r="A84" t="str">
        <f t="shared" si="1"/>
        <v>08310108</v>
      </c>
      <c r="B84" t="s">
        <v>4904</v>
      </c>
      <c r="C84" t="s">
        <v>4905</v>
      </c>
      <c r="D84" t="s">
        <v>4906</v>
      </c>
      <c r="E84">
        <v>4508714</v>
      </c>
      <c r="F84" t="s">
        <v>742</v>
      </c>
      <c r="G84" t="s">
        <v>743</v>
      </c>
      <c r="H84" t="s">
        <v>4890</v>
      </c>
      <c r="I84" s="12">
        <v>45719</v>
      </c>
      <c r="J84">
        <v>1</v>
      </c>
      <c r="K84" t="str">
        <f>VLOOKUP(A84,'TV May Monthly Billing Sites'!$A:$L,1,0)</f>
        <v>08310108</v>
      </c>
    </row>
    <row r="85" spans="1:11">
      <c r="A85" t="str">
        <f t="shared" si="1"/>
        <v>08310123</v>
      </c>
      <c r="B85" t="s">
        <v>4907</v>
      </c>
      <c r="C85" t="s">
        <v>4908</v>
      </c>
      <c r="D85" t="s">
        <v>4909</v>
      </c>
      <c r="E85">
        <v>4508714</v>
      </c>
      <c r="F85" t="s">
        <v>742</v>
      </c>
      <c r="G85" t="s">
        <v>743</v>
      </c>
      <c r="H85" t="s">
        <v>4910</v>
      </c>
      <c r="I85" s="12">
        <v>45957</v>
      </c>
      <c r="J85">
        <v>1</v>
      </c>
      <c r="K85" t="str">
        <f>VLOOKUP(A85,'TV May Monthly Billing Sites'!$A:$L,1,0)</f>
        <v>08310123</v>
      </c>
    </row>
    <row r="86" spans="1:11">
      <c r="A86" t="str">
        <f t="shared" si="1"/>
        <v>08320047</v>
      </c>
      <c r="B86" t="s">
        <v>4911</v>
      </c>
      <c r="C86" t="s">
        <v>4912</v>
      </c>
      <c r="D86" t="s">
        <v>1663</v>
      </c>
      <c r="E86">
        <v>4508714</v>
      </c>
      <c r="F86" t="s">
        <v>742</v>
      </c>
      <c r="G86" t="s">
        <v>743</v>
      </c>
      <c r="H86" t="s">
        <v>1663</v>
      </c>
      <c r="I86" s="12">
        <v>45931</v>
      </c>
      <c r="J86">
        <v>1</v>
      </c>
      <c r="K86" t="str">
        <f>VLOOKUP(A86,'TV May Monthly Billing Sites'!$A:$L,1,0)</f>
        <v>08320047</v>
      </c>
    </row>
    <row r="87" spans="1:11">
      <c r="A87" t="str">
        <f t="shared" si="1"/>
        <v>08320062</v>
      </c>
      <c r="B87" t="s">
        <v>4913</v>
      </c>
      <c r="C87" t="s">
        <v>4914</v>
      </c>
      <c r="D87" t="s">
        <v>4915</v>
      </c>
      <c r="E87">
        <v>4408593</v>
      </c>
      <c r="F87" t="s">
        <v>742</v>
      </c>
      <c r="G87" t="s">
        <v>782</v>
      </c>
      <c r="H87" t="s">
        <v>4916</v>
      </c>
      <c r="I87" s="12">
        <v>45624</v>
      </c>
      <c r="J87">
        <v>1</v>
      </c>
      <c r="K87" t="str">
        <f>VLOOKUP(A87,'TV May Monthly Billing Sites'!$A:$L,1,0)</f>
        <v>08320062</v>
      </c>
    </row>
    <row r="88" spans="1:11">
      <c r="A88" t="str">
        <f t="shared" si="1"/>
        <v>08320151</v>
      </c>
      <c r="B88" t="s">
        <v>4917</v>
      </c>
      <c r="C88" t="s">
        <v>4918</v>
      </c>
      <c r="D88" t="s">
        <v>4919</v>
      </c>
      <c r="E88">
        <v>4508714</v>
      </c>
      <c r="F88" t="s">
        <v>742</v>
      </c>
      <c r="G88" t="s">
        <v>743</v>
      </c>
      <c r="H88" t="s">
        <v>4714</v>
      </c>
      <c r="I88" s="12">
        <v>45622</v>
      </c>
      <c r="J88">
        <v>1</v>
      </c>
      <c r="K88" t="str">
        <f>VLOOKUP(A88,'TV May Monthly Billing Sites'!$A:$L,1,0)</f>
        <v>08320151</v>
      </c>
    </row>
    <row r="89" spans="1:11">
      <c r="A89" t="str">
        <f t="shared" si="1"/>
        <v>09014501</v>
      </c>
      <c r="B89" t="s">
        <v>4920</v>
      </c>
      <c r="C89" t="s">
        <v>4921</v>
      </c>
      <c r="D89" t="s">
        <v>4922</v>
      </c>
      <c r="E89">
        <v>4508714</v>
      </c>
      <c r="F89" t="s">
        <v>742</v>
      </c>
      <c r="G89" t="s">
        <v>743</v>
      </c>
      <c r="H89" t="s">
        <v>4923</v>
      </c>
      <c r="I89" s="12">
        <v>45901</v>
      </c>
      <c r="J89">
        <v>1</v>
      </c>
      <c r="K89" t="str">
        <f>VLOOKUP(A89,'TV May Monthly Billing Sites'!$A:$L,1,0)</f>
        <v>09014501</v>
      </c>
    </row>
    <row r="90" spans="1:11">
      <c r="A90" t="str">
        <f t="shared" si="1"/>
        <v>09082601</v>
      </c>
      <c r="B90" t="s">
        <v>4924</v>
      </c>
      <c r="C90" t="s">
        <v>4925</v>
      </c>
      <c r="D90" t="s">
        <v>1671</v>
      </c>
      <c r="E90">
        <v>4508714</v>
      </c>
      <c r="F90" t="s">
        <v>742</v>
      </c>
      <c r="G90" t="s">
        <v>743</v>
      </c>
      <c r="H90" t="s">
        <v>4926</v>
      </c>
      <c r="I90" s="12">
        <v>45965</v>
      </c>
      <c r="J90">
        <v>1</v>
      </c>
      <c r="K90" t="str">
        <f>VLOOKUP(A90,'TV May Monthly Billing Sites'!$A:$L,1,0)</f>
        <v>09082601</v>
      </c>
    </row>
    <row r="91" spans="1:11">
      <c r="A91" t="str">
        <f t="shared" si="1"/>
        <v>09086501</v>
      </c>
      <c r="B91" t="s">
        <v>4927</v>
      </c>
      <c r="C91" t="s">
        <v>4928</v>
      </c>
      <c r="D91" t="s">
        <v>4929</v>
      </c>
      <c r="E91">
        <v>4408592</v>
      </c>
      <c r="F91" t="s">
        <v>742</v>
      </c>
      <c r="G91" t="s">
        <v>823</v>
      </c>
      <c r="H91" t="s">
        <v>4930</v>
      </c>
      <c r="I91" s="12">
        <v>45863</v>
      </c>
      <c r="J91">
        <v>1</v>
      </c>
      <c r="K91" t="str">
        <f>VLOOKUP(A91,'TV May Monthly Billing Sites'!$A:$L,1,0)</f>
        <v>09086501</v>
      </c>
    </row>
    <row r="92" spans="1:11">
      <c r="A92" t="str">
        <f t="shared" si="1"/>
        <v>09187704</v>
      </c>
      <c r="B92" t="s">
        <v>4931</v>
      </c>
      <c r="C92" t="s">
        <v>4932</v>
      </c>
      <c r="D92" t="s">
        <v>4933</v>
      </c>
      <c r="E92">
        <v>4408592</v>
      </c>
      <c r="F92" t="s">
        <v>742</v>
      </c>
      <c r="G92" t="s">
        <v>823</v>
      </c>
      <c r="H92" t="s">
        <v>4934</v>
      </c>
      <c r="I92" s="12">
        <v>45418</v>
      </c>
      <c r="J92">
        <v>1</v>
      </c>
      <c r="K92" t="str">
        <f>VLOOKUP(A92,'TV May Monthly Billing Sites'!$A:$L,1,0)</f>
        <v>09187704</v>
      </c>
    </row>
    <row r="93" spans="1:11">
      <c r="A93" t="str">
        <f t="shared" si="1"/>
        <v>09700114</v>
      </c>
      <c r="B93" t="s">
        <v>4935</v>
      </c>
      <c r="C93" t="s">
        <v>4936</v>
      </c>
      <c r="D93" t="s">
        <v>4937</v>
      </c>
      <c r="E93">
        <v>4508714</v>
      </c>
      <c r="F93" t="s">
        <v>742</v>
      </c>
      <c r="G93" t="s">
        <v>743</v>
      </c>
      <c r="H93" t="s">
        <v>4938</v>
      </c>
      <c r="I93" s="12">
        <v>45604</v>
      </c>
      <c r="J93">
        <v>1</v>
      </c>
      <c r="K93" t="str">
        <f>VLOOKUP(A93,'TV May Monthly Billing Sites'!$A:$L,1,0)</f>
        <v>09700114</v>
      </c>
    </row>
    <row r="94" spans="1:11">
      <c r="A94" t="str">
        <f t="shared" si="1"/>
        <v>09700250</v>
      </c>
      <c r="B94" t="s">
        <v>4939</v>
      </c>
      <c r="C94" t="s">
        <v>4940</v>
      </c>
      <c r="D94" t="s">
        <v>4941</v>
      </c>
      <c r="E94">
        <v>4408593</v>
      </c>
      <c r="F94" t="s">
        <v>742</v>
      </c>
      <c r="G94" t="s">
        <v>782</v>
      </c>
      <c r="H94" t="s">
        <v>4942</v>
      </c>
      <c r="I94" s="12">
        <v>46133</v>
      </c>
      <c r="J94">
        <v>1</v>
      </c>
      <c r="K94" t="str">
        <f>VLOOKUP(A94,'TV May Monthly Billing Sites'!$A:$L,1,0)</f>
        <v>09700250</v>
      </c>
    </row>
    <row r="95" spans="1:11">
      <c r="A95" t="str">
        <f t="shared" si="1"/>
        <v>09800181</v>
      </c>
      <c r="B95" t="s">
        <v>4943</v>
      </c>
      <c r="C95" t="s">
        <v>4944</v>
      </c>
      <c r="D95" t="s">
        <v>1681</v>
      </c>
      <c r="E95">
        <v>4508684</v>
      </c>
      <c r="F95" t="s">
        <v>742</v>
      </c>
      <c r="G95" t="s">
        <v>4760</v>
      </c>
      <c r="H95" t="s">
        <v>4945</v>
      </c>
      <c r="I95" s="12">
        <v>45891</v>
      </c>
      <c r="J95">
        <v>1</v>
      </c>
      <c r="K95" t="str">
        <f>VLOOKUP(A95,'TV May Monthly Billing Sites'!$A:$L,1,0)</f>
        <v>09800181</v>
      </c>
    </row>
    <row r="96" spans="1:11">
      <c r="A96" t="str">
        <f t="shared" si="1"/>
        <v>10027564</v>
      </c>
      <c r="B96">
        <v>10027564</v>
      </c>
      <c r="C96" t="s">
        <v>4946</v>
      </c>
      <c r="D96" t="s">
        <v>4947</v>
      </c>
      <c r="E96">
        <v>4408593</v>
      </c>
      <c r="F96" t="s">
        <v>742</v>
      </c>
      <c r="G96" t="s">
        <v>782</v>
      </c>
      <c r="H96" t="s">
        <v>4948</v>
      </c>
      <c r="I96" s="12">
        <v>46042</v>
      </c>
      <c r="J96">
        <v>1</v>
      </c>
      <c r="K96" t="str">
        <f>VLOOKUP(A96,'TV May Monthly Billing Sites'!$A:$L,1,0)</f>
        <v>10027564</v>
      </c>
    </row>
    <row r="97" spans="1:12">
      <c r="A97" t="str">
        <f t="shared" si="1"/>
        <v>13059104</v>
      </c>
      <c r="B97">
        <v>13059104</v>
      </c>
      <c r="C97" t="s">
        <v>4949</v>
      </c>
      <c r="D97" t="s">
        <v>4950</v>
      </c>
      <c r="E97">
        <v>4508714</v>
      </c>
      <c r="F97" t="s">
        <v>742</v>
      </c>
      <c r="G97" t="s">
        <v>743</v>
      </c>
      <c r="H97" t="s">
        <v>4950</v>
      </c>
      <c r="I97" s="12">
        <v>46024</v>
      </c>
      <c r="J97">
        <v>1</v>
      </c>
      <c r="K97" t="str">
        <f>VLOOKUP(A97,'TV May Monthly Billing Sites'!$A:$L,1,0)</f>
        <v>13059104</v>
      </c>
    </row>
    <row r="98" spans="1:12">
      <c r="A98" t="str">
        <f t="shared" si="1"/>
        <v>13104901</v>
      </c>
      <c r="B98">
        <v>13104901</v>
      </c>
      <c r="C98" t="s">
        <v>4951</v>
      </c>
      <c r="D98" t="s">
        <v>1687</v>
      </c>
      <c r="E98">
        <v>4508714</v>
      </c>
      <c r="F98" t="s">
        <v>742</v>
      </c>
      <c r="G98" t="s">
        <v>743</v>
      </c>
      <c r="H98" t="s">
        <v>1687</v>
      </c>
      <c r="I98" s="12">
        <v>45755</v>
      </c>
      <c r="J98">
        <v>1</v>
      </c>
      <c r="K98" t="str">
        <f>VLOOKUP(A98,'TV May Monthly Billing Sites'!$A:$L,1,0)</f>
        <v>13104901</v>
      </c>
    </row>
    <row r="99" spans="1:12">
      <c r="A99" t="str">
        <f t="shared" si="1"/>
        <v>13115401</v>
      </c>
      <c r="B99">
        <v>13115401</v>
      </c>
      <c r="C99" t="s">
        <v>4952</v>
      </c>
      <c r="D99" t="s">
        <v>4953</v>
      </c>
      <c r="E99">
        <v>4508714</v>
      </c>
      <c r="F99" t="s">
        <v>742</v>
      </c>
      <c r="G99" t="s">
        <v>743</v>
      </c>
      <c r="H99" t="s">
        <v>751</v>
      </c>
      <c r="I99" s="12">
        <v>45747</v>
      </c>
      <c r="J99">
        <v>1</v>
      </c>
      <c r="K99" t="str">
        <f>VLOOKUP(A99,'TV May Monthly Billing Sites'!$A:$L,1,0)</f>
        <v>13115401</v>
      </c>
    </row>
    <row r="100" spans="1:12">
      <c r="A100" t="str">
        <f t="shared" si="1"/>
        <v>13115402</v>
      </c>
      <c r="B100">
        <v>13115402</v>
      </c>
      <c r="C100" t="s">
        <v>749</v>
      </c>
      <c r="D100" t="s">
        <v>750</v>
      </c>
      <c r="E100">
        <v>4508714</v>
      </c>
      <c r="F100" t="s">
        <v>742</v>
      </c>
      <c r="G100" t="s">
        <v>743</v>
      </c>
      <c r="H100" t="s">
        <v>751</v>
      </c>
      <c r="I100" s="12">
        <v>45747</v>
      </c>
      <c r="J100">
        <v>1</v>
      </c>
      <c r="K100" t="e">
        <f>VLOOKUP(A100,'TV May Monthly Billing Sites'!$A:$L,1,0)</f>
        <v>#N/A</v>
      </c>
      <c r="L100" t="e">
        <f>VLOOKUP(D100,'TV May Monthly Billing Sites'!$B:$L,1,0)</f>
        <v>#N/A</v>
      </c>
    </row>
    <row r="101" spans="1:12">
      <c r="A101" t="str">
        <f t="shared" si="1"/>
        <v>13115403</v>
      </c>
      <c r="B101">
        <v>13115403</v>
      </c>
      <c r="C101" t="s">
        <v>753</v>
      </c>
      <c r="D101" t="s">
        <v>754</v>
      </c>
      <c r="E101">
        <v>4508714</v>
      </c>
      <c r="F101" t="s">
        <v>742</v>
      </c>
      <c r="G101" t="s">
        <v>743</v>
      </c>
      <c r="H101" t="s">
        <v>751</v>
      </c>
      <c r="I101" s="12">
        <v>45747</v>
      </c>
      <c r="J101">
        <v>1</v>
      </c>
      <c r="K101" t="e">
        <f>VLOOKUP(A101,'TV May Monthly Billing Sites'!$A:$L,1,0)</f>
        <v>#N/A</v>
      </c>
      <c r="L101" t="e">
        <f>VLOOKUP(D101,'TV May Monthly Billing Sites'!$B:$L,1,0)</f>
        <v>#N/A</v>
      </c>
    </row>
    <row r="102" spans="1:12">
      <c r="A102" t="str">
        <f t="shared" si="1"/>
        <v>13221101</v>
      </c>
      <c r="B102">
        <v>13221101</v>
      </c>
      <c r="C102" t="s">
        <v>4954</v>
      </c>
      <c r="D102" t="s">
        <v>4955</v>
      </c>
      <c r="E102">
        <v>4508714</v>
      </c>
      <c r="F102" t="s">
        <v>742</v>
      </c>
      <c r="G102" t="s">
        <v>743</v>
      </c>
      <c r="H102" t="s">
        <v>1691</v>
      </c>
      <c r="I102" s="12">
        <v>46024</v>
      </c>
      <c r="J102">
        <v>1</v>
      </c>
      <c r="K102" t="str">
        <f>VLOOKUP(A102,'TV May Monthly Billing Sites'!$A:$L,1,0)</f>
        <v>13221101</v>
      </c>
    </row>
    <row r="103" spans="1:12">
      <c r="A103" t="str">
        <f t="shared" si="1"/>
        <v>13323802</v>
      </c>
      <c r="B103">
        <v>13323802</v>
      </c>
      <c r="C103" t="s">
        <v>4956</v>
      </c>
      <c r="D103" t="s">
        <v>1693</v>
      </c>
      <c r="E103">
        <v>4408592</v>
      </c>
      <c r="F103" t="s">
        <v>742</v>
      </c>
      <c r="G103" t="s">
        <v>823</v>
      </c>
      <c r="H103" t="s">
        <v>4957</v>
      </c>
      <c r="I103" s="12">
        <v>45072</v>
      </c>
      <c r="J103">
        <v>1</v>
      </c>
      <c r="K103" t="str">
        <f>VLOOKUP(A103,'TV May Monthly Billing Sites'!$A:$L,1,0)</f>
        <v>13323802</v>
      </c>
    </row>
    <row r="104" spans="1:12">
      <c r="A104" t="str">
        <f t="shared" si="1"/>
        <v>13326501</v>
      </c>
      <c r="B104">
        <v>13326501</v>
      </c>
      <c r="C104" t="s">
        <v>4958</v>
      </c>
      <c r="D104" t="s">
        <v>4959</v>
      </c>
      <c r="E104">
        <v>4508714</v>
      </c>
      <c r="F104" t="s">
        <v>742</v>
      </c>
      <c r="G104" t="s">
        <v>743</v>
      </c>
      <c r="H104" t="s">
        <v>4960</v>
      </c>
      <c r="I104" s="12">
        <v>45939</v>
      </c>
      <c r="J104">
        <v>1</v>
      </c>
      <c r="K104" t="str">
        <f>VLOOKUP(A104,'TV May Monthly Billing Sites'!$A:$L,1,0)</f>
        <v>13326501</v>
      </c>
    </row>
    <row r="105" spans="1:12">
      <c r="A105" t="str">
        <f t="shared" si="1"/>
        <v>13337904</v>
      </c>
      <c r="B105">
        <v>13337904</v>
      </c>
      <c r="C105" t="s">
        <v>4961</v>
      </c>
      <c r="D105" t="s">
        <v>4962</v>
      </c>
      <c r="E105">
        <v>4508714</v>
      </c>
      <c r="F105" t="s">
        <v>742</v>
      </c>
      <c r="G105" t="s">
        <v>743</v>
      </c>
      <c r="H105" t="s">
        <v>1697</v>
      </c>
      <c r="I105" s="12">
        <v>45925</v>
      </c>
      <c r="J105">
        <v>1</v>
      </c>
      <c r="K105" t="str">
        <f>VLOOKUP(A105,'TV May Monthly Billing Sites'!$A:$L,1,0)</f>
        <v>13337904</v>
      </c>
    </row>
    <row r="106" spans="1:12">
      <c r="A106" t="str">
        <f t="shared" si="1"/>
        <v>13344301</v>
      </c>
      <c r="B106">
        <v>13344301</v>
      </c>
      <c r="C106" t="s">
        <v>4963</v>
      </c>
      <c r="D106" t="s">
        <v>4964</v>
      </c>
      <c r="E106">
        <v>4408593</v>
      </c>
      <c r="F106" t="s">
        <v>742</v>
      </c>
      <c r="G106" t="s">
        <v>782</v>
      </c>
      <c r="H106" t="s">
        <v>1699</v>
      </c>
      <c r="I106" s="12">
        <v>45812</v>
      </c>
      <c r="J106">
        <v>1</v>
      </c>
      <c r="K106" t="str">
        <f>VLOOKUP(A106,'TV May Monthly Billing Sites'!$A:$L,1,0)</f>
        <v>13344301</v>
      </c>
    </row>
    <row r="107" spans="1:12">
      <c r="A107" t="str">
        <f t="shared" si="1"/>
        <v>13345704</v>
      </c>
      <c r="B107">
        <v>13345704</v>
      </c>
      <c r="C107" t="s">
        <v>4965</v>
      </c>
      <c r="D107" t="s">
        <v>1701</v>
      </c>
      <c r="E107">
        <v>4508714</v>
      </c>
      <c r="F107" t="s">
        <v>742</v>
      </c>
      <c r="G107" t="s">
        <v>743</v>
      </c>
      <c r="H107" t="s">
        <v>1164</v>
      </c>
      <c r="I107" s="12">
        <v>45636</v>
      </c>
      <c r="J107">
        <v>1</v>
      </c>
      <c r="K107" t="str">
        <f>VLOOKUP(A107,'TV May Monthly Billing Sites'!$A:$L,1,0)</f>
        <v>13345704</v>
      </c>
    </row>
    <row r="108" spans="1:12">
      <c r="A108" t="str">
        <f t="shared" si="1"/>
        <v>13345705</v>
      </c>
      <c r="B108">
        <v>13345705</v>
      </c>
      <c r="C108" t="s">
        <v>4966</v>
      </c>
      <c r="D108" t="s">
        <v>4967</v>
      </c>
      <c r="E108">
        <v>4508714</v>
      </c>
      <c r="F108" t="s">
        <v>742</v>
      </c>
      <c r="G108" t="s">
        <v>743</v>
      </c>
      <c r="H108" t="s">
        <v>1164</v>
      </c>
      <c r="I108" s="12">
        <v>45636</v>
      </c>
      <c r="J108">
        <v>1</v>
      </c>
      <c r="K108" t="str">
        <f>VLOOKUP(A108,'TV May Monthly Billing Sites'!$A:$L,1,0)</f>
        <v>13345705</v>
      </c>
    </row>
    <row r="109" spans="1:12">
      <c r="A109" t="str">
        <f t="shared" si="1"/>
        <v>13345710</v>
      </c>
      <c r="B109">
        <v>13345710</v>
      </c>
      <c r="C109" t="s">
        <v>4968</v>
      </c>
      <c r="D109" t="s">
        <v>4969</v>
      </c>
      <c r="E109">
        <v>4408593</v>
      </c>
      <c r="F109" t="s">
        <v>742</v>
      </c>
      <c r="G109" t="s">
        <v>782</v>
      </c>
      <c r="H109" t="s">
        <v>1164</v>
      </c>
      <c r="I109" s="12">
        <v>45636</v>
      </c>
      <c r="J109">
        <v>1</v>
      </c>
      <c r="K109" t="str">
        <f>VLOOKUP(A109,'TV May Monthly Billing Sites'!$A:$L,1,0)</f>
        <v>13345710</v>
      </c>
    </row>
    <row r="110" spans="1:12">
      <c r="A110" t="str">
        <f t="shared" si="1"/>
        <v>13376401</v>
      </c>
      <c r="B110">
        <v>13376401</v>
      </c>
      <c r="C110" t="s">
        <v>4970</v>
      </c>
      <c r="D110" t="s">
        <v>4971</v>
      </c>
      <c r="E110">
        <v>4508714</v>
      </c>
      <c r="F110" t="s">
        <v>742</v>
      </c>
      <c r="G110" t="s">
        <v>743</v>
      </c>
      <c r="H110" t="s">
        <v>4972</v>
      </c>
      <c r="I110" s="12">
        <v>45637</v>
      </c>
      <c r="J110">
        <v>1</v>
      </c>
      <c r="K110" t="str">
        <f>VLOOKUP(A110,'TV May Monthly Billing Sites'!$A:$L,1,0)</f>
        <v>13376401</v>
      </c>
    </row>
    <row r="111" spans="1:12">
      <c r="A111" t="str">
        <f t="shared" si="1"/>
        <v>13387401</v>
      </c>
      <c r="B111">
        <v>13387401</v>
      </c>
      <c r="C111" t="s">
        <v>4973</v>
      </c>
      <c r="D111" t="s">
        <v>1709</v>
      </c>
      <c r="E111">
        <v>4408592</v>
      </c>
      <c r="F111" t="s">
        <v>742</v>
      </c>
      <c r="G111" t="s">
        <v>823</v>
      </c>
      <c r="H111" t="s">
        <v>4974</v>
      </c>
      <c r="I111" s="12">
        <v>45146</v>
      </c>
      <c r="J111">
        <v>1</v>
      </c>
      <c r="K111" t="str">
        <f>VLOOKUP(A111,'TV May Monthly Billing Sites'!$A:$L,1,0)</f>
        <v>13387401</v>
      </c>
    </row>
    <row r="112" spans="1:12">
      <c r="A112" t="str">
        <f t="shared" si="1"/>
        <v>13387403</v>
      </c>
      <c r="B112">
        <v>13387403</v>
      </c>
      <c r="C112" t="s">
        <v>4975</v>
      </c>
      <c r="D112" t="s">
        <v>1711</v>
      </c>
      <c r="E112">
        <v>4508714</v>
      </c>
      <c r="F112" t="s">
        <v>742</v>
      </c>
      <c r="G112" t="s">
        <v>743</v>
      </c>
      <c r="H112" t="s">
        <v>4974</v>
      </c>
      <c r="I112" s="12">
        <v>45638</v>
      </c>
      <c r="J112">
        <v>1</v>
      </c>
      <c r="K112" t="str">
        <f>VLOOKUP(A112,'TV May Monthly Billing Sites'!$A:$L,1,0)</f>
        <v>13387403</v>
      </c>
    </row>
    <row r="113" spans="1:11">
      <c r="A113" t="str">
        <f t="shared" si="1"/>
        <v>13387405</v>
      </c>
      <c r="B113">
        <v>13387405</v>
      </c>
      <c r="C113" t="s">
        <v>4976</v>
      </c>
      <c r="D113" t="s">
        <v>4977</v>
      </c>
      <c r="E113">
        <v>4508714</v>
      </c>
      <c r="F113" t="s">
        <v>742</v>
      </c>
      <c r="G113" t="s">
        <v>743</v>
      </c>
      <c r="H113" t="s">
        <v>4974</v>
      </c>
      <c r="I113" s="12">
        <v>45636</v>
      </c>
      <c r="J113">
        <v>1</v>
      </c>
      <c r="K113" t="str">
        <f>VLOOKUP(A113,'TV May Monthly Billing Sites'!$A:$L,1,0)</f>
        <v>13387405</v>
      </c>
    </row>
    <row r="114" spans="1:11">
      <c r="A114" t="str">
        <f t="shared" si="1"/>
        <v>13387406</v>
      </c>
      <c r="B114">
        <v>13387406</v>
      </c>
      <c r="C114" t="s">
        <v>4978</v>
      </c>
      <c r="D114" t="s">
        <v>4979</v>
      </c>
      <c r="E114">
        <v>4508714</v>
      </c>
      <c r="F114" t="s">
        <v>742</v>
      </c>
      <c r="G114" t="s">
        <v>743</v>
      </c>
      <c r="H114" t="s">
        <v>4974</v>
      </c>
      <c r="I114" s="12">
        <v>45636</v>
      </c>
      <c r="J114">
        <v>1</v>
      </c>
      <c r="K114" t="str">
        <f>VLOOKUP(A114,'TV May Monthly Billing Sites'!$A:$L,1,0)</f>
        <v>13387406</v>
      </c>
    </row>
    <row r="115" spans="1:11">
      <c r="A115" t="str">
        <f t="shared" si="1"/>
        <v>13436001</v>
      </c>
      <c r="B115">
        <v>13436001</v>
      </c>
      <c r="C115" t="s">
        <v>4980</v>
      </c>
      <c r="D115" t="s">
        <v>4981</v>
      </c>
      <c r="E115">
        <v>4508675</v>
      </c>
      <c r="F115" t="s">
        <v>742</v>
      </c>
      <c r="G115" t="s">
        <v>828</v>
      </c>
      <c r="H115" t="s">
        <v>4982</v>
      </c>
      <c r="I115" s="12">
        <v>44929</v>
      </c>
      <c r="J115">
        <v>1</v>
      </c>
      <c r="K115" t="str">
        <f>VLOOKUP(A115,'TV May Monthly Billing Sites'!$A:$L,1,0)</f>
        <v>13436001</v>
      </c>
    </row>
    <row r="116" spans="1:11">
      <c r="A116" t="str">
        <f t="shared" si="1"/>
        <v>13494351</v>
      </c>
      <c r="B116">
        <v>13494351</v>
      </c>
      <c r="C116" t="s">
        <v>4983</v>
      </c>
      <c r="D116" t="s">
        <v>1719</v>
      </c>
      <c r="E116">
        <v>4508714</v>
      </c>
      <c r="F116" t="s">
        <v>742</v>
      </c>
      <c r="G116" t="s">
        <v>743</v>
      </c>
      <c r="H116" t="s">
        <v>4974</v>
      </c>
      <c r="I116" s="12">
        <v>45636</v>
      </c>
      <c r="J116">
        <v>1</v>
      </c>
      <c r="K116" t="str">
        <f>VLOOKUP(A116,'TV May Monthly Billing Sites'!$A:$L,1,0)</f>
        <v>13494351</v>
      </c>
    </row>
    <row r="117" spans="1:11">
      <c r="A117" t="str">
        <f t="shared" si="1"/>
        <v>13494436</v>
      </c>
      <c r="B117">
        <v>13494436</v>
      </c>
      <c r="C117" t="s">
        <v>4984</v>
      </c>
      <c r="D117" t="s">
        <v>1721</v>
      </c>
      <c r="E117">
        <v>4408593</v>
      </c>
      <c r="F117" t="s">
        <v>742</v>
      </c>
      <c r="G117" t="s">
        <v>782</v>
      </c>
      <c r="H117" t="s">
        <v>751</v>
      </c>
      <c r="I117" s="12">
        <v>45747</v>
      </c>
      <c r="J117">
        <v>1</v>
      </c>
      <c r="K117" t="str">
        <f>VLOOKUP(A117,'TV May Monthly Billing Sites'!$A:$L,1,0)</f>
        <v>13494436</v>
      </c>
    </row>
    <row r="118" spans="1:11">
      <c r="A118" t="str">
        <f t="shared" si="1"/>
        <v>13494512</v>
      </c>
      <c r="B118">
        <v>13494512</v>
      </c>
      <c r="C118" t="s">
        <v>4985</v>
      </c>
      <c r="D118" t="s">
        <v>1723</v>
      </c>
      <c r="E118">
        <v>4508714</v>
      </c>
      <c r="F118" t="s">
        <v>742</v>
      </c>
      <c r="G118" t="s">
        <v>743</v>
      </c>
      <c r="H118" t="s">
        <v>4986</v>
      </c>
      <c r="I118" s="12">
        <v>45992</v>
      </c>
      <c r="J118">
        <v>1</v>
      </c>
      <c r="K118" t="str">
        <f>VLOOKUP(A118,'TV May Monthly Billing Sites'!$A:$L,1,0)</f>
        <v>13494512</v>
      </c>
    </row>
    <row r="119" spans="1:11">
      <c r="A119" t="str">
        <f t="shared" si="1"/>
        <v>13494907</v>
      </c>
      <c r="B119">
        <v>13494907</v>
      </c>
      <c r="C119" t="s">
        <v>4987</v>
      </c>
      <c r="D119" t="s">
        <v>1725</v>
      </c>
      <c r="E119">
        <v>4508714</v>
      </c>
      <c r="F119" t="s">
        <v>742</v>
      </c>
      <c r="G119" t="s">
        <v>743</v>
      </c>
      <c r="H119" t="s">
        <v>1725</v>
      </c>
      <c r="I119" s="12">
        <v>45890</v>
      </c>
      <c r="J119">
        <v>1</v>
      </c>
      <c r="K119" t="str">
        <f>VLOOKUP(A119,'TV May Monthly Billing Sites'!$A:$L,1,0)</f>
        <v>13494907</v>
      </c>
    </row>
    <row r="120" spans="1:11">
      <c r="A120" t="str">
        <f t="shared" si="1"/>
        <v>13495129</v>
      </c>
      <c r="B120">
        <v>13495129</v>
      </c>
      <c r="C120" t="s">
        <v>4988</v>
      </c>
      <c r="D120" t="s">
        <v>4989</v>
      </c>
      <c r="E120">
        <v>4508714</v>
      </c>
      <c r="F120" t="s">
        <v>742</v>
      </c>
      <c r="G120" t="s">
        <v>743</v>
      </c>
      <c r="H120" t="s">
        <v>4990</v>
      </c>
      <c r="I120" s="12">
        <v>45721</v>
      </c>
      <c r="J120">
        <v>1</v>
      </c>
      <c r="K120" t="str">
        <f>VLOOKUP(A120,'TV May Monthly Billing Sites'!$A:$L,1,0)</f>
        <v>13495129</v>
      </c>
    </row>
    <row r="121" spans="1:11">
      <c r="A121" t="str">
        <f t="shared" si="1"/>
        <v>13495264</v>
      </c>
      <c r="B121">
        <v>13495264</v>
      </c>
      <c r="C121" t="s">
        <v>4991</v>
      </c>
      <c r="D121" t="s">
        <v>1729</v>
      </c>
      <c r="E121">
        <v>4508714</v>
      </c>
      <c r="F121" t="s">
        <v>742</v>
      </c>
      <c r="G121" t="s">
        <v>743</v>
      </c>
      <c r="H121" t="s">
        <v>1729</v>
      </c>
      <c r="I121" s="12">
        <v>45888</v>
      </c>
      <c r="J121">
        <v>1</v>
      </c>
      <c r="K121" t="str">
        <f>VLOOKUP(A121,'TV May Monthly Billing Sites'!$A:$L,1,0)</f>
        <v>13495264</v>
      </c>
    </row>
    <row r="122" spans="1:11">
      <c r="A122" t="str">
        <f t="shared" si="1"/>
        <v>13495381</v>
      </c>
      <c r="B122">
        <v>13495381</v>
      </c>
      <c r="C122" t="s">
        <v>4992</v>
      </c>
      <c r="D122" t="s">
        <v>1731</v>
      </c>
      <c r="E122">
        <v>4508675</v>
      </c>
      <c r="F122" t="s">
        <v>742</v>
      </c>
      <c r="G122" t="s">
        <v>828</v>
      </c>
      <c r="H122" t="s">
        <v>4974</v>
      </c>
      <c r="I122" s="12">
        <v>45146</v>
      </c>
      <c r="J122">
        <v>1</v>
      </c>
      <c r="K122" t="str">
        <f>VLOOKUP(A122,'TV May Monthly Billing Sites'!$A:$L,1,0)</f>
        <v>13495381</v>
      </c>
    </row>
    <row r="123" spans="1:11">
      <c r="A123" t="str">
        <f t="shared" si="1"/>
        <v>13495513</v>
      </c>
      <c r="B123">
        <v>13495513</v>
      </c>
      <c r="C123" t="s">
        <v>4993</v>
      </c>
      <c r="D123" t="s">
        <v>4994</v>
      </c>
      <c r="E123">
        <v>4408593</v>
      </c>
      <c r="F123" t="s">
        <v>742</v>
      </c>
      <c r="G123" t="s">
        <v>782</v>
      </c>
      <c r="H123" t="s">
        <v>4995</v>
      </c>
      <c r="I123" s="12">
        <v>45687</v>
      </c>
      <c r="J123">
        <v>1</v>
      </c>
      <c r="K123" t="str">
        <f>VLOOKUP(A123,'TV May Monthly Billing Sites'!$A:$L,1,0)</f>
        <v>13495513</v>
      </c>
    </row>
    <row r="124" spans="1:11">
      <c r="A124" t="str">
        <f t="shared" si="1"/>
        <v>13495534</v>
      </c>
      <c r="B124">
        <v>13495534</v>
      </c>
      <c r="C124" t="s">
        <v>4996</v>
      </c>
      <c r="D124" t="s">
        <v>4997</v>
      </c>
      <c r="E124">
        <v>4508714</v>
      </c>
      <c r="F124" t="s">
        <v>742</v>
      </c>
      <c r="G124" t="s">
        <v>743</v>
      </c>
      <c r="H124" t="s">
        <v>1049</v>
      </c>
      <c r="I124" s="12">
        <v>45653</v>
      </c>
      <c r="J124">
        <v>1</v>
      </c>
      <c r="K124" t="str">
        <f>VLOOKUP(A124,'TV May Monthly Billing Sites'!$A:$L,1,0)</f>
        <v>13495534</v>
      </c>
    </row>
    <row r="125" spans="1:11">
      <c r="A125" t="str">
        <f t="shared" si="1"/>
        <v>13495554</v>
      </c>
      <c r="B125">
        <v>13495554</v>
      </c>
      <c r="C125" t="s">
        <v>4998</v>
      </c>
      <c r="D125" t="s">
        <v>1739</v>
      </c>
      <c r="E125">
        <v>4408593</v>
      </c>
      <c r="F125" t="s">
        <v>742</v>
      </c>
      <c r="G125" t="s">
        <v>782</v>
      </c>
      <c r="H125" t="s">
        <v>1739</v>
      </c>
      <c r="I125" s="12">
        <v>45728</v>
      </c>
      <c r="J125">
        <v>1</v>
      </c>
      <c r="K125" t="str">
        <f>VLOOKUP(A125,'TV May Monthly Billing Sites'!$A:$L,1,0)</f>
        <v>13495554</v>
      </c>
    </row>
    <row r="126" spans="1:11">
      <c r="A126" t="str">
        <f t="shared" si="1"/>
        <v>13495591</v>
      </c>
      <c r="B126">
        <v>13495591</v>
      </c>
      <c r="C126" t="s">
        <v>4999</v>
      </c>
      <c r="D126" t="s">
        <v>1741</v>
      </c>
      <c r="E126">
        <v>4508714</v>
      </c>
      <c r="F126" t="s">
        <v>742</v>
      </c>
      <c r="G126" t="s">
        <v>743</v>
      </c>
      <c r="H126" t="s">
        <v>5000</v>
      </c>
      <c r="I126" s="12">
        <v>45930</v>
      </c>
      <c r="J126">
        <v>1</v>
      </c>
      <c r="K126" t="str">
        <f>VLOOKUP(A126,'TV May Monthly Billing Sites'!$A:$L,1,0)</f>
        <v>13495591</v>
      </c>
    </row>
    <row r="127" spans="1:11">
      <c r="A127" t="str">
        <f t="shared" si="1"/>
        <v>13496303</v>
      </c>
      <c r="B127">
        <v>13496303</v>
      </c>
      <c r="C127" t="s">
        <v>5001</v>
      </c>
      <c r="D127" t="s">
        <v>1743</v>
      </c>
      <c r="E127">
        <v>4508714</v>
      </c>
      <c r="F127" t="s">
        <v>742</v>
      </c>
      <c r="G127" t="s">
        <v>743</v>
      </c>
      <c r="H127" t="s">
        <v>5002</v>
      </c>
      <c r="I127" s="12">
        <v>45910</v>
      </c>
      <c r="J127">
        <v>1</v>
      </c>
      <c r="K127" t="str">
        <f>VLOOKUP(A127,'TV May Monthly Billing Sites'!$A:$L,1,0)</f>
        <v>13496303</v>
      </c>
    </row>
    <row r="128" spans="1:11">
      <c r="A128" t="str">
        <f t="shared" si="1"/>
        <v>13496939</v>
      </c>
      <c r="B128">
        <v>13496939</v>
      </c>
      <c r="C128" t="s">
        <v>5003</v>
      </c>
      <c r="D128" t="s">
        <v>1745</v>
      </c>
      <c r="E128">
        <v>4408592</v>
      </c>
      <c r="F128" t="s">
        <v>742</v>
      </c>
      <c r="G128" t="s">
        <v>823</v>
      </c>
      <c r="H128" t="s">
        <v>5004</v>
      </c>
      <c r="I128" s="12">
        <v>45756</v>
      </c>
      <c r="J128">
        <v>1</v>
      </c>
      <c r="K128" t="str">
        <f>VLOOKUP(A128,'TV May Monthly Billing Sites'!$A:$L,1,0)</f>
        <v>13496939</v>
      </c>
    </row>
    <row r="129" spans="1:12">
      <c r="A129" t="str">
        <f t="shared" si="1"/>
        <v>13497591</v>
      </c>
      <c r="B129">
        <v>13497591</v>
      </c>
      <c r="C129" t="s">
        <v>5005</v>
      </c>
      <c r="D129" t="s">
        <v>1747</v>
      </c>
      <c r="E129">
        <v>4408592</v>
      </c>
      <c r="F129" t="s">
        <v>742</v>
      </c>
      <c r="G129" t="s">
        <v>823</v>
      </c>
      <c r="H129" t="s">
        <v>5006</v>
      </c>
      <c r="I129" s="12">
        <v>45380</v>
      </c>
      <c r="J129">
        <v>1</v>
      </c>
      <c r="K129" t="str">
        <f>VLOOKUP(A129,'TV May Monthly Billing Sites'!$A:$L,1,0)</f>
        <v>13497591</v>
      </c>
    </row>
    <row r="130" spans="1:12">
      <c r="A130" t="str">
        <f t="shared" ref="A130:A193" si="2">TRIM(B130)</f>
        <v>13497880</v>
      </c>
      <c r="B130">
        <v>13497880</v>
      </c>
      <c r="C130" t="s">
        <v>756</v>
      </c>
      <c r="D130" t="s">
        <v>757</v>
      </c>
      <c r="E130">
        <v>4508714</v>
      </c>
      <c r="F130" t="s">
        <v>742</v>
      </c>
      <c r="G130" t="s">
        <v>743</v>
      </c>
      <c r="H130" t="s">
        <v>758</v>
      </c>
      <c r="I130" s="12">
        <v>45748</v>
      </c>
      <c r="J130">
        <v>1</v>
      </c>
      <c r="K130" t="e">
        <f>VLOOKUP(A130,'TV May Monthly Billing Sites'!$A:$L,1,0)</f>
        <v>#N/A</v>
      </c>
      <c r="L130" t="e">
        <f>VLOOKUP(D130,'TV May Monthly Billing Sites'!$B:$L,1,0)</f>
        <v>#N/A</v>
      </c>
    </row>
    <row r="131" spans="1:12">
      <c r="A131" t="str">
        <f t="shared" si="2"/>
        <v>13498091</v>
      </c>
      <c r="B131">
        <v>13498091</v>
      </c>
      <c r="C131" t="s">
        <v>5007</v>
      </c>
      <c r="D131" t="s">
        <v>1749</v>
      </c>
      <c r="E131">
        <v>4508675</v>
      </c>
      <c r="F131" t="s">
        <v>742</v>
      </c>
      <c r="G131" t="s">
        <v>828</v>
      </c>
      <c r="H131" t="s">
        <v>5008</v>
      </c>
      <c r="I131" s="12">
        <v>45457</v>
      </c>
      <c r="J131">
        <v>1</v>
      </c>
      <c r="K131" t="str">
        <f>VLOOKUP(A131,'TV May Monthly Billing Sites'!$A:$L,1,0)</f>
        <v>13498091</v>
      </c>
    </row>
    <row r="132" spans="1:12">
      <c r="A132" t="str">
        <f t="shared" si="2"/>
        <v>14090096</v>
      </c>
      <c r="B132">
        <v>14090096</v>
      </c>
      <c r="C132" t="s">
        <v>5009</v>
      </c>
      <c r="D132" t="s">
        <v>5010</v>
      </c>
      <c r="E132">
        <v>4508714</v>
      </c>
      <c r="F132" t="s">
        <v>742</v>
      </c>
      <c r="G132" t="s">
        <v>743</v>
      </c>
      <c r="H132" t="s">
        <v>5011</v>
      </c>
      <c r="I132" s="12">
        <v>45569</v>
      </c>
      <c r="J132">
        <v>1</v>
      </c>
      <c r="K132" t="str">
        <f>VLOOKUP(A132,'TV May Monthly Billing Sites'!$A:$L,1,0)</f>
        <v>14090096</v>
      </c>
    </row>
    <row r="133" spans="1:12">
      <c r="A133" t="str">
        <f t="shared" si="2"/>
        <v>14090150</v>
      </c>
      <c r="B133">
        <v>14090150</v>
      </c>
      <c r="C133" t="s">
        <v>5012</v>
      </c>
      <c r="D133" t="s">
        <v>5013</v>
      </c>
      <c r="E133">
        <v>4508714</v>
      </c>
      <c r="F133" t="s">
        <v>742</v>
      </c>
      <c r="G133" t="s">
        <v>743</v>
      </c>
      <c r="H133" t="s">
        <v>5014</v>
      </c>
      <c r="I133" s="12">
        <v>45638</v>
      </c>
      <c r="J133">
        <v>1</v>
      </c>
      <c r="K133" t="str">
        <f>VLOOKUP(A133,'TV May Monthly Billing Sites'!$A:$L,1,0)</f>
        <v>14090150</v>
      </c>
    </row>
    <row r="134" spans="1:12">
      <c r="A134" t="str">
        <f t="shared" si="2"/>
        <v>14600646</v>
      </c>
      <c r="B134">
        <v>14600646</v>
      </c>
      <c r="C134" t="s">
        <v>760</v>
      </c>
      <c r="D134" t="s">
        <v>761</v>
      </c>
      <c r="E134">
        <v>4508714</v>
      </c>
      <c r="F134" t="s">
        <v>742</v>
      </c>
      <c r="G134" t="s">
        <v>743</v>
      </c>
      <c r="H134" t="s">
        <v>762</v>
      </c>
      <c r="I134" s="12">
        <v>45622</v>
      </c>
      <c r="J134">
        <v>1</v>
      </c>
      <c r="K134" t="e">
        <f>VLOOKUP(A134,'TV May Monthly Billing Sites'!$A:$L,1,0)</f>
        <v>#N/A</v>
      </c>
      <c r="L134" t="e">
        <f>VLOOKUP(D134,'TV May Monthly Billing Sites'!$B:$L,1,0)</f>
        <v>#N/A</v>
      </c>
    </row>
    <row r="135" spans="1:12">
      <c r="A135" t="str">
        <f t="shared" si="2"/>
        <v>14610284</v>
      </c>
      <c r="B135">
        <v>14610284</v>
      </c>
      <c r="C135" t="s">
        <v>5015</v>
      </c>
      <c r="D135" t="s">
        <v>5016</v>
      </c>
      <c r="E135">
        <v>4508675</v>
      </c>
      <c r="F135" t="s">
        <v>742</v>
      </c>
      <c r="G135" t="s">
        <v>828</v>
      </c>
      <c r="H135" t="s">
        <v>1755</v>
      </c>
      <c r="I135" s="12">
        <v>45950</v>
      </c>
      <c r="J135">
        <v>1</v>
      </c>
      <c r="K135" t="str">
        <f>VLOOKUP(A135,'TV May Monthly Billing Sites'!$A:$L,1,0)</f>
        <v>14610284</v>
      </c>
    </row>
    <row r="136" spans="1:12">
      <c r="A136" t="str">
        <f t="shared" si="2"/>
        <v>14610612</v>
      </c>
      <c r="B136">
        <v>14610612</v>
      </c>
      <c r="C136" t="s">
        <v>5017</v>
      </c>
      <c r="D136" t="s">
        <v>1757</v>
      </c>
      <c r="E136">
        <v>4408592</v>
      </c>
      <c r="F136" t="s">
        <v>742</v>
      </c>
      <c r="G136" t="s">
        <v>823</v>
      </c>
      <c r="H136" t="s">
        <v>1757</v>
      </c>
      <c r="I136" s="12">
        <v>45834</v>
      </c>
      <c r="J136">
        <v>1</v>
      </c>
      <c r="K136" t="str">
        <f>VLOOKUP(A136,'TV May Monthly Billing Sites'!$A:$L,1,0)</f>
        <v>14610612</v>
      </c>
    </row>
    <row r="137" spans="1:12">
      <c r="A137" t="str">
        <f t="shared" si="2"/>
        <v>17003601</v>
      </c>
      <c r="B137">
        <v>17003601</v>
      </c>
      <c r="C137" t="s">
        <v>5018</v>
      </c>
      <c r="D137" t="s">
        <v>1759</v>
      </c>
      <c r="E137">
        <v>4508714</v>
      </c>
      <c r="F137" t="s">
        <v>742</v>
      </c>
      <c r="G137" t="s">
        <v>743</v>
      </c>
      <c r="H137" t="s">
        <v>5019</v>
      </c>
      <c r="I137" s="12">
        <v>46008</v>
      </c>
      <c r="J137">
        <v>1</v>
      </c>
      <c r="K137" t="str">
        <f>VLOOKUP(A137,'TV May Monthly Billing Sites'!$A:$L,1,0)</f>
        <v>17003601</v>
      </c>
    </row>
    <row r="138" spans="1:12">
      <c r="A138" t="str">
        <f t="shared" si="2"/>
        <v>17003603</v>
      </c>
      <c r="B138">
        <v>17003603</v>
      </c>
      <c r="C138" t="s">
        <v>5020</v>
      </c>
      <c r="D138" t="s">
        <v>5021</v>
      </c>
      <c r="E138">
        <v>4508714</v>
      </c>
      <c r="F138" t="s">
        <v>742</v>
      </c>
      <c r="G138" t="s">
        <v>743</v>
      </c>
      <c r="H138" t="s">
        <v>5019</v>
      </c>
      <c r="I138" s="12">
        <v>45636</v>
      </c>
      <c r="J138">
        <v>1</v>
      </c>
      <c r="K138" t="str">
        <f>VLOOKUP(A138,'TV May Monthly Billing Sites'!$A:$L,1,0)</f>
        <v>17003603</v>
      </c>
    </row>
    <row r="139" spans="1:12">
      <c r="A139" t="str">
        <f t="shared" si="2"/>
        <v>17003901</v>
      </c>
      <c r="B139">
        <v>17003901</v>
      </c>
      <c r="C139" t="s">
        <v>5022</v>
      </c>
      <c r="D139" t="s">
        <v>5023</v>
      </c>
      <c r="E139">
        <v>4408592</v>
      </c>
      <c r="F139" t="s">
        <v>742</v>
      </c>
      <c r="G139" t="s">
        <v>823</v>
      </c>
      <c r="H139" t="s">
        <v>1763</v>
      </c>
      <c r="I139" s="12">
        <v>45618</v>
      </c>
      <c r="J139">
        <v>1</v>
      </c>
      <c r="K139" t="str">
        <f>VLOOKUP(A139,'TV May Monthly Billing Sites'!$A:$L,1,0)</f>
        <v>17003901</v>
      </c>
    </row>
    <row r="140" spans="1:12">
      <c r="A140" t="str">
        <f t="shared" si="2"/>
        <v>17042101</v>
      </c>
      <c r="B140">
        <v>17042101</v>
      </c>
      <c r="C140" t="s">
        <v>764</v>
      </c>
      <c r="D140" t="s">
        <v>765</v>
      </c>
      <c r="E140">
        <v>4508714</v>
      </c>
      <c r="F140" t="s">
        <v>742</v>
      </c>
      <c r="G140" t="s">
        <v>743</v>
      </c>
      <c r="H140" t="s">
        <v>766</v>
      </c>
      <c r="I140" s="12">
        <v>45639</v>
      </c>
      <c r="J140">
        <v>1</v>
      </c>
      <c r="K140" t="e">
        <f>VLOOKUP(A140,'TV May Monthly Billing Sites'!$A:$L,1,0)</f>
        <v>#N/A</v>
      </c>
      <c r="L140" t="e">
        <f>VLOOKUP(D140,'TV May Monthly Billing Sites'!$B:$L,1,0)</f>
        <v>#N/A</v>
      </c>
    </row>
    <row r="141" spans="1:12">
      <c r="A141" t="str">
        <f t="shared" si="2"/>
        <v>17093401</v>
      </c>
      <c r="B141">
        <v>17093401</v>
      </c>
      <c r="C141" t="s">
        <v>5024</v>
      </c>
      <c r="D141" t="s">
        <v>5025</v>
      </c>
      <c r="E141">
        <v>4508714</v>
      </c>
      <c r="F141" t="s">
        <v>742</v>
      </c>
      <c r="G141" t="s">
        <v>743</v>
      </c>
      <c r="H141" t="s">
        <v>5026</v>
      </c>
      <c r="I141" s="12">
        <v>45959</v>
      </c>
      <c r="J141">
        <v>1</v>
      </c>
      <c r="K141" t="str">
        <f>VLOOKUP(A141,'TV May Monthly Billing Sites'!$A:$L,1,0)</f>
        <v>17093401</v>
      </c>
    </row>
    <row r="142" spans="1:12">
      <c r="A142" t="str">
        <f t="shared" si="2"/>
        <v>17117601</v>
      </c>
      <c r="B142">
        <v>17117601</v>
      </c>
      <c r="C142" t="s">
        <v>5027</v>
      </c>
      <c r="D142" t="s">
        <v>5028</v>
      </c>
      <c r="E142">
        <v>4408592</v>
      </c>
      <c r="F142" t="s">
        <v>742</v>
      </c>
      <c r="G142" t="s">
        <v>823</v>
      </c>
      <c r="H142" t="s">
        <v>5028</v>
      </c>
      <c r="I142" s="12">
        <v>45771</v>
      </c>
      <c r="J142">
        <v>1</v>
      </c>
      <c r="K142" t="str">
        <f>VLOOKUP(A142,'TV May Monthly Billing Sites'!$A:$L,1,0)</f>
        <v>17117601</v>
      </c>
    </row>
    <row r="143" spans="1:12">
      <c r="A143" t="str">
        <f t="shared" si="2"/>
        <v>17121105</v>
      </c>
      <c r="B143">
        <v>17121105</v>
      </c>
      <c r="C143" t="s">
        <v>5029</v>
      </c>
      <c r="D143" t="s">
        <v>5030</v>
      </c>
      <c r="E143">
        <v>4508714</v>
      </c>
      <c r="F143" t="s">
        <v>742</v>
      </c>
      <c r="G143" t="s">
        <v>743</v>
      </c>
      <c r="H143" t="s">
        <v>4838</v>
      </c>
      <c r="I143" s="12">
        <v>45642</v>
      </c>
      <c r="J143">
        <v>1</v>
      </c>
      <c r="K143" t="str">
        <f>VLOOKUP(A143,'TV May Monthly Billing Sites'!$A:$L,1,0)</f>
        <v>17121105</v>
      </c>
    </row>
    <row r="144" spans="1:12">
      <c r="A144" t="str">
        <f t="shared" si="2"/>
        <v>17136501</v>
      </c>
      <c r="B144">
        <v>17136501</v>
      </c>
      <c r="C144" t="s">
        <v>5031</v>
      </c>
      <c r="D144" t="s">
        <v>5032</v>
      </c>
      <c r="E144">
        <v>4408592</v>
      </c>
      <c r="F144" t="s">
        <v>742</v>
      </c>
      <c r="G144" t="s">
        <v>823</v>
      </c>
      <c r="H144" t="s">
        <v>1771</v>
      </c>
      <c r="I144" s="12">
        <v>44755</v>
      </c>
      <c r="J144">
        <v>1</v>
      </c>
      <c r="K144" t="str">
        <f>VLOOKUP(A144,'TV May Monthly Billing Sites'!$A:$L,1,0)</f>
        <v>17136501</v>
      </c>
    </row>
    <row r="145" spans="1:12">
      <c r="A145" t="str">
        <f t="shared" si="2"/>
        <v>17150701</v>
      </c>
      <c r="B145">
        <v>17150701</v>
      </c>
      <c r="C145" t="s">
        <v>768</v>
      </c>
      <c r="D145" t="s">
        <v>769</v>
      </c>
      <c r="E145">
        <v>4508714</v>
      </c>
      <c r="F145" t="s">
        <v>742</v>
      </c>
      <c r="G145" t="s">
        <v>743</v>
      </c>
      <c r="H145" t="s">
        <v>770</v>
      </c>
      <c r="I145" s="12">
        <v>45638</v>
      </c>
      <c r="J145">
        <v>1</v>
      </c>
      <c r="K145" t="e">
        <f>VLOOKUP(A145,'TV May Monthly Billing Sites'!$A:$L,1,0)</f>
        <v>#N/A</v>
      </c>
      <c r="L145" t="e">
        <f>VLOOKUP(D145,'TV May Monthly Billing Sites'!$B:$L,1,0)</f>
        <v>#N/A</v>
      </c>
    </row>
    <row r="146" spans="1:12">
      <c r="A146" t="str">
        <f t="shared" si="2"/>
        <v>17215201</v>
      </c>
      <c r="B146">
        <v>17215201</v>
      </c>
      <c r="C146" t="s">
        <v>5033</v>
      </c>
      <c r="D146" t="s">
        <v>1773</v>
      </c>
      <c r="E146">
        <v>4408592</v>
      </c>
      <c r="F146" t="s">
        <v>742</v>
      </c>
      <c r="G146" t="s">
        <v>823</v>
      </c>
      <c r="H146" t="s">
        <v>5034</v>
      </c>
      <c r="I146" s="12">
        <v>46003</v>
      </c>
      <c r="J146">
        <v>1</v>
      </c>
      <c r="K146" t="str">
        <f>VLOOKUP(A146,'TV May Monthly Billing Sites'!$A:$L,1,0)</f>
        <v>17215201</v>
      </c>
    </row>
    <row r="147" spans="1:12">
      <c r="A147" t="str">
        <f t="shared" si="2"/>
        <v>17251301</v>
      </c>
      <c r="B147">
        <v>17251301</v>
      </c>
      <c r="C147" t="s">
        <v>5035</v>
      </c>
      <c r="D147" t="s">
        <v>5036</v>
      </c>
      <c r="E147">
        <v>4508714</v>
      </c>
      <c r="F147" t="s">
        <v>742</v>
      </c>
      <c r="G147" t="s">
        <v>743</v>
      </c>
      <c r="H147" t="s">
        <v>5037</v>
      </c>
      <c r="I147" s="12">
        <v>46008</v>
      </c>
      <c r="J147">
        <v>1</v>
      </c>
      <c r="K147" t="str">
        <f>VLOOKUP(A147,'TV May Monthly Billing Sites'!$A:$L,1,0)</f>
        <v>17251301</v>
      </c>
    </row>
    <row r="148" spans="1:12">
      <c r="A148" t="str">
        <f t="shared" si="2"/>
        <v>17253201</v>
      </c>
      <c r="B148">
        <v>17253201</v>
      </c>
      <c r="C148" t="s">
        <v>5038</v>
      </c>
      <c r="D148" t="s">
        <v>1777</v>
      </c>
      <c r="E148">
        <v>4508679</v>
      </c>
      <c r="F148" t="s">
        <v>742</v>
      </c>
      <c r="G148" t="s">
        <v>5039</v>
      </c>
      <c r="H148" t="s">
        <v>5040</v>
      </c>
      <c r="I148" s="12">
        <v>44614</v>
      </c>
      <c r="J148">
        <v>1</v>
      </c>
      <c r="K148" t="str">
        <f>VLOOKUP(A148,'TV May Monthly Billing Sites'!$A:$L,1,0)</f>
        <v>17253201</v>
      </c>
    </row>
    <row r="149" spans="1:12">
      <c r="A149" t="str">
        <f t="shared" si="2"/>
        <v>17298301</v>
      </c>
      <c r="B149">
        <v>17298301</v>
      </c>
      <c r="C149" t="s">
        <v>5041</v>
      </c>
      <c r="D149" t="s">
        <v>1779</v>
      </c>
      <c r="E149">
        <v>4508714</v>
      </c>
      <c r="F149" t="s">
        <v>742</v>
      </c>
      <c r="G149" t="s">
        <v>743</v>
      </c>
      <c r="H149" t="s">
        <v>1779</v>
      </c>
      <c r="I149" s="12">
        <v>45799</v>
      </c>
      <c r="J149">
        <v>1</v>
      </c>
      <c r="K149" t="str">
        <f>VLOOKUP(A149,'TV May Monthly Billing Sites'!$A:$L,1,0)</f>
        <v>17298301</v>
      </c>
    </row>
    <row r="150" spans="1:12">
      <c r="A150" t="str">
        <f t="shared" si="2"/>
        <v>17315021</v>
      </c>
      <c r="B150">
        <v>17315021</v>
      </c>
      <c r="C150" t="s">
        <v>5042</v>
      </c>
      <c r="D150" t="s">
        <v>5043</v>
      </c>
      <c r="E150">
        <v>4508714</v>
      </c>
      <c r="F150" t="s">
        <v>742</v>
      </c>
      <c r="G150" t="s">
        <v>743</v>
      </c>
      <c r="H150" t="s">
        <v>1056</v>
      </c>
      <c r="I150" s="12">
        <v>45293</v>
      </c>
      <c r="J150">
        <v>1</v>
      </c>
      <c r="K150" t="str">
        <f>VLOOKUP(A150,'TV May Monthly Billing Sites'!$A:$L,1,0)</f>
        <v>17315021</v>
      </c>
    </row>
    <row r="151" spans="1:12">
      <c r="A151" t="str">
        <f t="shared" si="2"/>
        <v>17315987</v>
      </c>
      <c r="B151">
        <v>17315987</v>
      </c>
      <c r="C151" t="s">
        <v>5044</v>
      </c>
      <c r="D151" t="s">
        <v>1783</v>
      </c>
      <c r="E151">
        <v>4408592</v>
      </c>
      <c r="F151" t="s">
        <v>742</v>
      </c>
      <c r="G151" t="s">
        <v>823</v>
      </c>
      <c r="H151" t="s">
        <v>5045</v>
      </c>
      <c r="I151" s="12">
        <v>45863</v>
      </c>
      <c r="J151">
        <v>1</v>
      </c>
      <c r="K151" t="str">
        <f>VLOOKUP(A151,'TV May Monthly Billing Sites'!$A:$L,1,0)</f>
        <v>17315987</v>
      </c>
    </row>
    <row r="152" spans="1:12">
      <c r="A152" t="str">
        <f t="shared" si="2"/>
        <v>17316041</v>
      </c>
      <c r="B152">
        <v>17316041</v>
      </c>
      <c r="C152" t="s">
        <v>5046</v>
      </c>
      <c r="D152" t="s">
        <v>5047</v>
      </c>
      <c r="E152">
        <v>4408592</v>
      </c>
      <c r="F152" t="s">
        <v>742</v>
      </c>
      <c r="G152" t="s">
        <v>823</v>
      </c>
      <c r="H152" t="s">
        <v>5048</v>
      </c>
      <c r="I152" s="12">
        <v>44985</v>
      </c>
      <c r="J152">
        <v>1</v>
      </c>
      <c r="K152" t="str">
        <f>VLOOKUP(A152,'TV May Monthly Billing Sites'!$A:$L,1,0)</f>
        <v>17316041</v>
      </c>
    </row>
    <row r="153" spans="1:12">
      <c r="A153" t="str">
        <f t="shared" si="2"/>
        <v>21004601</v>
      </c>
      <c r="B153">
        <v>21004601</v>
      </c>
      <c r="C153" t="s">
        <v>5049</v>
      </c>
      <c r="D153" t="s">
        <v>1787</v>
      </c>
      <c r="E153">
        <v>4508684</v>
      </c>
      <c r="F153" t="s">
        <v>742</v>
      </c>
      <c r="G153" t="s">
        <v>4760</v>
      </c>
      <c r="H153" t="s">
        <v>1787</v>
      </c>
      <c r="I153" s="12">
        <v>45289</v>
      </c>
      <c r="J153">
        <v>1</v>
      </c>
      <c r="K153" t="str">
        <f>VLOOKUP(A153,'TV May Monthly Billing Sites'!$A:$L,1,0)</f>
        <v>21004601</v>
      </c>
    </row>
    <row r="154" spans="1:12">
      <c r="A154" t="str">
        <f t="shared" si="2"/>
        <v>25002601</v>
      </c>
      <c r="B154">
        <v>25002601</v>
      </c>
      <c r="C154" t="s">
        <v>5050</v>
      </c>
      <c r="D154" t="s">
        <v>5051</v>
      </c>
      <c r="E154">
        <v>4408592</v>
      </c>
      <c r="F154" t="s">
        <v>742</v>
      </c>
      <c r="G154" t="s">
        <v>823</v>
      </c>
      <c r="H154" t="s">
        <v>5052</v>
      </c>
      <c r="I154" s="12">
        <v>44846</v>
      </c>
      <c r="J154">
        <v>1</v>
      </c>
      <c r="K154" t="str">
        <f>VLOOKUP(A154,'TV May Monthly Billing Sites'!$A:$L,1,0)</f>
        <v>25002601</v>
      </c>
    </row>
    <row r="155" spans="1:12">
      <c r="A155" t="str">
        <f t="shared" si="2"/>
        <v>25006301</v>
      </c>
      <c r="B155">
        <v>25006301</v>
      </c>
      <c r="C155" t="s">
        <v>5053</v>
      </c>
      <c r="D155" t="s">
        <v>1791</v>
      </c>
      <c r="E155">
        <v>4508714</v>
      </c>
      <c r="F155" t="s">
        <v>742</v>
      </c>
      <c r="G155" t="s">
        <v>743</v>
      </c>
      <c r="H155" t="s">
        <v>1791</v>
      </c>
      <c r="I155" s="12">
        <v>45533</v>
      </c>
      <c r="J155">
        <v>1</v>
      </c>
      <c r="K155" t="str">
        <f>VLOOKUP(A155,'TV May Monthly Billing Sites'!$A:$L,1,0)</f>
        <v>25006301</v>
      </c>
    </row>
    <row r="156" spans="1:12">
      <c r="A156" t="str">
        <f t="shared" si="2"/>
        <v>25007706</v>
      </c>
      <c r="B156">
        <v>25007706</v>
      </c>
      <c r="C156" t="s">
        <v>5054</v>
      </c>
      <c r="D156" t="s">
        <v>5055</v>
      </c>
      <c r="E156">
        <v>4508714</v>
      </c>
      <c r="F156" t="s">
        <v>742</v>
      </c>
      <c r="G156" t="s">
        <v>743</v>
      </c>
      <c r="H156" t="s">
        <v>5056</v>
      </c>
      <c r="I156" s="12">
        <v>45637</v>
      </c>
      <c r="J156">
        <v>1</v>
      </c>
      <c r="K156" t="str">
        <f>VLOOKUP(A156,'TV May Monthly Billing Sites'!$A:$L,1,0)</f>
        <v>25007706</v>
      </c>
    </row>
    <row r="157" spans="1:12">
      <c r="A157" t="str">
        <f t="shared" si="2"/>
        <v>25016901</v>
      </c>
      <c r="B157">
        <v>25016901</v>
      </c>
      <c r="C157" t="s">
        <v>5057</v>
      </c>
      <c r="D157" t="s">
        <v>5058</v>
      </c>
      <c r="E157">
        <v>4508675</v>
      </c>
      <c r="F157" t="s">
        <v>742</v>
      </c>
      <c r="G157" t="s">
        <v>828</v>
      </c>
      <c r="H157" t="s">
        <v>5059</v>
      </c>
      <c r="I157" s="12">
        <v>45694</v>
      </c>
      <c r="J157">
        <v>1</v>
      </c>
      <c r="K157" t="str">
        <f>VLOOKUP(A157,'TV May Monthly Billing Sites'!$A:$L,1,0)</f>
        <v>25016901</v>
      </c>
    </row>
    <row r="158" spans="1:12">
      <c r="A158" t="str">
        <f t="shared" si="2"/>
        <v>25017001</v>
      </c>
      <c r="B158">
        <v>25017001</v>
      </c>
      <c r="C158" t="s">
        <v>5060</v>
      </c>
      <c r="D158" t="s">
        <v>5061</v>
      </c>
      <c r="E158">
        <v>4508675</v>
      </c>
      <c r="F158" t="s">
        <v>742</v>
      </c>
      <c r="G158" t="s">
        <v>828</v>
      </c>
      <c r="H158" t="s">
        <v>5059</v>
      </c>
      <c r="I158" s="12">
        <v>45694</v>
      </c>
      <c r="J158">
        <v>1</v>
      </c>
      <c r="K158" t="str">
        <f>VLOOKUP(A158,'TV May Monthly Billing Sites'!$A:$L,1,0)</f>
        <v>25017001</v>
      </c>
    </row>
    <row r="159" spans="1:12">
      <c r="A159" t="str">
        <f t="shared" si="2"/>
        <v>25024901</v>
      </c>
      <c r="B159">
        <v>25024901</v>
      </c>
      <c r="C159" t="s">
        <v>5062</v>
      </c>
      <c r="D159" t="s">
        <v>5063</v>
      </c>
      <c r="E159">
        <v>4508714</v>
      </c>
      <c r="F159" t="s">
        <v>742</v>
      </c>
      <c r="G159" t="s">
        <v>743</v>
      </c>
      <c r="H159" t="s">
        <v>1799</v>
      </c>
      <c r="I159" s="12">
        <v>45639</v>
      </c>
      <c r="J159">
        <v>1</v>
      </c>
      <c r="K159" t="str">
        <f>VLOOKUP(A159,'TV May Monthly Billing Sites'!$A:$L,1,0)</f>
        <v>25024901</v>
      </c>
    </row>
    <row r="160" spans="1:12">
      <c r="A160" t="str">
        <f t="shared" si="2"/>
        <v>25045501</v>
      </c>
      <c r="B160">
        <v>25045501</v>
      </c>
      <c r="C160" t="s">
        <v>5064</v>
      </c>
      <c r="D160" t="s">
        <v>5065</v>
      </c>
      <c r="E160">
        <v>4408593</v>
      </c>
      <c r="F160" t="s">
        <v>742</v>
      </c>
      <c r="G160" t="s">
        <v>782</v>
      </c>
      <c r="H160" t="s">
        <v>5066</v>
      </c>
      <c r="I160" s="12">
        <v>45656</v>
      </c>
      <c r="J160">
        <v>1</v>
      </c>
      <c r="K160" t="str">
        <f>VLOOKUP(A160,'TV May Monthly Billing Sites'!$A:$L,1,0)</f>
        <v>25045501</v>
      </c>
    </row>
    <row r="161" spans="1:11">
      <c r="A161" t="str">
        <f t="shared" si="2"/>
        <v>25078101</v>
      </c>
      <c r="B161">
        <v>25078101</v>
      </c>
      <c r="C161" t="s">
        <v>5067</v>
      </c>
      <c r="D161" t="s">
        <v>1803</v>
      </c>
      <c r="E161">
        <v>4508682</v>
      </c>
      <c r="F161" t="s">
        <v>742</v>
      </c>
      <c r="G161" t="s">
        <v>4879</v>
      </c>
      <c r="H161" t="s">
        <v>4880</v>
      </c>
      <c r="I161" s="12">
        <v>44679</v>
      </c>
      <c r="J161">
        <v>1</v>
      </c>
      <c r="K161" t="str">
        <f>VLOOKUP(A161,'TV May Monthly Billing Sites'!$A:$L,1,0)</f>
        <v>25078101</v>
      </c>
    </row>
    <row r="162" spans="1:11">
      <c r="A162" t="str">
        <f t="shared" si="2"/>
        <v>25090101</v>
      </c>
      <c r="B162">
        <v>25090101</v>
      </c>
      <c r="C162" t="s">
        <v>5068</v>
      </c>
      <c r="D162" t="s">
        <v>5069</v>
      </c>
      <c r="E162">
        <v>4508714</v>
      </c>
      <c r="F162" t="s">
        <v>742</v>
      </c>
      <c r="G162" t="s">
        <v>743</v>
      </c>
      <c r="H162" t="s">
        <v>5070</v>
      </c>
      <c r="I162" s="12">
        <v>45541</v>
      </c>
      <c r="J162">
        <v>1</v>
      </c>
      <c r="K162" t="str">
        <f>VLOOKUP(A162,'TV May Monthly Billing Sites'!$A:$L,1,0)</f>
        <v>25090101</v>
      </c>
    </row>
    <row r="163" spans="1:11">
      <c r="A163" t="str">
        <f t="shared" si="2"/>
        <v>25123901</v>
      </c>
      <c r="B163">
        <v>25123901</v>
      </c>
      <c r="C163" t="s">
        <v>5071</v>
      </c>
      <c r="D163" t="s">
        <v>5072</v>
      </c>
      <c r="E163">
        <v>4508675</v>
      </c>
      <c r="F163" t="s">
        <v>742</v>
      </c>
      <c r="G163" t="s">
        <v>828</v>
      </c>
      <c r="H163" t="s">
        <v>5059</v>
      </c>
      <c r="I163" s="12">
        <v>45694</v>
      </c>
      <c r="J163">
        <v>1</v>
      </c>
      <c r="K163" t="str">
        <f>VLOOKUP(A163,'TV May Monthly Billing Sites'!$A:$L,1,0)</f>
        <v>25123901</v>
      </c>
    </row>
    <row r="164" spans="1:11">
      <c r="A164" t="str">
        <f t="shared" si="2"/>
        <v>25134501</v>
      </c>
      <c r="B164">
        <v>25134501</v>
      </c>
      <c r="C164" t="s">
        <v>5073</v>
      </c>
      <c r="D164" t="s">
        <v>5074</v>
      </c>
      <c r="E164">
        <v>4508714</v>
      </c>
      <c r="F164" t="s">
        <v>742</v>
      </c>
      <c r="G164" t="s">
        <v>743</v>
      </c>
      <c r="H164" t="s">
        <v>5074</v>
      </c>
      <c r="I164" s="12">
        <v>45638</v>
      </c>
      <c r="J164">
        <v>1</v>
      </c>
      <c r="K164" t="str">
        <f>VLOOKUP(A164,'TV May Monthly Billing Sites'!$A:$L,1,0)</f>
        <v>25134501</v>
      </c>
    </row>
    <row r="165" spans="1:11">
      <c r="A165" t="str">
        <f t="shared" si="2"/>
        <v>25139702</v>
      </c>
      <c r="B165">
        <v>25139702</v>
      </c>
      <c r="C165" t="s">
        <v>5075</v>
      </c>
      <c r="D165" t="s">
        <v>1811</v>
      </c>
      <c r="E165">
        <v>4408593</v>
      </c>
      <c r="F165" t="s">
        <v>742</v>
      </c>
      <c r="G165" t="s">
        <v>782</v>
      </c>
      <c r="H165" t="s">
        <v>5076</v>
      </c>
      <c r="I165" s="12">
        <v>45637</v>
      </c>
      <c r="J165">
        <v>1</v>
      </c>
      <c r="K165" t="str">
        <f>VLOOKUP(A165,'TV May Monthly Billing Sites'!$A:$L,1,0)</f>
        <v>25139702</v>
      </c>
    </row>
    <row r="166" spans="1:11">
      <c r="A166" t="str">
        <f t="shared" si="2"/>
        <v>25139901</v>
      </c>
      <c r="B166">
        <v>25139901</v>
      </c>
      <c r="C166" t="s">
        <v>5077</v>
      </c>
      <c r="D166" t="s">
        <v>5078</v>
      </c>
      <c r="E166">
        <v>4408593</v>
      </c>
      <c r="F166" t="s">
        <v>742</v>
      </c>
      <c r="G166" t="s">
        <v>782</v>
      </c>
      <c r="H166" t="s">
        <v>5079</v>
      </c>
      <c r="I166" s="12">
        <v>45656</v>
      </c>
      <c r="J166">
        <v>1</v>
      </c>
      <c r="K166" t="str">
        <f>VLOOKUP(A166,'TV May Monthly Billing Sites'!$A:$L,1,0)</f>
        <v>25139901</v>
      </c>
    </row>
    <row r="167" spans="1:11">
      <c r="A167" t="str">
        <f t="shared" si="2"/>
        <v>25140301</v>
      </c>
      <c r="B167">
        <v>25140301</v>
      </c>
      <c r="C167" t="s">
        <v>5080</v>
      </c>
      <c r="D167" t="s">
        <v>5081</v>
      </c>
      <c r="E167">
        <v>4508714</v>
      </c>
      <c r="F167" t="s">
        <v>742</v>
      </c>
      <c r="G167" t="s">
        <v>743</v>
      </c>
      <c r="H167" t="s">
        <v>5082</v>
      </c>
      <c r="I167" s="12">
        <v>45964</v>
      </c>
      <c r="J167">
        <v>1</v>
      </c>
      <c r="K167" t="str">
        <f>VLOOKUP(A167,'TV May Monthly Billing Sites'!$A:$L,1,0)</f>
        <v>25140301</v>
      </c>
    </row>
    <row r="168" spans="1:11">
      <c r="A168" t="str">
        <f t="shared" si="2"/>
        <v>25142501</v>
      </c>
      <c r="B168">
        <v>25142501</v>
      </c>
      <c r="C168" t="s">
        <v>5083</v>
      </c>
      <c r="D168" t="s">
        <v>1817</v>
      </c>
      <c r="E168">
        <v>4408593</v>
      </c>
      <c r="F168" t="s">
        <v>742</v>
      </c>
      <c r="G168" t="s">
        <v>782</v>
      </c>
      <c r="H168" t="s">
        <v>5084</v>
      </c>
      <c r="I168" s="12">
        <v>45638</v>
      </c>
      <c r="J168">
        <v>1</v>
      </c>
      <c r="K168" t="str">
        <f>VLOOKUP(A168,'TV May Monthly Billing Sites'!$A:$L,1,0)</f>
        <v>25142501</v>
      </c>
    </row>
    <row r="169" spans="1:11">
      <c r="A169" t="str">
        <f t="shared" si="2"/>
        <v>25149304</v>
      </c>
      <c r="B169">
        <v>25149304</v>
      </c>
      <c r="C169" t="s">
        <v>5085</v>
      </c>
      <c r="D169" t="s">
        <v>1819</v>
      </c>
      <c r="E169">
        <v>4508714</v>
      </c>
      <c r="F169" t="s">
        <v>742</v>
      </c>
      <c r="G169" t="s">
        <v>743</v>
      </c>
      <c r="H169" t="s">
        <v>5086</v>
      </c>
      <c r="I169" s="12">
        <v>45684</v>
      </c>
      <c r="J169">
        <v>1</v>
      </c>
      <c r="K169" t="str">
        <f>VLOOKUP(A169,'TV May Monthly Billing Sites'!$A:$L,1,0)</f>
        <v>25149304</v>
      </c>
    </row>
    <row r="170" spans="1:11">
      <c r="A170" t="str">
        <f t="shared" si="2"/>
        <v>25155812</v>
      </c>
      <c r="B170">
        <v>25155812</v>
      </c>
      <c r="C170" t="s">
        <v>5087</v>
      </c>
      <c r="D170" t="s">
        <v>1821</v>
      </c>
      <c r="E170">
        <v>4408593</v>
      </c>
      <c r="F170" t="s">
        <v>742</v>
      </c>
      <c r="G170" t="s">
        <v>782</v>
      </c>
      <c r="H170" t="s">
        <v>5088</v>
      </c>
      <c r="I170" s="12">
        <v>45442</v>
      </c>
      <c r="J170">
        <v>1</v>
      </c>
      <c r="K170" t="str">
        <f>VLOOKUP(A170,'TV May Monthly Billing Sites'!$A:$L,1,0)</f>
        <v>25155812</v>
      </c>
    </row>
    <row r="171" spans="1:11">
      <c r="A171" t="str">
        <f t="shared" si="2"/>
        <v>25174709</v>
      </c>
      <c r="B171">
        <v>25174709</v>
      </c>
      <c r="C171" t="s">
        <v>5089</v>
      </c>
      <c r="D171" t="s">
        <v>1823</v>
      </c>
      <c r="E171">
        <v>4508675</v>
      </c>
      <c r="F171" t="s">
        <v>742</v>
      </c>
      <c r="G171" t="s">
        <v>828</v>
      </c>
      <c r="H171" t="s">
        <v>5059</v>
      </c>
      <c r="I171" s="12">
        <v>45793</v>
      </c>
      <c r="J171">
        <v>1</v>
      </c>
      <c r="K171" t="str">
        <f>VLOOKUP(A171,'TV May Monthly Billing Sites'!$A:$L,1,0)</f>
        <v>25174709</v>
      </c>
    </row>
    <row r="172" spans="1:11">
      <c r="A172" t="str">
        <f t="shared" si="2"/>
        <v>25181301</v>
      </c>
      <c r="B172">
        <v>25181301</v>
      </c>
      <c r="C172" t="s">
        <v>5090</v>
      </c>
      <c r="D172" t="s">
        <v>1825</v>
      </c>
      <c r="E172">
        <v>4508714</v>
      </c>
      <c r="F172" t="s">
        <v>742</v>
      </c>
      <c r="G172" t="s">
        <v>743</v>
      </c>
      <c r="H172" t="s">
        <v>5091</v>
      </c>
      <c r="I172" s="12">
        <v>45964</v>
      </c>
      <c r="J172">
        <v>1</v>
      </c>
      <c r="K172" t="str">
        <f>VLOOKUP(A172,'TV May Monthly Billing Sites'!$A:$L,1,0)</f>
        <v>25181301</v>
      </c>
    </row>
    <row r="173" spans="1:11">
      <c r="A173" t="str">
        <f t="shared" si="2"/>
        <v>25187901</v>
      </c>
      <c r="B173">
        <v>25187901</v>
      </c>
      <c r="C173" t="s">
        <v>5092</v>
      </c>
      <c r="D173" t="s">
        <v>5093</v>
      </c>
      <c r="E173">
        <v>4508714</v>
      </c>
      <c r="F173" t="s">
        <v>742</v>
      </c>
      <c r="G173" t="s">
        <v>743</v>
      </c>
      <c r="H173" t="s">
        <v>5094</v>
      </c>
      <c r="I173" s="12">
        <v>45525</v>
      </c>
      <c r="J173">
        <v>1</v>
      </c>
      <c r="K173" t="str">
        <f>VLOOKUP(A173,'TV May Monthly Billing Sites'!$A:$L,1,0)</f>
        <v>25187901</v>
      </c>
    </row>
    <row r="174" spans="1:11">
      <c r="A174" t="str">
        <f t="shared" si="2"/>
        <v>25212301</v>
      </c>
      <c r="B174">
        <v>25212301</v>
      </c>
      <c r="C174" t="s">
        <v>5095</v>
      </c>
      <c r="D174" t="s">
        <v>1829</v>
      </c>
      <c r="E174">
        <v>4508714</v>
      </c>
      <c r="F174" t="s">
        <v>742</v>
      </c>
      <c r="G174" t="s">
        <v>743</v>
      </c>
      <c r="H174" t="s">
        <v>4903</v>
      </c>
      <c r="I174" s="12">
        <v>45961</v>
      </c>
      <c r="J174">
        <v>1</v>
      </c>
      <c r="K174" t="str">
        <f>VLOOKUP(A174,'TV May Monthly Billing Sites'!$A:$L,1,0)</f>
        <v>25212301</v>
      </c>
    </row>
    <row r="175" spans="1:11">
      <c r="A175" t="str">
        <f t="shared" si="2"/>
        <v>25258301</v>
      </c>
      <c r="B175">
        <v>25258301</v>
      </c>
      <c r="C175" t="s">
        <v>5096</v>
      </c>
      <c r="D175" t="s">
        <v>5097</v>
      </c>
      <c r="E175">
        <v>4408593</v>
      </c>
      <c r="F175" t="s">
        <v>742</v>
      </c>
      <c r="G175" t="s">
        <v>782</v>
      </c>
      <c r="H175" t="s">
        <v>5098</v>
      </c>
      <c r="I175" s="12">
        <v>45560</v>
      </c>
      <c r="J175">
        <v>1</v>
      </c>
      <c r="K175" t="str">
        <f>VLOOKUP(A175,'TV May Monthly Billing Sites'!$A:$L,1,0)</f>
        <v>25258301</v>
      </c>
    </row>
    <row r="176" spans="1:11">
      <c r="A176" t="str">
        <f t="shared" si="2"/>
        <v>25297487</v>
      </c>
      <c r="B176">
        <v>25297487</v>
      </c>
      <c r="C176" t="s">
        <v>5099</v>
      </c>
      <c r="D176" t="s">
        <v>800</v>
      </c>
      <c r="E176">
        <v>4508714</v>
      </c>
      <c r="F176" t="s">
        <v>742</v>
      </c>
      <c r="G176" t="s">
        <v>743</v>
      </c>
      <c r="H176" t="s">
        <v>5100</v>
      </c>
      <c r="I176" s="12">
        <v>45736</v>
      </c>
      <c r="J176">
        <v>1</v>
      </c>
      <c r="K176" t="str">
        <f>VLOOKUP(A176,'TV May Monthly Billing Sites'!$A:$L,1,0)</f>
        <v>25297487</v>
      </c>
    </row>
    <row r="177" spans="1:12">
      <c r="A177" t="str">
        <f t="shared" si="2"/>
        <v>25297615</v>
      </c>
      <c r="B177">
        <v>25297615</v>
      </c>
      <c r="C177" t="s">
        <v>5101</v>
      </c>
      <c r="D177" t="s">
        <v>5102</v>
      </c>
      <c r="E177">
        <v>4508714</v>
      </c>
      <c r="F177" t="s">
        <v>742</v>
      </c>
      <c r="G177" t="s">
        <v>743</v>
      </c>
      <c r="H177" t="s">
        <v>1835</v>
      </c>
      <c r="I177" s="12">
        <v>45513</v>
      </c>
      <c r="J177">
        <v>1</v>
      </c>
      <c r="K177" t="str">
        <f>VLOOKUP(A177,'TV May Monthly Billing Sites'!$A:$L,1,0)</f>
        <v>25297615</v>
      </c>
    </row>
    <row r="178" spans="1:12">
      <c r="A178" t="str">
        <f t="shared" si="2"/>
        <v>25298066</v>
      </c>
      <c r="B178">
        <v>25298066</v>
      </c>
      <c r="C178" t="s">
        <v>5103</v>
      </c>
      <c r="D178" t="s">
        <v>1837</v>
      </c>
      <c r="E178">
        <v>4408593</v>
      </c>
      <c r="F178" t="s">
        <v>742</v>
      </c>
      <c r="G178" t="s">
        <v>782</v>
      </c>
      <c r="H178" t="s">
        <v>5104</v>
      </c>
      <c r="I178" s="12">
        <v>45791</v>
      </c>
      <c r="J178">
        <v>1</v>
      </c>
      <c r="K178" t="str">
        <f>VLOOKUP(A178,'TV May Monthly Billing Sites'!$A:$L,1,0)</f>
        <v>25298066</v>
      </c>
    </row>
    <row r="179" spans="1:12">
      <c r="A179" t="str">
        <f t="shared" si="2"/>
        <v>25298067</v>
      </c>
      <c r="B179">
        <v>25298067</v>
      </c>
      <c r="C179" t="s">
        <v>5105</v>
      </c>
      <c r="D179" t="s">
        <v>1839</v>
      </c>
      <c r="E179">
        <v>4408592</v>
      </c>
      <c r="F179" t="s">
        <v>742</v>
      </c>
      <c r="G179" t="s">
        <v>823</v>
      </c>
      <c r="H179" t="s">
        <v>5104</v>
      </c>
      <c r="I179" s="12">
        <v>45736</v>
      </c>
      <c r="J179">
        <v>1</v>
      </c>
      <c r="K179" t="str">
        <f>VLOOKUP(A179,'TV May Monthly Billing Sites'!$A:$L,1,0)</f>
        <v>25298067</v>
      </c>
    </row>
    <row r="180" spans="1:12">
      <c r="A180" t="str">
        <f t="shared" si="2"/>
        <v>25298068</v>
      </c>
      <c r="B180">
        <v>25298068</v>
      </c>
      <c r="C180" t="s">
        <v>5106</v>
      </c>
      <c r="D180" t="s">
        <v>5107</v>
      </c>
      <c r="E180">
        <v>4408593</v>
      </c>
      <c r="F180" t="s">
        <v>742</v>
      </c>
      <c r="G180" t="s">
        <v>782</v>
      </c>
      <c r="H180" t="s">
        <v>5104</v>
      </c>
      <c r="I180" s="12">
        <v>45791</v>
      </c>
      <c r="J180">
        <v>1</v>
      </c>
      <c r="K180" t="str">
        <f>VLOOKUP(A180,'TV May Monthly Billing Sites'!$A:$L,1,0)</f>
        <v>25298068</v>
      </c>
    </row>
    <row r="181" spans="1:12">
      <c r="A181" t="str">
        <f t="shared" si="2"/>
        <v>25298130</v>
      </c>
      <c r="B181">
        <v>25298130</v>
      </c>
      <c r="C181" t="s">
        <v>5108</v>
      </c>
      <c r="D181" t="s">
        <v>1843</v>
      </c>
      <c r="E181">
        <v>4408593</v>
      </c>
      <c r="F181" t="s">
        <v>742</v>
      </c>
      <c r="G181" t="s">
        <v>782</v>
      </c>
      <c r="H181" t="s">
        <v>5109</v>
      </c>
      <c r="I181" s="12">
        <v>45818</v>
      </c>
      <c r="J181">
        <v>1</v>
      </c>
      <c r="K181" t="str">
        <f>VLOOKUP(A181,'TV May Monthly Billing Sites'!$A:$L,1,0)</f>
        <v>25298130</v>
      </c>
    </row>
    <row r="182" spans="1:12">
      <c r="A182" t="str">
        <f t="shared" si="2"/>
        <v>25298174</v>
      </c>
      <c r="B182">
        <v>25298174</v>
      </c>
      <c r="C182" t="s">
        <v>5110</v>
      </c>
      <c r="D182" t="s">
        <v>1845</v>
      </c>
      <c r="E182">
        <v>4408593</v>
      </c>
      <c r="F182" t="s">
        <v>742</v>
      </c>
      <c r="G182" t="s">
        <v>782</v>
      </c>
      <c r="H182" t="s">
        <v>5111</v>
      </c>
      <c r="I182" s="12">
        <v>45636</v>
      </c>
      <c r="J182">
        <v>1</v>
      </c>
      <c r="K182" t="str">
        <f>VLOOKUP(A182,'TV May Monthly Billing Sites'!$A:$L,1,0)</f>
        <v>25298174</v>
      </c>
    </row>
    <row r="183" spans="1:12">
      <c r="A183" t="str">
        <f t="shared" si="2"/>
        <v>25298565</v>
      </c>
      <c r="B183">
        <v>25298565</v>
      </c>
      <c r="C183" t="s">
        <v>5112</v>
      </c>
      <c r="D183" t="s">
        <v>5113</v>
      </c>
      <c r="E183">
        <v>4508675</v>
      </c>
      <c r="F183" t="s">
        <v>742</v>
      </c>
      <c r="G183" t="s">
        <v>828</v>
      </c>
      <c r="H183" t="s">
        <v>4894</v>
      </c>
      <c r="I183" s="12">
        <v>45450</v>
      </c>
      <c r="J183">
        <v>1</v>
      </c>
      <c r="K183" t="str">
        <f>VLOOKUP(A183,'TV May Monthly Billing Sites'!$A:$L,1,0)</f>
        <v>25298565</v>
      </c>
    </row>
    <row r="184" spans="1:12">
      <c r="A184" t="str">
        <f t="shared" si="2"/>
        <v>25298671</v>
      </c>
      <c r="B184">
        <v>25298671</v>
      </c>
      <c r="C184" t="s">
        <v>5114</v>
      </c>
      <c r="D184" t="s">
        <v>1849</v>
      </c>
      <c r="E184">
        <v>4508714</v>
      </c>
      <c r="F184" t="s">
        <v>742</v>
      </c>
      <c r="G184" t="s">
        <v>743</v>
      </c>
      <c r="H184" t="s">
        <v>5115</v>
      </c>
      <c r="I184" s="12">
        <v>45540</v>
      </c>
      <c r="J184">
        <v>1</v>
      </c>
      <c r="K184" t="str">
        <f>VLOOKUP(A184,'TV May Monthly Billing Sites'!$A:$L,1,0)</f>
        <v>25298671</v>
      </c>
    </row>
    <row r="185" spans="1:12">
      <c r="A185" t="str">
        <f t="shared" si="2"/>
        <v>25298808</v>
      </c>
      <c r="B185">
        <v>25298808</v>
      </c>
      <c r="C185" t="s">
        <v>5116</v>
      </c>
      <c r="D185" t="s">
        <v>1851</v>
      </c>
      <c r="E185">
        <v>4508714</v>
      </c>
      <c r="F185" t="s">
        <v>742</v>
      </c>
      <c r="G185" t="s">
        <v>743</v>
      </c>
      <c r="H185" t="s">
        <v>5117</v>
      </c>
      <c r="I185" s="12">
        <v>45834</v>
      </c>
      <c r="J185">
        <v>1</v>
      </c>
      <c r="K185" t="str">
        <f>VLOOKUP(A185,'TV May Monthly Billing Sites'!$A:$L,1,0)</f>
        <v>25298808</v>
      </c>
    </row>
    <row r="186" spans="1:12">
      <c r="A186" t="str">
        <f t="shared" si="2"/>
        <v>25298834</v>
      </c>
      <c r="B186">
        <v>25298834</v>
      </c>
      <c r="C186" t="s">
        <v>772</v>
      </c>
      <c r="D186" t="s">
        <v>773</v>
      </c>
      <c r="E186">
        <v>4508714</v>
      </c>
      <c r="F186" t="s">
        <v>742</v>
      </c>
      <c r="G186" t="s">
        <v>743</v>
      </c>
      <c r="H186" t="s">
        <v>774</v>
      </c>
      <c r="I186" s="12">
        <v>45930</v>
      </c>
      <c r="J186">
        <v>1</v>
      </c>
      <c r="K186" t="e">
        <f>VLOOKUP(A186,'TV May Monthly Billing Sites'!$A:$L,1,0)</f>
        <v>#N/A</v>
      </c>
      <c r="L186" t="e">
        <f>VLOOKUP(D186,'TV May Monthly Billing Sites'!$B:$L,1,0)</f>
        <v>#N/A</v>
      </c>
    </row>
    <row r="187" spans="1:12">
      <c r="A187" t="str">
        <f t="shared" si="2"/>
        <v>25298851</v>
      </c>
      <c r="B187">
        <v>25298851</v>
      </c>
      <c r="C187" t="s">
        <v>5118</v>
      </c>
      <c r="D187" t="s">
        <v>1853</v>
      </c>
      <c r="E187">
        <v>4508714</v>
      </c>
      <c r="F187" t="s">
        <v>742</v>
      </c>
      <c r="G187" t="s">
        <v>743</v>
      </c>
      <c r="H187" t="s">
        <v>5117</v>
      </c>
      <c r="I187" s="12">
        <v>45834</v>
      </c>
      <c r="J187">
        <v>1</v>
      </c>
      <c r="K187" t="str">
        <f>VLOOKUP(A187,'TV May Monthly Billing Sites'!$A:$L,1,0)</f>
        <v>25298851</v>
      </c>
    </row>
    <row r="188" spans="1:12">
      <c r="A188" t="str">
        <f t="shared" si="2"/>
        <v>25298904</v>
      </c>
      <c r="B188">
        <v>25298904</v>
      </c>
      <c r="C188" t="s">
        <v>5119</v>
      </c>
      <c r="D188" t="s">
        <v>5120</v>
      </c>
      <c r="E188">
        <v>4408593</v>
      </c>
      <c r="F188" t="s">
        <v>742</v>
      </c>
      <c r="G188" t="s">
        <v>782</v>
      </c>
      <c r="H188" t="s">
        <v>5121</v>
      </c>
      <c r="I188" s="12">
        <v>45719</v>
      </c>
      <c r="J188">
        <v>1</v>
      </c>
      <c r="K188" t="str">
        <f>VLOOKUP(A188,'TV May Monthly Billing Sites'!$A:$L,1,0)</f>
        <v>25298904</v>
      </c>
    </row>
    <row r="189" spans="1:12">
      <c r="A189" t="str">
        <f t="shared" si="2"/>
        <v>25298955</v>
      </c>
      <c r="B189">
        <v>25298955</v>
      </c>
      <c r="C189" t="s">
        <v>5122</v>
      </c>
      <c r="D189" t="s">
        <v>1857</v>
      </c>
      <c r="E189">
        <v>4508714</v>
      </c>
      <c r="F189" t="s">
        <v>742</v>
      </c>
      <c r="G189" t="s">
        <v>743</v>
      </c>
      <c r="H189" t="s">
        <v>5123</v>
      </c>
      <c r="I189" s="12">
        <v>46021</v>
      </c>
      <c r="J189">
        <v>1</v>
      </c>
      <c r="K189" t="str">
        <f>VLOOKUP(A189,'TV May Monthly Billing Sites'!$A:$L,1,0)</f>
        <v>25298955</v>
      </c>
    </row>
    <row r="190" spans="1:12">
      <c r="A190" t="str">
        <f t="shared" si="2"/>
        <v>25299004</v>
      </c>
      <c r="B190">
        <v>25299004</v>
      </c>
      <c r="C190" t="s">
        <v>5124</v>
      </c>
      <c r="D190" t="s">
        <v>5125</v>
      </c>
      <c r="E190">
        <v>4508714</v>
      </c>
      <c r="F190" t="s">
        <v>742</v>
      </c>
      <c r="G190" t="s">
        <v>743</v>
      </c>
      <c r="H190" t="s">
        <v>816</v>
      </c>
      <c r="I190" s="12">
        <v>45597</v>
      </c>
      <c r="J190">
        <v>1</v>
      </c>
      <c r="K190" t="str">
        <f>VLOOKUP(A190,'TV May Monthly Billing Sites'!$A:$L,1,0)</f>
        <v>25299004</v>
      </c>
    </row>
    <row r="191" spans="1:12">
      <c r="A191" t="str">
        <f t="shared" si="2"/>
        <v>25299004</v>
      </c>
      <c r="B191">
        <v>25299004</v>
      </c>
      <c r="C191" t="s">
        <v>5126</v>
      </c>
      <c r="D191" t="s">
        <v>5125</v>
      </c>
      <c r="E191">
        <v>4508714</v>
      </c>
      <c r="F191" t="s">
        <v>742</v>
      </c>
      <c r="G191" t="s">
        <v>743</v>
      </c>
      <c r="H191" t="s">
        <v>816</v>
      </c>
      <c r="I191" s="12">
        <v>45597</v>
      </c>
      <c r="J191">
        <v>1</v>
      </c>
      <c r="K191" t="str">
        <f>VLOOKUP(A191,'TV May Monthly Billing Sites'!$A:$L,1,0)</f>
        <v>25299004</v>
      </c>
    </row>
    <row r="192" spans="1:12">
      <c r="A192" t="str">
        <f t="shared" si="2"/>
        <v>25299176</v>
      </c>
      <c r="B192">
        <v>25299176</v>
      </c>
      <c r="C192" t="s">
        <v>5127</v>
      </c>
      <c r="D192" t="s">
        <v>1861</v>
      </c>
      <c r="E192">
        <v>4508682</v>
      </c>
      <c r="F192" t="s">
        <v>742</v>
      </c>
      <c r="G192" t="s">
        <v>4879</v>
      </c>
      <c r="H192" t="s">
        <v>5128</v>
      </c>
      <c r="I192" s="12">
        <v>44655</v>
      </c>
      <c r="J192">
        <v>1</v>
      </c>
      <c r="K192" t="str">
        <f>VLOOKUP(A192,'TV May Monthly Billing Sites'!$A:$L,1,0)</f>
        <v>25299176</v>
      </c>
    </row>
    <row r="193" spans="1:12">
      <c r="A193" t="str">
        <f t="shared" si="2"/>
        <v>25300178</v>
      </c>
      <c r="B193">
        <v>25300178</v>
      </c>
      <c r="C193" t="s">
        <v>5129</v>
      </c>
      <c r="D193" t="s">
        <v>5130</v>
      </c>
      <c r="E193">
        <v>4508714</v>
      </c>
      <c r="F193" t="s">
        <v>742</v>
      </c>
      <c r="G193" t="s">
        <v>743</v>
      </c>
      <c r="H193" t="s">
        <v>5131</v>
      </c>
      <c r="I193" s="12">
        <v>46024</v>
      </c>
      <c r="J193">
        <v>1</v>
      </c>
      <c r="K193" t="str">
        <f>VLOOKUP(A193,'TV May Monthly Billing Sites'!$A:$L,1,0)</f>
        <v>25300178</v>
      </c>
    </row>
    <row r="194" spans="1:12">
      <c r="A194" t="str">
        <f t="shared" ref="A194:A257" si="3">TRIM(B194)</f>
        <v>25300229</v>
      </c>
      <c r="B194">
        <v>25300229</v>
      </c>
      <c r="C194" t="s">
        <v>5132</v>
      </c>
      <c r="D194" t="s">
        <v>5133</v>
      </c>
      <c r="E194">
        <v>4508714</v>
      </c>
      <c r="F194" t="s">
        <v>742</v>
      </c>
      <c r="G194" t="s">
        <v>743</v>
      </c>
      <c r="H194" t="s">
        <v>5134</v>
      </c>
      <c r="I194" s="12">
        <v>45659</v>
      </c>
      <c r="J194">
        <v>1</v>
      </c>
      <c r="K194" t="str">
        <f>VLOOKUP(A194,'TV May Monthly Billing Sites'!$A:$L,1,0)</f>
        <v>25300229</v>
      </c>
    </row>
    <row r="195" spans="1:12">
      <c r="A195" t="str">
        <f t="shared" si="3"/>
        <v>25300234</v>
      </c>
      <c r="B195">
        <v>25300234</v>
      </c>
      <c r="C195" t="s">
        <v>776</v>
      </c>
      <c r="D195" t="s">
        <v>777</v>
      </c>
      <c r="E195">
        <v>4508714</v>
      </c>
      <c r="F195" t="s">
        <v>742</v>
      </c>
      <c r="G195" t="s">
        <v>743</v>
      </c>
      <c r="H195" t="s">
        <v>778</v>
      </c>
      <c r="I195" s="12">
        <v>45967</v>
      </c>
      <c r="J195">
        <v>1</v>
      </c>
      <c r="K195" t="e">
        <f>VLOOKUP(A195,'TV May Monthly Billing Sites'!$A:$L,1,0)</f>
        <v>#N/A</v>
      </c>
      <c r="L195" t="e">
        <f>VLOOKUP(D195,'TV May Monthly Billing Sites'!$B:$L,1,0)</f>
        <v>#N/A</v>
      </c>
    </row>
    <row r="196" spans="1:12">
      <c r="A196" t="str">
        <f t="shared" si="3"/>
        <v>25300489</v>
      </c>
      <c r="B196">
        <v>25300489</v>
      </c>
      <c r="C196" t="s">
        <v>5135</v>
      </c>
      <c r="D196" t="s">
        <v>5136</v>
      </c>
      <c r="E196">
        <v>4408593</v>
      </c>
      <c r="F196" t="s">
        <v>742</v>
      </c>
      <c r="G196" t="s">
        <v>782</v>
      </c>
      <c r="H196" t="s">
        <v>5137</v>
      </c>
      <c r="I196" s="12">
        <v>45639</v>
      </c>
      <c r="J196">
        <v>1</v>
      </c>
      <c r="K196" t="str">
        <f>VLOOKUP(A196,'TV May Monthly Billing Sites'!$A:$L,1,0)</f>
        <v>25300489</v>
      </c>
    </row>
    <row r="197" spans="1:12">
      <c r="A197" t="str">
        <f t="shared" si="3"/>
        <v>25300521</v>
      </c>
      <c r="B197">
        <v>25300521</v>
      </c>
      <c r="C197" t="s">
        <v>5138</v>
      </c>
      <c r="D197" t="s">
        <v>5139</v>
      </c>
      <c r="E197">
        <v>4508675</v>
      </c>
      <c r="F197" t="s">
        <v>742</v>
      </c>
      <c r="G197" t="s">
        <v>828</v>
      </c>
      <c r="H197" t="s">
        <v>5121</v>
      </c>
      <c r="I197" s="12">
        <v>45719</v>
      </c>
      <c r="J197">
        <v>1</v>
      </c>
      <c r="K197" t="str">
        <f>VLOOKUP(A197,'TV May Monthly Billing Sites'!$A:$L,1,0)</f>
        <v>25300521</v>
      </c>
    </row>
    <row r="198" spans="1:12">
      <c r="A198" t="str">
        <f t="shared" si="3"/>
        <v>25300580</v>
      </c>
      <c r="B198">
        <v>25300580</v>
      </c>
      <c r="C198" t="s">
        <v>5140</v>
      </c>
      <c r="D198" t="s">
        <v>1871</v>
      </c>
      <c r="E198">
        <v>4408593</v>
      </c>
      <c r="F198" t="s">
        <v>742</v>
      </c>
      <c r="G198" t="s">
        <v>782</v>
      </c>
      <c r="H198" t="s">
        <v>5059</v>
      </c>
      <c r="I198" s="12">
        <v>45427</v>
      </c>
      <c r="J198">
        <v>1</v>
      </c>
      <c r="K198" t="str">
        <f>VLOOKUP(A198,'TV May Monthly Billing Sites'!$A:$L,1,0)</f>
        <v>25300580</v>
      </c>
    </row>
    <row r="199" spans="1:12">
      <c r="A199" t="str">
        <f t="shared" si="3"/>
        <v>29012602</v>
      </c>
      <c r="B199">
        <v>29012602</v>
      </c>
      <c r="C199" t="s">
        <v>780</v>
      </c>
      <c r="D199" t="s">
        <v>781</v>
      </c>
      <c r="E199">
        <v>4408593</v>
      </c>
      <c r="F199" t="s">
        <v>742</v>
      </c>
      <c r="G199" t="s">
        <v>782</v>
      </c>
      <c r="H199" t="s">
        <v>783</v>
      </c>
      <c r="I199" s="12">
        <v>45721</v>
      </c>
      <c r="J199">
        <v>1</v>
      </c>
      <c r="K199" t="e">
        <f>VLOOKUP(A199,'TV May Monthly Billing Sites'!$A:$L,1,0)</f>
        <v>#N/A</v>
      </c>
      <c r="L199" t="e">
        <f>VLOOKUP(D199,'TV May Monthly Billing Sites'!$B:$L,1,0)</f>
        <v>#N/A</v>
      </c>
    </row>
    <row r="200" spans="1:12">
      <c r="A200" t="str">
        <f t="shared" si="3"/>
        <v>29044101</v>
      </c>
      <c r="B200">
        <v>29044101</v>
      </c>
      <c r="C200" t="s">
        <v>5141</v>
      </c>
      <c r="D200" t="s">
        <v>1873</v>
      </c>
      <c r="E200">
        <v>4408593</v>
      </c>
      <c r="F200" t="s">
        <v>742</v>
      </c>
      <c r="G200" t="s">
        <v>782</v>
      </c>
      <c r="H200" t="s">
        <v>5142</v>
      </c>
      <c r="I200" s="12">
        <v>45799</v>
      </c>
      <c r="J200">
        <v>1</v>
      </c>
      <c r="K200" t="str">
        <f>VLOOKUP(A200,'TV May Monthly Billing Sites'!$A:$L,1,0)</f>
        <v>29044101</v>
      </c>
    </row>
    <row r="201" spans="1:12">
      <c r="A201" t="str">
        <f t="shared" si="3"/>
        <v>29095701</v>
      </c>
      <c r="B201">
        <v>29095701</v>
      </c>
      <c r="C201" t="s">
        <v>5143</v>
      </c>
      <c r="D201" t="s">
        <v>5144</v>
      </c>
      <c r="E201">
        <v>4408592</v>
      </c>
      <c r="F201" t="s">
        <v>742</v>
      </c>
      <c r="G201" t="s">
        <v>823</v>
      </c>
      <c r="H201" t="s">
        <v>5145</v>
      </c>
      <c r="I201" s="12">
        <v>45558</v>
      </c>
      <c r="J201">
        <v>1</v>
      </c>
      <c r="K201" t="str">
        <f>VLOOKUP(A201,'TV May Monthly Billing Sites'!$A:$L,1,0)</f>
        <v>29095701</v>
      </c>
    </row>
    <row r="202" spans="1:12">
      <c r="A202" t="str">
        <f t="shared" si="3"/>
        <v>29111401</v>
      </c>
      <c r="B202">
        <v>29111401</v>
      </c>
      <c r="C202" t="s">
        <v>5146</v>
      </c>
      <c r="D202" t="s">
        <v>5147</v>
      </c>
      <c r="E202">
        <v>4408592</v>
      </c>
      <c r="F202" t="s">
        <v>742</v>
      </c>
      <c r="G202" t="s">
        <v>823</v>
      </c>
      <c r="H202" t="s">
        <v>5147</v>
      </c>
      <c r="I202" s="12">
        <v>46059</v>
      </c>
      <c r="J202">
        <v>1</v>
      </c>
      <c r="K202" t="str">
        <f>VLOOKUP(A202,'TV May Monthly Billing Sites'!$A:$L,1,0)</f>
        <v>29111401</v>
      </c>
    </row>
    <row r="203" spans="1:12">
      <c r="A203" t="str">
        <f t="shared" si="3"/>
        <v>29115761</v>
      </c>
      <c r="B203">
        <v>29115761</v>
      </c>
      <c r="C203" t="s">
        <v>5148</v>
      </c>
      <c r="D203" t="s">
        <v>5149</v>
      </c>
      <c r="E203">
        <v>4508714</v>
      </c>
      <c r="F203" t="s">
        <v>742</v>
      </c>
      <c r="G203" t="s">
        <v>743</v>
      </c>
      <c r="H203" t="s">
        <v>5150</v>
      </c>
      <c r="I203" s="12">
        <v>45653</v>
      </c>
      <c r="J203">
        <v>1</v>
      </c>
      <c r="K203" t="str">
        <f>VLOOKUP(A203,'TV May Monthly Billing Sites'!$A:$L,1,0)</f>
        <v>29115761</v>
      </c>
    </row>
    <row r="204" spans="1:12">
      <c r="A204" t="str">
        <f t="shared" si="3"/>
        <v>29116172</v>
      </c>
      <c r="B204">
        <v>29116172</v>
      </c>
      <c r="C204" t="s">
        <v>5151</v>
      </c>
      <c r="D204" t="s">
        <v>1881</v>
      </c>
      <c r="E204">
        <v>4408592</v>
      </c>
      <c r="F204" t="s">
        <v>742</v>
      </c>
      <c r="G204" t="s">
        <v>823</v>
      </c>
      <c r="H204" t="s">
        <v>5142</v>
      </c>
      <c r="I204" s="12">
        <v>45775</v>
      </c>
      <c r="J204">
        <v>1</v>
      </c>
      <c r="K204" t="str">
        <f>VLOOKUP(A204,'TV May Monthly Billing Sites'!$A:$L,1,0)</f>
        <v>29116172</v>
      </c>
    </row>
    <row r="205" spans="1:12">
      <c r="A205" t="str">
        <f t="shared" si="3"/>
        <v>33001801</v>
      </c>
      <c r="B205">
        <v>33001801</v>
      </c>
      <c r="C205" t="s">
        <v>5152</v>
      </c>
      <c r="D205" t="s">
        <v>1883</v>
      </c>
      <c r="E205">
        <v>4508714</v>
      </c>
      <c r="F205" t="s">
        <v>742</v>
      </c>
      <c r="G205" t="s">
        <v>743</v>
      </c>
      <c r="H205" t="s">
        <v>1883</v>
      </c>
      <c r="I205" s="12">
        <v>46023</v>
      </c>
      <c r="J205">
        <v>1</v>
      </c>
      <c r="K205" t="str">
        <f>VLOOKUP(A205,'TV May Monthly Billing Sites'!$A:$L,1,0)</f>
        <v>33001801</v>
      </c>
    </row>
    <row r="206" spans="1:12">
      <c r="A206" t="str">
        <f t="shared" si="3"/>
        <v>33053503</v>
      </c>
      <c r="B206">
        <v>33053503</v>
      </c>
      <c r="C206" t="s">
        <v>5153</v>
      </c>
      <c r="D206" t="s">
        <v>1885</v>
      </c>
      <c r="E206">
        <v>4508714</v>
      </c>
      <c r="F206" t="s">
        <v>742</v>
      </c>
      <c r="G206" t="s">
        <v>743</v>
      </c>
      <c r="H206" t="s">
        <v>5123</v>
      </c>
      <c r="I206" s="12">
        <v>46021</v>
      </c>
      <c r="J206">
        <v>1</v>
      </c>
      <c r="K206" t="str">
        <f>VLOOKUP(A206,'TV May Monthly Billing Sites'!$A:$L,1,0)</f>
        <v>33053503</v>
      </c>
    </row>
    <row r="207" spans="1:12">
      <c r="A207" t="str">
        <f t="shared" si="3"/>
        <v>33053504</v>
      </c>
      <c r="B207">
        <v>33053504</v>
      </c>
      <c r="C207" t="s">
        <v>5154</v>
      </c>
      <c r="D207" t="s">
        <v>5155</v>
      </c>
      <c r="E207">
        <v>4508714</v>
      </c>
      <c r="F207" t="s">
        <v>742</v>
      </c>
      <c r="G207" t="s">
        <v>743</v>
      </c>
      <c r="H207" t="s">
        <v>5123</v>
      </c>
      <c r="I207" s="12">
        <v>46021</v>
      </c>
      <c r="J207">
        <v>1</v>
      </c>
      <c r="K207" t="str">
        <f>VLOOKUP(A207,'TV May Monthly Billing Sites'!$A:$L,1,0)</f>
        <v>33053504</v>
      </c>
    </row>
    <row r="208" spans="1:12">
      <c r="A208" t="str">
        <f t="shared" si="3"/>
        <v>33056001</v>
      </c>
      <c r="B208">
        <v>33056001</v>
      </c>
      <c r="C208" t="s">
        <v>5156</v>
      </c>
      <c r="D208" t="s">
        <v>1889</v>
      </c>
      <c r="E208">
        <v>4508714</v>
      </c>
      <c r="F208" t="s">
        <v>742</v>
      </c>
      <c r="G208" t="s">
        <v>743</v>
      </c>
      <c r="H208" t="s">
        <v>5157</v>
      </c>
      <c r="I208" s="12">
        <v>45742</v>
      </c>
      <c r="J208">
        <v>1</v>
      </c>
      <c r="K208" t="str">
        <f>VLOOKUP(A208,'TV May Monthly Billing Sites'!$A:$L,1,0)</f>
        <v>33056001</v>
      </c>
    </row>
    <row r="209" spans="1:12">
      <c r="A209" t="str">
        <f t="shared" si="3"/>
        <v>33062101</v>
      </c>
      <c r="B209">
        <v>33062101</v>
      </c>
      <c r="C209" t="s">
        <v>5158</v>
      </c>
      <c r="D209" t="s">
        <v>3887</v>
      </c>
      <c r="E209">
        <v>4408592</v>
      </c>
      <c r="F209" t="s">
        <v>742</v>
      </c>
      <c r="G209" t="s">
        <v>823</v>
      </c>
      <c r="H209" t="s">
        <v>5159</v>
      </c>
      <c r="I209" s="12">
        <v>45441</v>
      </c>
      <c r="J209">
        <v>1</v>
      </c>
      <c r="K209" t="e">
        <f>VLOOKUP(A209,'TV May Monthly Billing Sites'!$A:$L,1,0)</f>
        <v>#N/A</v>
      </c>
      <c r="L209" t="str">
        <f>VLOOKUP(D209,'TV May Monthly Billing Sites'!$B:$L,1,0)</f>
        <v>RICART HYUNDAI</v>
      </c>
    </row>
    <row r="210" spans="1:12">
      <c r="A210" t="str">
        <f t="shared" si="3"/>
        <v>33062109</v>
      </c>
      <c r="B210">
        <v>33062109</v>
      </c>
      <c r="C210" t="s">
        <v>5160</v>
      </c>
      <c r="D210" t="s">
        <v>5161</v>
      </c>
      <c r="E210">
        <v>4508714</v>
      </c>
      <c r="F210" t="s">
        <v>742</v>
      </c>
      <c r="G210" t="s">
        <v>743</v>
      </c>
      <c r="H210" t="s">
        <v>5159</v>
      </c>
      <c r="I210" s="12">
        <v>45441</v>
      </c>
      <c r="J210">
        <v>1</v>
      </c>
      <c r="K210" t="str">
        <f>VLOOKUP(A210,'TV May Monthly Billing Sites'!$A:$L,1,0)</f>
        <v>33062109</v>
      </c>
    </row>
    <row r="211" spans="1:12">
      <c r="A211" t="str">
        <f t="shared" si="3"/>
        <v>33071001</v>
      </c>
      <c r="B211">
        <v>33071001</v>
      </c>
      <c r="C211" t="s">
        <v>5162</v>
      </c>
      <c r="D211" t="s">
        <v>5163</v>
      </c>
      <c r="E211">
        <v>4408593</v>
      </c>
      <c r="F211" t="s">
        <v>742</v>
      </c>
      <c r="G211" t="s">
        <v>782</v>
      </c>
      <c r="H211" t="s">
        <v>5164</v>
      </c>
      <c r="I211" s="12">
        <v>45555</v>
      </c>
      <c r="J211">
        <v>1</v>
      </c>
      <c r="K211" t="str">
        <f>VLOOKUP(A211,'TV May Monthly Billing Sites'!$A:$L,1,0)</f>
        <v>33071001</v>
      </c>
    </row>
    <row r="212" spans="1:12">
      <c r="A212" t="str">
        <f t="shared" si="3"/>
        <v>33077301</v>
      </c>
      <c r="B212">
        <v>33077301</v>
      </c>
      <c r="C212" t="s">
        <v>5165</v>
      </c>
      <c r="D212" t="s">
        <v>5166</v>
      </c>
      <c r="E212">
        <v>4508714</v>
      </c>
      <c r="F212" t="s">
        <v>742</v>
      </c>
      <c r="G212" t="s">
        <v>743</v>
      </c>
      <c r="H212" t="s">
        <v>5167</v>
      </c>
      <c r="I212" s="12">
        <v>46090</v>
      </c>
      <c r="J212">
        <v>1</v>
      </c>
      <c r="K212" t="str">
        <f>VLOOKUP(A212,'TV May Monthly Billing Sites'!$A:$L,1,0)</f>
        <v>33077301</v>
      </c>
    </row>
    <row r="213" spans="1:12">
      <c r="A213" t="str">
        <f t="shared" si="3"/>
        <v>33101301</v>
      </c>
      <c r="B213">
        <v>33101301</v>
      </c>
      <c r="C213" t="s">
        <v>5168</v>
      </c>
      <c r="D213" t="s">
        <v>1899</v>
      </c>
      <c r="E213">
        <v>4508714</v>
      </c>
      <c r="F213" t="s">
        <v>742</v>
      </c>
      <c r="G213" t="s">
        <v>743</v>
      </c>
      <c r="H213" t="s">
        <v>1899</v>
      </c>
      <c r="I213" s="12">
        <v>45636</v>
      </c>
      <c r="J213">
        <v>1</v>
      </c>
      <c r="K213" t="str">
        <f>VLOOKUP(A213,'TV May Monthly Billing Sites'!$A:$L,1,0)</f>
        <v>33101301</v>
      </c>
    </row>
    <row r="214" spans="1:12">
      <c r="A214" t="str">
        <f t="shared" si="3"/>
        <v>33114901</v>
      </c>
      <c r="B214">
        <v>33114901</v>
      </c>
      <c r="C214" t="s">
        <v>5169</v>
      </c>
      <c r="D214" t="s">
        <v>1901</v>
      </c>
      <c r="E214">
        <v>4508714</v>
      </c>
      <c r="F214" t="s">
        <v>742</v>
      </c>
      <c r="G214" t="s">
        <v>743</v>
      </c>
      <c r="H214" t="s">
        <v>5170</v>
      </c>
      <c r="I214" s="12">
        <v>45636</v>
      </c>
      <c r="J214">
        <v>1</v>
      </c>
      <c r="K214" t="str">
        <f>VLOOKUP(A214,'TV May Monthly Billing Sites'!$A:$L,1,0)</f>
        <v>33114901</v>
      </c>
    </row>
    <row r="215" spans="1:12">
      <c r="A215" t="str">
        <f t="shared" si="3"/>
        <v>33118201</v>
      </c>
      <c r="B215">
        <v>33118201</v>
      </c>
      <c r="C215" t="s">
        <v>785</v>
      </c>
      <c r="D215" t="s">
        <v>786</v>
      </c>
      <c r="E215">
        <v>4408593</v>
      </c>
      <c r="F215" t="s">
        <v>742</v>
      </c>
      <c r="G215" t="s">
        <v>782</v>
      </c>
      <c r="H215" t="s">
        <v>787</v>
      </c>
      <c r="I215" s="12">
        <v>45636</v>
      </c>
      <c r="J215">
        <v>1</v>
      </c>
      <c r="K215" t="e">
        <f>VLOOKUP(A215,'TV May Monthly Billing Sites'!$A:$L,1,0)</f>
        <v>#N/A</v>
      </c>
      <c r="L215" t="e">
        <f>VLOOKUP(D215,'TV May Monthly Billing Sites'!$B:$L,1,0)</f>
        <v>#N/A</v>
      </c>
    </row>
    <row r="216" spans="1:12">
      <c r="A216" t="str">
        <f t="shared" si="3"/>
        <v>33118203</v>
      </c>
      <c r="B216">
        <v>33118203</v>
      </c>
      <c r="C216" t="s">
        <v>789</v>
      </c>
      <c r="D216" t="s">
        <v>790</v>
      </c>
      <c r="E216">
        <v>4408593</v>
      </c>
      <c r="F216" t="s">
        <v>742</v>
      </c>
      <c r="G216" t="s">
        <v>782</v>
      </c>
      <c r="H216" t="s">
        <v>787</v>
      </c>
      <c r="I216" s="12">
        <v>45636</v>
      </c>
      <c r="J216">
        <v>1</v>
      </c>
      <c r="K216" t="e">
        <f>VLOOKUP(A216,'TV May Monthly Billing Sites'!$A:$L,1,0)</f>
        <v>#N/A</v>
      </c>
      <c r="L216" t="e">
        <f>VLOOKUP(D216,'TV May Monthly Billing Sites'!$B:$L,1,0)</f>
        <v>#N/A</v>
      </c>
    </row>
    <row r="217" spans="1:12">
      <c r="A217" t="str">
        <f t="shared" si="3"/>
        <v>33172401</v>
      </c>
      <c r="B217">
        <v>33172401</v>
      </c>
      <c r="C217" t="s">
        <v>5171</v>
      </c>
      <c r="D217" t="s">
        <v>5172</v>
      </c>
      <c r="E217">
        <v>4508714</v>
      </c>
      <c r="F217" t="s">
        <v>742</v>
      </c>
      <c r="G217" t="s">
        <v>743</v>
      </c>
      <c r="H217" t="s">
        <v>5100</v>
      </c>
      <c r="I217" s="12">
        <v>45415</v>
      </c>
      <c r="J217">
        <v>1</v>
      </c>
      <c r="K217" t="str">
        <f>VLOOKUP(A217,'TV May Monthly Billing Sites'!$A:$L,1,0)</f>
        <v>33172401</v>
      </c>
    </row>
    <row r="218" spans="1:12">
      <c r="A218" t="str">
        <f t="shared" si="3"/>
        <v>33201001</v>
      </c>
      <c r="B218">
        <v>33201001</v>
      </c>
      <c r="C218" t="s">
        <v>5173</v>
      </c>
      <c r="D218" t="s">
        <v>3229</v>
      </c>
      <c r="E218">
        <v>4508714</v>
      </c>
      <c r="F218" t="s">
        <v>742</v>
      </c>
      <c r="G218" t="s">
        <v>743</v>
      </c>
      <c r="H218" t="s">
        <v>5174</v>
      </c>
      <c r="I218" s="12">
        <v>45967</v>
      </c>
      <c r="J218">
        <v>1</v>
      </c>
      <c r="K218" t="str">
        <f>VLOOKUP(A218,'TV May Monthly Billing Sites'!$A:$L,1,0)</f>
        <v>33201001</v>
      </c>
    </row>
    <row r="219" spans="1:12">
      <c r="A219" t="str">
        <f t="shared" si="3"/>
        <v>33239001</v>
      </c>
      <c r="B219">
        <v>33239001</v>
      </c>
      <c r="C219" t="s">
        <v>5175</v>
      </c>
      <c r="D219" t="s">
        <v>5176</v>
      </c>
      <c r="E219">
        <v>4408593</v>
      </c>
      <c r="F219" t="s">
        <v>742</v>
      </c>
      <c r="G219" t="s">
        <v>782</v>
      </c>
      <c r="H219" t="s">
        <v>5177</v>
      </c>
      <c r="I219" s="12">
        <v>45789</v>
      </c>
      <c r="J219">
        <v>1</v>
      </c>
      <c r="K219" t="str">
        <f>VLOOKUP(A219,'TV May Monthly Billing Sites'!$A:$L,1,0)</f>
        <v>33239001</v>
      </c>
    </row>
    <row r="220" spans="1:12">
      <c r="A220" t="str">
        <f t="shared" si="3"/>
        <v>37002001</v>
      </c>
      <c r="B220">
        <v>37002001</v>
      </c>
      <c r="C220" t="s">
        <v>5178</v>
      </c>
      <c r="D220" t="s">
        <v>5179</v>
      </c>
      <c r="E220">
        <v>4508714</v>
      </c>
      <c r="F220" t="s">
        <v>742</v>
      </c>
      <c r="G220" t="s">
        <v>743</v>
      </c>
      <c r="H220" t="s">
        <v>1909</v>
      </c>
      <c r="I220" s="12">
        <v>45569</v>
      </c>
      <c r="J220">
        <v>1</v>
      </c>
      <c r="K220" t="str">
        <f>VLOOKUP(A220,'TV May Monthly Billing Sites'!$A:$L,1,0)</f>
        <v>37002001</v>
      </c>
    </row>
    <row r="221" spans="1:12">
      <c r="A221" t="str">
        <f t="shared" si="3"/>
        <v>37005301</v>
      </c>
      <c r="B221">
        <v>37005301</v>
      </c>
      <c r="C221" t="s">
        <v>5180</v>
      </c>
      <c r="D221" t="s">
        <v>1911</v>
      </c>
      <c r="E221">
        <v>4508714</v>
      </c>
      <c r="F221" t="s">
        <v>742</v>
      </c>
      <c r="G221" t="s">
        <v>743</v>
      </c>
      <c r="H221" t="s">
        <v>1911</v>
      </c>
      <c r="I221" s="12">
        <v>45636</v>
      </c>
      <c r="J221">
        <v>1</v>
      </c>
      <c r="K221" t="str">
        <f>VLOOKUP(A221,'TV May Monthly Billing Sites'!$A:$L,1,0)</f>
        <v>37005301</v>
      </c>
    </row>
    <row r="222" spans="1:12">
      <c r="A222" t="str">
        <f t="shared" si="3"/>
        <v>37005801</v>
      </c>
      <c r="B222">
        <v>37005801</v>
      </c>
      <c r="C222" t="s">
        <v>5181</v>
      </c>
      <c r="D222" t="s">
        <v>5182</v>
      </c>
      <c r="E222">
        <v>4508714</v>
      </c>
      <c r="F222" t="s">
        <v>742</v>
      </c>
      <c r="G222" t="s">
        <v>743</v>
      </c>
      <c r="H222" t="s">
        <v>5183</v>
      </c>
      <c r="I222" s="12">
        <v>45628</v>
      </c>
      <c r="J222">
        <v>1</v>
      </c>
      <c r="K222" t="str">
        <f>VLOOKUP(A222,'TV May Monthly Billing Sites'!$A:$L,1,0)</f>
        <v>37005801</v>
      </c>
    </row>
    <row r="223" spans="1:12">
      <c r="A223" t="str">
        <f t="shared" si="3"/>
        <v>37014101</v>
      </c>
      <c r="B223">
        <v>37014101</v>
      </c>
      <c r="C223" t="s">
        <v>5184</v>
      </c>
      <c r="D223" t="s">
        <v>5185</v>
      </c>
      <c r="E223">
        <v>4508714</v>
      </c>
      <c r="F223" t="s">
        <v>742</v>
      </c>
      <c r="G223" t="s">
        <v>743</v>
      </c>
      <c r="H223" t="s">
        <v>5186</v>
      </c>
      <c r="I223" s="12">
        <v>45839</v>
      </c>
      <c r="J223">
        <v>1</v>
      </c>
      <c r="K223" t="str">
        <f>VLOOKUP(A223,'TV May Monthly Billing Sites'!$A:$L,1,0)</f>
        <v>37014101</v>
      </c>
    </row>
    <row r="224" spans="1:12">
      <c r="A224" t="str">
        <f t="shared" si="3"/>
        <v>37028301</v>
      </c>
      <c r="B224">
        <v>37028301</v>
      </c>
      <c r="C224" t="s">
        <v>5187</v>
      </c>
      <c r="D224" t="s">
        <v>5188</v>
      </c>
      <c r="E224">
        <v>4508714</v>
      </c>
      <c r="F224" t="s">
        <v>742</v>
      </c>
      <c r="G224" t="s">
        <v>743</v>
      </c>
      <c r="H224" t="s">
        <v>1917</v>
      </c>
      <c r="I224" s="12">
        <v>45897</v>
      </c>
      <c r="J224">
        <v>1</v>
      </c>
      <c r="K224" t="str">
        <f>VLOOKUP(A224,'TV May Monthly Billing Sites'!$A:$L,1,0)</f>
        <v>37028301</v>
      </c>
    </row>
    <row r="225" spans="1:12">
      <c r="A225" t="str">
        <f t="shared" si="3"/>
        <v>37028301</v>
      </c>
      <c r="B225">
        <v>37028301</v>
      </c>
      <c r="C225" t="s">
        <v>5189</v>
      </c>
      <c r="D225" t="s">
        <v>5188</v>
      </c>
      <c r="E225">
        <v>4508714</v>
      </c>
      <c r="F225" t="s">
        <v>742</v>
      </c>
      <c r="G225" t="s">
        <v>743</v>
      </c>
      <c r="H225" t="s">
        <v>1917</v>
      </c>
      <c r="I225" s="12">
        <v>45897</v>
      </c>
      <c r="J225">
        <v>1</v>
      </c>
      <c r="K225" t="str">
        <f>VLOOKUP(A225,'TV May Monthly Billing Sites'!$A:$L,1,0)</f>
        <v>37028301</v>
      </c>
    </row>
    <row r="226" spans="1:12">
      <c r="A226" t="str">
        <f t="shared" si="3"/>
        <v>37119401</v>
      </c>
      <c r="B226">
        <v>37119401</v>
      </c>
      <c r="C226" t="s">
        <v>792</v>
      </c>
      <c r="D226" t="s">
        <v>793</v>
      </c>
      <c r="E226">
        <v>4508714</v>
      </c>
      <c r="F226" t="s">
        <v>742</v>
      </c>
      <c r="G226" t="s">
        <v>743</v>
      </c>
      <c r="H226" t="s">
        <v>744</v>
      </c>
      <c r="I226" s="12">
        <v>45638</v>
      </c>
      <c r="J226">
        <v>1</v>
      </c>
      <c r="K226" t="e">
        <f>VLOOKUP(A226,'TV May Monthly Billing Sites'!$A:$L,1,0)</f>
        <v>#N/A</v>
      </c>
      <c r="L226" t="e">
        <f>VLOOKUP(D226,'TV May Monthly Billing Sites'!$B:$L,1,0)</f>
        <v>#N/A</v>
      </c>
    </row>
    <row r="227" spans="1:12">
      <c r="A227" t="str">
        <f t="shared" si="3"/>
        <v>37126801</v>
      </c>
      <c r="B227">
        <v>37126801</v>
      </c>
      <c r="C227" t="s">
        <v>5190</v>
      </c>
      <c r="D227" t="s">
        <v>5191</v>
      </c>
      <c r="E227">
        <v>4508714</v>
      </c>
      <c r="F227" t="s">
        <v>742</v>
      </c>
      <c r="G227" t="s">
        <v>743</v>
      </c>
      <c r="H227" t="s">
        <v>5192</v>
      </c>
      <c r="I227" s="12">
        <v>45635</v>
      </c>
      <c r="J227">
        <v>1</v>
      </c>
      <c r="K227" t="str">
        <f>VLOOKUP(A227,'TV May Monthly Billing Sites'!$A:$L,1,0)</f>
        <v>37126801</v>
      </c>
    </row>
    <row r="228" spans="1:12">
      <c r="A228" t="str">
        <f t="shared" si="3"/>
        <v>37136401</v>
      </c>
      <c r="B228">
        <v>37136401</v>
      </c>
      <c r="C228" t="s">
        <v>5193</v>
      </c>
      <c r="D228" t="s">
        <v>5194</v>
      </c>
      <c r="E228">
        <v>4508714</v>
      </c>
      <c r="F228" t="s">
        <v>742</v>
      </c>
      <c r="G228" t="s">
        <v>743</v>
      </c>
      <c r="H228" t="s">
        <v>1923</v>
      </c>
      <c r="I228" s="12">
        <v>45671</v>
      </c>
      <c r="J228">
        <v>1</v>
      </c>
      <c r="K228" t="str">
        <f>VLOOKUP(A228,'TV May Monthly Billing Sites'!$A:$L,1,0)</f>
        <v>37136401</v>
      </c>
    </row>
    <row r="229" spans="1:12">
      <c r="A229" t="str">
        <f t="shared" si="3"/>
        <v>37141201</v>
      </c>
      <c r="B229">
        <v>37141201</v>
      </c>
      <c r="C229" t="s">
        <v>5195</v>
      </c>
      <c r="D229" t="s">
        <v>5196</v>
      </c>
      <c r="E229">
        <v>4508714</v>
      </c>
      <c r="F229" t="s">
        <v>742</v>
      </c>
      <c r="G229" t="s">
        <v>743</v>
      </c>
      <c r="H229" t="s">
        <v>1213</v>
      </c>
      <c r="I229" s="12">
        <v>45813</v>
      </c>
      <c r="J229">
        <v>1</v>
      </c>
      <c r="K229" t="str">
        <f>VLOOKUP(A229,'TV May Monthly Billing Sites'!$A:$L,1,0)</f>
        <v>37141201</v>
      </c>
    </row>
    <row r="230" spans="1:12">
      <c r="A230" t="str">
        <f t="shared" si="3"/>
        <v>37143501</v>
      </c>
      <c r="B230">
        <v>37143501</v>
      </c>
      <c r="C230" t="s">
        <v>5197</v>
      </c>
      <c r="D230" t="s">
        <v>1928</v>
      </c>
      <c r="E230">
        <v>4508714</v>
      </c>
      <c r="F230" t="s">
        <v>742</v>
      </c>
      <c r="G230" t="s">
        <v>743</v>
      </c>
      <c r="H230" t="s">
        <v>5198</v>
      </c>
      <c r="I230" s="12">
        <v>45639</v>
      </c>
      <c r="J230">
        <v>1</v>
      </c>
      <c r="K230" t="str">
        <f>VLOOKUP(A230,'TV May Monthly Billing Sites'!$A:$L,1,0)</f>
        <v>37143501</v>
      </c>
    </row>
    <row r="231" spans="1:12">
      <c r="A231" t="str">
        <f t="shared" si="3"/>
        <v>37158101</v>
      </c>
      <c r="B231">
        <v>37158101</v>
      </c>
      <c r="C231" t="s">
        <v>5199</v>
      </c>
      <c r="D231" t="s">
        <v>1930</v>
      </c>
      <c r="E231">
        <v>4508714</v>
      </c>
      <c r="F231" t="s">
        <v>742</v>
      </c>
      <c r="G231" t="s">
        <v>743</v>
      </c>
      <c r="H231" t="s">
        <v>5200</v>
      </c>
      <c r="I231" s="12">
        <v>45961</v>
      </c>
      <c r="J231">
        <v>1</v>
      </c>
      <c r="K231" t="str">
        <f>VLOOKUP(A231,'TV May Monthly Billing Sites'!$A:$L,1,0)</f>
        <v>37158101</v>
      </c>
    </row>
    <row r="232" spans="1:12">
      <c r="A232" t="str">
        <f t="shared" si="3"/>
        <v>37193301</v>
      </c>
      <c r="B232">
        <v>37193301</v>
      </c>
      <c r="C232" t="s">
        <v>5201</v>
      </c>
      <c r="D232" t="s">
        <v>5202</v>
      </c>
      <c r="E232">
        <v>4408593</v>
      </c>
      <c r="F232" t="s">
        <v>742</v>
      </c>
      <c r="G232" t="s">
        <v>782</v>
      </c>
      <c r="H232" t="s">
        <v>5203</v>
      </c>
      <c r="I232" s="12">
        <v>45687</v>
      </c>
      <c r="J232">
        <v>1</v>
      </c>
      <c r="K232" t="str">
        <f>VLOOKUP(A232,'TV May Monthly Billing Sites'!$A:$L,1,0)</f>
        <v>37193301</v>
      </c>
    </row>
    <row r="233" spans="1:12">
      <c r="A233" t="str">
        <f t="shared" si="3"/>
        <v>37213002</v>
      </c>
      <c r="B233">
        <v>37213002</v>
      </c>
      <c r="C233" t="s">
        <v>5204</v>
      </c>
      <c r="D233" t="s">
        <v>1934</v>
      </c>
      <c r="E233">
        <v>4508714</v>
      </c>
      <c r="F233" t="s">
        <v>742</v>
      </c>
      <c r="G233" t="s">
        <v>743</v>
      </c>
      <c r="H233" t="s">
        <v>5205</v>
      </c>
      <c r="I233" s="12">
        <v>45733</v>
      </c>
      <c r="J233">
        <v>1</v>
      </c>
      <c r="K233" t="str">
        <f>VLOOKUP(A233,'TV May Monthly Billing Sites'!$A:$L,1,0)</f>
        <v>37213002</v>
      </c>
    </row>
    <row r="234" spans="1:12">
      <c r="A234" t="str">
        <f t="shared" si="3"/>
        <v>37216292</v>
      </c>
      <c r="B234">
        <v>37216292</v>
      </c>
      <c r="C234" t="s">
        <v>5206</v>
      </c>
      <c r="D234" t="s">
        <v>1936</v>
      </c>
      <c r="E234">
        <v>4508714</v>
      </c>
      <c r="F234" t="s">
        <v>742</v>
      </c>
      <c r="G234" t="s">
        <v>743</v>
      </c>
      <c r="H234" t="s">
        <v>5207</v>
      </c>
      <c r="I234" s="12">
        <v>45573</v>
      </c>
      <c r="J234">
        <v>1</v>
      </c>
      <c r="K234" t="str">
        <f>VLOOKUP(A234,'TV May Monthly Billing Sites'!$A:$L,1,0)</f>
        <v>37216292</v>
      </c>
    </row>
    <row r="235" spans="1:12">
      <c r="A235" t="str">
        <f t="shared" si="3"/>
        <v>37216293</v>
      </c>
      <c r="B235">
        <v>37216293</v>
      </c>
      <c r="C235" t="s">
        <v>5208</v>
      </c>
      <c r="D235" t="s">
        <v>1938</v>
      </c>
      <c r="E235">
        <v>4508714</v>
      </c>
      <c r="F235" t="s">
        <v>742</v>
      </c>
      <c r="G235" t="s">
        <v>743</v>
      </c>
      <c r="H235" t="s">
        <v>5207</v>
      </c>
      <c r="I235" s="12">
        <v>45573</v>
      </c>
      <c r="J235">
        <v>1</v>
      </c>
      <c r="K235" t="str">
        <f>VLOOKUP(A235,'TV May Monthly Billing Sites'!$A:$L,1,0)</f>
        <v>37216293</v>
      </c>
    </row>
    <row r="236" spans="1:12">
      <c r="A236" t="str">
        <f t="shared" si="3"/>
        <v>41002497</v>
      </c>
      <c r="B236">
        <v>41002497</v>
      </c>
      <c r="C236" t="s">
        <v>5209</v>
      </c>
      <c r="D236" t="s">
        <v>1940</v>
      </c>
      <c r="E236">
        <v>4408592</v>
      </c>
      <c r="F236" t="s">
        <v>742</v>
      </c>
      <c r="G236" t="s">
        <v>823</v>
      </c>
      <c r="H236" t="s">
        <v>5210</v>
      </c>
      <c r="I236" s="12">
        <v>45916</v>
      </c>
      <c r="J236">
        <v>1</v>
      </c>
      <c r="K236" t="str">
        <f>VLOOKUP(A236,'TV May Monthly Billing Sites'!$A:$L,1,0)</f>
        <v>41002497</v>
      </c>
    </row>
    <row r="237" spans="1:12">
      <c r="A237" t="str">
        <f t="shared" si="3"/>
        <v>41002528</v>
      </c>
      <c r="B237">
        <v>41002528</v>
      </c>
      <c r="C237" t="s">
        <v>5211</v>
      </c>
      <c r="D237" t="s">
        <v>5212</v>
      </c>
      <c r="E237">
        <v>4508714</v>
      </c>
      <c r="F237" t="s">
        <v>742</v>
      </c>
      <c r="G237" t="s">
        <v>743</v>
      </c>
      <c r="H237" t="s">
        <v>5213</v>
      </c>
      <c r="I237" s="12">
        <v>45659</v>
      </c>
      <c r="J237">
        <v>1</v>
      </c>
      <c r="K237" t="str">
        <f>VLOOKUP(A237,'TV May Monthly Billing Sites'!$A:$L,1,0)</f>
        <v>41002528</v>
      </c>
    </row>
    <row r="238" spans="1:12">
      <c r="A238" t="str">
        <f t="shared" si="3"/>
        <v>41002552</v>
      </c>
      <c r="B238">
        <v>41002552</v>
      </c>
      <c r="C238" t="s">
        <v>5214</v>
      </c>
      <c r="D238" t="s">
        <v>1944</v>
      </c>
      <c r="E238">
        <v>4408593</v>
      </c>
      <c r="F238" t="s">
        <v>742</v>
      </c>
      <c r="G238" t="s">
        <v>782</v>
      </c>
      <c r="H238" t="s">
        <v>5117</v>
      </c>
      <c r="I238" s="12">
        <v>45834</v>
      </c>
      <c r="J238">
        <v>1</v>
      </c>
      <c r="K238" t="str">
        <f>VLOOKUP(A238,'TV May Monthly Billing Sites'!$A:$L,1,0)</f>
        <v>41002552</v>
      </c>
    </row>
    <row r="239" spans="1:12">
      <c r="A239" t="str">
        <f t="shared" si="3"/>
        <v>41442601</v>
      </c>
      <c r="B239">
        <v>41442601</v>
      </c>
      <c r="C239" t="s">
        <v>5215</v>
      </c>
      <c r="D239" t="s">
        <v>1946</v>
      </c>
      <c r="E239">
        <v>4408592</v>
      </c>
      <c r="F239" t="s">
        <v>742</v>
      </c>
      <c r="G239" t="s">
        <v>823</v>
      </c>
      <c r="H239" t="s">
        <v>5216</v>
      </c>
      <c r="I239" s="12">
        <v>45776</v>
      </c>
      <c r="J239">
        <v>1</v>
      </c>
      <c r="K239" t="str">
        <f>VLOOKUP(A239,'TV May Monthly Billing Sites'!$A:$L,1,0)</f>
        <v>41442601</v>
      </c>
    </row>
    <row r="240" spans="1:12">
      <c r="A240" t="str">
        <f t="shared" si="3"/>
        <v>41529201</v>
      </c>
      <c r="B240">
        <v>41529201</v>
      </c>
      <c r="C240" t="s">
        <v>5217</v>
      </c>
      <c r="D240" t="s">
        <v>1948</v>
      </c>
      <c r="E240">
        <v>4508714</v>
      </c>
      <c r="F240" t="s">
        <v>742</v>
      </c>
      <c r="G240" t="s">
        <v>743</v>
      </c>
      <c r="H240" t="s">
        <v>5218</v>
      </c>
      <c r="I240" s="12">
        <v>45992</v>
      </c>
      <c r="J240">
        <v>1</v>
      </c>
      <c r="K240" t="str">
        <f>VLOOKUP(A240,'TV May Monthly Billing Sites'!$A:$L,1,0)</f>
        <v>41529201</v>
      </c>
    </row>
    <row r="241" spans="1:12">
      <c r="A241" t="str">
        <f t="shared" si="3"/>
        <v>42350801</v>
      </c>
      <c r="B241">
        <v>42350801</v>
      </c>
      <c r="C241" t="s">
        <v>795</v>
      </c>
      <c r="D241" t="s">
        <v>796</v>
      </c>
      <c r="E241">
        <v>4508714</v>
      </c>
      <c r="F241" t="s">
        <v>742</v>
      </c>
      <c r="G241" t="s">
        <v>743</v>
      </c>
      <c r="H241" t="s">
        <v>797</v>
      </c>
      <c r="I241" s="12">
        <v>45635</v>
      </c>
      <c r="J241">
        <v>1</v>
      </c>
      <c r="K241" t="e">
        <f>VLOOKUP(A241,'TV May Monthly Billing Sites'!$A:$L,1,0)</f>
        <v>#N/A</v>
      </c>
      <c r="L241" t="e">
        <f>VLOOKUP(D241,'TV May Monthly Billing Sites'!$B:$L,1,0)</f>
        <v>#N/A</v>
      </c>
    </row>
    <row r="242" spans="1:12">
      <c r="A242" t="str">
        <f t="shared" si="3"/>
        <v>42522601</v>
      </c>
      <c r="B242">
        <v>42522601</v>
      </c>
      <c r="C242" t="s">
        <v>5219</v>
      </c>
      <c r="D242" t="s">
        <v>5220</v>
      </c>
      <c r="E242">
        <v>4408593</v>
      </c>
      <c r="F242" t="s">
        <v>742</v>
      </c>
      <c r="G242" t="s">
        <v>782</v>
      </c>
      <c r="H242" t="s">
        <v>5221</v>
      </c>
      <c r="I242" s="12">
        <v>45604</v>
      </c>
      <c r="J242">
        <v>1</v>
      </c>
      <c r="K242" t="str">
        <f>VLOOKUP(A242,'TV May Monthly Billing Sites'!$A:$L,1,0)</f>
        <v>42522601</v>
      </c>
    </row>
    <row r="243" spans="1:12">
      <c r="A243" t="str">
        <f t="shared" si="3"/>
        <v>42743401</v>
      </c>
      <c r="B243">
        <v>42743401</v>
      </c>
      <c r="C243" t="s">
        <v>5222</v>
      </c>
      <c r="D243" t="s">
        <v>5223</v>
      </c>
      <c r="E243">
        <v>4508714</v>
      </c>
      <c r="F243" t="s">
        <v>742</v>
      </c>
      <c r="G243" t="s">
        <v>743</v>
      </c>
      <c r="H243" t="s">
        <v>4860</v>
      </c>
      <c r="I243" s="12">
        <v>45902</v>
      </c>
      <c r="J243">
        <v>1</v>
      </c>
      <c r="K243" t="str">
        <f>VLOOKUP(A243,'TV May Monthly Billing Sites'!$A:$L,1,0)</f>
        <v>42743401</v>
      </c>
    </row>
    <row r="244" spans="1:12">
      <c r="A244" t="str">
        <f t="shared" si="3"/>
        <v>42854401</v>
      </c>
      <c r="B244">
        <v>42854401</v>
      </c>
      <c r="C244" t="s">
        <v>5224</v>
      </c>
      <c r="D244" t="s">
        <v>1954</v>
      </c>
      <c r="E244">
        <v>4508714</v>
      </c>
      <c r="F244" t="s">
        <v>742</v>
      </c>
      <c r="G244" t="s">
        <v>743</v>
      </c>
      <c r="H244" t="s">
        <v>5225</v>
      </c>
      <c r="I244" s="12">
        <v>45974</v>
      </c>
      <c r="J244">
        <v>1</v>
      </c>
      <c r="K244" t="str">
        <f>VLOOKUP(A244,'TV May Monthly Billing Sites'!$A:$L,1,0)</f>
        <v>42854401</v>
      </c>
    </row>
    <row r="245" spans="1:12">
      <c r="A245" t="str">
        <f t="shared" si="3"/>
        <v>42923501</v>
      </c>
      <c r="B245">
        <v>42923501</v>
      </c>
      <c r="C245" t="s">
        <v>5226</v>
      </c>
      <c r="D245" t="s">
        <v>1956</v>
      </c>
      <c r="E245">
        <v>4508714</v>
      </c>
      <c r="F245" t="s">
        <v>742</v>
      </c>
      <c r="G245" t="s">
        <v>743</v>
      </c>
      <c r="H245" t="s">
        <v>1956</v>
      </c>
      <c r="I245" s="12">
        <v>45915</v>
      </c>
      <c r="J245">
        <v>1</v>
      </c>
      <c r="K245" t="str">
        <f>VLOOKUP(A245,'TV May Monthly Billing Sites'!$A:$L,1,0)</f>
        <v>42923501</v>
      </c>
    </row>
    <row r="246" spans="1:12">
      <c r="A246" t="str">
        <f t="shared" si="3"/>
        <v>43381001</v>
      </c>
      <c r="B246">
        <v>43381001</v>
      </c>
      <c r="C246" t="s">
        <v>5227</v>
      </c>
      <c r="D246" t="s">
        <v>5228</v>
      </c>
      <c r="E246">
        <v>4508714</v>
      </c>
      <c r="F246" t="s">
        <v>742</v>
      </c>
      <c r="G246" t="s">
        <v>743</v>
      </c>
      <c r="H246" t="s">
        <v>5229</v>
      </c>
      <c r="I246" s="12">
        <v>45989</v>
      </c>
      <c r="J246">
        <v>1</v>
      </c>
      <c r="K246" t="str">
        <f>VLOOKUP(A246,'TV May Monthly Billing Sites'!$A:$L,1,0)</f>
        <v>43381001</v>
      </c>
    </row>
    <row r="247" spans="1:12">
      <c r="A247" t="str">
        <f t="shared" si="3"/>
        <v>44815401</v>
      </c>
      <c r="B247">
        <v>44815401</v>
      </c>
      <c r="C247" t="s">
        <v>5230</v>
      </c>
      <c r="D247" t="s">
        <v>1962</v>
      </c>
      <c r="E247">
        <v>4508714</v>
      </c>
      <c r="F247" t="s">
        <v>742</v>
      </c>
      <c r="G247" t="s">
        <v>743</v>
      </c>
      <c r="H247" t="s">
        <v>1962</v>
      </c>
      <c r="I247" s="12">
        <v>45569</v>
      </c>
      <c r="J247">
        <v>1</v>
      </c>
      <c r="K247" t="str">
        <f>VLOOKUP(A247,'TV May Monthly Billing Sites'!$A:$L,1,0)</f>
        <v>44815401</v>
      </c>
    </row>
    <row r="248" spans="1:12">
      <c r="A248" t="str">
        <f t="shared" si="3"/>
        <v>45226301</v>
      </c>
      <c r="B248">
        <v>45226301</v>
      </c>
      <c r="C248" t="s">
        <v>5231</v>
      </c>
      <c r="D248" t="s">
        <v>1735</v>
      </c>
      <c r="E248">
        <v>4508714</v>
      </c>
      <c r="F248" t="s">
        <v>742</v>
      </c>
      <c r="G248" t="s">
        <v>743</v>
      </c>
      <c r="H248" t="s">
        <v>4869</v>
      </c>
      <c r="I248" s="12">
        <v>45800</v>
      </c>
      <c r="J248">
        <v>1</v>
      </c>
      <c r="K248" t="str">
        <f>VLOOKUP(A248,'TV May Monthly Billing Sites'!$A:$L,1,0)</f>
        <v>45226301</v>
      </c>
    </row>
    <row r="249" spans="1:12">
      <c r="A249" t="str">
        <f t="shared" si="3"/>
        <v>45226301</v>
      </c>
      <c r="B249">
        <v>45226301</v>
      </c>
      <c r="C249" t="s">
        <v>5232</v>
      </c>
      <c r="D249" t="s">
        <v>1735</v>
      </c>
      <c r="E249">
        <v>4508714</v>
      </c>
      <c r="F249" t="s">
        <v>742</v>
      </c>
      <c r="G249" t="s">
        <v>743</v>
      </c>
      <c r="H249" t="s">
        <v>4869</v>
      </c>
      <c r="I249" s="12">
        <v>45800</v>
      </c>
      <c r="J249">
        <v>1</v>
      </c>
      <c r="K249" t="str">
        <f>VLOOKUP(A249,'TV May Monthly Billing Sites'!$A:$L,1,0)</f>
        <v>45226301</v>
      </c>
    </row>
    <row r="250" spans="1:12">
      <c r="A250" t="str">
        <f t="shared" si="3"/>
        <v>45226301</v>
      </c>
      <c r="B250">
        <v>45226301</v>
      </c>
      <c r="C250" t="s">
        <v>5233</v>
      </c>
      <c r="D250" t="s">
        <v>1735</v>
      </c>
      <c r="E250">
        <v>4508714</v>
      </c>
      <c r="F250" t="s">
        <v>742</v>
      </c>
      <c r="G250" t="s">
        <v>743</v>
      </c>
      <c r="H250" t="s">
        <v>4869</v>
      </c>
      <c r="I250" s="12">
        <v>45800</v>
      </c>
      <c r="J250">
        <v>1</v>
      </c>
      <c r="K250" t="str">
        <f>VLOOKUP(A250,'TV May Monthly Billing Sites'!$A:$L,1,0)</f>
        <v>45226301</v>
      </c>
    </row>
    <row r="251" spans="1:12">
      <c r="A251" t="str">
        <f t="shared" si="3"/>
        <v>47000370</v>
      </c>
      <c r="B251">
        <v>47000370</v>
      </c>
      <c r="C251" t="s">
        <v>799</v>
      </c>
      <c r="D251" t="s">
        <v>800</v>
      </c>
      <c r="E251">
        <v>4508714</v>
      </c>
      <c r="F251" t="s">
        <v>742</v>
      </c>
      <c r="G251" t="s">
        <v>743</v>
      </c>
      <c r="H251" t="s">
        <v>801</v>
      </c>
      <c r="I251" s="12">
        <v>46098</v>
      </c>
      <c r="J251">
        <v>1</v>
      </c>
      <c r="K251" t="e">
        <f>VLOOKUP(A251,'TV May Monthly Billing Sites'!$A:$L,1,0)</f>
        <v>#N/A</v>
      </c>
      <c r="L251" t="e">
        <f>VLOOKUP(D251,'TV May Monthly Billing Sites'!$B:$L,1,0)</f>
        <v>#N/A</v>
      </c>
    </row>
    <row r="252" spans="1:12">
      <c r="A252" t="str">
        <f t="shared" si="3"/>
        <v>47001390</v>
      </c>
      <c r="B252">
        <v>47001390</v>
      </c>
      <c r="C252" t="s">
        <v>803</v>
      </c>
      <c r="D252" t="s">
        <v>804</v>
      </c>
      <c r="E252">
        <v>4508714</v>
      </c>
      <c r="F252" t="s">
        <v>742</v>
      </c>
      <c r="G252" t="s">
        <v>743</v>
      </c>
      <c r="H252" t="s">
        <v>805</v>
      </c>
      <c r="I252" s="12">
        <v>45772</v>
      </c>
      <c r="J252">
        <v>1</v>
      </c>
      <c r="K252" t="e">
        <f>VLOOKUP(A252,'TV May Monthly Billing Sites'!$A:$L,1,0)</f>
        <v>#N/A</v>
      </c>
      <c r="L252" t="e">
        <f>VLOOKUP(D252,'TV May Monthly Billing Sites'!$B:$L,1,0)</f>
        <v>#N/A</v>
      </c>
    </row>
    <row r="253" spans="1:12">
      <c r="A253" t="str">
        <f t="shared" si="3"/>
        <v>47001927</v>
      </c>
      <c r="B253">
        <v>47001927</v>
      </c>
      <c r="C253" t="s">
        <v>5234</v>
      </c>
      <c r="D253" t="s">
        <v>1968</v>
      </c>
      <c r="E253">
        <v>4508714</v>
      </c>
      <c r="F253" t="s">
        <v>742</v>
      </c>
      <c r="G253" t="s">
        <v>743</v>
      </c>
      <c r="H253" t="s">
        <v>5235</v>
      </c>
      <c r="I253" s="12">
        <v>45642</v>
      </c>
      <c r="J253">
        <v>1</v>
      </c>
      <c r="K253" t="str">
        <f>VLOOKUP(A253,'TV May Monthly Billing Sites'!$A:$L,1,0)</f>
        <v>47001927</v>
      </c>
    </row>
    <row r="254" spans="1:12">
      <c r="A254" t="str">
        <f t="shared" si="3"/>
        <v>52072201</v>
      </c>
      <c r="B254">
        <v>52072201</v>
      </c>
      <c r="C254" t="s">
        <v>5236</v>
      </c>
      <c r="D254" t="s">
        <v>5237</v>
      </c>
      <c r="E254">
        <v>4508714</v>
      </c>
      <c r="F254" t="s">
        <v>742</v>
      </c>
      <c r="G254" t="s">
        <v>743</v>
      </c>
      <c r="H254" t="s">
        <v>1179</v>
      </c>
      <c r="I254" s="12">
        <v>46065</v>
      </c>
      <c r="J254">
        <v>1</v>
      </c>
      <c r="K254" t="str">
        <f>VLOOKUP(A254,'TV May Monthly Billing Sites'!$A:$L,1,0)</f>
        <v>52072201</v>
      </c>
    </row>
    <row r="255" spans="1:12">
      <c r="A255" t="str">
        <f t="shared" si="3"/>
        <v>52082501</v>
      </c>
      <c r="B255">
        <v>52082501</v>
      </c>
      <c r="C255" t="s">
        <v>5238</v>
      </c>
      <c r="D255" t="s">
        <v>5239</v>
      </c>
      <c r="E255">
        <v>4508714</v>
      </c>
      <c r="F255" t="s">
        <v>742</v>
      </c>
      <c r="G255" t="s">
        <v>743</v>
      </c>
      <c r="H255" t="s">
        <v>5240</v>
      </c>
      <c r="I255" s="12">
        <v>45761</v>
      </c>
      <c r="J255">
        <v>1</v>
      </c>
      <c r="K255" t="str">
        <f>VLOOKUP(A255,'TV May Monthly Billing Sites'!$A:$L,1,0)</f>
        <v>52082501</v>
      </c>
    </row>
    <row r="256" spans="1:12">
      <c r="A256" t="str">
        <f t="shared" si="3"/>
        <v>52161001</v>
      </c>
      <c r="B256">
        <v>52161001</v>
      </c>
      <c r="C256" t="s">
        <v>5241</v>
      </c>
      <c r="D256" t="s">
        <v>1974</v>
      </c>
      <c r="E256">
        <v>4508714</v>
      </c>
      <c r="F256" t="s">
        <v>742</v>
      </c>
      <c r="G256" t="s">
        <v>743</v>
      </c>
      <c r="H256" t="s">
        <v>1974</v>
      </c>
      <c r="I256" s="12">
        <v>45492</v>
      </c>
      <c r="J256">
        <v>1</v>
      </c>
      <c r="K256" t="str">
        <f>VLOOKUP(A256,'TV May Monthly Billing Sites'!$A:$L,1,0)</f>
        <v>52161001</v>
      </c>
    </row>
    <row r="257" spans="1:12">
      <c r="A257" t="str">
        <f t="shared" si="3"/>
        <v>52214201</v>
      </c>
      <c r="B257">
        <v>52214201</v>
      </c>
      <c r="C257" t="s">
        <v>5242</v>
      </c>
      <c r="D257" t="s">
        <v>5243</v>
      </c>
      <c r="E257">
        <v>4508714</v>
      </c>
      <c r="F257" t="s">
        <v>742</v>
      </c>
      <c r="G257" t="s">
        <v>743</v>
      </c>
      <c r="H257" t="s">
        <v>5243</v>
      </c>
      <c r="I257" s="12">
        <v>45649</v>
      </c>
      <c r="J257">
        <v>1</v>
      </c>
      <c r="K257" t="str">
        <f>VLOOKUP(A257,'TV May Monthly Billing Sites'!$A:$L,1,0)</f>
        <v>52214201</v>
      </c>
    </row>
    <row r="258" spans="1:12">
      <c r="A258" t="str">
        <f t="shared" ref="A258:A321" si="4">TRIM(B258)</f>
        <v>52280001</v>
      </c>
      <c r="B258">
        <v>52280001</v>
      </c>
      <c r="C258" t="s">
        <v>5244</v>
      </c>
      <c r="D258" t="s">
        <v>1978</v>
      </c>
      <c r="E258">
        <v>4508714</v>
      </c>
      <c r="F258" t="s">
        <v>742</v>
      </c>
      <c r="G258" t="s">
        <v>743</v>
      </c>
      <c r="H258" t="s">
        <v>1978</v>
      </c>
      <c r="I258" s="12">
        <v>45936</v>
      </c>
      <c r="J258">
        <v>1</v>
      </c>
      <c r="K258" t="str">
        <f>VLOOKUP(A258,'TV May Monthly Billing Sites'!$A:$L,1,0)</f>
        <v>52280001</v>
      </c>
    </row>
    <row r="259" spans="1:12">
      <c r="A259" t="str">
        <f t="shared" si="4"/>
        <v>52404701</v>
      </c>
      <c r="B259">
        <v>52404701</v>
      </c>
      <c r="C259" t="s">
        <v>5245</v>
      </c>
      <c r="D259" t="s">
        <v>5246</v>
      </c>
      <c r="E259">
        <v>4408592</v>
      </c>
      <c r="F259" t="s">
        <v>742</v>
      </c>
      <c r="G259" t="s">
        <v>823</v>
      </c>
      <c r="H259" t="s">
        <v>4764</v>
      </c>
      <c r="I259" s="12">
        <v>44872</v>
      </c>
      <c r="J259">
        <v>1</v>
      </c>
      <c r="K259" t="str">
        <f>VLOOKUP(A259,'TV May Monthly Billing Sites'!$A:$L,1,0)</f>
        <v>52404701</v>
      </c>
    </row>
    <row r="260" spans="1:12">
      <c r="A260" t="str">
        <f t="shared" si="4"/>
        <v>52484601</v>
      </c>
      <c r="B260">
        <v>52484601</v>
      </c>
      <c r="C260" t="s">
        <v>5247</v>
      </c>
      <c r="D260" t="s">
        <v>1984</v>
      </c>
      <c r="E260">
        <v>4508714</v>
      </c>
      <c r="F260" t="s">
        <v>742</v>
      </c>
      <c r="G260" t="s">
        <v>743</v>
      </c>
      <c r="H260" t="s">
        <v>5248</v>
      </c>
      <c r="I260" s="12">
        <v>46002</v>
      </c>
      <c r="J260">
        <v>1</v>
      </c>
      <c r="K260" t="str">
        <f>VLOOKUP(A260,'TV May Monthly Billing Sites'!$A:$L,1,0)</f>
        <v>52484601</v>
      </c>
    </row>
    <row r="261" spans="1:12">
      <c r="A261" t="str">
        <f t="shared" si="4"/>
        <v>52694201</v>
      </c>
      <c r="B261">
        <v>52694201</v>
      </c>
      <c r="C261" t="s">
        <v>5249</v>
      </c>
      <c r="D261" t="s">
        <v>1986</v>
      </c>
      <c r="E261">
        <v>4508714</v>
      </c>
      <c r="F261" t="s">
        <v>742</v>
      </c>
      <c r="G261" t="s">
        <v>743</v>
      </c>
      <c r="H261" t="s">
        <v>1986</v>
      </c>
      <c r="I261" s="12">
        <v>46098</v>
      </c>
      <c r="J261">
        <v>1</v>
      </c>
      <c r="K261" t="str">
        <f>VLOOKUP(A261,'TV May Monthly Billing Sites'!$A:$L,1,0)</f>
        <v>52694201</v>
      </c>
    </row>
    <row r="262" spans="1:12">
      <c r="A262" t="str">
        <f t="shared" si="4"/>
        <v>53385401</v>
      </c>
      <c r="B262">
        <v>53385401</v>
      </c>
      <c r="C262" t="s">
        <v>5250</v>
      </c>
      <c r="D262" t="s">
        <v>5251</v>
      </c>
      <c r="E262">
        <v>4408593</v>
      </c>
      <c r="F262" t="s">
        <v>742</v>
      </c>
      <c r="G262" t="s">
        <v>782</v>
      </c>
      <c r="H262" t="s">
        <v>5252</v>
      </c>
      <c r="I262" s="12">
        <v>45646</v>
      </c>
      <c r="J262">
        <v>1</v>
      </c>
      <c r="K262" t="str">
        <f>VLOOKUP(A262,'TV May Monthly Billing Sites'!$A:$L,1,0)</f>
        <v>53385401</v>
      </c>
    </row>
    <row r="263" spans="1:12">
      <c r="A263" t="str">
        <f t="shared" si="4"/>
        <v>53536901</v>
      </c>
      <c r="B263">
        <v>53536901</v>
      </c>
      <c r="C263" t="s">
        <v>5253</v>
      </c>
      <c r="D263" t="s">
        <v>1990</v>
      </c>
      <c r="E263">
        <v>4408593</v>
      </c>
      <c r="F263" t="s">
        <v>742</v>
      </c>
      <c r="G263" t="s">
        <v>782</v>
      </c>
      <c r="H263" t="s">
        <v>5254</v>
      </c>
      <c r="I263" s="12">
        <v>45806</v>
      </c>
      <c r="J263">
        <v>1</v>
      </c>
      <c r="K263" t="str">
        <f>VLOOKUP(A263,'TV May Monthly Billing Sites'!$A:$L,1,0)</f>
        <v>53536901</v>
      </c>
    </row>
    <row r="264" spans="1:12">
      <c r="A264" t="str">
        <f t="shared" si="4"/>
        <v>53589301</v>
      </c>
      <c r="B264">
        <v>53589301</v>
      </c>
      <c r="C264" t="s">
        <v>5255</v>
      </c>
      <c r="D264" t="s">
        <v>1992</v>
      </c>
      <c r="E264">
        <v>4508714</v>
      </c>
      <c r="F264" t="s">
        <v>742</v>
      </c>
      <c r="G264" t="s">
        <v>743</v>
      </c>
      <c r="H264" t="s">
        <v>1992</v>
      </c>
      <c r="I264" s="12">
        <v>46006</v>
      </c>
      <c r="J264">
        <v>1</v>
      </c>
      <c r="K264" t="str">
        <f>VLOOKUP(A264,'TV May Monthly Billing Sites'!$A:$L,1,0)</f>
        <v>53589301</v>
      </c>
    </row>
    <row r="265" spans="1:12">
      <c r="A265" t="str">
        <f t="shared" si="4"/>
        <v>61000389</v>
      </c>
      <c r="B265">
        <v>61000389</v>
      </c>
      <c r="C265" t="s">
        <v>5256</v>
      </c>
      <c r="D265" t="s">
        <v>1994</v>
      </c>
      <c r="E265">
        <v>4408592</v>
      </c>
      <c r="F265" t="s">
        <v>742</v>
      </c>
      <c r="G265" t="s">
        <v>823</v>
      </c>
      <c r="H265" t="s">
        <v>5257</v>
      </c>
      <c r="I265" s="12">
        <v>45352</v>
      </c>
      <c r="J265">
        <v>1</v>
      </c>
      <c r="K265" t="str">
        <f>VLOOKUP(A265,'TV May Monthly Billing Sites'!$A:$L,1,0)</f>
        <v>61000389</v>
      </c>
    </row>
    <row r="266" spans="1:12">
      <c r="A266" t="str">
        <f t="shared" si="4"/>
        <v>61000863</v>
      </c>
      <c r="B266">
        <v>61000863</v>
      </c>
      <c r="C266" t="s">
        <v>5258</v>
      </c>
      <c r="D266" t="s">
        <v>5259</v>
      </c>
      <c r="E266">
        <v>4508714</v>
      </c>
      <c r="F266" t="s">
        <v>742</v>
      </c>
      <c r="G266" t="s">
        <v>743</v>
      </c>
      <c r="H266" t="s">
        <v>5260</v>
      </c>
      <c r="I266" s="12">
        <v>45804</v>
      </c>
      <c r="J266">
        <v>1</v>
      </c>
      <c r="K266" t="str">
        <f>VLOOKUP(A266,'TV May Monthly Billing Sites'!$A:$L,1,0)</f>
        <v>61000863</v>
      </c>
    </row>
    <row r="267" spans="1:12">
      <c r="A267" t="str">
        <f t="shared" si="4"/>
        <v>61001516</v>
      </c>
      <c r="B267">
        <v>61001516</v>
      </c>
      <c r="C267" t="s">
        <v>5261</v>
      </c>
      <c r="D267" t="s">
        <v>1998</v>
      </c>
      <c r="E267">
        <v>4508714</v>
      </c>
      <c r="F267" t="s">
        <v>742</v>
      </c>
      <c r="G267" t="s">
        <v>743</v>
      </c>
      <c r="H267" t="s">
        <v>5262</v>
      </c>
      <c r="I267" s="12">
        <v>45649</v>
      </c>
      <c r="J267">
        <v>1</v>
      </c>
      <c r="K267" t="str">
        <f>VLOOKUP(A267,'TV May Monthly Billing Sites'!$A:$L,1,0)</f>
        <v>61001516</v>
      </c>
    </row>
    <row r="268" spans="1:12">
      <c r="A268" t="str">
        <f t="shared" si="4"/>
        <v>61001594</v>
      </c>
      <c r="B268">
        <v>61001594</v>
      </c>
      <c r="C268" t="s">
        <v>5263</v>
      </c>
      <c r="D268" t="s">
        <v>5264</v>
      </c>
      <c r="E268">
        <v>4508714</v>
      </c>
      <c r="F268" t="s">
        <v>742</v>
      </c>
      <c r="G268" t="s">
        <v>743</v>
      </c>
      <c r="H268" t="s">
        <v>2000</v>
      </c>
      <c r="I268" s="12">
        <v>45589</v>
      </c>
      <c r="J268">
        <v>1</v>
      </c>
      <c r="K268" t="str">
        <f>VLOOKUP(A268,'TV May Monthly Billing Sites'!$A:$L,1,0)</f>
        <v>61001594</v>
      </c>
    </row>
    <row r="269" spans="1:12">
      <c r="A269" t="str">
        <f t="shared" si="4"/>
        <v>71034910</v>
      </c>
      <c r="B269">
        <v>71034910</v>
      </c>
      <c r="C269" t="s">
        <v>807</v>
      </c>
      <c r="D269" t="s">
        <v>808</v>
      </c>
      <c r="E269">
        <v>4508714</v>
      </c>
      <c r="F269" t="s">
        <v>742</v>
      </c>
      <c r="G269" t="s">
        <v>743</v>
      </c>
      <c r="H269" t="s">
        <v>805</v>
      </c>
      <c r="I269" s="12">
        <v>45772</v>
      </c>
      <c r="J269">
        <v>1</v>
      </c>
      <c r="K269" t="e">
        <f>VLOOKUP(A269,'TV May Monthly Billing Sites'!$A:$L,1,0)</f>
        <v>#N/A</v>
      </c>
      <c r="L269" t="e">
        <f>VLOOKUP(D269,'TV May Monthly Billing Sites'!$B:$L,1,0)</f>
        <v>#N/A</v>
      </c>
    </row>
    <row r="270" spans="1:12">
      <c r="A270" t="str">
        <f t="shared" si="4"/>
        <v>71035236</v>
      </c>
      <c r="B270">
        <v>71035236</v>
      </c>
      <c r="C270" t="s">
        <v>5265</v>
      </c>
      <c r="D270" t="s">
        <v>2002</v>
      </c>
      <c r="E270">
        <v>4508714</v>
      </c>
      <c r="F270" t="s">
        <v>742</v>
      </c>
      <c r="G270" t="s">
        <v>743</v>
      </c>
      <c r="H270" t="s">
        <v>5266</v>
      </c>
      <c r="I270" s="12">
        <v>45887</v>
      </c>
      <c r="J270">
        <v>1</v>
      </c>
      <c r="K270" t="str">
        <f>VLOOKUP(A270,'TV May Monthly Billing Sites'!$A:$L,1,0)</f>
        <v>71035236</v>
      </c>
    </row>
    <row r="271" spans="1:12">
      <c r="A271" t="str">
        <f t="shared" si="4"/>
        <v>71035283</v>
      </c>
      <c r="B271">
        <v>71035283</v>
      </c>
      <c r="C271" t="s">
        <v>5267</v>
      </c>
      <c r="D271" t="s">
        <v>2004</v>
      </c>
      <c r="E271">
        <v>4508675</v>
      </c>
      <c r="F271" t="s">
        <v>742</v>
      </c>
      <c r="G271" t="s">
        <v>828</v>
      </c>
      <c r="H271" t="s">
        <v>5268</v>
      </c>
      <c r="I271" s="12">
        <v>45594</v>
      </c>
      <c r="J271">
        <v>1</v>
      </c>
      <c r="K271" t="str">
        <f>VLOOKUP(A271,'TV May Monthly Billing Sites'!$A:$L,1,0)</f>
        <v>71035283</v>
      </c>
    </row>
    <row r="272" spans="1:12">
      <c r="A272" t="str">
        <f t="shared" si="4"/>
        <v>71037241</v>
      </c>
      <c r="B272">
        <v>71037241</v>
      </c>
      <c r="C272" t="s">
        <v>5269</v>
      </c>
      <c r="D272" t="s">
        <v>5270</v>
      </c>
      <c r="E272">
        <v>4508714</v>
      </c>
      <c r="F272" t="s">
        <v>742</v>
      </c>
      <c r="G272" t="s">
        <v>743</v>
      </c>
      <c r="H272" t="s">
        <v>2006</v>
      </c>
      <c r="I272" s="12">
        <v>45498</v>
      </c>
      <c r="J272">
        <v>1</v>
      </c>
      <c r="K272" t="str">
        <f>VLOOKUP(A272,'TV May Monthly Billing Sites'!$A:$L,1,0)</f>
        <v>71037241</v>
      </c>
    </row>
    <row r="273" spans="1:11">
      <c r="A273" t="str">
        <f t="shared" si="4"/>
        <v>71037486</v>
      </c>
      <c r="B273">
        <v>71037486</v>
      </c>
      <c r="C273" t="s">
        <v>5271</v>
      </c>
      <c r="D273" t="s">
        <v>2008</v>
      </c>
      <c r="E273">
        <v>4508714</v>
      </c>
      <c r="F273" t="s">
        <v>742</v>
      </c>
      <c r="G273" t="s">
        <v>743</v>
      </c>
      <c r="H273" t="s">
        <v>5272</v>
      </c>
      <c r="I273" s="12">
        <v>46044</v>
      </c>
      <c r="J273">
        <v>1</v>
      </c>
      <c r="K273" t="str">
        <f>VLOOKUP(A273,'TV May Monthly Billing Sites'!$A:$L,1,0)</f>
        <v>71037486</v>
      </c>
    </row>
    <row r="274" spans="1:11">
      <c r="A274" t="str">
        <f t="shared" si="4"/>
        <v>71037962</v>
      </c>
      <c r="B274">
        <v>71037962</v>
      </c>
      <c r="C274" t="s">
        <v>5273</v>
      </c>
      <c r="D274" t="s">
        <v>5274</v>
      </c>
      <c r="E274">
        <v>4508714</v>
      </c>
      <c r="F274" t="s">
        <v>742</v>
      </c>
      <c r="G274" t="s">
        <v>743</v>
      </c>
      <c r="H274" t="s">
        <v>5274</v>
      </c>
      <c r="I274" s="12">
        <v>45713</v>
      </c>
      <c r="J274">
        <v>1</v>
      </c>
      <c r="K274" t="str">
        <f>VLOOKUP(A274,'TV May Monthly Billing Sites'!$A:$L,1,0)</f>
        <v>71037962</v>
      </c>
    </row>
    <row r="275" spans="1:11">
      <c r="A275" t="str">
        <f t="shared" si="4"/>
        <v>71038239</v>
      </c>
      <c r="B275">
        <v>71038239</v>
      </c>
      <c r="C275" t="s">
        <v>5275</v>
      </c>
      <c r="D275" t="s">
        <v>5276</v>
      </c>
      <c r="E275">
        <v>4408592</v>
      </c>
      <c r="F275" t="s">
        <v>742</v>
      </c>
      <c r="G275" t="s">
        <v>823</v>
      </c>
      <c r="H275" t="s">
        <v>5076</v>
      </c>
      <c r="I275" s="12">
        <v>45247</v>
      </c>
      <c r="J275">
        <v>1</v>
      </c>
      <c r="K275" t="str">
        <f>VLOOKUP(A275,'TV May Monthly Billing Sites'!$A:$L,1,0)</f>
        <v>71038239</v>
      </c>
    </row>
    <row r="276" spans="1:11">
      <c r="A276" t="str">
        <f t="shared" si="4"/>
        <v>71039509</v>
      </c>
      <c r="B276">
        <v>71039509</v>
      </c>
      <c r="C276" t="s">
        <v>5277</v>
      </c>
      <c r="D276" t="s">
        <v>2014</v>
      </c>
      <c r="E276">
        <v>4508714</v>
      </c>
      <c r="F276" t="s">
        <v>742</v>
      </c>
      <c r="G276" t="s">
        <v>743</v>
      </c>
      <c r="H276" t="s">
        <v>5278</v>
      </c>
      <c r="I276" s="12">
        <v>45656</v>
      </c>
      <c r="J276">
        <v>1</v>
      </c>
      <c r="K276" t="str">
        <f>VLOOKUP(A276,'TV May Monthly Billing Sites'!$A:$L,1,0)</f>
        <v>71039509</v>
      </c>
    </row>
    <row r="277" spans="1:11">
      <c r="A277" t="str">
        <f t="shared" si="4"/>
        <v>71039591</v>
      </c>
      <c r="B277">
        <v>71039591</v>
      </c>
      <c r="C277" t="s">
        <v>5279</v>
      </c>
      <c r="D277" t="s">
        <v>5280</v>
      </c>
      <c r="E277">
        <v>4508714</v>
      </c>
      <c r="F277" t="s">
        <v>742</v>
      </c>
      <c r="G277" t="s">
        <v>743</v>
      </c>
      <c r="H277" t="s">
        <v>5281</v>
      </c>
      <c r="I277" s="12">
        <v>45589</v>
      </c>
      <c r="J277">
        <v>1</v>
      </c>
      <c r="K277" t="str">
        <f>VLOOKUP(A277,'TV May Monthly Billing Sites'!$A:$L,1,0)</f>
        <v>71039591</v>
      </c>
    </row>
    <row r="278" spans="1:11">
      <c r="A278" t="str">
        <f t="shared" si="4"/>
        <v>71039781</v>
      </c>
      <c r="B278">
        <v>71039781</v>
      </c>
      <c r="C278" t="s">
        <v>5282</v>
      </c>
      <c r="D278" t="s">
        <v>5283</v>
      </c>
      <c r="E278">
        <v>4508714</v>
      </c>
      <c r="F278" t="s">
        <v>742</v>
      </c>
      <c r="G278" t="s">
        <v>743</v>
      </c>
      <c r="H278" t="s">
        <v>5284</v>
      </c>
      <c r="I278" s="12">
        <v>46023</v>
      </c>
      <c r="J278">
        <v>1</v>
      </c>
      <c r="K278" t="str">
        <f>VLOOKUP(A278,'TV May Monthly Billing Sites'!$A:$L,1,0)</f>
        <v>71039781</v>
      </c>
    </row>
    <row r="279" spans="1:11">
      <c r="A279" t="str">
        <f t="shared" si="4"/>
        <v>71039883</v>
      </c>
      <c r="B279">
        <v>71039883</v>
      </c>
      <c r="C279" t="s">
        <v>5285</v>
      </c>
      <c r="D279" t="s">
        <v>2020</v>
      </c>
      <c r="E279">
        <v>4408592</v>
      </c>
      <c r="F279" t="s">
        <v>742</v>
      </c>
      <c r="G279" t="s">
        <v>823</v>
      </c>
      <c r="H279" t="s">
        <v>5286</v>
      </c>
      <c r="I279" s="12">
        <v>45139</v>
      </c>
      <c r="J279">
        <v>1</v>
      </c>
      <c r="K279" t="str">
        <f>VLOOKUP(A279,'TV May Monthly Billing Sites'!$A:$L,1,0)</f>
        <v>71039883</v>
      </c>
    </row>
    <row r="280" spans="1:11">
      <c r="A280" t="str">
        <f t="shared" si="4"/>
        <v>71040180</v>
      </c>
      <c r="B280">
        <v>71040180</v>
      </c>
      <c r="C280" t="s">
        <v>5287</v>
      </c>
      <c r="D280" t="s">
        <v>5288</v>
      </c>
      <c r="E280">
        <v>4408592</v>
      </c>
      <c r="F280" t="s">
        <v>742</v>
      </c>
      <c r="G280" t="s">
        <v>823</v>
      </c>
      <c r="H280" t="s">
        <v>5289</v>
      </c>
      <c r="I280" s="12">
        <v>45855</v>
      </c>
      <c r="J280">
        <v>1</v>
      </c>
      <c r="K280" t="str">
        <f>VLOOKUP(A280,'TV May Monthly Billing Sites'!$A:$L,1,0)</f>
        <v>71040180</v>
      </c>
    </row>
    <row r="281" spans="1:11">
      <c r="A281" t="str">
        <f t="shared" si="4"/>
        <v>71040243</v>
      </c>
      <c r="B281">
        <v>71040243</v>
      </c>
      <c r="C281" t="s">
        <v>5290</v>
      </c>
      <c r="D281" t="s">
        <v>5291</v>
      </c>
      <c r="E281">
        <v>4508714</v>
      </c>
      <c r="F281" t="s">
        <v>742</v>
      </c>
      <c r="G281" t="s">
        <v>743</v>
      </c>
      <c r="H281" t="s">
        <v>5292</v>
      </c>
      <c r="I281" s="12">
        <v>45635</v>
      </c>
      <c r="J281">
        <v>1</v>
      </c>
      <c r="K281" t="str">
        <f>VLOOKUP(A281,'TV May Monthly Billing Sites'!$A:$L,1,0)</f>
        <v>71040243</v>
      </c>
    </row>
    <row r="282" spans="1:11">
      <c r="A282" t="str">
        <f t="shared" si="4"/>
        <v>71040312</v>
      </c>
      <c r="B282">
        <v>71040312</v>
      </c>
      <c r="C282" t="s">
        <v>5293</v>
      </c>
      <c r="D282" t="s">
        <v>2026</v>
      </c>
      <c r="E282">
        <v>4408592</v>
      </c>
      <c r="F282" t="s">
        <v>742</v>
      </c>
      <c r="G282" t="s">
        <v>823</v>
      </c>
      <c r="H282" t="s">
        <v>5294</v>
      </c>
      <c r="I282" s="12">
        <v>46097</v>
      </c>
      <c r="J282">
        <v>1</v>
      </c>
      <c r="K282" t="str">
        <f>VLOOKUP(A282,'TV May Monthly Billing Sites'!$A:$L,1,0)</f>
        <v>71040312</v>
      </c>
    </row>
    <row r="283" spans="1:11">
      <c r="A283" t="str">
        <f t="shared" si="4"/>
        <v>71040663</v>
      </c>
      <c r="B283">
        <v>71040663</v>
      </c>
      <c r="C283" t="s">
        <v>5295</v>
      </c>
      <c r="D283" t="s">
        <v>2028</v>
      </c>
      <c r="E283">
        <v>4408592</v>
      </c>
      <c r="F283" t="s">
        <v>742</v>
      </c>
      <c r="G283" t="s">
        <v>823</v>
      </c>
      <c r="H283" t="s">
        <v>5286</v>
      </c>
      <c r="I283" s="12">
        <v>45139</v>
      </c>
      <c r="J283">
        <v>1</v>
      </c>
      <c r="K283" t="str">
        <f>VLOOKUP(A283,'TV May Monthly Billing Sites'!$A:$L,1,0)</f>
        <v>71040663</v>
      </c>
    </row>
    <row r="284" spans="1:11">
      <c r="A284" t="str">
        <f t="shared" si="4"/>
        <v>71040843</v>
      </c>
      <c r="B284">
        <v>71040843</v>
      </c>
      <c r="C284" t="s">
        <v>5296</v>
      </c>
      <c r="D284" t="s">
        <v>5297</v>
      </c>
      <c r="E284">
        <v>4508714</v>
      </c>
      <c r="F284" t="s">
        <v>742</v>
      </c>
      <c r="G284" t="s">
        <v>743</v>
      </c>
      <c r="H284" t="s">
        <v>5298</v>
      </c>
      <c r="I284" s="12">
        <v>45875</v>
      </c>
      <c r="J284">
        <v>1</v>
      </c>
      <c r="K284" t="str">
        <f>VLOOKUP(A284,'TV May Monthly Billing Sites'!$A:$L,1,0)</f>
        <v>71040843</v>
      </c>
    </row>
    <row r="285" spans="1:11">
      <c r="A285" t="str">
        <f t="shared" si="4"/>
        <v>71040845</v>
      </c>
      <c r="B285">
        <v>71040845</v>
      </c>
      <c r="C285" t="s">
        <v>5299</v>
      </c>
      <c r="D285" t="s">
        <v>5300</v>
      </c>
      <c r="E285">
        <v>4408593</v>
      </c>
      <c r="F285" t="s">
        <v>742</v>
      </c>
      <c r="G285" t="s">
        <v>782</v>
      </c>
      <c r="H285" t="s">
        <v>5298</v>
      </c>
      <c r="I285" s="12">
        <v>45875</v>
      </c>
      <c r="J285">
        <v>1</v>
      </c>
      <c r="K285" t="str">
        <f>VLOOKUP(A285,'TV May Monthly Billing Sites'!$A:$L,1,0)</f>
        <v>71040845</v>
      </c>
    </row>
    <row r="286" spans="1:11">
      <c r="A286" t="str">
        <f t="shared" si="4"/>
        <v>71041216</v>
      </c>
      <c r="B286">
        <v>71041216</v>
      </c>
      <c r="C286" t="s">
        <v>5301</v>
      </c>
      <c r="D286" t="s">
        <v>5302</v>
      </c>
      <c r="E286">
        <v>4508714</v>
      </c>
      <c r="F286" t="s">
        <v>742</v>
      </c>
      <c r="G286" t="s">
        <v>743</v>
      </c>
      <c r="H286" t="s">
        <v>5303</v>
      </c>
      <c r="I286" s="12">
        <v>46021</v>
      </c>
      <c r="J286">
        <v>1</v>
      </c>
      <c r="K286" t="str">
        <f>VLOOKUP(A286,'TV May Monthly Billing Sites'!$A:$L,1,0)</f>
        <v>71041216</v>
      </c>
    </row>
    <row r="287" spans="1:11">
      <c r="A287" t="str">
        <f t="shared" si="4"/>
        <v>71041279</v>
      </c>
      <c r="B287">
        <v>71041279</v>
      </c>
      <c r="C287" t="s">
        <v>5304</v>
      </c>
      <c r="D287" t="s">
        <v>5305</v>
      </c>
      <c r="E287">
        <v>4508714</v>
      </c>
      <c r="F287" t="s">
        <v>742</v>
      </c>
      <c r="G287" t="s">
        <v>743</v>
      </c>
      <c r="H287" t="s">
        <v>5306</v>
      </c>
      <c r="I287" s="12">
        <v>45765</v>
      </c>
      <c r="J287">
        <v>1</v>
      </c>
      <c r="K287" t="str">
        <f>VLOOKUP(A287,'TV May Monthly Billing Sites'!$A:$L,1,0)</f>
        <v>71041279</v>
      </c>
    </row>
    <row r="288" spans="1:11">
      <c r="A288" t="str">
        <f t="shared" si="4"/>
        <v>71041703</v>
      </c>
      <c r="B288">
        <v>71041703</v>
      </c>
      <c r="C288" t="s">
        <v>5307</v>
      </c>
      <c r="D288" t="s">
        <v>2038</v>
      </c>
      <c r="E288">
        <v>4408593</v>
      </c>
      <c r="F288" t="s">
        <v>742</v>
      </c>
      <c r="G288" t="s">
        <v>782</v>
      </c>
      <c r="H288" t="s">
        <v>5048</v>
      </c>
      <c r="I288" s="12">
        <v>46084</v>
      </c>
      <c r="J288">
        <v>1</v>
      </c>
      <c r="K288" t="str">
        <f>VLOOKUP(A288,'TV May Monthly Billing Sites'!$A:$L,1,0)</f>
        <v>71041703</v>
      </c>
    </row>
    <row r="289" spans="1:11">
      <c r="A289" t="str">
        <f t="shared" si="4"/>
        <v>71042001</v>
      </c>
      <c r="B289">
        <v>71042001</v>
      </c>
      <c r="C289" t="s">
        <v>5308</v>
      </c>
      <c r="D289" t="s">
        <v>5309</v>
      </c>
      <c r="E289">
        <v>4408593</v>
      </c>
      <c r="F289" t="s">
        <v>742</v>
      </c>
      <c r="G289" t="s">
        <v>782</v>
      </c>
      <c r="H289" t="s">
        <v>2040</v>
      </c>
      <c r="I289" s="12">
        <v>45637</v>
      </c>
      <c r="J289">
        <v>1</v>
      </c>
      <c r="K289" t="str">
        <f>VLOOKUP(A289,'TV May Monthly Billing Sites'!$A:$L,1,0)</f>
        <v>71042001</v>
      </c>
    </row>
    <row r="290" spans="1:11">
      <c r="A290" t="str">
        <f t="shared" si="4"/>
        <v>71042244</v>
      </c>
      <c r="B290">
        <v>71042244</v>
      </c>
      <c r="C290" t="s">
        <v>5310</v>
      </c>
      <c r="D290" t="s">
        <v>5311</v>
      </c>
      <c r="E290">
        <v>4508714</v>
      </c>
      <c r="F290" t="s">
        <v>742</v>
      </c>
      <c r="G290" t="s">
        <v>743</v>
      </c>
      <c r="H290" t="s">
        <v>5312</v>
      </c>
      <c r="I290" s="12">
        <v>45937</v>
      </c>
      <c r="J290">
        <v>1</v>
      </c>
      <c r="K290" t="str">
        <f>VLOOKUP(A290,'TV May Monthly Billing Sites'!$A:$L,1,0)</f>
        <v>71042244</v>
      </c>
    </row>
    <row r="291" spans="1:11">
      <c r="A291" t="str">
        <f t="shared" si="4"/>
        <v>71042332</v>
      </c>
      <c r="B291">
        <v>71042332</v>
      </c>
      <c r="C291" t="s">
        <v>5313</v>
      </c>
      <c r="D291" t="s">
        <v>2044</v>
      </c>
      <c r="E291">
        <v>4408593</v>
      </c>
      <c r="F291" t="s">
        <v>742</v>
      </c>
      <c r="G291" t="s">
        <v>782</v>
      </c>
      <c r="H291" t="s">
        <v>5314</v>
      </c>
      <c r="I291" s="12">
        <v>45982</v>
      </c>
      <c r="J291">
        <v>1</v>
      </c>
      <c r="K291" t="str">
        <f>VLOOKUP(A291,'TV May Monthly Billing Sites'!$A:$L,1,0)</f>
        <v>71042332</v>
      </c>
    </row>
    <row r="292" spans="1:11">
      <c r="A292" t="str">
        <f t="shared" si="4"/>
        <v>71042510</v>
      </c>
      <c r="B292">
        <v>71042510</v>
      </c>
      <c r="C292" t="s">
        <v>5315</v>
      </c>
      <c r="D292" t="s">
        <v>2046</v>
      </c>
      <c r="E292">
        <v>4508714</v>
      </c>
      <c r="F292" t="s">
        <v>742</v>
      </c>
      <c r="G292" t="s">
        <v>743</v>
      </c>
      <c r="H292" t="s">
        <v>5316</v>
      </c>
      <c r="I292" s="12">
        <v>45637</v>
      </c>
      <c r="J292">
        <v>1</v>
      </c>
      <c r="K292" t="str">
        <f>VLOOKUP(A292,'TV May Monthly Billing Sites'!$A:$L,1,0)</f>
        <v>71042510</v>
      </c>
    </row>
    <row r="293" spans="1:11">
      <c r="A293" t="str">
        <f t="shared" si="4"/>
        <v>71042591</v>
      </c>
      <c r="B293">
        <v>71042591</v>
      </c>
      <c r="C293" t="s">
        <v>5317</v>
      </c>
      <c r="D293" t="s">
        <v>2048</v>
      </c>
      <c r="E293">
        <v>4508675</v>
      </c>
      <c r="F293" t="s">
        <v>742</v>
      </c>
      <c r="G293" t="s">
        <v>828</v>
      </c>
      <c r="H293" t="s">
        <v>5318</v>
      </c>
      <c r="I293" s="12">
        <v>45967</v>
      </c>
      <c r="J293">
        <v>1</v>
      </c>
      <c r="K293" t="str">
        <f>VLOOKUP(A293,'TV May Monthly Billing Sites'!$A:$L,1,0)</f>
        <v>71042591</v>
      </c>
    </row>
    <row r="294" spans="1:11">
      <c r="A294" t="str">
        <f t="shared" si="4"/>
        <v>71042653</v>
      </c>
      <c r="B294">
        <v>71042653</v>
      </c>
      <c r="C294" t="s">
        <v>5319</v>
      </c>
      <c r="D294" t="s">
        <v>5320</v>
      </c>
      <c r="E294">
        <v>4508714</v>
      </c>
      <c r="F294" t="s">
        <v>742</v>
      </c>
      <c r="G294" t="s">
        <v>743</v>
      </c>
      <c r="H294" t="s">
        <v>5123</v>
      </c>
      <c r="I294" s="12">
        <v>46021</v>
      </c>
      <c r="J294">
        <v>1</v>
      </c>
      <c r="K294" t="str">
        <f>VLOOKUP(A294,'TV May Monthly Billing Sites'!$A:$L,1,0)</f>
        <v>71042653</v>
      </c>
    </row>
    <row r="295" spans="1:11">
      <c r="A295" t="str">
        <f t="shared" si="4"/>
        <v>71042671</v>
      </c>
      <c r="B295">
        <v>71042671</v>
      </c>
      <c r="C295" t="s">
        <v>5321</v>
      </c>
      <c r="D295" t="s">
        <v>5322</v>
      </c>
      <c r="E295">
        <v>4508714</v>
      </c>
      <c r="F295" t="s">
        <v>742</v>
      </c>
      <c r="G295" t="s">
        <v>743</v>
      </c>
      <c r="H295" t="s">
        <v>5306</v>
      </c>
      <c r="I295" s="12">
        <v>45765</v>
      </c>
      <c r="J295">
        <v>1</v>
      </c>
      <c r="K295" t="str">
        <f>VLOOKUP(A295,'TV May Monthly Billing Sites'!$A:$L,1,0)</f>
        <v>71042671</v>
      </c>
    </row>
    <row r="296" spans="1:11">
      <c r="A296" t="str">
        <f t="shared" si="4"/>
        <v>71043501</v>
      </c>
      <c r="B296">
        <v>71043501</v>
      </c>
      <c r="C296" t="s">
        <v>5323</v>
      </c>
      <c r="D296" t="s">
        <v>5324</v>
      </c>
      <c r="E296">
        <v>4508714</v>
      </c>
      <c r="F296" t="s">
        <v>742</v>
      </c>
      <c r="G296" t="s">
        <v>743</v>
      </c>
      <c r="H296" t="s">
        <v>5325</v>
      </c>
      <c r="I296" s="12">
        <v>45637</v>
      </c>
      <c r="J296">
        <v>1</v>
      </c>
      <c r="K296" t="str">
        <f>VLOOKUP(A296,'TV May Monthly Billing Sites'!$A:$L,1,0)</f>
        <v>71043501</v>
      </c>
    </row>
    <row r="297" spans="1:11">
      <c r="A297" t="str">
        <f t="shared" si="4"/>
        <v>71043919</v>
      </c>
      <c r="B297">
        <v>71043919</v>
      </c>
      <c r="C297" t="s">
        <v>5326</v>
      </c>
      <c r="D297" t="s">
        <v>2056</v>
      </c>
      <c r="E297">
        <v>4408593</v>
      </c>
      <c r="F297" t="s">
        <v>742</v>
      </c>
      <c r="G297" t="s">
        <v>782</v>
      </c>
      <c r="H297" t="s">
        <v>5327</v>
      </c>
      <c r="I297" s="12">
        <v>45735</v>
      </c>
      <c r="J297">
        <v>1</v>
      </c>
      <c r="K297" t="str">
        <f>VLOOKUP(A297,'TV May Monthly Billing Sites'!$A:$L,1,0)</f>
        <v>71043919</v>
      </c>
    </row>
    <row r="298" spans="1:11">
      <c r="A298" t="str">
        <f t="shared" si="4"/>
        <v>71043920</v>
      </c>
      <c r="B298">
        <v>71043920</v>
      </c>
      <c r="C298" t="s">
        <v>5328</v>
      </c>
      <c r="D298" t="s">
        <v>5329</v>
      </c>
      <c r="E298">
        <v>4508714</v>
      </c>
      <c r="F298" t="s">
        <v>742</v>
      </c>
      <c r="G298" t="s">
        <v>743</v>
      </c>
      <c r="H298" t="s">
        <v>5327</v>
      </c>
      <c r="I298" s="12">
        <v>45295</v>
      </c>
      <c r="J298">
        <v>1</v>
      </c>
      <c r="K298" t="str">
        <f>VLOOKUP(A298,'TV May Monthly Billing Sites'!$A:$L,1,0)</f>
        <v>71043920</v>
      </c>
    </row>
    <row r="299" spans="1:11">
      <c r="A299" t="str">
        <f t="shared" si="4"/>
        <v>71043922</v>
      </c>
      <c r="B299">
        <v>71043922</v>
      </c>
      <c r="C299" t="s">
        <v>5330</v>
      </c>
      <c r="D299" t="s">
        <v>1266</v>
      </c>
      <c r="E299">
        <v>4508714</v>
      </c>
      <c r="F299" t="s">
        <v>742</v>
      </c>
      <c r="G299" t="s">
        <v>743</v>
      </c>
      <c r="H299" t="s">
        <v>5327</v>
      </c>
      <c r="I299" s="12">
        <v>46115</v>
      </c>
      <c r="J299">
        <v>1</v>
      </c>
      <c r="K299" t="str">
        <f>VLOOKUP(A299,'TV May Monthly Billing Sites'!$A:$L,1,0)</f>
        <v>71043922</v>
      </c>
    </row>
    <row r="300" spans="1:11">
      <c r="A300" t="str">
        <f t="shared" si="4"/>
        <v>71043924</v>
      </c>
      <c r="B300">
        <v>71043924</v>
      </c>
      <c r="C300" t="s">
        <v>5331</v>
      </c>
      <c r="D300" t="s">
        <v>5332</v>
      </c>
      <c r="E300">
        <v>4508714</v>
      </c>
      <c r="F300" t="s">
        <v>742</v>
      </c>
      <c r="G300" t="s">
        <v>743</v>
      </c>
      <c r="H300" t="s">
        <v>5333</v>
      </c>
      <c r="I300" s="12">
        <v>45807</v>
      </c>
      <c r="J300">
        <v>1</v>
      </c>
      <c r="K300" t="str">
        <f>VLOOKUP(A300,'TV May Monthly Billing Sites'!$A:$L,1,0)</f>
        <v>71043924</v>
      </c>
    </row>
    <row r="301" spans="1:11">
      <c r="A301" t="str">
        <f t="shared" si="4"/>
        <v>71043960</v>
      </c>
      <c r="B301">
        <v>71043960</v>
      </c>
      <c r="C301" t="s">
        <v>5334</v>
      </c>
      <c r="D301" t="s">
        <v>5335</v>
      </c>
      <c r="E301">
        <v>4508714</v>
      </c>
      <c r="F301" t="s">
        <v>742</v>
      </c>
      <c r="G301" t="s">
        <v>743</v>
      </c>
      <c r="H301" t="s">
        <v>5336</v>
      </c>
      <c r="I301" s="12">
        <v>45762</v>
      </c>
      <c r="J301">
        <v>1</v>
      </c>
      <c r="K301" t="str">
        <f>VLOOKUP(A301,'TV May Monthly Billing Sites'!$A:$L,1,0)</f>
        <v>71043960</v>
      </c>
    </row>
    <row r="302" spans="1:11">
      <c r="A302" t="str">
        <f t="shared" si="4"/>
        <v>71044304</v>
      </c>
      <c r="B302">
        <v>71044304</v>
      </c>
      <c r="C302" t="s">
        <v>5337</v>
      </c>
      <c r="D302" t="s">
        <v>2064</v>
      </c>
      <c r="E302">
        <v>4508692</v>
      </c>
      <c r="F302" t="s">
        <v>742</v>
      </c>
      <c r="G302" t="s">
        <v>5338</v>
      </c>
      <c r="H302" t="s">
        <v>5339</v>
      </c>
      <c r="I302" s="12">
        <v>45813</v>
      </c>
      <c r="J302">
        <v>1</v>
      </c>
      <c r="K302" t="str">
        <f>VLOOKUP(A302,'TV May Monthly Billing Sites'!$A:$L,1,0)</f>
        <v>71044304</v>
      </c>
    </row>
    <row r="303" spans="1:11">
      <c r="A303" t="str">
        <f t="shared" si="4"/>
        <v>71044508</v>
      </c>
      <c r="B303">
        <v>71044508</v>
      </c>
      <c r="C303" t="s">
        <v>5340</v>
      </c>
      <c r="D303" t="s">
        <v>2066</v>
      </c>
      <c r="E303">
        <v>4408593</v>
      </c>
      <c r="F303" t="s">
        <v>742</v>
      </c>
      <c r="G303" t="s">
        <v>782</v>
      </c>
      <c r="H303" t="s">
        <v>5098</v>
      </c>
      <c r="I303" s="12">
        <v>45638</v>
      </c>
      <c r="J303">
        <v>1</v>
      </c>
      <c r="K303" t="str">
        <f>VLOOKUP(A303,'TV May Monthly Billing Sites'!$A:$L,1,0)</f>
        <v>71044508</v>
      </c>
    </row>
    <row r="304" spans="1:11">
      <c r="A304" t="str">
        <f t="shared" si="4"/>
        <v>71044818</v>
      </c>
      <c r="B304">
        <v>71044818</v>
      </c>
      <c r="C304" t="s">
        <v>5341</v>
      </c>
      <c r="D304" t="s">
        <v>2068</v>
      </c>
      <c r="E304">
        <v>4508675</v>
      </c>
      <c r="F304" t="s">
        <v>742</v>
      </c>
      <c r="G304" t="s">
        <v>828</v>
      </c>
      <c r="H304" t="s">
        <v>5342</v>
      </c>
      <c r="I304" s="12">
        <v>44642</v>
      </c>
      <c r="J304">
        <v>1</v>
      </c>
      <c r="K304" t="str">
        <f>VLOOKUP(A304,'TV May Monthly Billing Sites'!$A:$L,1,0)</f>
        <v>71044818</v>
      </c>
    </row>
    <row r="305" spans="1:12">
      <c r="A305" t="str">
        <f t="shared" si="4"/>
        <v>71044900</v>
      </c>
      <c r="B305">
        <v>71044900</v>
      </c>
      <c r="C305" t="s">
        <v>5343</v>
      </c>
      <c r="D305" t="s">
        <v>2070</v>
      </c>
      <c r="E305">
        <v>4408593</v>
      </c>
      <c r="F305" t="s">
        <v>742</v>
      </c>
      <c r="G305" t="s">
        <v>782</v>
      </c>
      <c r="H305" t="s">
        <v>5344</v>
      </c>
      <c r="I305" s="12">
        <v>45609</v>
      </c>
      <c r="J305">
        <v>1</v>
      </c>
      <c r="K305" t="str">
        <f>VLOOKUP(A305,'TV May Monthly Billing Sites'!$A:$L,1,0)</f>
        <v>71044900</v>
      </c>
    </row>
    <row r="306" spans="1:12">
      <c r="A306" t="str">
        <f t="shared" si="4"/>
        <v>71044907</v>
      </c>
      <c r="B306">
        <v>71044907</v>
      </c>
      <c r="C306" t="s">
        <v>5345</v>
      </c>
      <c r="D306" t="s">
        <v>2072</v>
      </c>
      <c r="E306">
        <v>4408593</v>
      </c>
      <c r="F306" t="s">
        <v>742</v>
      </c>
      <c r="G306" t="s">
        <v>782</v>
      </c>
      <c r="H306" t="s">
        <v>5344</v>
      </c>
      <c r="I306" s="12">
        <v>45609</v>
      </c>
      <c r="J306">
        <v>1</v>
      </c>
      <c r="K306" t="str">
        <f>VLOOKUP(A306,'TV May Monthly Billing Sites'!$A:$L,1,0)</f>
        <v>71044907</v>
      </c>
    </row>
    <row r="307" spans="1:12">
      <c r="A307" t="str">
        <f t="shared" si="4"/>
        <v>71044943</v>
      </c>
      <c r="B307">
        <v>71044943</v>
      </c>
      <c r="C307" t="s">
        <v>5346</v>
      </c>
      <c r="D307" t="s">
        <v>5347</v>
      </c>
      <c r="E307">
        <v>4408593</v>
      </c>
      <c r="F307" t="s">
        <v>742</v>
      </c>
      <c r="G307" t="s">
        <v>782</v>
      </c>
      <c r="H307" t="s">
        <v>5348</v>
      </c>
      <c r="I307" s="12">
        <v>46139</v>
      </c>
      <c r="J307">
        <v>1</v>
      </c>
      <c r="K307" t="str">
        <f>VLOOKUP(A307,'TV May Monthly Billing Sites'!$A:$L,1,0)</f>
        <v>71044943</v>
      </c>
    </row>
    <row r="308" spans="1:12">
      <c r="A308" t="str">
        <f t="shared" si="4"/>
        <v>71045434</v>
      </c>
      <c r="B308">
        <v>71045434</v>
      </c>
      <c r="C308" t="s">
        <v>5349</v>
      </c>
      <c r="D308" t="s">
        <v>5350</v>
      </c>
      <c r="E308">
        <v>4408592</v>
      </c>
      <c r="F308" t="s">
        <v>742</v>
      </c>
      <c r="G308" t="s">
        <v>823</v>
      </c>
      <c r="H308" t="s">
        <v>5011</v>
      </c>
      <c r="I308" s="12">
        <v>45569</v>
      </c>
      <c r="J308">
        <v>1</v>
      </c>
      <c r="K308" t="str">
        <f>VLOOKUP(A308,'TV May Monthly Billing Sites'!$A:$L,1,0)</f>
        <v>71045434</v>
      </c>
    </row>
    <row r="309" spans="1:12">
      <c r="A309" t="str">
        <f t="shared" si="4"/>
        <v>71045437</v>
      </c>
      <c r="B309">
        <v>71045437</v>
      </c>
      <c r="C309" t="s">
        <v>810</v>
      </c>
      <c r="D309" t="s">
        <v>811</v>
      </c>
      <c r="E309">
        <v>4508714</v>
      </c>
      <c r="F309" t="s">
        <v>742</v>
      </c>
      <c r="G309" t="s">
        <v>743</v>
      </c>
      <c r="H309" t="s">
        <v>812</v>
      </c>
      <c r="I309" s="12">
        <v>45931</v>
      </c>
      <c r="J309">
        <v>1</v>
      </c>
      <c r="K309" t="e">
        <f>VLOOKUP(A309,'TV May Monthly Billing Sites'!$A:$L,1,0)</f>
        <v>#N/A</v>
      </c>
      <c r="L309" t="e">
        <f>VLOOKUP(D309,'TV May Monthly Billing Sites'!$B:$L,1,0)</f>
        <v>#N/A</v>
      </c>
    </row>
    <row r="310" spans="1:12">
      <c r="A310" t="str">
        <f t="shared" si="4"/>
        <v>71045475</v>
      </c>
      <c r="B310">
        <v>71045475</v>
      </c>
      <c r="C310" t="s">
        <v>5351</v>
      </c>
      <c r="D310" t="s">
        <v>5352</v>
      </c>
      <c r="E310">
        <v>4508714</v>
      </c>
      <c r="F310" t="s">
        <v>742</v>
      </c>
      <c r="G310" t="s">
        <v>743</v>
      </c>
      <c r="H310" t="s">
        <v>4691</v>
      </c>
      <c r="I310" s="12">
        <v>45597</v>
      </c>
      <c r="J310">
        <v>1</v>
      </c>
      <c r="K310" t="str">
        <f>VLOOKUP(A310,'TV May Monthly Billing Sites'!$A:$L,1,0)</f>
        <v>71045475</v>
      </c>
    </row>
    <row r="311" spans="1:12">
      <c r="A311" t="str">
        <f t="shared" si="4"/>
        <v>71046168</v>
      </c>
      <c r="B311">
        <v>71046168</v>
      </c>
      <c r="C311" t="s">
        <v>5353</v>
      </c>
      <c r="D311" t="s">
        <v>5354</v>
      </c>
      <c r="E311">
        <v>4508714</v>
      </c>
      <c r="F311" t="s">
        <v>742</v>
      </c>
      <c r="G311" t="s">
        <v>743</v>
      </c>
      <c r="H311" t="s">
        <v>2080</v>
      </c>
      <c r="I311" s="12">
        <v>45628</v>
      </c>
      <c r="J311">
        <v>1</v>
      </c>
      <c r="K311" t="str">
        <f>VLOOKUP(A311,'TV May Monthly Billing Sites'!$A:$L,1,0)</f>
        <v>71046168</v>
      </c>
    </row>
    <row r="312" spans="1:12">
      <c r="A312" t="str">
        <f t="shared" si="4"/>
        <v>71046171</v>
      </c>
      <c r="B312">
        <v>71046171</v>
      </c>
      <c r="C312" t="s">
        <v>5355</v>
      </c>
      <c r="D312" t="s">
        <v>2082</v>
      </c>
      <c r="E312">
        <v>4408593</v>
      </c>
      <c r="F312" t="s">
        <v>742</v>
      </c>
      <c r="G312" t="s">
        <v>782</v>
      </c>
      <c r="H312" t="s">
        <v>841</v>
      </c>
      <c r="I312" s="12">
        <v>45681</v>
      </c>
      <c r="J312">
        <v>1</v>
      </c>
      <c r="K312" t="str">
        <f>VLOOKUP(A312,'TV May Monthly Billing Sites'!$A:$L,1,0)</f>
        <v>71046171</v>
      </c>
    </row>
    <row r="313" spans="1:12">
      <c r="A313" t="str">
        <f t="shared" si="4"/>
        <v>71046391</v>
      </c>
      <c r="B313">
        <v>71046391</v>
      </c>
      <c r="C313" t="s">
        <v>5356</v>
      </c>
      <c r="D313" t="s">
        <v>5357</v>
      </c>
      <c r="E313">
        <v>4508714</v>
      </c>
      <c r="F313" t="s">
        <v>742</v>
      </c>
      <c r="G313" t="s">
        <v>743</v>
      </c>
      <c r="H313" t="s">
        <v>5358</v>
      </c>
      <c r="I313" s="12">
        <v>46050</v>
      </c>
      <c r="J313">
        <v>1</v>
      </c>
      <c r="K313" t="str">
        <f>VLOOKUP(A313,'TV May Monthly Billing Sites'!$A:$L,1,0)</f>
        <v>71046391</v>
      </c>
    </row>
    <row r="314" spans="1:12">
      <c r="A314" t="str">
        <f t="shared" si="4"/>
        <v>71046598</v>
      </c>
      <c r="B314">
        <v>71046598</v>
      </c>
      <c r="C314" t="s">
        <v>5359</v>
      </c>
      <c r="D314" t="s">
        <v>5360</v>
      </c>
      <c r="E314">
        <v>4508714</v>
      </c>
      <c r="F314" t="s">
        <v>742</v>
      </c>
      <c r="G314" t="s">
        <v>743</v>
      </c>
      <c r="H314" t="s">
        <v>5361</v>
      </c>
      <c r="I314" s="12">
        <v>46038</v>
      </c>
      <c r="J314">
        <v>1</v>
      </c>
      <c r="K314" t="str">
        <f>VLOOKUP(A314,'TV May Monthly Billing Sites'!$A:$L,1,0)</f>
        <v>71046598</v>
      </c>
    </row>
    <row r="315" spans="1:12">
      <c r="A315" t="str">
        <f t="shared" si="4"/>
        <v>71046603</v>
      </c>
      <c r="B315">
        <v>71046603</v>
      </c>
      <c r="C315" t="s">
        <v>5362</v>
      </c>
      <c r="D315" t="s">
        <v>2088</v>
      </c>
      <c r="E315">
        <v>4508714</v>
      </c>
      <c r="F315" t="s">
        <v>742</v>
      </c>
      <c r="G315" t="s">
        <v>743</v>
      </c>
      <c r="H315" t="s">
        <v>5361</v>
      </c>
      <c r="I315" s="12">
        <v>46038</v>
      </c>
      <c r="J315">
        <v>1</v>
      </c>
      <c r="K315" t="str">
        <f>VLOOKUP(A315,'TV May Monthly Billing Sites'!$A:$L,1,0)</f>
        <v>71046603</v>
      </c>
    </row>
    <row r="316" spans="1:12">
      <c r="A316" t="str">
        <f t="shared" si="4"/>
        <v>71046703</v>
      </c>
      <c r="B316">
        <v>71046703</v>
      </c>
      <c r="C316" t="s">
        <v>5363</v>
      </c>
      <c r="D316" t="s">
        <v>2090</v>
      </c>
      <c r="E316">
        <v>4508714</v>
      </c>
      <c r="F316" t="s">
        <v>742</v>
      </c>
      <c r="G316" t="s">
        <v>743</v>
      </c>
      <c r="H316" t="s">
        <v>4942</v>
      </c>
      <c r="I316" s="12">
        <v>46017</v>
      </c>
      <c r="J316">
        <v>1</v>
      </c>
      <c r="K316" t="str">
        <f>VLOOKUP(A316,'TV May Monthly Billing Sites'!$A:$L,1,0)</f>
        <v>71046703</v>
      </c>
    </row>
    <row r="317" spans="1:12">
      <c r="A317" t="str">
        <f t="shared" si="4"/>
        <v>71046733</v>
      </c>
      <c r="B317">
        <v>71046733</v>
      </c>
      <c r="C317" t="s">
        <v>5364</v>
      </c>
      <c r="D317" t="s">
        <v>5365</v>
      </c>
      <c r="E317">
        <v>4508714</v>
      </c>
      <c r="F317" t="s">
        <v>742</v>
      </c>
      <c r="G317" t="s">
        <v>743</v>
      </c>
      <c r="H317" t="s">
        <v>5366</v>
      </c>
      <c r="I317" s="12">
        <v>45559</v>
      </c>
      <c r="J317">
        <v>1</v>
      </c>
      <c r="K317" t="str">
        <f>VLOOKUP(A317,'TV May Monthly Billing Sites'!$A:$L,1,0)</f>
        <v>71046733</v>
      </c>
    </row>
    <row r="318" spans="1:12">
      <c r="A318" t="str">
        <f t="shared" si="4"/>
        <v>71047155</v>
      </c>
      <c r="B318">
        <v>71047155</v>
      </c>
      <c r="C318" t="s">
        <v>5367</v>
      </c>
      <c r="D318" t="s">
        <v>5368</v>
      </c>
      <c r="E318">
        <v>4508714</v>
      </c>
      <c r="F318" t="s">
        <v>742</v>
      </c>
      <c r="G318" t="s">
        <v>743</v>
      </c>
      <c r="H318" t="s">
        <v>5369</v>
      </c>
      <c r="I318" s="12">
        <v>45621</v>
      </c>
      <c r="J318">
        <v>1</v>
      </c>
      <c r="K318" t="str">
        <f>VLOOKUP(A318,'TV May Monthly Billing Sites'!$A:$L,1,0)</f>
        <v>71047155</v>
      </c>
    </row>
    <row r="319" spans="1:12">
      <c r="A319" t="str">
        <f t="shared" si="4"/>
        <v>71047225</v>
      </c>
      <c r="B319">
        <v>71047225</v>
      </c>
      <c r="C319" t="s">
        <v>5370</v>
      </c>
      <c r="D319" t="s">
        <v>2096</v>
      </c>
      <c r="E319">
        <v>4508714</v>
      </c>
      <c r="F319" t="s">
        <v>742</v>
      </c>
      <c r="G319" t="s">
        <v>743</v>
      </c>
      <c r="H319" t="s">
        <v>2096</v>
      </c>
      <c r="I319" s="12">
        <v>45749</v>
      </c>
      <c r="J319">
        <v>1</v>
      </c>
      <c r="K319" t="str">
        <f>VLOOKUP(A319,'TV May Monthly Billing Sites'!$A:$L,1,0)</f>
        <v>71047225</v>
      </c>
    </row>
    <row r="320" spans="1:12">
      <c r="A320" t="str">
        <f t="shared" si="4"/>
        <v>71047244</v>
      </c>
      <c r="B320">
        <v>71047244</v>
      </c>
      <c r="C320" t="s">
        <v>5371</v>
      </c>
      <c r="D320" t="s">
        <v>5372</v>
      </c>
      <c r="E320">
        <v>4508714</v>
      </c>
      <c r="F320" t="s">
        <v>742</v>
      </c>
      <c r="G320" t="s">
        <v>743</v>
      </c>
      <c r="H320" t="s">
        <v>5327</v>
      </c>
      <c r="I320" s="12">
        <v>45295</v>
      </c>
      <c r="J320">
        <v>1</v>
      </c>
      <c r="K320" t="str">
        <f>VLOOKUP(A320,'TV May Monthly Billing Sites'!$A:$L,1,0)</f>
        <v>71047244</v>
      </c>
    </row>
    <row r="321" spans="1:12">
      <c r="A321" t="str">
        <f t="shared" si="4"/>
        <v>71047296</v>
      </c>
      <c r="B321">
        <v>71047296</v>
      </c>
      <c r="C321" t="s">
        <v>814</v>
      </c>
      <c r="D321" t="s">
        <v>815</v>
      </c>
      <c r="E321">
        <v>4508714</v>
      </c>
      <c r="F321" t="s">
        <v>742</v>
      </c>
      <c r="G321" t="s">
        <v>743</v>
      </c>
      <c r="H321" t="s">
        <v>816</v>
      </c>
      <c r="I321" s="12">
        <v>45597</v>
      </c>
      <c r="J321">
        <v>1</v>
      </c>
      <c r="K321" t="e">
        <f>VLOOKUP(A321,'TV May Monthly Billing Sites'!$A:$L,1,0)</f>
        <v>#N/A</v>
      </c>
      <c r="L321" t="e">
        <f>VLOOKUP(D321,'TV May Monthly Billing Sites'!$B:$L,1,0)</f>
        <v>#N/A</v>
      </c>
    </row>
    <row r="322" spans="1:12">
      <c r="A322" t="str">
        <f t="shared" ref="A322:A385" si="5">TRIM(B322)</f>
        <v>71047897</v>
      </c>
      <c r="B322">
        <v>71047897</v>
      </c>
      <c r="C322" t="s">
        <v>5373</v>
      </c>
      <c r="D322" t="s">
        <v>5374</v>
      </c>
      <c r="E322">
        <v>4508714</v>
      </c>
      <c r="F322" t="s">
        <v>742</v>
      </c>
      <c r="G322" t="s">
        <v>743</v>
      </c>
      <c r="H322" t="s">
        <v>5375</v>
      </c>
      <c r="I322" s="12">
        <v>45992</v>
      </c>
      <c r="J322">
        <v>1</v>
      </c>
      <c r="K322" t="str">
        <f>VLOOKUP(A322,'TV May Monthly Billing Sites'!$A:$L,1,0)</f>
        <v>71047897</v>
      </c>
    </row>
    <row r="323" spans="1:12">
      <c r="A323" t="str">
        <f t="shared" si="5"/>
        <v>71047899</v>
      </c>
      <c r="B323">
        <v>71047899</v>
      </c>
      <c r="C323" t="s">
        <v>5376</v>
      </c>
      <c r="D323" t="s">
        <v>2102</v>
      </c>
      <c r="E323">
        <v>4508714</v>
      </c>
      <c r="F323" t="s">
        <v>742</v>
      </c>
      <c r="G323" t="s">
        <v>743</v>
      </c>
      <c r="H323" t="s">
        <v>5375</v>
      </c>
      <c r="I323" s="12">
        <v>45992</v>
      </c>
      <c r="J323">
        <v>1</v>
      </c>
      <c r="K323" t="str">
        <f>VLOOKUP(A323,'TV May Monthly Billing Sites'!$A:$L,1,0)</f>
        <v>71047899</v>
      </c>
    </row>
    <row r="324" spans="1:12">
      <c r="A324" t="str">
        <f t="shared" si="5"/>
        <v>71047901</v>
      </c>
      <c r="B324">
        <v>71047901</v>
      </c>
      <c r="C324" t="s">
        <v>5377</v>
      </c>
      <c r="D324" t="s">
        <v>2104</v>
      </c>
      <c r="E324">
        <v>4508714</v>
      </c>
      <c r="F324" t="s">
        <v>742</v>
      </c>
      <c r="G324" t="s">
        <v>743</v>
      </c>
      <c r="H324" t="s">
        <v>5375</v>
      </c>
      <c r="I324" s="12">
        <v>46048</v>
      </c>
      <c r="J324">
        <v>1</v>
      </c>
      <c r="K324" t="str">
        <f>VLOOKUP(A324,'TV May Monthly Billing Sites'!$A:$L,1,0)</f>
        <v>71047901</v>
      </c>
    </row>
    <row r="325" spans="1:12">
      <c r="A325" t="str">
        <f t="shared" si="5"/>
        <v>71048080</v>
      </c>
      <c r="B325">
        <v>71048080</v>
      </c>
      <c r="C325" t="s">
        <v>5378</v>
      </c>
      <c r="D325" t="s">
        <v>2106</v>
      </c>
      <c r="E325">
        <v>4508714</v>
      </c>
      <c r="F325" t="s">
        <v>742</v>
      </c>
      <c r="G325" t="s">
        <v>743</v>
      </c>
      <c r="H325" t="s">
        <v>4990</v>
      </c>
      <c r="I325" s="12">
        <v>45721</v>
      </c>
      <c r="J325">
        <v>1</v>
      </c>
      <c r="K325" t="str">
        <f>VLOOKUP(A325,'TV May Monthly Billing Sites'!$A:$L,1,0)</f>
        <v>71048080</v>
      </c>
    </row>
    <row r="326" spans="1:12">
      <c r="A326" t="str">
        <f t="shared" si="5"/>
        <v>71048098</v>
      </c>
      <c r="B326">
        <v>71048098</v>
      </c>
      <c r="C326" t="s">
        <v>5379</v>
      </c>
      <c r="D326" t="s">
        <v>2108</v>
      </c>
      <c r="E326">
        <v>4408592</v>
      </c>
      <c r="F326" t="s">
        <v>742</v>
      </c>
      <c r="G326" t="s">
        <v>823</v>
      </c>
      <c r="H326" t="s">
        <v>4974</v>
      </c>
      <c r="I326" s="12">
        <v>45146</v>
      </c>
      <c r="J326">
        <v>1</v>
      </c>
      <c r="K326" t="str">
        <f>VLOOKUP(A326,'TV May Monthly Billing Sites'!$A:$L,1,0)</f>
        <v>71048098</v>
      </c>
    </row>
    <row r="327" spans="1:12">
      <c r="A327" t="str">
        <f t="shared" si="5"/>
        <v>71048102</v>
      </c>
      <c r="B327">
        <v>71048102</v>
      </c>
      <c r="C327" t="s">
        <v>5380</v>
      </c>
      <c r="D327" t="s">
        <v>5381</v>
      </c>
      <c r="E327">
        <v>4508714</v>
      </c>
      <c r="F327" t="s">
        <v>742</v>
      </c>
      <c r="G327" t="s">
        <v>743</v>
      </c>
      <c r="H327" t="s">
        <v>4974</v>
      </c>
      <c r="I327" s="12">
        <v>45638</v>
      </c>
      <c r="J327">
        <v>1</v>
      </c>
      <c r="K327" t="str">
        <f>VLOOKUP(A327,'TV May Monthly Billing Sites'!$A:$L,1,0)</f>
        <v>71048102</v>
      </c>
    </row>
    <row r="328" spans="1:12">
      <c r="A328" t="str">
        <f t="shared" si="5"/>
        <v>71048225</v>
      </c>
      <c r="B328">
        <v>71048225</v>
      </c>
      <c r="C328" t="s">
        <v>5382</v>
      </c>
      <c r="D328" t="s">
        <v>2112</v>
      </c>
      <c r="E328">
        <v>4408593</v>
      </c>
      <c r="F328" t="s">
        <v>742</v>
      </c>
      <c r="G328" t="s">
        <v>782</v>
      </c>
      <c r="H328" t="s">
        <v>5383</v>
      </c>
      <c r="I328" s="12">
        <v>45735</v>
      </c>
      <c r="J328">
        <v>1</v>
      </c>
      <c r="K328" t="str">
        <f>VLOOKUP(A328,'TV May Monthly Billing Sites'!$A:$L,1,0)</f>
        <v>71048225</v>
      </c>
    </row>
    <row r="329" spans="1:12">
      <c r="A329" t="str">
        <f t="shared" si="5"/>
        <v>71048536</v>
      </c>
      <c r="B329">
        <v>71048536</v>
      </c>
      <c r="C329" t="s">
        <v>5384</v>
      </c>
      <c r="D329" t="s">
        <v>2114</v>
      </c>
      <c r="E329">
        <v>4508714</v>
      </c>
      <c r="F329" t="s">
        <v>742</v>
      </c>
      <c r="G329" t="s">
        <v>743</v>
      </c>
      <c r="H329" t="s">
        <v>2114</v>
      </c>
      <c r="I329" s="12">
        <v>45964</v>
      </c>
      <c r="J329">
        <v>1</v>
      </c>
      <c r="K329" t="str">
        <f>VLOOKUP(A329,'TV May Monthly Billing Sites'!$A:$L,1,0)</f>
        <v>71048536</v>
      </c>
    </row>
    <row r="330" spans="1:12">
      <c r="A330" t="str">
        <f t="shared" si="5"/>
        <v>71048539</v>
      </c>
      <c r="B330">
        <v>71048539</v>
      </c>
      <c r="C330" t="s">
        <v>5385</v>
      </c>
      <c r="D330" t="s">
        <v>2116</v>
      </c>
      <c r="E330">
        <v>4508714</v>
      </c>
      <c r="F330" t="s">
        <v>742</v>
      </c>
      <c r="G330" t="s">
        <v>743</v>
      </c>
      <c r="H330" t="s">
        <v>5386</v>
      </c>
      <c r="I330" s="12">
        <v>46044</v>
      </c>
      <c r="J330">
        <v>1</v>
      </c>
      <c r="K330" t="str">
        <f>VLOOKUP(A330,'TV May Monthly Billing Sites'!$A:$L,1,0)</f>
        <v>71048539</v>
      </c>
    </row>
    <row r="331" spans="1:12">
      <c r="A331" t="str">
        <f t="shared" si="5"/>
        <v>71048600</v>
      </c>
      <c r="B331">
        <v>71048600</v>
      </c>
      <c r="C331" t="s">
        <v>818</v>
      </c>
      <c r="D331" t="s">
        <v>819</v>
      </c>
      <c r="E331">
        <v>4508714</v>
      </c>
      <c r="F331" t="s">
        <v>742</v>
      </c>
      <c r="G331" t="s">
        <v>743</v>
      </c>
      <c r="H331" t="s">
        <v>762</v>
      </c>
      <c r="I331" s="12">
        <v>45622</v>
      </c>
      <c r="J331">
        <v>1</v>
      </c>
      <c r="K331" t="e">
        <f>VLOOKUP(A331,'TV May Monthly Billing Sites'!$A:$L,1,0)</f>
        <v>#N/A</v>
      </c>
      <c r="L331" t="e">
        <f>VLOOKUP(D331,'TV May Monthly Billing Sites'!$B:$L,1,0)</f>
        <v>#N/A</v>
      </c>
    </row>
    <row r="332" spans="1:12">
      <c r="A332" t="str">
        <f t="shared" si="5"/>
        <v>71049257</v>
      </c>
      <c r="B332">
        <v>71049257</v>
      </c>
      <c r="C332" t="s">
        <v>5387</v>
      </c>
      <c r="D332" t="s">
        <v>2118</v>
      </c>
      <c r="E332">
        <v>4508714</v>
      </c>
      <c r="F332" t="s">
        <v>742</v>
      </c>
      <c r="G332" t="s">
        <v>743</v>
      </c>
      <c r="H332" t="s">
        <v>4734</v>
      </c>
      <c r="I332" s="12">
        <v>45897</v>
      </c>
      <c r="J332">
        <v>1</v>
      </c>
      <c r="K332" t="str">
        <f>VLOOKUP(A332,'TV May Monthly Billing Sites'!$A:$L,1,0)</f>
        <v>71049257</v>
      </c>
    </row>
    <row r="333" spans="1:12">
      <c r="A333" t="str">
        <f t="shared" si="5"/>
        <v>71049363</v>
      </c>
      <c r="B333">
        <v>71049363</v>
      </c>
      <c r="C333" t="s">
        <v>5388</v>
      </c>
      <c r="D333" t="s">
        <v>5389</v>
      </c>
      <c r="E333">
        <v>4508714</v>
      </c>
      <c r="F333" t="s">
        <v>742</v>
      </c>
      <c r="G333" t="s">
        <v>743</v>
      </c>
      <c r="H333" t="s">
        <v>4890</v>
      </c>
      <c r="I333" s="12">
        <v>45719</v>
      </c>
      <c r="J333">
        <v>1</v>
      </c>
      <c r="K333" t="str">
        <f>VLOOKUP(A333,'TV May Monthly Billing Sites'!$A:$L,1,0)</f>
        <v>71049363</v>
      </c>
    </row>
    <row r="334" spans="1:12">
      <c r="A334" t="str">
        <f t="shared" si="5"/>
        <v>71049755</v>
      </c>
      <c r="B334">
        <v>71049755</v>
      </c>
      <c r="C334" t="s">
        <v>5390</v>
      </c>
      <c r="D334" t="s">
        <v>5391</v>
      </c>
      <c r="E334">
        <v>4508714</v>
      </c>
      <c r="F334" t="s">
        <v>742</v>
      </c>
      <c r="G334" t="s">
        <v>743</v>
      </c>
      <c r="H334" t="s">
        <v>5218</v>
      </c>
      <c r="I334" s="12">
        <v>45992</v>
      </c>
      <c r="J334">
        <v>1</v>
      </c>
      <c r="K334" t="str">
        <f>VLOOKUP(A334,'TV May Monthly Billing Sites'!$A:$L,1,0)</f>
        <v>71049755</v>
      </c>
    </row>
    <row r="335" spans="1:12">
      <c r="A335" t="str">
        <f t="shared" si="5"/>
        <v>71049784</v>
      </c>
      <c r="B335">
        <v>71049784</v>
      </c>
      <c r="C335" t="s">
        <v>5392</v>
      </c>
      <c r="D335" t="s">
        <v>5393</v>
      </c>
      <c r="E335">
        <v>4508714</v>
      </c>
      <c r="F335" t="s">
        <v>742</v>
      </c>
      <c r="G335" t="s">
        <v>743</v>
      </c>
      <c r="H335" t="s">
        <v>5306</v>
      </c>
      <c r="I335" s="12">
        <v>45821</v>
      </c>
      <c r="J335">
        <v>1</v>
      </c>
      <c r="K335" t="str">
        <f>VLOOKUP(A335,'TV May Monthly Billing Sites'!$A:$L,1,0)</f>
        <v>71049784</v>
      </c>
    </row>
    <row r="336" spans="1:12">
      <c r="A336" t="str">
        <f t="shared" si="5"/>
        <v>71049915</v>
      </c>
      <c r="B336">
        <v>71049915</v>
      </c>
      <c r="C336" t="s">
        <v>5394</v>
      </c>
      <c r="D336" t="s">
        <v>2126</v>
      </c>
      <c r="E336">
        <v>4508714</v>
      </c>
      <c r="F336" t="s">
        <v>742</v>
      </c>
      <c r="G336" t="s">
        <v>743</v>
      </c>
      <c r="H336" t="s">
        <v>5312</v>
      </c>
      <c r="I336" s="12">
        <v>45937</v>
      </c>
      <c r="J336">
        <v>1</v>
      </c>
      <c r="K336" t="str">
        <f>VLOOKUP(A336,'TV May Monthly Billing Sites'!$A:$L,1,0)</f>
        <v>71049915</v>
      </c>
    </row>
    <row r="337" spans="1:11">
      <c r="A337" t="str">
        <f t="shared" si="5"/>
        <v>71050645</v>
      </c>
      <c r="B337">
        <v>71050645</v>
      </c>
      <c r="C337" t="s">
        <v>5395</v>
      </c>
      <c r="D337" t="s">
        <v>2128</v>
      </c>
      <c r="E337">
        <v>4508714</v>
      </c>
      <c r="F337" t="s">
        <v>742</v>
      </c>
      <c r="G337" t="s">
        <v>743</v>
      </c>
      <c r="H337" t="s">
        <v>4938</v>
      </c>
      <c r="I337" s="12">
        <v>45604</v>
      </c>
      <c r="J337">
        <v>1</v>
      </c>
      <c r="K337" t="str">
        <f>VLOOKUP(A337,'TV May Monthly Billing Sites'!$A:$L,1,0)</f>
        <v>71050645</v>
      </c>
    </row>
    <row r="338" spans="1:11">
      <c r="A338" t="str">
        <f t="shared" si="5"/>
        <v>71050665</v>
      </c>
      <c r="B338">
        <v>71050665</v>
      </c>
      <c r="C338" t="s">
        <v>5396</v>
      </c>
      <c r="D338" t="s">
        <v>2130</v>
      </c>
      <c r="E338">
        <v>4508714</v>
      </c>
      <c r="F338" t="s">
        <v>742</v>
      </c>
      <c r="G338" t="s">
        <v>743</v>
      </c>
      <c r="H338" t="s">
        <v>5082</v>
      </c>
      <c r="I338" s="12">
        <v>45964</v>
      </c>
      <c r="J338">
        <v>1</v>
      </c>
      <c r="K338" t="str">
        <f>VLOOKUP(A338,'TV May Monthly Billing Sites'!$A:$L,1,0)</f>
        <v>71050665</v>
      </c>
    </row>
    <row r="339" spans="1:11">
      <c r="A339" t="str">
        <f t="shared" si="5"/>
        <v>71050674</v>
      </c>
      <c r="B339">
        <v>71050674</v>
      </c>
      <c r="C339" t="s">
        <v>5397</v>
      </c>
      <c r="D339" t="s">
        <v>2132</v>
      </c>
      <c r="E339">
        <v>4508714</v>
      </c>
      <c r="F339" t="s">
        <v>742</v>
      </c>
      <c r="G339" t="s">
        <v>743</v>
      </c>
      <c r="H339" t="s">
        <v>5398</v>
      </c>
      <c r="I339" s="12">
        <v>45565</v>
      </c>
      <c r="J339">
        <v>1</v>
      </c>
      <c r="K339" t="str">
        <f>VLOOKUP(A339,'TV May Monthly Billing Sites'!$A:$L,1,0)</f>
        <v>71050674</v>
      </c>
    </row>
    <row r="340" spans="1:11">
      <c r="A340" t="str">
        <f t="shared" si="5"/>
        <v>71050802</v>
      </c>
      <c r="B340">
        <v>71050802</v>
      </c>
      <c r="C340" t="s">
        <v>5399</v>
      </c>
      <c r="D340" t="s">
        <v>5400</v>
      </c>
      <c r="E340">
        <v>4508714</v>
      </c>
      <c r="F340" t="s">
        <v>742</v>
      </c>
      <c r="G340" t="s">
        <v>743</v>
      </c>
      <c r="H340" t="s">
        <v>5306</v>
      </c>
      <c r="I340" s="12">
        <v>45765</v>
      </c>
      <c r="J340">
        <v>1</v>
      </c>
      <c r="K340" t="str">
        <f>VLOOKUP(A340,'TV May Monthly Billing Sites'!$A:$L,1,0)</f>
        <v>71050802</v>
      </c>
    </row>
    <row r="341" spans="1:11">
      <c r="A341" t="str">
        <f t="shared" si="5"/>
        <v>71051066</v>
      </c>
      <c r="B341">
        <v>71051066</v>
      </c>
      <c r="C341" t="s">
        <v>5401</v>
      </c>
      <c r="D341" t="s">
        <v>2136</v>
      </c>
      <c r="E341">
        <v>4508714</v>
      </c>
      <c r="F341" t="s">
        <v>742</v>
      </c>
      <c r="G341" t="s">
        <v>743</v>
      </c>
      <c r="H341" t="s">
        <v>5298</v>
      </c>
      <c r="I341" s="12">
        <v>45875</v>
      </c>
      <c r="J341">
        <v>1</v>
      </c>
      <c r="K341" t="str">
        <f>VLOOKUP(A341,'TV May Monthly Billing Sites'!$A:$L,1,0)</f>
        <v>71051066</v>
      </c>
    </row>
    <row r="342" spans="1:11">
      <c r="A342" t="str">
        <f t="shared" si="5"/>
        <v>71051219</v>
      </c>
      <c r="B342">
        <v>71051219</v>
      </c>
      <c r="C342" t="s">
        <v>5402</v>
      </c>
      <c r="D342" t="s">
        <v>5403</v>
      </c>
      <c r="E342">
        <v>4508714</v>
      </c>
      <c r="F342" t="s">
        <v>742</v>
      </c>
      <c r="G342" t="s">
        <v>743</v>
      </c>
      <c r="H342" t="s">
        <v>5404</v>
      </c>
      <c r="I342" s="12">
        <v>45755</v>
      </c>
      <c r="J342">
        <v>1</v>
      </c>
      <c r="K342" t="str">
        <f>VLOOKUP(A342,'TV May Monthly Billing Sites'!$A:$L,1,0)</f>
        <v>71051219</v>
      </c>
    </row>
    <row r="343" spans="1:11">
      <c r="A343" t="str">
        <f t="shared" si="5"/>
        <v>71051646</v>
      </c>
      <c r="B343">
        <v>71051646</v>
      </c>
      <c r="C343" t="s">
        <v>5405</v>
      </c>
      <c r="D343" t="s">
        <v>5406</v>
      </c>
      <c r="E343">
        <v>4508714</v>
      </c>
      <c r="F343" t="s">
        <v>742</v>
      </c>
      <c r="G343" t="s">
        <v>743</v>
      </c>
      <c r="H343" t="s">
        <v>1164</v>
      </c>
      <c r="I343" s="12">
        <v>45636</v>
      </c>
      <c r="J343">
        <v>1</v>
      </c>
      <c r="K343" t="str">
        <f>VLOOKUP(A343,'TV May Monthly Billing Sites'!$A:$L,1,0)</f>
        <v>71051646</v>
      </c>
    </row>
    <row r="344" spans="1:11">
      <c r="A344" t="str">
        <f t="shared" si="5"/>
        <v>71052266</v>
      </c>
      <c r="B344">
        <v>71052266</v>
      </c>
      <c r="C344" t="s">
        <v>5407</v>
      </c>
      <c r="D344" t="s">
        <v>5408</v>
      </c>
      <c r="E344">
        <v>4508714</v>
      </c>
      <c r="F344" t="s">
        <v>742</v>
      </c>
      <c r="G344" t="s">
        <v>743</v>
      </c>
      <c r="H344" t="s">
        <v>5386</v>
      </c>
      <c r="I344" s="12">
        <v>46044</v>
      </c>
      <c r="J344">
        <v>1</v>
      </c>
      <c r="K344" t="str">
        <f>VLOOKUP(A344,'TV May Monthly Billing Sites'!$A:$L,1,0)</f>
        <v>71052266</v>
      </c>
    </row>
    <row r="345" spans="1:11">
      <c r="A345" t="str">
        <f t="shared" si="5"/>
        <v>71052415</v>
      </c>
      <c r="B345">
        <v>71052415</v>
      </c>
      <c r="C345" t="s">
        <v>5409</v>
      </c>
      <c r="D345" t="s">
        <v>5410</v>
      </c>
      <c r="E345">
        <v>4508675</v>
      </c>
      <c r="F345" t="s">
        <v>742</v>
      </c>
      <c r="G345" t="s">
        <v>828</v>
      </c>
      <c r="H345" t="s">
        <v>1179</v>
      </c>
      <c r="I345" s="12">
        <v>45366</v>
      </c>
      <c r="J345">
        <v>1</v>
      </c>
      <c r="K345" t="str">
        <f>VLOOKUP(A345,'TV May Monthly Billing Sites'!$A:$L,1,0)</f>
        <v>71052415</v>
      </c>
    </row>
    <row r="346" spans="1:11">
      <c r="A346" t="str">
        <f t="shared" si="5"/>
        <v>71052990</v>
      </c>
      <c r="B346">
        <v>71052990</v>
      </c>
      <c r="C346" t="s">
        <v>5411</v>
      </c>
      <c r="D346" t="s">
        <v>2146</v>
      </c>
      <c r="E346">
        <v>4408592</v>
      </c>
      <c r="F346" t="s">
        <v>742</v>
      </c>
      <c r="G346" t="s">
        <v>823</v>
      </c>
      <c r="H346" t="s">
        <v>5412</v>
      </c>
      <c r="I346" s="12">
        <v>45923</v>
      </c>
      <c r="J346">
        <v>1</v>
      </c>
      <c r="K346" t="str">
        <f>VLOOKUP(A346,'TV May Monthly Billing Sites'!$A:$L,1,0)</f>
        <v>71052990</v>
      </c>
    </row>
    <row r="347" spans="1:11">
      <c r="A347" t="str">
        <f t="shared" si="5"/>
        <v>71053065</v>
      </c>
      <c r="B347">
        <v>71053065</v>
      </c>
      <c r="C347" t="s">
        <v>5413</v>
      </c>
      <c r="D347" t="s">
        <v>5414</v>
      </c>
      <c r="E347">
        <v>4508714</v>
      </c>
      <c r="F347" t="s">
        <v>742</v>
      </c>
      <c r="G347" t="s">
        <v>743</v>
      </c>
      <c r="H347" t="s">
        <v>5121</v>
      </c>
      <c r="I347" s="12">
        <v>45929</v>
      </c>
      <c r="J347">
        <v>1</v>
      </c>
      <c r="K347" t="str">
        <f>VLOOKUP(A347,'TV May Monthly Billing Sites'!$A:$L,1,0)</f>
        <v>71053065</v>
      </c>
    </row>
    <row r="348" spans="1:11">
      <c r="A348" t="str">
        <f t="shared" si="5"/>
        <v>71053412</v>
      </c>
      <c r="B348">
        <v>71053412</v>
      </c>
      <c r="C348" t="s">
        <v>5415</v>
      </c>
      <c r="D348" t="s">
        <v>2150</v>
      </c>
      <c r="E348">
        <v>4408592</v>
      </c>
      <c r="F348" t="s">
        <v>742</v>
      </c>
      <c r="G348" t="s">
        <v>823</v>
      </c>
      <c r="H348" t="s">
        <v>5034</v>
      </c>
      <c r="I348" s="12">
        <v>46003</v>
      </c>
      <c r="J348">
        <v>1</v>
      </c>
      <c r="K348" t="str">
        <f>VLOOKUP(A348,'TV May Monthly Billing Sites'!$A:$L,1,0)</f>
        <v>71053412</v>
      </c>
    </row>
    <row r="349" spans="1:11">
      <c r="A349" t="str">
        <f t="shared" si="5"/>
        <v>71053433</v>
      </c>
      <c r="B349">
        <v>71053433</v>
      </c>
      <c r="C349" t="s">
        <v>5416</v>
      </c>
      <c r="D349" t="s">
        <v>5417</v>
      </c>
      <c r="E349">
        <v>4508714</v>
      </c>
      <c r="F349" t="s">
        <v>742</v>
      </c>
      <c r="G349" t="s">
        <v>743</v>
      </c>
      <c r="H349" t="s">
        <v>5418</v>
      </c>
      <c r="I349" s="12">
        <v>45979</v>
      </c>
      <c r="J349">
        <v>1</v>
      </c>
      <c r="K349" t="str">
        <f>VLOOKUP(A349,'TV May Monthly Billing Sites'!$A:$L,1,0)</f>
        <v>71053433</v>
      </c>
    </row>
    <row r="350" spans="1:11">
      <c r="A350" t="str">
        <f t="shared" si="5"/>
        <v>71053494</v>
      </c>
      <c r="B350">
        <v>71053494</v>
      </c>
      <c r="C350" t="s">
        <v>5419</v>
      </c>
      <c r="D350" t="s">
        <v>2154</v>
      </c>
      <c r="E350">
        <v>4508714</v>
      </c>
      <c r="F350" t="s">
        <v>742</v>
      </c>
      <c r="G350" t="s">
        <v>743</v>
      </c>
      <c r="H350" t="s">
        <v>5420</v>
      </c>
      <c r="I350" s="12">
        <v>45393</v>
      </c>
      <c r="J350">
        <v>1</v>
      </c>
      <c r="K350" t="str">
        <f>VLOOKUP(A350,'TV May Monthly Billing Sites'!$A:$L,1,0)</f>
        <v>71053494</v>
      </c>
    </row>
    <row r="351" spans="1:11">
      <c r="A351" t="str">
        <f t="shared" si="5"/>
        <v>71053697</v>
      </c>
      <c r="B351">
        <v>71053697</v>
      </c>
      <c r="C351" t="s">
        <v>5421</v>
      </c>
      <c r="D351" t="s">
        <v>2156</v>
      </c>
      <c r="E351">
        <v>4408593</v>
      </c>
      <c r="F351" t="s">
        <v>742</v>
      </c>
      <c r="G351" t="s">
        <v>782</v>
      </c>
      <c r="H351" t="s">
        <v>5422</v>
      </c>
      <c r="I351" s="12">
        <v>46003</v>
      </c>
      <c r="J351">
        <v>1</v>
      </c>
      <c r="K351" t="str">
        <f>VLOOKUP(A351,'TV May Monthly Billing Sites'!$A:$L,1,0)</f>
        <v>71053697</v>
      </c>
    </row>
    <row r="352" spans="1:11">
      <c r="A352" t="str">
        <f t="shared" si="5"/>
        <v>71053767</v>
      </c>
      <c r="B352">
        <v>71053767</v>
      </c>
      <c r="C352" t="s">
        <v>5423</v>
      </c>
      <c r="D352" t="s">
        <v>5424</v>
      </c>
      <c r="E352">
        <v>4408593</v>
      </c>
      <c r="F352" t="s">
        <v>742</v>
      </c>
      <c r="G352" t="s">
        <v>782</v>
      </c>
      <c r="H352" t="s">
        <v>5425</v>
      </c>
      <c r="I352" s="12">
        <v>45456</v>
      </c>
      <c r="J352">
        <v>1</v>
      </c>
      <c r="K352" t="str">
        <f>VLOOKUP(A352,'TV May Monthly Billing Sites'!$A:$L,1,0)</f>
        <v>71053767</v>
      </c>
    </row>
    <row r="353" spans="1:12">
      <c r="A353" t="str">
        <f t="shared" si="5"/>
        <v>71053825</v>
      </c>
      <c r="B353">
        <v>71053825</v>
      </c>
      <c r="C353" t="s">
        <v>5426</v>
      </c>
      <c r="D353" t="s">
        <v>5427</v>
      </c>
      <c r="E353">
        <v>4508714</v>
      </c>
      <c r="F353" t="s">
        <v>742</v>
      </c>
      <c r="G353" t="s">
        <v>743</v>
      </c>
      <c r="H353" t="s">
        <v>5428</v>
      </c>
      <c r="I353" s="12">
        <v>45659</v>
      </c>
      <c r="J353">
        <v>1</v>
      </c>
      <c r="K353" t="str">
        <f>VLOOKUP(A353,'TV May Monthly Billing Sites'!$A:$L,1,0)</f>
        <v>71053825</v>
      </c>
    </row>
    <row r="354" spans="1:12">
      <c r="A354" t="str">
        <f t="shared" si="5"/>
        <v>71053936</v>
      </c>
      <c r="B354">
        <v>71053936</v>
      </c>
      <c r="C354" t="s">
        <v>5429</v>
      </c>
      <c r="D354" t="s">
        <v>5430</v>
      </c>
      <c r="E354">
        <v>4408592</v>
      </c>
      <c r="F354" t="s">
        <v>742</v>
      </c>
      <c r="G354" t="s">
        <v>823</v>
      </c>
      <c r="H354" t="s">
        <v>5430</v>
      </c>
      <c r="I354" s="12">
        <v>45679</v>
      </c>
      <c r="J354">
        <v>1</v>
      </c>
      <c r="K354" t="str">
        <f>VLOOKUP(A354,'TV May Monthly Billing Sites'!$A:$L,1,0)</f>
        <v>71053936</v>
      </c>
    </row>
    <row r="355" spans="1:12">
      <c r="A355" t="str">
        <f t="shared" si="5"/>
        <v>71054359</v>
      </c>
      <c r="B355">
        <v>71054359</v>
      </c>
      <c r="C355" t="s">
        <v>5431</v>
      </c>
      <c r="D355" t="s">
        <v>5432</v>
      </c>
      <c r="E355">
        <v>4508714</v>
      </c>
      <c r="F355" t="s">
        <v>742</v>
      </c>
      <c r="G355" t="s">
        <v>743</v>
      </c>
      <c r="H355" t="s">
        <v>5306</v>
      </c>
      <c r="I355" s="12">
        <v>45765</v>
      </c>
      <c r="J355">
        <v>1</v>
      </c>
      <c r="K355" t="str">
        <f>VLOOKUP(A355,'TV May Monthly Billing Sites'!$A:$L,1,0)</f>
        <v>71054359</v>
      </c>
    </row>
    <row r="356" spans="1:12">
      <c r="A356" t="str">
        <f t="shared" si="5"/>
        <v>71054457</v>
      </c>
      <c r="B356">
        <v>71054457</v>
      </c>
      <c r="C356" t="s">
        <v>5433</v>
      </c>
      <c r="D356" t="s">
        <v>2166</v>
      </c>
      <c r="E356">
        <v>4508714</v>
      </c>
      <c r="F356" t="s">
        <v>742</v>
      </c>
      <c r="G356" t="s">
        <v>743</v>
      </c>
      <c r="H356" t="s">
        <v>2166</v>
      </c>
      <c r="I356" s="12">
        <v>45839</v>
      </c>
      <c r="J356">
        <v>1</v>
      </c>
      <c r="K356" t="str">
        <f>VLOOKUP(A356,'TV May Monthly Billing Sites'!$A:$L,1,0)</f>
        <v>71054457</v>
      </c>
    </row>
    <row r="357" spans="1:12">
      <c r="A357" t="str">
        <f t="shared" si="5"/>
        <v>71054582</v>
      </c>
      <c r="B357">
        <v>71054582</v>
      </c>
      <c r="C357" t="s">
        <v>5434</v>
      </c>
      <c r="D357" t="s">
        <v>5435</v>
      </c>
      <c r="E357">
        <v>4508675</v>
      </c>
      <c r="F357" t="s">
        <v>742</v>
      </c>
      <c r="G357" t="s">
        <v>828</v>
      </c>
      <c r="H357" t="s">
        <v>2168</v>
      </c>
      <c r="I357" s="12">
        <v>45000</v>
      </c>
      <c r="J357">
        <v>1</v>
      </c>
      <c r="K357" t="str">
        <f>VLOOKUP(A357,'TV May Monthly Billing Sites'!$A:$L,1,0)</f>
        <v>71054582</v>
      </c>
    </row>
    <row r="358" spans="1:12">
      <c r="A358" t="str">
        <f t="shared" si="5"/>
        <v>71054619</v>
      </c>
      <c r="B358">
        <v>71054619</v>
      </c>
      <c r="C358" t="s">
        <v>5436</v>
      </c>
      <c r="D358" t="s">
        <v>5437</v>
      </c>
      <c r="E358">
        <v>4508714</v>
      </c>
      <c r="F358" t="s">
        <v>742</v>
      </c>
      <c r="G358" t="s">
        <v>743</v>
      </c>
      <c r="H358" t="s">
        <v>1179</v>
      </c>
      <c r="I358" s="12">
        <v>45646</v>
      </c>
      <c r="J358">
        <v>1</v>
      </c>
      <c r="K358" t="str">
        <f>VLOOKUP(A358,'TV May Monthly Billing Sites'!$A:$L,1,0)</f>
        <v>71054619</v>
      </c>
    </row>
    <row r="359" spans="1:12">
      <c r="A359" t="str">
        <f t="shared" si="5"/>
        <v>71054998</v>
      </c>
      <c r="B359">
        <v>71054998</v>
      </c>
      <c r="C359" t="s">
        <v>5438</v>
      </c>
      <c r="D359" t="s">
        <v>2172</v>
      </c>
      <c r="E359">
        <v>4508714</v>
      </c>
      <c r="F359" t="s">
        <v>742</v>
      </c>
      <c r="G359" t="s">
        <v>743</v>
      </c>
      <c r="H359" t="s">
        <v>5439</v>
      </c>
      <c r="I359" s="12">
        <v>45314</v>
      </c>
      <c r="J359">
        <v>1</v>
      </c>
      <c r="K359" t="str">
        <f>VLOOKUP(A359,'TV May Monthly Billing Sites'!$A:$L,1,0)</f>
        <v>71054998</v>
      </c>
    </row>
    <row r="360" spans="1:12">
      <c r="A360" t="str">
        <f t="shared" si="5"/>
        <v>71055645</v>
      </c>
      <c r="B360">
        <v>71055645</v>
      </c>
      <c r="C360" t="s">
        <v>5440</v>
      </c>
      <c r="D360" t="s">
        <v>5441</v>
      </c>
      <c r="E360">
        <v>4508714</v>
      </c>
      <c r="F360" t="s">
        <v>742</v>
      </c>
      <c r="G360" t="s">
        <v>743</v>
      </c>
      <c r="H360" t="s">
        <v>2174</v>
      </c>
      <c r="I360" s="12">
        <v>45229</v>
      </c>
      <c r="J360">
        <v>1</v>
      </c>
      <c r="K360" t="str">
        <f>VLOOKUP(A360,'TV May Monthly Billing Sites'!$A:$L,1,0)</f>
        <v>71055645</v>
      </c>
    </row>
    <row r="361" spans="1:12">
      <c r="A361" t="str">
        <f t="shared" si="5"/>
        <v>71055681</v>
      </c>
      <c r="B361">
        <v>71055681</v>
      </c>
      <c r="C361" t="s">
        <v>5442</v>
      </c>
      <c r="D361" t="s">
        <v>2176</v>
      </c>
      <c r="E361">
        <v>4408593</v>
      </c>
      <c r="F361" t="s">
        <v>742</v>
      </c>
      <c r="G361" t="s">
        <v>782</v>
      </c>
      <c r="H361" t="s">
        <v>5098</v>
      </c>
      <c r="I361" s="12">
        <v>45639</v>
      </c>
      <c r="J361">
        <v>1</v>
      </c>
      <c r="K361" t="str">
        <f>VLOOKUP(A361,'TV May Monthly Billing Sites'!$A:$L,1,0)</f>
        <v>71055681</v>
      </c>
    </row>
    <row r="362" spans="1:12">
      <c r="A362" t="str">
        <f t="shared" si="5"/>
        <v>71055796</v>
      </c>
      <c r="B362">
        <v>71055796</v>
      </c>
      <c r="C362" t="s">
        <v>5443</v>
      </c>
      <c r="D362" t="s">
        <v>2178</v>
      </c>
      <c r="E362">
        <v>4408592</v>
      </c>
      <c r="F362" t="s">
        <v>742</v>
      </c>
      <c r="G362" t="s">
        <v>823</v>
      </c>
      <c r="H362" t="s">
        <v>5444</v>
      </c>
      <c r="I362" s="12">
        <v>45968</v>
      </c>
      <c r="J362">
        <v>1</v>
      </c>
      <c r="K362" t="str">
        <f>VLOOKUP(A362,'TV May Monthly Billing Sites'!$A:$L,1,0)</f>
        <v>71055796</v>
      </c>
    </row>
    <row r="363" spans="1:12">
      <c r="A363" t="str">
        <f t="shared" si="5"/>
        <v>71056338</v>
      </c>
      <c r="B363">
        <v>71056338</v>
      </c>
      <c r="C363" t="s">
        <v>5445</v>
      </c>
      <c r="D363" t="s">
        <v>5446</v>
      </c>
      <c r="E363">
        <v>4508714</v>
      </c>
      <c r="F363" t="s">
        <v>742</v>
      </c>
      <c r="G363" t="s">
        <v>743</v>
      </c>
      <c r="H363" t="s">
        <v>5218</v>
      </c>
      <c r="I363" s="12">
        <v>45992</v>
      </c>
      <c r="J363">
        <v>1</v>
      </c>
      <c r="K363" t="str">
        <f>VLOOKUP(A363,'TV May Monthly Billing Sites'!$A:$L,1,0)</f>
        <v>71056338</v>
      </c>
    </row>
    <row r="364" spans="1:12">
      <c r="A364" t="str">
        <f t="shared" si="5"/>
        <v>71056347</v>
      </c>
      <c r="B364">
        <v>71056347</v>
      </c>
      <c r="C364" t="s">
        <v>5447</v>
      </c>
      <c r="D364" t="s">
        <v>1575</v>
      </c>
      <c r="E364">
        <v>4508714</v>
      </c>
      <c r="F364" t="s">
        <v>742</v>
      </c>
      <c r="G364" t="s">
        <v>743</v>
      </c>
      <c r="H364" t="s">
        <v>5448</v>
      </c>
      <c r="I364" s="12">
        <v>45628</v>
      </c>
      <c r="J364">
        <v>1</v>
      </c>
      <c r="K364" t="e">
        <f>VLOOKUP(A364,'TV May Monthly Billing Sites'!$A:$L,1,0)</f>
        <v>#N/A</v>
      </c>
      <c r="L364" t="str">
        <f>VLOOKUP(D364,'TV May Monthly Billing Sites'!$B:$L,1,0)</f>
        <v>ROPER KIA</v>
      </c>
    </row>
    <row r="365" spans="1:12">
      <c r="A365" t="str">
        <f t="shared" si="5"/>
        <v>71056605</v>
      </c>
      <c r="B365">
        <v>71056605</v>
      </c>
      <c r="C365" t="s">
        <v>5449</v>
      </c>
      <c r="D365" t="s">
        <v>5450</v>
      </c>
      <c r="E365">
        <v>4508714</v>
      </c>
      <c r="F365" t="s">
        <v>742</v>
      </c>
      <c r="G365" t="s">
        <v>743</v>
      </c>
      <c r="H365" t="s">
        <v>5451</v>
      </c>
      <c r="I365" s="12">
        <v>45642</v>
      </c>
      <c r="J365">
        <v>1</v>
      </c>
      <c r="K365" t="str">
        <f>VLOOKUP(A365,'TV May Monthly Billing Sites'!$A:$L,1,0)</f>
        <v>71056605</v>
      </c>
    </row>
    <row r="366" spans="1:12">
      <c r="A366" t="str">
        <f t="shared" si="5"/>
        <v>71056819</v>
      </c>
      <c r="B366">
        <v>71056819</v>
      </c>
      <c r="C366" t="s">
        <v>5452</v>
      </c>
      <c r="D366" t="s">
        <v>2184</v>
      </c>
      <c r="E366">
        <v>4408593</v>
      </c>
      <c r="F366" t="s">
        <v>742</v>
      </c>
      <c r="G366" t="s">
        <v>782</v>
      </c>
      <c r="H366" t="s">
        <v>5298</v>
      </c>
      <c r="I366" s="12">
        <v>45875</v>
      </c>
      <c r="J366">
        <v>1</v>
      </c>
      <c r="K366" t="str">
        <f>VLOOKUP(A366,'TV May Monthly Billing Sites'!$A:$L,1,0)</f>
        <v>71056819</v>
      </c>
    </row>
    <row r="367" spans="1:12">
      <c r="A367" t="str">
        <f t="shared" si="5"/>
        <v>71057123</v>
      </c>
      <c r="B367">
        <v>71057123</v>
      </c>
      <c r="C367" t="s">
        <v>821</v>
      </c>
      <c r="D367" t="s">
        <v>822</v>
      </c>
      <c r="E367">
        <v>4408592</v>
      </c>
      <c r="F367" t="s">
        <v>742</v>
      </c>
      <c r="G367" t="s">
        <v>823</v>
      </c>
      <c r="H367" t="s">
        <v>824</v>
      </c>
      <c r="I367" s="12">
        <v>45981</v>
      </c>
      <c r="J367">
        <v>1</v>
      </c>
      <c r="K367" t="e">
        <f>VLOOKUP(A367,'TV May Monthly Billing Sites'!$A:$L,1,0)</f>
        <v>#N/A</v>
      </c>
      <c r="L367" t="e">
        <f>VLOOKUP(D367,'TV May Monthly Billing Sites'!$B:$L,1,0)</f>
        <v>#N/A</v>
      </c>
    </row>
    <row r="368" spans="1:12">
      <c r="A368" t="str">
        <f t="shared" si="5"/>
        <v>71057319</v>
      </c>
      <c r="B368">
        <v>71057319</v>
      </c>
      <c r="C368" t="s">
        <v>5453</v>
      </c>
      <c r="D368" t="s">
        <v>5454</v>
      </c>
      <c r="E368">
        <v>4508714</v>
      </c>
      <c r="F368" t="s">
        <v>742</v>
      </c>
      <c r="G368" t="s">
        <v>743</v>
      </c>
      <c r="H368" t="s">
        <v>4672</v>
      </c>
      <c r="I368" s="12">
        <v>45629</v>
      </c>
      <c r="J368">
        <v>1</v>
      </c>
      <c r="K368" t="str">
        <f>VLOOKUP(A368,'TV May Monthly Billing Sites'!$A:$L,1,0)</f>
        <v>71057319</v>
      </c>
    </row>
    <row r="369" spans="1:12">
      <c r="A369" t="str">
        <f t="shared" si="5"/>
        <v>71057449</v>
      </c>
      <c r="B369">
        <v>71057449</v>
      </c>
      <c r="C369" t="s">
        <v>5455</v>
      </c>
      <c r="D369" t="s">
        <v>2188</v>
      </c>
      <c r="E369">
        <v>4508714</v>
      </c>
      <c r="F369" t="s">
        <v>742</v>
      </c>
      <c r="G369" t="s">
        <v>743</v>
      </c>
      <c r="H369" t="s">
        <v>2188</v>
      </c>
      <c r="I369" s="12">
        <v>45821</v>
      </c>
      <c r="J369">
        <v>1</v>
      </c>
      <c r="K369" t="str">
        <f>VLOOKUP(A369,'TV May Monthly Billing Sites'!$A:$L,1,0)</f>
        <v>71057449</v>
      </c>
    </row>
    <row r="370" spans="1:12">
      <c r="A370" t="str">
        <f t="shared" si="5"/>
        <v>71057747</v>
      </c>
      <c r="B370">
        <v>71057747</v>
      </c>
      <c r="C370" t="s">
        <v>5456</v>
      </c>
      <c r="D370" t="s">
        <v>5457</v>
      </c>
      <c r="E370">
        <v>4508714</v>
      </c>
      <c r="F370" t="s">
        <v>742</v>
      </c>
      <c r="G370" t="s">
        <v>743</v>
      </c>
      <c r="H370" t="s">
        <v>5306</v>
      </c>
      <c r="I370" s="12">
        <v>45765</v>
      </c>
      <c r="J370">
        <v>1</v>
      </c>
      <c r="K370" t="str">
        <f>VLOOKUP(A370,'TV May Monthly Billing Sites'!$A:$L,1,0)</f>
        <v>71057747</v>
      </c>
    </row>
    <row r="371" spans="1:12">
      <c r="A371" t="str">
        <f t="shared" si="5"/>
        <v>71057754</v>
      </c>
      <c r="B371">
        <v>71057754</v>
      </c>
      <c r="C371" t="s">
        <v>5458</v>
      </c>
      <c r="D371" t="s">
        <v>5459</v>
      </c>
      <c r="E371">
        <v>4508714</v>
      </c>
      <c r="F371" t="s">
        <v>742</v>
      </c>
      <c r="G371" t="s">
        <v>743</v>
      </c>
      <c r="H371" t="s">
        <v>5460</v>
      </c>
      <c r="I371" s="12">
        <v>45628</v>
      </c>
      <c r="J371">
        <v>1</v>
      </c>
      <c r="K371" t="str">
        <f>VLOOKUP(A371,'TV May Monthly Billing Sites'!$A:$L,1,0)</f>
        <v>71057754</v>
      </c>
    </row>
    <row r="372" spans="1:12">
      <c r="A372" t="str">
        <f t="shared" si="5"/>
        <v>71057834</v>
      </c>
      <c r="B372">
        <v>71057834</v>
      </c>
      <c r="C372" t="s">
        <v>5461</v>
      </c>
      <c r="D372" t="s">
        <v>2194</v>
      </c>
      <c r="E372">
        <v>4408592</v>
      </c>
      <c r="F372" t="s">
        <v>742</v>
      </c>
      <c r="G372" t="s">
        <v>823</v>
      </c>
      <c r="H372" t="s">
        <v>5462</v>
      </c>
      <c r="I372" s="12">
        <v>45261</v>
      </c>
      <c r="J372">
        <v>1</v>
      </c>
      <c r="K372" t="str">
        <f>VLOOKUP(A372,'TV May Monthly Billing Sites'!$A:$L,1,0)</f>
        <v>71057834</v>
      </c>
    </row>
    <row r="373" spans="1:12">
      <c r="A373" t="str">
        <f t="shared" si="5"/>
        <v>71058736</v>
      </c>
      <c r="B373">
        <v>71058736</v>
      </c>
      <c r="C373" t="s">
        <v>826</v>
      </c>
      <c r="D373" t="s">
        <v>827</v>
      </c>
      <c r="E373">
        <v>4508675</v>
      </c>
      <c r="F373" t="s">
        <v>742</v>
      </c>
      <c r="G373" t="s">
        <v>828</v>
      </c>
      <c r="H373" t="s">
        <v>829</v>
      </c>
      <c r="I373" s="12">
        <v>45687</v>
      </c>
      <c r="J373">
        <v>1</v>
      </c>
      <c r="K373" t="e">
        <f>VLOOKUP(A373,'TV May Monthly Billing Sites'!$A:$L,1,0)</f>
        <v>#N/A</v>
      </c>
      <c r="L373" t="e">
        <f>VLOOKUP(D373,'TV May Monthly Billing Sites'!$B:$L,1,0)</f>
        <v>#N/A</v>
      </c>
    </row>
    <row r="374" spans="1:12">
      <c r="A374" t="str">
        <f t="shared" si="5"/>
        <v>71058782</v>
      </c>
      <c r="B374">
        <v>71058782</v>
      </c>
      <c r="C374" t="s">
        <v>5463</v>
      </c>
      <c r="D374" t="s">
        <v>5464</v>
      </c>
      <c r="E374">
        <v>4508714</v>
      </c>
      <c r="F374" t="s">
        <v>742</v>
      </c>
      <c r="G374" t="s">
        <v>743</v>
      </c>
      <c r="H374" t="s">
        <v>824</v>
      </c>
      <c r="I374" s="12">
        <v>45657</v>
      </c>
      <c r="J374">
        <v>1</v>
      </c>
      <c r="K374" t="str">
        <f>VLOOKUP(A374,'TV May Monthly Billing Sites'!$A:$L,1,0)</f>
        <v>71058782</v>
      </c>
    </row>
    <row r="375" spans="1:12">
      <c r="A375" t="str">
        <f t="shared" si="5"/>
        <v>71059414</v>
      </c>
      <c r="B375">
        <v>71059414</v>
      </c>
      <c r="C375" t="s">
        <v>5465</v>
      </c>
      <c r="D375" t="s">
        <v>5466</v>
      </c>
      <c r="E375">
        <v>4508714</v>
      </c>
      <c r="F375" t="s">
        <v>742</v>
      </c>
      <c r="G375" t="s">
        <v>743</v>
      </c>
      <c r="H375" t="s">
        <v>5134</v>
      </c>
      <c r="I375" s="12">
        <v>45713</v>
      </c>
      <c r="J375">
        <v>1</v>
      </c>
      <c r="K375" t="str">
        <f>VLOOKUP(A375,'TV May Monthly Billing Sites'!$A:$L,1,0)</f>
        <v>71059414</v>
      </c>
    </row>
    <row r="376" spans="1:12">
      <c r="A376" t="str">
        <f t="shared" si="5"/>
        <v>71059593</v>
      </c>
      <c r="B376">
        <v>71059593</v>
      </c>
      <c r="C376" t="s">
        <v>5467</v>
      </c>
      <c r="D376" t="s">
        <v>2200</v>
      </c>
      <c r="E376">
        <v>4508675</v>
      </c>
      <c r="F376" t="s">
        <v>742</v>
      </c>
      <c r="G376" t="s">
        <v>828</v>
      </c>
      <c r="H376" t="s">
        <v>5468</v>
      </c>
      <c r="I376" s="12">
        <v>44812</v>
      </c>
      <c r="J376">
        <v>1</v>
      </c>
      <c r="K376" t="str">
        <f>VLOOKUP(A376,'TV May Monthly Billing Sites'!$A:$L,1,0)</f>
        <v>71059593</v>
      </c>
    </row>
    <row r="377" spans="1:12">
      <c r="A377" t="str">
        <f t="shared" si="5"/>
        <v>71059955</v>
      </c>
      <c r="B377">
        <v>71059955</v>
      </c>
      <c r="C377" t="s">
        <v>5469</v>
      </c>
      <c r="D377" t="s">
        <v>2202</v>
      </c>
      <c r="E377">
        <v>4508714</v>
      </c>
      <c r="F377" t="s">
        <v>742</v>
      </c>
      <c r="G377" t="s">
        <v>743</v>
      </c>
      <c r="H377" t="s">
        <v>2202</v>
      </c>
      <c r="I377" s="12">
        <v>45944</v>
      </c>
      <c r="J377">
        <v>1</v>
      </c>
      <c r="K377" t="str">
        <f>VLOOKUP(A377,'TV May Monthly Billing Sites'!$A:$L,1,0)</f>
        <v>71059955</v>
      </c>
    </row>
    <row r="378" spans="1:12">
      <c r="A378" t="str">
        <f t="shared" si="5"/>
        <v>71060072</v>
      </c>
      <c r="B378">
        <v>71060072</v>
      </c>
      <c r="C378" t="s">
        <v>831</v>
      </c>
      <c r="D378" t="s">
        <v>832</v>
      </c>
      <c r="E378">
        <v>4408593</v>
      </c>
      <c r="F378" t="s">
        <v>742</v>
      </c>
      <c r="G378" t="s">
        <v>782</v>
      </c>
      <c r="H378" t="s">
        <v>833</v>
      </c>
      <c r="I378" s="12">
        <v>45526</v>
      </c>
      <c r="J378">
        <v>1</v>
      </c>
      <c r="K378" t="e">
        <f>VLOOKUP(A378,'TV May Monthly Billing Sites'!$A:$L,1,0)</f>
        <v>#N/A</v>
      </c>
      <c r="L378" t="e">
        <f>VLOOKUP(D378,'TV May Monthly Billing Sites'!$B:$L,1,0)</f>
        <v>#N/A</v>
      </c>
    </row>
    <row r="379" spans="1:12">
      <c r="A379" t="str">
        <f t="shared" si="5"/>
        <v>71060738</v>
      </c>
      <c r="B379">
        <v>71060738</v>
      </c>
      <c r="C379" t="s">
        <v>835</v>
      </c>
      <c r="D379" t="s">
        <v>836</v>
      </c>
      <c r="E379">
        <v>4508714</v>
      </c>
      <c r="F379" t="s">
        <v>742</v>
      </c>
      <c r="G379" t="s">
        <v>743</v>
      </c>
      <c r="H379" t="s">
        <v>762</v>
      </c>
      <c r="I379" s="12">
        <v>45622</v>
      </c>
      <c r="J379">
        <v>1</v>
      </c>
      <c r="K379" t="e">
        <f>VLOOKUP(A379,'TV May Monthly Billing Sites'!$A:$L,1,0)</f>
        <v>#N/A</v>
      </c>
      <c r="L379" t="e">
        <f>VLOOKUP(D379,'TV May Monthly Billing Sites'!$B:$L,1,0)</f>
        <v>#N/A</v>
      </c>
    </row>
    <row r="380" spans="1:12">
      <c r="A380" t="str">
        <f t="shared" si="5"/>
        <v>71060738</v>
      </c>
      <c r="B380">
        <v>71060738</v>
      </c>
      <c r="C380" t="s">
        <v>837</v>
      </c>
      <c r="D380" t="s">
        <v>836</v>
      </c>
      <c r="E380">
        <v>4508714</v>
      </c>
      <c r="F380" t="s">
        <v>742</v>
      </c>
      <c r="G380" t="s">
        <v>743</v>
      </c>
      <c r="H380" t="s">
        <v>762</v>
      </c>
      <c r="I380" s="12">
        <v>45622</v>
      </c>
      <c r="J380">
        <v>1</v>
      </c>
      <c r="K380" t="e">
        <f>VLOOKUP(A380,'TV May Monthly Billing Sites'!$A:$L,1,0)</f>
        <v>#N/A</v>
      </c>
      <c r="L380" t="e">
        <f>VLOOKUP(D380,'TV May Monthly Billing Sites'!$B:$L,1,0)</f>
        <v>#N/A</v>
      </c>
    </row>
    <row r="381" spans="1:12">
      <c r="A381" t="str">
        <f t="shared" si="5"/>
        <v>71060845</v>
      </c>
      <c r="B381">
        <v>71060845</v>
      </c>
      <c r="C381" t="s">
        <v>5470</v>
      </c>
      <c r="D381" t="s">
        <v>5471</v>
      </c>
      <c r="E381">
        <v>4508714</v>
      </c>
      <c r="F381" t="s">
        <v>742</v>
      </c>
      <c r="G381" t="s">
        <v>743</v>
      </c>
      <c r="H381" t="s">
        <v>4910</v>
      </c>
      <c r="I381" s="12">
        <v>45957</v>
      </c>
      <c r="J381">
        <v>1</v>
      </c>
      <c r="K381" t="str">
        <f>VLOOKUP(A381,'TV May Monthly Billing Sites'!$A:$L,1,0)</f>
        <v>71060845</v>
      </c>
    </row>
    <row r="382" spans="1:12">
      <c r="A382" t="str">
        <f t="shared" si="5"/>
        <v>71061176</v>
      </c>
      <c r="B382">
        <v>71061176</v>
      </c>
      <c r="C382" t="s">
        <v>5472</v>
      </c>
      <c r="D382" t="s">
        <v>5473</v>
      </c>
      <c r="E382">
        <v>4508714</v>
      </c>
      <c r="F382" t="s">
        <v>742</v>
      </c>
      <c r="G382" t="s">
        <v>743</v>
      </c>
      <c r="H382" t="s">
        <v>5312</v>
      </c>
      <c r="I382" s="12">
        <v>45937</v>
      </c>
      <c r="J382">
        <v>1</v>
      </c>
      <c r="K382" t="str">
        <f>VLOOKUP(A382,'TV May Monthly Billing Sites'!$A:$L,1,0)</f>
        <v>71061176</v>
      </c>
    </row>
    <row r="383" spans="1:12">
      <c r="A383" t="str">
        <f t="shared" si="5"/>
        <v>71061176</v>
      </c>
      <c r="B383">
        <v>71061176</v>
      </c>
      <c r="C383" t="s">
        <v>5474</v>
      </c>
      <c r="D383" t="s">
        <v>5473</v>
      </c>
      <c r="E383">
        <v>4508714</v>
      </c>
      <c r="F383" t="s">
        <v>742</v>
      </c>
      <c r="G383" t="s">
        <v>743</v>
      </c>
      <c r="H383" t="s">
        <v>5312</v>
      </c>
      <c r="I383" s="12">
        <v>45937</v>
      </c>
      <c r="J383">
        <v>1</v>
      </c>
      <c r="K383" t="str">
        <f>VLOOKUP(A383,'TV May Monthly Billing Sites'!$A:$L,1,0)</f>
        <v>71061176</v>
      </c>
    </row>
    <row r="384" spans="1:12">
      <c r="A384" t="str">
        <f t="shared" si="5"/>
        <v>71061428</v>
      </c>
      <c r="B384">
        <v>71061428</v>
      </c>
      <c r="C384" t="s">
        <v>5475</v>
      </c>
      <c r="D384" t="s">
        <v>2210</v>
      </c>
      <c r="E384">
        <v>4508714</v>
      </c>
      <c r="F384" t="s">
        <v>742</v>
      </c>
      <c r="G384" t="s">
        <v>743</v>
      </c>
      <c r="H384" t="s">
        <v>751</v>
      </c>
      <c r="I384" s="12">
        <v>45747</v>
      </c>
      <c r="J384">
        <v>1</v>
      </c>
      <c r="K384" t="str">
        <f>VLOOKUP(A384,'TV May Monthly Billing Sites'!$A:$L,1,0)</f>
        <v>71061428</v>
      </c>
    </row>
    <row r="385" spans="1:12">
      <c r="A385" t="str">
        <f t="shared" si="5"/>
        <v>71061677</v>
      </c>
      <c r="B385">
        <v>71061677</v>
      </c>
      <c r="C385" t="s">
        <v>5476</v>
      </c>
      <c r="D385" t="s">
        <v>5477</v>
      </c>
      <c r="E385">
        <v>4508714</v>
      </c>
      <c r="F385" t="s">
        <v>742</v>
      </c>
      <c r="G385" t="s">
        <v>743</v>
      </c>
      <c r="H385" t="s">
        <v>5478</v>
      </c>
      <c r="I385" s="12">
        <v>45819</v>
      </c>
      <c r="J385">
        <v>1</v>
      </c>
      <c r="K385" t="str">
        <f>VLOOKUP(A385,'TV May Monthly Billing Sites'!$A:$L,1,0)</f>
        <v>71061677</v>
      </c>
    </row>
    <row r="386" spans="1:12">
      <c r="A386" t="str">
        <f t="shared" ref="A386:A449" si="6">TRIM(B386)</f>
        <v>71061708</v>
      </c>
      <c r="B386">
        <v>71061708</v>
      </c>
      <c r="C386" t="s">
        <v>5479</v>
      </c>
      <c r="D386" t="s">
        <v>2214</v>
      </c>
      <c r="E386">
        <v>4408593</v>
      </c>
      <c r="F386" t="s">
        <v>742</v>
      </c>
      <c r="G386" t="s">
        <v>782</v>
      </c>
      <c r="H386" t="s">
        <v>5480</v>
      </c>
      <c r="I386" s="12">
        <v>45735</v>
      </c>
      <c r="J386">
        <v>1</v>
      </c>
      <c r="K386" t="str">
        <f>VLOOKUP(A386,'TV May Monthly Billing Sites'!$A:$L,1,0)</f>
        <v>71061708</v>
      </c>
    </row>
    <row r="387" spans="1:12">
      <c r="A387" t="str">
        <f t="shared" si="6"/>
        <v>71061908</v>
      </c>
      <c r="B387">
        <v>71061908</v>
      </c>
      <c r="C387" t="s">
        <v>5481</v>
      </c>
      <c r="D387" t="s">
        <v>2216</v>
      </c>
      <c r="E387">
        <v>4408593</v>
      </c>
      <c r="F387" t="s">
        <v>742</v>
      </c>
      <c r="G387" t="s">
        <v>782</v>
      </c>
      <c r="H387" t="s">
        <v>5482</v>
      </c>
      <c r="I387" s="12">
        <v>45628</v>
      </c>
      <c r="J387">
        <v>1</v>
      </c>
      <c r="K387" t="str">
        <f>VLOOKUP(A387,'TV May Monthly Billing Sites'!$A:$L,1,0)</f>
        <v>71061908</v>
      </c>
    </row>
    <row r="388" spans="1:12">
      <c r="A388" t="str">
        <f t="shared" si="6"/>
        <v>71062452</v>
      </c>
      <c r="B388">
        <v>71062452</v>
      </c>
      <c r="C388" t="s">
        <v>5483</v>
      </c>
      <c r="D388" t="s">
        <v>2218</v>
      </c>
      <c r="E388">
        <v>4408593</v>
      </c>
      <c r="F388" t="s">
        <v>742</v>
      </c>
      <c r="G388" t="s">
        <v>782</v>
      </c>
      <c r="H388" t="s">
        <v>1171</v>
      </c>
      <c r="I388" s="12">
        <v>45618</v>
      </c>
      <c r="J388">
        <v>1</v>
      </c>
      <c r="K388" t="str">
        <f>VLOOKUP(A388,'TV May Monthly Billing Sites'!$A:$L,1,0)</f>
        <v>71062452</v>
      </c>
    </row>
    <row r="389" spans="1:12">
      <c r="A389" t="str">
        <f t="shared" si="6"/>
        <v>71062899</v>
      </c>
      <c r="B389">
        <v>71062899</v>
      </c>
      <c r="C389" t="s">
        <v>5484</v>
      </c>
      <c r="D389" t="s">
        <v>2220</v>
      </c>
      <c r="E389">
        <v>4508714</v>
      </c>
      <c r="F389" t="s">
        <v>742</v>
      </c>
      <c r="G389" t="s">
        <v>743</v>
      </c>
      <c r="H389" t="s">
        <v>4960</v>
      </c>
      <c r="I389" s="12">
        <v>45939</v>
      </c>
      <c r="J389">
        <v>1</v>
      </c>
      <c r="K389" t="str">
        <f>VLOOKUP(A389,'TV May Monthly Billing Sites'!$A:$L,1,0)</f>
        <v>71062899</v>
      </c>
    </row>
    <row r="390" spans="1:12">
      <c r="A390" t="str">
        <f t="shared" si="6"/>
        <v>71062937</v>
      </c>
      <c r="B390">
        <v>71062937</v>
      </c>
      <c r="C390" t="s">
        <v>5485</v>
      </c>
      <c r="D390" t="s">
        <v>5486</v>
      </c>
      <c r="E390">
        <v>4408593</v>
      </c>
      <c r="F390" t="s">
        <v>742</v>
      </c>
      <c r="G390" t="s">
        <v>782</v>
      </c>
      <c r="H390" t="s">
        <v>1038</v>
      </c>
      <c r="I390" s="12">
        <v>45597</v>
      </c>
      <c r="J390">
        <v>1</v>
      </c>
      <c r="K390" t="str">
        <f>VLOOKUP(A390,'TV May Monthly Billing Sites'!$A:$L,1,0)</f>
        <v>71062937</v>
      </c>
    </row>
    <row r="391" spans="1:12">
      <c r="A391" t="str">
        <f t="shared" si="6"/>
        <v>71063149</v>
      </c>
      <c r="B391">
        <v>71063149</v>
      </c>
      <c r="C391" t="s">
        <v>5487</v>
      </c>
      <c r="D391" t="s">
        <v>2224</v>
      </c>
      <c r="E391">
        <v>4508682</v>
      </c>
      <c r="F391" t="s">
        <v>742</v>
      </c>
      <c r="G391" t="s">
        <v>4879</v>
      </c>
      <c r="H391" t="s">
        <v>4880</v>
      </c>
      <c r="I391" s="12">
        <v>44679</v>
      </c>
      <c r="J391">
        <v>1</v>
      </c>
      <c r="K391" t="str">
        <f>VLOOKUP(A391,'TV May Monthly Billing Sites'!$A:$L,1,0)</f>
        <v>71063149</v>
      </c>
    </row>
    <row r="392" spans="1:12">
      <c r="A392" t="str">
        <f t="shared" si="6"/>
        <v>71063347</v>
      </c>
      <c r="B392">
        <v>71063347</v>
      </c>
      <c r="C392" t="s">
        <v>5488</v>
      </c>
      <c r="D392" t="s">
        <v>5489</v>
      </c>
      <c r="E392">
        <v>4508675</v>
      </c>
      <c r="F392" t="s">
        <v>742</v>
      </c>
      <c r="G392" t="s">
        <v>828</v>
      </c>
      <c r="H392" t="s">
        <v>5490</v>
      </c>
      <c r="I392" s="12">
        <v>45714</v>
      </c>
      <c r="J392">
        <v>1</v>
      </c>
      <c r="K392" t="str">
        <f>VLOOKUP(A392,'TV May Monthly Billing Sites'!$A:$L,1,0)</f>
        <v>71063347</v>
      </c>
    </row>
    <row r="393" spans="1:12">
      <c r="A393" t="str">
        <f t="shared" si="6"/>
        <v>71063350</v>
      </c>
      <c r="B393">
        <v>71063350</v>
      </c>
      <c r="C393" t="s">
        <v>5491</v>
      </c>
      <c r="D393" t="s">
        <v>5492</v>
      </c>
      <c r="E393">
        <v>4508714</v>
      </c>
      <c r="F393" t="s">
        <v>742</v>
      </c>
      <c r="G393" t="s">
        <v>743</v>
      </c>
      <c r="H393" t="s">
        <v>4838</v>
      </c>
      <c r="I393" s="12">
        <v>45642</v>
      </c>
      <c r="J393">
        <v>1</v>
      </c>
      <c r="K393" t="str">
        <f>VLOOKUP(A393,'TV May Monthly Billing Sites'!$A:$L,1,0)</f>
        <v>71063350</v>
      </c>
    </row>
    <row r="394" spans="1:12">
      <c r="A394" t="str">
        <f t="shared" si="6"/>
        <v>71063396</v>
      </c>
      <c r="B394">
        <v>71063396</v>
      </c>
      <c r="C394" t="s">
        <v>5493</v>
      </c>
      <c r="D394" t="s">
        <v>5494</v>
      </c>
      <c r="E394">
        <v>4508714</v>
      </c>
      <c r="F394" t="s">
        <v>742</v>
      </c>
      <c r="G394" t="s">
        <v>743</v>
      </c>
      <c r="H394" t="s">
        <v>5495</v>
      </c>
      <c r="I394" s="12">
        <v>45649</v>
      </c>
      <c r="J394">
        <v>1</v>
      </c>
      <c r="K394" t="str">
        <f>VLOOKUP(A394,'TV May Monthly Billing Sites'!$A:$L,1,0)</f>
        <v>71063396</v>
      </c>
    </row>
    <row r="395" spans="1:12">
      <c r="A395" t="str">
        <f t="shared" si="6"/>
        <v>71063492</v>
      </c>
      <c r="B395">
        <v>71063492</v>
      </c>
      <c r="C395" t="s">
        <v>839</v>
      </c>
      <c r="D395" t="s">
        <v>840</v>
      </c>
      <c r="E395">
        <v>4408593</v>
      </c>
      <c r="F395" t="s">
        <v>742</v>
      </c>
      <c r="G395" t="s">
        <v>782</v>
      </c>
      <c r="H395" t="s">
        <v>841</v>
      </c>
      <c r="I395" s="12">
        <v>45681</v>
      </c>
      <c r="J395">
        <v>1</v>
      </c>
      <c r="K395" t="e">
        <f>VLOOKUP(A395,'TV May Monthly Billing Sites'!$A:$L,1,0)</f>
        <v>#N/A</v>
      </c>
      <c r="L395" t="e">
        <f>VLOOKUP(D395,'TV May Monthly Billing Sites'!$B:$L,1,0)</f>
        <v>#N/A</v>
      </c>
    </row>
    <row r="396" spans="1:12">
      <c r="A396" t="str">
        <f t="shared" si="6"/>
        <v>71063556</v>
      </c>
      <c r="B396">
        <v>71063556</v>
      </c>
      <c r="C396" t="s">
        <v>5496</v>
      </c>
      <c r="D396" t="s">
        <v>2232</v>
      </c>
      <c r="E396">
        <v>4508675</v>
      </c>
      <c r="F396" t="s">
        <v>742</v>
      </c>
      <c r="G396" t="s">
        <v>828</v>
      </c>
      <c r="H396" t="s">
        <v>1164</v>
      </c>
      <c r="I396" s="12">
        <v>45198</v>
      </c>
      <c r="J396">
        <v>1</v>
      </c>
      <c r="K396" t="str">
        <f>VLOOKUP(A396,'TV May Monthly Billing Sites'!$A:$L,1,0)</f>
        <v>71063556</v>
      </c>
    </row>
    <row r="397" spans="1:12">
      <c r="A397" t="str">
        <f t="shared" si="6"/>
        <v>71063998</v>
      </c>
      <c r="B397">
        <v>71063998</v>
      </c>
      <c r="C397" t="s">
        <v>5497</v>
      </c>
      <c r="D397" t="s">
        <v>5498</v>
      </c>
      <c r="E397">
        <v>4508714</v>
      </c>
      <c r="F397" t="s">
        <v>742</v>
      </c>
      <c r="G397" t="s">
        <v>743</v>
      </c>
      <c r="H397" t="s">
        <v>5375</v>
      </c>
      <c r="I397" s="12">
        <v>45992</v>
      </c>
      <c r="J397">
        <v>1</v>
      </c>
      <c r="K397" t="str">
        <f>VLOOKUP(A397,'TV May Monthly Billing Sites'!$A:$L,1,0)</f>
        <v>71063998</v>
      </c>
    </row>
    <row r="398" spans="1:12">
      <c r="A398" t="str">
        <f t="shared" si="6"/>
        <v>71064273</v>
      </c>
      <c r="B398">
        <v>71064273</v>
      </c>
      <c r="C398" t="s">
        <v>5499</v>
      </c>
      <c r="D398" t="s">
        <v>5500</v>
      </c>
      <c r="E398">
        <v>4508714</v>
      </c>
      <c r="F398" t="s">
        <v>742</v>
      </c>
      <c r="G398" t="s">
        <v>743</v>
      </c>
      <c r="H398" t="s">
        <v>5501</v>
      </c>
      <c r="I398" s="12">
        <v>46024</v>
      </c>
      <c r="J398">
        <v>1</v>
      </c>
      <c r="K398" t="str">
        <f>VLOOKUP(A398,'TV May Monthly Billing Sites'!$A:$L,1,0)</f>
        <v>71064273</v>
      </c>
    </row>
    <row r="399" spans="1:12">
      <c r="A399" t="str">
        <f t="shared" si="6"/>
        <v>71064371</v>
      </c>
      <c r="B399">
        <v>71064371</v>
      </c>
      <c r="C399" t="s">
        <v>5502</v>
      </c>
      <c r="D399" t="s">
        <v>5503</v>
      </c>
      <c r="E399">
        <v>4508714</v>
      </c>
      <c r="F399" t="s">
        <v>742</v>
      </c>
      <c r="G399" t="s">
        <v>743</v>
      </c>
      <c r="H399" t="s">
        <v>5504</v>
      </c>
      <c r="I399" s="12">
        <v>45625</v>
      </c>
      <c r="J399">
        <v>1</v>
      </c>
      <c r="K399" t="str">
        <f>VLOOKUP(A399,'TV May Monthly Billing Sites'!$A:$L,1,0)</f>
        <v>71064371</v>
      </c>
    </row>
    <row r="400" spans="1:12">
      <c r="A400" t="str">
        <f t="shared" si="6"/>
        <v>71064423</v>
      </c>
      <c r="B400">
        <v>71064423</v>
      </c>
      <c r="C400" t="s">
        <v>5505</v>
      </c>
      <c r="D400" t="s">
        <v>2240</v>
      </c>
      <c r="E400">
        <v>4508714</v>
      </c>
      <c r="F400" t="s">
        <v>742</v>
      </c>
      <c r="G400" t="s">
        <v>743</v>
      </c>
      <c r="H400" t="s">
        <v>5506</v>
      </c>
      <c r="I400" s="12">
        <v>45783</v>
      </c>
      <c r="J400">
        <v>1</v>
      </c>
      <c r="K400" t="str">
        <f>VLOOKUP(A400,'TV May Monthly Billing Sites'!$A:$L,1,0)</f>
        <v>71064423</v>
      </c>
    </row>
    <row r="401" spans="1:12">
      <c r="A401" t="str">
        <f t="shared" si="6"/>
        <v>71064453</v>
      </c>
      <c r="B401">
        <v>71064453</v>
      </c>
      <c r="C401" t="s">
        <v>5507</v>
      </c>
      <c r="D401" t="s">
        <v>2242</v>
      </c>
      <c r="E401">
        <v>4508714</v>
      </c>
      <c r="F401" t="s">
        <v>742</v>
      </c>
      <c r="G401" t="s">
        <v>743</v>
      </c>
      <c r="H401" t="s">
        <v>5508</v>
      </c>
      <c r="I401" s="12">
        <v>45628</v>
      </c>
      <c r="J401">
        <v>1</v>
      </c>
      <c r="K401" t="str">
        <f>VLOOKUP(A401,'TV May Monthly Billing Sites'!$A:$L,1,0)</f>
        <v>71064453</v>
      </c>
    </row>
    <row r="402" spans="1:12">
      <c r="A402" t="str">
        <f t="shared" si="6"/>
        <v>71064573</v>
      </c>
      <c r="B402">
        <v>71064573</v>
      </c>
      <c r="C402" t="s">
        <v>5509</v>
      </c>
      <c r="D402" t="s">
        <v>2244</v>
      </c>
      <c r="E402">
        <v>4408593</v>
      </c>
      <c r="F402" t="s">
        <v>742</v>
      </c>
      <c r="G402" t="s">
        <v>782</v>
      </c>
      <c r="H402" t="s">
        <v>5327</v>
      </c>
      <c r="I402" s="12">
        <v>45735</v>
      </c>
      <c r="J402">
        <v>1</v>
      </c>
      <c r="K402" t="str">
        <f>VLOOKUP(A402,'TV May Monthly Billing Sites'!$A:$L,1,0)</f>
        <v>71064573</v>
      </c>
    </row>
    <row r="403" spans="1:12">
      <c r="A403" t="str">
        <f t="shared" si="6"/>
        <v>71064590</v>
      </c>
      <c r="B403">
        <v>71064590</v>
      </c>
      <c r="C403" t="s">
        <v>5510</v>
      </c>
      <c r="D403" t="s">
        <v>2246</v>
      </c>
      <c r="E403">
        <v>4408593</v>
      </c>
      <c r="F403" t="s">
        <v>742</v>
      </c>
      <c r="G403" t="s">
        <v>782</v>
      </c>
      <c r="H403" t="s">
        <v>2246</v>
      </c>
      <c r="I403" s="12">
        <v>45628</v>
      </c>
      <c r="J403">
        <v>1</v>
      </c>
      <c r="K403" t="str">
        <f>VLOOKUP(A403,'TV May Monthly Billing Sites'!$A:$L,1,0)</f>
        <v>71064590</v>
      </c>
    </row>
    <row r="404" spans="1:12">
      <c r="A404" t="str">
        <f t="shared" si="6"/>
        <v>71064683</v>
      </c>
      <c r="B404">
        <v>71064683</v>
      </c>
      <c r="C404" t="s">
        <v>5511</v>
      </c>
      <c r="D404" t="s">
        <v>2248</v>
      </c>
      <c r="E404">
        <v>4508714</v>
      </c>
      <c r="F404" t="s">
        <v>742</v>
      </c>
      <c r="G404" t="s">
        <v>743</v>
      </c>
      <c r="H404" t="s">
        <v>5512</v>
      </c>
      <c r="I404" s="12">
        <v>45622</v>
      </c>
      <c r="J404">
        <v>1</v>
      </c>
      <c r="K404" t="str">
        <f>VLOOKUP(A404,'TV May Monthly Billing Sites'!$A:$L,1,0)</f>
        <v>71064683</v>
      </c>
    </row>
    <row r="405" spans="1:12">
      <c r="A405" t="str">
        <f t="shared" si="6"/>
        <v>71065033</v>
      </c>
      <c r="B405">
        <v>71065033</v>
      </c>
      <c r="C405" t="s">
        <v>843</v>
      </c>
      <c r="D405" t="s">
        <v>844</v>
      </c>
      <c r="E405">
        <v>4508714</v>
      </c>
      <c r="F405" t="s">
        <v>742</v>
      </c>
      <c r="G405" t="s">
        <v>743</v>
      </c>
      <c r="H405" t="s">
        <v>845</v>
      </c>
      <c r="I405" s="12">
        <v>45659</v>
      </c>
      <c r="J405">
        <v>1</v>
      </c>
      <c r="K405" t="e">
        <f>VLOOKUP(A405,'TV May Monthly Billing Sites'!$A:$L,1,0)</f>
        <v>#N/A</v>
      </c>
      <c r="L405" t="e">
        <f>VLOOKUP(D405,'TV May Monthly Billing Sites'!$B:$L,1,0)</f>
        <v>#N/A</v>
      </c>
    </row>
    <row r="406" spans="1:12">
      <c r="A406" t="str">
        <f t="shared" si="6"/>
        <v>71065044</v>
      </c>
      <c r="B406">
        <v>71065044</v>
      </c>
      <c r="C406" t="s">
        <v>847</v>
      </c>
      <c r="D406" t="s">
        <v>848</v>
      </c>
      <c r="E406">
        <v>4508714</v>
      </c>
      <c r="F406" t="s">
        <v>742</v>
      </c>
      <c r="G406" t="s">
        <v>743</v>
      </c>
      <c r="H406" t="s">
        <v>845</v>
      </c>
      <c r="I406" s="12">
        <v>45659</v>
      </c>
      <c r="J406">
        <v>1</v>
      </c>
      <c r="K406" t="e">
        <f>VLOOKUP(A406,'TV May Monthly Billing Sites'!$A:$L,1,0)</f>
        <v>#N/A</v>
      </c>
      <c r="L406" t="e">
        <f>VLOOKUP(D406,'TV May Monthly Billing Sites'!$B:$L,1,0)</f>
        <v>#N/A</v>
      </c>
    </row>
    <row r="407" spans="1:12">
      <c r="A407" t="str">
        <f t="shared" si="6"/>
        <v>71065076</v>
      </c>
      <c r="B407">
        <v>71065076</v>
      </c>
      <c r="C407" t="s">
        <v>5513</v>
      </c>
      <c r="D407" t="s">
        <v>5514</v>
      </c>
      <c r="E407">
        <v>4508714</v>
      </c>
      <c r="F407" t="s">
        <v>742</v>
      </c>
      <c r="G407" t="s">
        <v>743</v>
      </c>
      <c r="H407" t="s">
        <v>5515</v>
      </c>
      <c r="I407" s="12">
        <v>45623</v>
      </c>
      <c r="J407">
        <v>1</v>
      </c>
      <c r="K407" t="str">
        <f>VLOOKUP(A407,'TV May Monthly Billing Sites'!$A:$L,1,0)</f>
        <v>71065076</v>
      </c>
    </row>
    <row r="408" spans="1:12">
      <c r="A408" t="str">
        <f t="shared" si="6"/>
        <v>71065125</v>
      </c>
      <c r="B408">
        <v>71065125</v>
      </c>
      <c r="C408" t="s">
        <v>5516</v>
      </c>
      <c r="D408" t="s">
        <v>5517</v>
      </c>
      <c r="E408">
        <v>4508714</v>
      </c>
      <c r="F408" t="s">
        <v>742</v>
      </c>
      <c r="G408" t="s">
        <v>743</v>
      </c>
      <c r="H408" t="s">
        <v>5094</v>
      </c>
      <c r="I408" s="12">
        <v>45525</v>
      </c>
      <c r="J408">
        <v>1</v>
      </c>
      <c r="K408" t="str">
        <f>VLOOKUP(A408,'TV May Monthly Billing Sites'!$A:$L,1,0)</f>
        <v>71065125</v>
      </c>
    </row>
    <row r="409" spans="1:12">
      <c r="A409" t="str">
        <f t="shared" si="6"/>
        <v>71065163</v>
      </c>
      <c r="B409">
        <v>71065163</v>
      </c>
      <c r="C409" t="s">
        <v>5518</v>
      </c>
      <c r="D409" t="s">
        <v>5519</v>
      </c>
      <c r="E409">
        <v>4508675</v>
      </c>
      <c r="F409" t="s">
        <v>742</v>
      </c>
      <c r="G409" t="s">
        <v>828</v>
      </c>
      <c r="H409" t="s">
        <v>5520</v>
      </c>
      <c r="I409" s="12">
        <v>45910</v>
      </c>
      <c r="J409">
        <v>1</v>
      </c>
      <c r="K409" t="str">
        <f>VLOOKUP(A409,'TV May Monthly Billing Sites'!$A:$L,1,0)</f>
        <v>71065163</v>
      </c>
    </row>
    <row r="410" spans="1:12">
      <c r="A410" t="str">
        <f t="shared" si="6"/>
        <v>76001693</v>
      </c>
      <c r="B410">
        <v>76001693</v>
      </c>
      <c r="C410" t="s">
        <v>5521</v>
      </c>
      <c r="D410" t="s">
        <v>5522</v>
      </c>
      <c r="E410">
        <v>4508714</v>
      </c>
      <c r="F410" t="s">
        <v>742</v>
      </c>
      <c r="G410" t="s">
        <v>743</v>
      </c>
      <c r="H410" t="s">
        <v>5523</v>
      </c>
      <c r="I410" s="12">
        <v>45755</v>
      </c>
      <c r="J410">
        <v>1</v>
      </c>
      <c r="K410" t="str">
        <f>VLOOKUP(A410,'TV May Monthly Billing Sites'!$A:$L,1,0)</f>
        <v>76001693</v>
      </c>
    </row>
    <row r="411" spans="1:12">
      <c r="A411" t="str">
        <f t="shared" si="6"/>
        <v>76001728</v>
      </c>
      <c r="B411">
        <v>76001728</v>
      </c>
      <c r="C411" t="s">
        <v>5524</v>
      </c>
      <c r="D411" t="s">
        <v>2258</v>
      </c>
      <c r="E411">
        <v>4508714</v>
      </c>
      <c r="F411" t="s">
        <v>742</v>
      </c>
      <c r="G411" t="s">
        <v>743</v>
      </c>
      <c r="H411" t="s">
        <v>5525</v>
      </c>
      <c r="I411" s="12">
        <v>45747</v>
      </c>
      <c r="J411">
        <v>1</v>
      </c>
      <c r="K411" t="str">
        <f>VLOOKUP(A411,'TV May Monthly Billing Sites'!$A:$L,1,0)</f>
        <v>76001728</v>
      </c>
    </row>
    <row r="412" spans="1:12">
      <c r="A412" t="str">
        <f t="shared" si="6"/>
        <v>76001910</v>
      </c>
      <c r="B412">
        <v>76001910</v>
      </c>
      <c r="C412" t="s">
        <v>5526</v>
      </c>
      <c r="D412" t="s">
        <v>5527</v>
      </c>
      <c r="E412">
        <v>4508714</v>
      </c>
      <c r="F412" t="s">
        <v>742</v>
      </c>
      <c r="G412" t="s">
        <v>743</v>
      </c>
      <c r="H412" t="s">
        <v>1179</v>
      </c>
      <c r="I412" s="12">
        <v>45646</v>
      </c>
      <c r="J412">
        <v>1</v>
      </c>
      <c r="K412" t="str">
        <f>VLOOKUP(A412,'TV May Monthly Billing Sites'!$A:$L,1,0)</f>
        <v>76001910</v>
      </c>
    </row>
    <row r="413" spans="1:12">
      <c r="A413" t="str">
        <f t="shared" si="6"/>
        <v>76002396</v>
      </c>
      <c r="B413">
        <v>76002396</v>
      </c>
      <c r="C413" t="s">
        <v>5528</v>
      </c>
      <c r="D413" t="s">
        <v>5529</v>
      </c>
      <c r="E413">
        <v>4508714</v>
      </c>
      <c r="F413" t="s">
        <v>742</v>
      </c>
      <c r="G413" t="s">
        <v>743</v>
      </c>
      <c r="H413" t="s">
        <v>1175</v>
      </c>
      <c r="I413" s="12">
        <v>45622</v>
      </c>
      <c r="J413">
        <v>1</v>
      </c>
      <c r="K413" t="str">
        <f>VLOOKUP(A413,'TV May Monthly Billing Sites'!$A:$L,1,0)</f>
        <v>76002396</v>
      </c>
    </row>
    <row r="414" spans="1:12">
      <c r="A414" t="str">
        <f t="shared" si="6"/>
        <v>76002398</v>
      </c>
      <c r="B414">
        <v>76002398</v>
      </c>
      <c r="C414" t="s">
        <v>5530</v>
      </c>
      <c r="D414" t="s">
        <v>5531</v>
      </c>
      <c r="E414">
        <v>4508714</v>
      </c>
      <c r="F414" t="s">
        <v>742</v>
      </c>
      <c r="G414" t="s">
        <v>743</v>
      </c>
      <c r="H414" t="s">
        <v>1175</v>
      </c>
      <c r="I414" s="12">
        <v>45622</v>
      </c>
      <c r="J414">
        <v>1</v>
      </c>
      <c r="K414" t="str">
        <f>VLOOKUP(A414,'TV May Monthly Billing Sites'!$A:$L,1,0)</f>
        <v>76002398</v>
      </c>
    </row>
    <row r="415" spans="1:12">
      <c r="A415" t="str">
        <f t="shared" si="6"/>
        <v>76002438</v>
      </c>
      <c r="B415">
        <v>76002438</v>
      </c>
      <c r="C415" t="s">
        <v>5532</v>
      </c>
      <c r="D415" t="s">
        <v>2266</v>
      </c>
      <c r="E415">
        <v>4508714</v>
      </c>
      <c r="F415" t="s">
        <v>742</v>
      </c>
      <c r="G415" t="s">
        <v>743</v>
      </c>
      <c r="H415" t="s">
        <v>5278</v>
      </c>
      <c r="I415" s="12">
        <v>45656</v>
      </c>
      <c r="J415">
        <v>1</v>
      </c>
      <c r="K415" t="str">
        <f>VLOOKUP(A415,'TV May Monthly Billing Sites'!$A:$L,1,0)</f>
        <v>76002438</v>
      </c>
    </row>
    <row r="416" spans="1:12">
      <c r="A416" t="str">
        <f t="shared" si="6"/>
        <v>76002746</v>
      </c>
      <c r="B416">
        <v>76002746</v>
      </c>
      <c r="C416" t="s">
        <v>5533</v>
      </c>
      <c r="D416" t="s">
        <v>5534</v>
      </c>
      <c r="E416">
        <v>4508714</v>
      </c>
      <c r="F416" t="s">
        <v>742</v>
      </c>
      <c r="G416" t="s">
        <v>743</v>
      </c>
      <c r="H416" t="s">
        <v>5281</v>
      </c>
      <c r="I416" s="12">
        <v>45957</v>
      </c>
      <c r="J416">
        <v>1</v>
      </c>
      <c r="K416" t="str">
        <f>VLOOKUP(A416,'TV May Monthly Billing Sites'!$A:$L,1,0)</f>
        <v>76002746</v>
      </c>
    </row>
    <row r="417" spans="1:12">
      <c r="A417" t="str">
        <f t="shared" si="6"/>
        <v>76003331</v>
      </c>
      <c r="B417">
        <v>76003331</v>
      </c>
      <c r="C417" t="s">
        <v>5535</v>
      </c>
      <c r="D417" t="s">
        <v>2270</v>
      </c>
      <c r="E417">
        <v>4508714</v>
      </c>
      <c r="F417" t="s">
        <v>742</v>
      </c>
      <c r="G417" t="s">
        <v>743</v>
      </c>
      <c r="H417" t="s">
        <v>5536</v>
      </c>
      <c r="I417" s="12">
        <v>45587</v>
      </c>
      <c r="J417">
        <v>1</v>
      </c>
      <c r="K417" t="str">
        <f>VLOOKUP(A417,'TV May Monthly Billing Sites'!$A:$L,1,0)</f>
        <v>76003331</v>
      </c>
    </row>
    <row r="418" spans="1:12">
      <c r="A418" t="str">
        <f t="shared" si="6"/>
        <v>76003345</v>
      </c>
      <c r="B418">
        <v>76003345</v>
      </c>
      <c r="C418" t="s">
        <v>5537</v>
      </c>
      <c r="D418" t="s">
        <v>1958</v>
      </c>
      <c r="E418">
        <v>4508714</v>
      </c>
      <c r="F418" t="s">
        <v>742</v>
      </c>
      <c r="G418" t="s">
        <v>743</v>
      </c>
      <c r="H418" t="s">
        <v>5536</v>
      </c>
      <c r="I418" s="12">
        <v>45587</v>
      </c>
      <c r="J418">
        <v>1</v>
      </c>
      <c r="K418" t="e">
        <f>VLOOKUP(A418,'TV May Monthly Billing Sites'!$A:$L,1,0)</f>
        <v>#N/A</v>
      </c>
      <c r="L418" t="str">
        <f>VLOOKUP(D418,'TV May Monthly Billing Sites'!$B:$L,1,0)</f>
        <v>JACK DANIELS VOLKSWAGEN</v>
      </c>
    </row>
    <row r="419" spans="1:12">
      <c r="A419" t="str">
        <f t="shared" si="6"/>
        <v>76003398</v>
      </c>
      <c r="B419">
        <v>76003398</v>
      </c>
      <c r="C419" t="s">
        <v>5538</v>
      </c>
      <c r="D419" t="s">
        <v>2272</v>
      </c>
      <c r="E419">
        <v>4508714</v>
      </c>
      <c r="F419" t="s">
        <v>742</v>
      </c>
      <c r="G419" t="s">
        <v>743</v>
      </c>
      <c r="H419" t="s">
        <v>5539</v>
      </c>
      <c r="I419" s="12">
        <v>46000</v>
      </c>
      <c r="J419">
        <v>1</v>
      </c>
      <c r="K419" t="str">
        <f>VLOOKUP(A419,'TV May Monthly Billing Sites'!$A:$L,1,0)</f>
        <v>76003398</v>
      </c>
    </row>
    <row r="420" spans="1:12">
      <c r="A420" t="str">
        <f t="shared" si="6"/>
        <v>76004723</v>
      </c>
      <c r="B420">
        <v>76004723</v>
      </c>
      <c r="C420" t="s">
        <v>5540</v>
      </c>
      <c r="D420" t="s">
        <v>5541</v>
      </c>
      <c r="E420">
        <v>4508714</v>
      </c>
      <c r="F420" t="s">
        <v>742</v>
      </c>
      <c r="G420" t="s">
        <v>743</v>
      </c>
      <c r="H420" t="s">
        <v>5542</v>
      </c>
      <c r="I420" s="12">
        <v>45790</v>
      </c>
      <c r="J420">
        <v>1</v>
      </c>
      <c r="K420" t="str">
        <f>VLOOKUP(A420,'TV May Monthly Billing Sites'!$A:$L,1,0)</f>
        <v>76004723</v>
      </c>
    </row>
    <row r="421" spans="1:12">
      <c r="A421" t="str">
        <f t="shared" si="6"/>
        <v>76007113</v>
      </c>
      <c r="B421">
        <v>76007113</v>
      </c>
      <c r="C421" t="s">
        <v>5543</v>
      </c>
      <c r="D421" t="s">
        <v>5544</v>
      </c>
      <c r="E421">
        <v>4508714</v>
      </c>
      <c r="F421" t="s">
        <v>742</v>
      </c>
      <c r="G421" t="s">
        <v>743</v>
      </c>
      <c r="H421" t="s">
        <v>5545</v>
      </c>
      <c r="I421" s="12">
        <v>45923</v>
      </c>
      <c r="J421">
        <v>1</v>
      </c>
      <c r="K421" t="str">
        <f>VLOOKUP(A421,'TV May Monthly Billing Sites'!$A:$L,1,0)</f>
        <v>76007113</v>
      </c>
    </row>
    <row r="422" spans="1:12">
      <c r="A422" t="str">
        <f t="shared" si="6"/>
        <v>76010352</v>
      </c>
      <c r="B422">
        <v>76010352</v>
      </c>
      <c r="C422" t="s">
        <v>5546</v>
      </c>
      <c r="D422" t="s">
        <v>5547</v>
      </c>
      <c r="E422">
        <v>4508714</v>
      </c>
      <c r="F422" t="s">
        <v>742</v>
      </c>
      <c r="G422" t="s">
        <v>743</v>
      </c>
      <c r="H422" t="s">
        <v>5548</v>
      </c>
      <c r="I422" s="12">
        <v>46021</v>
      </c>
      <c r="J422">
        <v>1</v>
      </c>
      <c r="K422" t="str">
        <f>VLOOKUP(A422,'TV May Monthly Billing Sites'!$A:$L,1,0)</f>
        <v>76010352</v>
      </c>
    </row>
    <row r="423" spans="1:12">
      <c r="A423" t="str">
        <f t="shared" si="6"/>
        <v>76010352</v>
      </c>
      <c r="B423">
        <v>76010352</v>
      </c>
      <c r="C423" t="s">
        <v>5549</v>
      </c>
      <c r="D423" t="s">
        <v>5547</v>
      </c>
      <c r="E423">
        <v>4408592</v>
      </c>
      <c r="F423" t="s">
        <v>742</v>
      </c>
      <c r="G423" t="s">
        <v>823</v>
      </c>
      <c r="H423" t="s">
        <v>5548</v>
      </c>
      <c r="I423" s="12">
        <v>46021</v>
      </c>
      <c r="J423">
        <v>1</v>
      </c>
      <c r="K423" t="str">
        <f>VLOOKUP(A423,'TV May Monthly Billing Sites'!$A:$L,1,0)</f>
        <v>76010352</v>
      </c>
    </row>
    <row r="424" spans="1:12">
      <c r="A424" t="str">
        <f t="shared" si="6"/>
        <v>76011134</v>
      </c>
      <c r="B424">
        <v>76011134</v>
      </c>
      <c r="C424" t="s">
        <v>5550</v>
      </c>
      <c r="D424" t="s">
        <v>5551</v>
      </c>
      <c r="E424">
        <v>4408593</v>
      </c>
      <c r="F424" t="s">
        <v>742</v>
      </c>
      <c r="G424" t="s">
        <v>782</v>
      </c>
      <c r="H424" t="s">
        <v>5552</v>
      </c>
      <c r="I424" s="12">
        <v>45764</v>
      </c>
      <c r="J424">
        <v>1</v>
      </c>
      <c r="K424" t="str">
        <f>VLOOKUP(A424,'TV May Monthly Billing Sites'!$A:$L,1,0)</f>
        <v>76011134</v>
      </c>
    </row>
    <row r="425" spans="1:12">
      <c r="A425" t="str">
        <f t="shared" si="6"/>
        <v>76011141</v>
      </c>
      <c r="B425">
        <v>76011141</v>
      </c>
      <c r="C425" t="s">
        <v>5553</v>
      </c>
      <c r="D425" t="s">
        <v>2282</v>
      </c>
      <c r="E425">
        <v>4408592</v>
      </c>
      <c r="F425" t="s">
        <v>742</v>
      </c>
      <c r="G425" t="s">
        <v>823</v>
      </c>
      <c r="H425" t="s">
        <v>5552</v>
      </c>
      <c r="I425" s="12">
        <v>45107</v>
      </c>
      <c r="J425">
        <v>1</v>
      </c>
      <c r="K425" t="str">
        <f>VLOOKUP(A425,'TV May Monthly Billing Sites'!$A:$L,1,0)</f>
        <v>76011141</v>
      </c>
    </row>
    <row r="426" spans="1:12">
      <c r="A426" t="str">
        <f t="shared" si="6"/>
        <v>76011323</v>
      </c>
      <c r="B426">
        <v>76011323</v>
      </c>
      <c r="C426" t="s">
        <v>5554</v>
      </c>
      <c r="D426" t="s">
        <v>5555</v>
      </c>
      <c r="E426">
        <v>4508714</v>
      </c>
      <c r="F426" t="s">
        <v>742</v>
      </c>
      <c r="G426" t="s">
        <v>743</v>
      </c>
      <c r="H426" t="s">
        <v>5186</v>
      </c>
      <c r="I426" s="12">
        <v>45839</v>
      </c>
      <c r="J426">
        <v>1</v>
      </c>
      <c r="K426" t="str">
        <f>VLOOKUP(A426,'TV May Monthly Billing Sites'!$A:$L,1,0)</f>
        <v>76011323</v>
      </c>
    </row>
    <row r="427" spans="1:12">
      <c r="A427" t="str">
        <f t="shared" si="6"/>
        <v>76012107</v>
      </c>
      <c r="B427">
        <v>76012107</v>
      </c>
      <c r="C427" t="s">
        <v>5556</v>
      </c>
      <c r="D427" t="s">
        <v>2286</v>
      </c>
      <c r="E427">
        <v>4508714</v>
      </c>
      <c r="F427" t="s">
        <v>742</v>
      </c>
      <c r="G427" t="s">
        <v>743</v>
      </c>
      <c r="H427" t="s">
        <v>5557</v>
      </c>
      <c r="I427" s="12">
        <v>46023</v>
      </c>
      <c r="J427">
        <v>1</v>
      </c>
      <c r="K427" t="str">
        <f>VLOOKUP(A427,'TV May Monthly Billing Sites'!$A:$L,1,0)</f>
        <v>76012107</v>
      </c>
    </row>
    <row r="428" spans="1:12">
      <c r="A428" t="str">
        <f t="shared" si="6"/>
        <v>76012908</v>
      </c>
      <c r="B428">
        <v>76012908</v>
      </c>
      <c r="C428" t="s">
        <v>5558</v>
      </c>
      <c r="D428" t="s">
        <v>5559</v>
      </c>
      <c r="E428">
        <v>4508714</v>
      </c>
      <c r="F428" t="s">
        <v>742</v>
      </c>
      <c r="G428" t="s">
        <v>743</v>
      </c>
      <c r="H428" t="s">
        <v>1164</v>
      </c>
      <c r="I428" s="12">
        <v>45636</v>
      </c>
      <c r="J428">
        <v>1</v>
      </c>
      <c r="K428" t="str">
        <f>VLOOKUP(A428,'TV May Monthly Billing Sites'!$A:$L,1,0)</f>
        <v>76012908</v>
      </c>
    </row>
    <row r="429" spans="1:12">
      <c r="A429" t="str">
        <f t="shared" si="6"/>
        <v>76017091</v>
      </c>
      <c r="B429">
        <v>76017091</v>
      </c>
      <c r="C429" t="s">
        <v>5560</v>
      </c>
      <c r="D429" t="s">
        <v>2292</v>
      </c>
      <c r="E429">
        <v>4408592</v>
      </c>
      <c r="F429" t="s">
        <v>742</v>
      </c>
      <c r="G429" t="s">
        <v>823</v>
      </c>
      <c r="H429" t="s">
        <v>4974</v>
      </c>
      <c r="I429" s="12">
        <v>45146</v>
      </c>
      <c r="J429">
        <v>1</v>
      </c>
      <c r="K429" t="str">
        <f>VLOOKUP(A429,'TV May Monthly Billing Sites'!$A:$L,1,0)</f>
        <v>76017091</v>
      </c>
    </row>
    <row r="430" spans="1:12">
      <c r="A430" t="str">
        <f t="shared" si="6"/>
        <v>76017151</v>
      </c>
      <c r="B430">
        <v>76017151</v>
      </c>
      <c r="C430" t="s">
        <v>5561</v>
      </c>
      <c r="D430" t="s">
        <v>2294</v>
      </c>
      <c r="E430">
        <v>4408593</v>
      </c>
      <c r="F430" t="s">
        <v>742</v>
      </c>
      <c r="G430" t="s">
        <v>782</v>
      </c>
      <c r="H430" t="s">
        <v>1171</v>
      </c>
      <c r="I430" s="12">
        <v>45618</v>
      </c>
      <c r="J430">
        <v>1</v>
      </c>
      <c r="K430" t="str">
        <f>VLOOKUP(A430,'TV May Monthly Billing Sites'!$A:$L,1,0)</f>
        <v>76017151</v>
      </c>
    </row>
    <row r="431" spans="1:12">
      <c r="A431" t="str">
        <f t="shared" si="6"/>
        <v>76017216</v>
      </c>
      <c r="B431">
        <v>76017216</v>
      </c>
      <c r="C431" t="s">
        <v>5562</v>
      </c>
      <c r="D431" t="s">
        <v>5563</v>
      </c>
      <c r="E431">
        <v>4408592</v>
      </c>
      <c r="F431" t="s">
        <v>742</v>
      </c>
      <c r="G431" t="s">
        <v>823</v>
      </c>
      <c r="H431" t="s">
        <v>4974</v>
      </c>
      <c r="I431" s="12">
        <v>45146</v>
      </c>
      <c r="J431">
        <v>1</v>
      </c>
      <c r="K431" t="str">
        <f>VLOOKUP(A431,'TV May Monthly Billing Sites'!$A:$L,1,0)</f>
        <v>76017216</v>
      </c>
    </row>
    <row r="432" spans="1:12">
      <c r="A432" t="str">
        <f t="shared" si="6"/>
        <v>76018560</v>
      </c>
      <c r="B432">
        <v>76018560</v>
      </c>
      <c r="C432" t="s">
        <v>5564</v>
      </c>
      <c r="D432" t="s">
        <v>2298</v>
      </c>
      <c r="E432">
        <v>4408592</v>
      </c>
      <c r="F432" t="s">
        <v>742</v>
      </c>
      <c r="G432" t="s">
        <v>823</v>
      </c>
      <c r="H432" t="s">
        <v>4785</v>
      </c>
      <c r="I432" s="12">
        <v>44712</v>
      </c>
      <c r="J432">
        <v>1</v>
      </c>
      <c r="K432" t="str">
        <f>VLOOKUP(A432,'TV May Monthly Billing Sites'!$A:$L,1,0)</f>
        <v>76018560</v>
      </c>
    </row>
    <row r="433" spans="1:12">
      <c r="A433" t="str">
        <f t="shared" si="6"/>
        <v>76019351</v>
      </c>
      <c r="B433">
        <v>76019351</v>
      </c>
      <c r="C433" t="s">
        <v>5565</v>
      </c>
      <c r="D433" t="s">
        <v>5566</v>
      </c>
      <c r="E433">
        <v>4408592</v>
      </c>
      <c r="F433" t="s">
        <v>742</v>
      </c>
      <c r="G433" t="s">
        <v>823</v>
      </c>
      <c r="H433" t="s">
        <v>5567</v>
      </c>
      <c r="I433" s="12">
        <v>45749</v>
      </c>
      <c r="J433">
        <v>1</v>
      </c>
      <c r="K433" t="str">
        <f>VLOOKUP(A433,'TV May Monthly Billing Sites'!$A:$L,1,0)</f>
        <v>76019351</v>
      </c>
    </row>
    <row r="434" spans="1:12">
      <c r="A434" t="str">
        <f t="shared" si="6"/>
        <v>76019863</v>
      </c>
      <c r="B434">
        <v>76019863</v>
      </c>
      <c r="C434" t="s">
        <v>5568</v>
      </c>
      <c r="D434" t="s">
        <v>2302</v>
      </c>
      <c r="E434">
        <v>4508714</v>
      </c>
      <c r="F434" t="s">
        <v>742</v>
      </c>
      <c r="G434" t="s">
        <v>743</v>
      </c>
      <c r="H434" t="s">
        <v>2302</v>
      </c>
      <c r="I434" s="12">
        <v>45960</v>
      </c>
      <c r="J434">
        <v>1</v>
      </c>
      <c r="K434" t="str">
        <f>VLOOKUP(A434,'TV May Monthly Billing Sites'!$A:$L,1,0)</f>
        <v>76019863</v>
      </c>
    </row>
    <row r="435" spans="1:12">
      <c r="A435" t="str">
        <f t="shared" si="6"/>
        <v>76019924</v>
      </c>
      <c r="B435">
        <v>76019924</v>
      </c>
      <c r="C435" t="s">
        <v>5569</v>
      </c>
      <c r="D435" t="s">
        <v>2304</v>
      </c>
      <c r="E435">
        <v>4408592</v>
      </c>
      <c r="F435" t="s">
        <v>742</v>
      </c>
      <c r="G435" t="s">
        <v>823</v>
      </c>
      <c r="H435" t="s">
        <v>2304</v>
      </c>
      <c r="I435" s="12">
        <v>46041</v>
      </c>
      <c r="J435">
        <v>1</v>
      </c>
      <c r="K435" t="str">
        <f>VLOOKUP(A435,'TV May Monthly Billing Sites'!$A:$L,1,0)</f>
        <v>76019924</v>
      </c>
    </row>
    <row r="436" spans="1:12">
      <c r="A436" t="str">
        <f t="shared" si="6"/>
        <v>76019998</v>
      </c>
      <c r="B436">
        <v>76019998</v>
      </c>
      <c r="C436" t="s">
        <v>5570</v>
      </c>
      <c r="D436" t="s">
        <v>2306</v>
      </c>
      <c r="E436">
        <v>4508714</v>
      </c>
      <c r="F436" t="s">
        <v>742</v>
      </c>
      <c r="G436" t="s">
        <v>743</v>
      </c>
      <c r="H436" t="s">
        <v>5571</v>
      </c>
      <c r="I436" s="12">
        <v>45747</v>
      </c>
      <c r="J436">
        <v>1</v>
      </c>
      <c r="K436" t="str">
        <f>VLOOKUP(A436,'TV May Monthly Billing Sites'!$A:$L,1,0)</f>
        <v>76019998</v>
      </c>
    </row>
    <row r="437" spans="1:12">
      <c r="A437" t="str">
        <f t="shared" si="6"/>
        <v>76020610</v>
      </c>
      <c r="B437">
        <v>76020610</v>
      </c>
      <c r="C437" t="s">
        <v>5572</v>
      </c>
      <c r="D437" t="s">
        <v>2308</v>
      </c>
      <c r="E437">
        <v>4508714</v>
      </c>
      <c r="F437" t="s">
        <v>742</v>
      </c>
      <c r="G437" t="s">
        <v>743</v>
      </c>
      <c r="H437" t="s">
        <v>751</v>
      </c>
      <c r="I437" s="12">
        <v>45747</v>
      </c>
      <c r="J437">
        <v>1</v>
      </c>
      <c r="K437" t="str">
        <f>VLOOKUP(A437,'TV May Monthly Billing Sites'!$A:$L,1,0)</f>
        <v>76020610</v>
      </c>
    </row>
    <row r="438" spans="1:12">
      <c r="A438" t="str">
        <f t="shared" si="6"/>
        <v>76020627</v>
      </c>
      <c r="B438">
        <v>76020627</v>
      </c>
      <c r="C438" t="s">
        <v>5573</v>
      </c>
      <c r="D438" t="s">
        <v>5574</v>
      </c>
      <c r="E438">
        <v>4508714</v>
      </c>
      <c r="F438" t="s">
        <v>742</v>
      </c>
      <c r="G438" t="s">
        <v>743</v>
      </c>
      <c r="H438" t="s">
        <v>5575</v>
      </c>
      <c r="I438" s="12">
        <v>45604</v>
      </c>
      <c r="J438">
        <v>1</v>
      </c>
      <c r="K438" t="str">
        <f>VLOOKUP(A438,'TV May Monthly Billing Sites'!$A:$L,1,0)</f>
        <v>76020627</v>
      </c>
    </row>
    <row r="439" spans="1:12">
      <c r="A439" t="str">
        <f t="shared" si="6"/>
        <v>76020773</v>
      </c>
      <c r="B439">
        <v>76020773</v>
      </c>
      <c r="C439" t="s">
        <v>5576</v>
      </c>
      <c r="D439" t="s">
        <v>2312</v>
      </c>
      <c r="E439">
        <v>4508714</v>
      </c>
      <c r="F439" t="s">
        <v>742</v>
      </c>
      <c r="G439" t="s">
        <v>743</v>
      </c>
      <c r="H439" t="s">
        <v>5420</v>
      </c>
      <c r="I439" s="12">
        <v>45393</v>
      </c>
      <c r="J439">
        <v>1</v>
      </c>
      <c r="K439" t="str">
        <f>VLOOKUP(A439,'TV May Monthly Billing Sites'!$A:$L,1,0)</f>
        <v>76020773</v>
      </c>
    </row>
    <row r="440" spans="1:12">
      <c r="A440" t="str">
        <f t="shared" si="6"/>
        <v>76020961</v>
      </c>
      <c r="B440">
        <v>76020961</v>
      </c>
      <c r="C440" t="s">
        <v>5577</v>
      </c>
      <c r="D440" t="s">
        <v>5578</v>
      </c>
      <c r="E440">
        <v>4508714</v>
      </c>
      <c r="F440" t="s">
        <v>742</v>
      </c>
      <c r="G440" t="s">
        <v>743</v>
      </c>
      <c r="H440" t="s">
        <v>2314</v>
      </c>
      <c r="I440" s="12">
        <v>45807</v>
      </c>
      <c r="J440">
        <v>1</v>
      </c>
      <c r="K440" t="str">
        <f>VLOOKUP(A440,'TV May Monthly Billing Sites'!$A:$L,1,0)</f>
        <v>76020961</v>
      </c>
    </row>
    <row r="441" spans="1:12">
      <c r="A441" t="str">
        <f t="shared" si="6"/>
        <v>76021112</v>
      </c>
      <c r="B441">
        <v>76021112</v>
      </c>
      <c r="C441" t="s">
        <v>5579</v>
      </c>
      <c r="D441" t="s">
        <v>5580</v>
      </c>
      <c r="E441">
        <v>4508714</v>
      </c>
      <c r="F441" t="s">
        <v>742</v>
      </c>
      <c r="G441" t="s">
        <v>743</v>
      </c>
      <c r="H441" t="s">
        <v>5306</v>
      </c>
      <c r="I441" s="12">
        <v>45765</v>
      </c>
      <c r="J441">
        <v>1</v>
      </c>
      <c r="K441" t="str">
        <f>VLOOKUP(A441,'TV May Monthly Billing Sites'!$A:$L,1,0)</f>
        <v>76021112</v>
      </c>
    </row>
    <row r="442" spans="1:12">
      <c r="A442" t="str">
        <f t="shared" si="6"/>
        <v>76021240</v>
      </c>
      <c r="B442">
        <v>76021240</v>
      </c>
      <c r="C442" t="s">
        <v>850</v>
      </c>
      <c r="D442" t="s">
        <v>851</v>
      </c>
      <c r="E442">
        <v>4508714</v>
      </c>
      <c r="F442" t="s">
        <v>742</v>
      </c>
      <c r="G442" t="s">
        <v>743</v>
      </c>
      <c r="H442" t="s">
        <v>852</v>
      </c>
      <c r="I442" s="12">
        <v>45545</v>
      </c>
      <c r="J442">
        <v>1</v>
      </c>
      <c r="K442" t="e">
        <f>VLOOKUP(A442,'TV May Monthly Billing Sites'!$A:$L,1,0)</f>
        <v>#N/A</v>
      </c>
      <c r="L442" t="e">
        <f>VLOOKUP(D442,'TV May Monthly Billing Sites'!$B:$L,1,0)</f>
        <v>#N/A</v>
      </c>
    </row>
    <row r="443" spans="1:12">
      <c r="A443" t="str">
        <f t="shared" si="6"/>
        <v>76021665</v>
      </c>
      <c r="B443">
        <v>76021665</v>
      </c>
      <c r="C443" t="s">
        <v>5581</v>
      </c>
      <c r="D443" t="s">
        <v>5582</v>
      </c>
      <c r="E443">
        <v>4508692</v>
      </c>
      <c r="F443" t="s">
        <v>742</v>
      </c>
      <c r="G443" t="s">
        <v>5338</v>
      </c>
      <c r="H443" t="s">
        <v>5583</v>
      </c>
      <c r="I443" s="12">
        <v>44816</v>
      </c>
      <c r="J443">
        <v>1</v>
      </c>
      <c r="K443" t="str">
        <f>VLOOKUP(A443,'TV May Monthly Billing Sites'!$A:$L,1,0)</f>
        <v>76021665</v>
      </c>
    </row>
    <row r="444" spans="1:12">
      <c r="A444" t="str">
        <f t="shared" si="6"/>
        <v>76021673</v>
      </c>
      <c r="B444">
        <v>76021673</v>
      </c>
      <c r="C444" t="s">
        <v>5584</v>
      </c>
      <c r="D444" t="s">
        <v>5585</v>
      </c>
      <c r="E444">
        <v>4508692</v>
      </c>
      <c r="F444" t="s">
        <v>742</v>
      </c>
      <c r="G444" t="s">
        <v>5338</v>
      </c>
      <c r="H444" t="s">
        <v>5583</v>
      </c>
      <c r="I444" s="12">
        <v>44942</v>
      </c>
      <c r="J444">
        <v>1</v>
      </c>
      <c r="K444" t="str">
        <f>VLOOKUP(A444,'TV May Monthly Billing Sites'!$A:$L,1,0)</f>
        <v>76021673</v>
      </c>
    </row>
    <row r="445" spans="1:12">
      <c r="A445" t="str">
        <f t="shared" si="6"/>
        <v>76021674</v>
      </c>
      <c r="B445">
        <v>76021674</v>
      </c>
      <c r="C445" t="s">
        <v>5586</v>
      </c>
      <c r="D445" t="s">
        <v>5587</v>
      </c>
      <c r="E445">
        <v>4408593</v>
      </c>
      <c r="F445" t="s">
        <v>742</v>
      </c>
      <c r="G445" t="s">
        <v>782</v>
      </c>
      <c r="H445" t="s">
        <v>5583</v>
      </c>
      <c r="I445" s="12">
        <v>45628</v>
      </c>
      <c r="J445">
        <v>1</v>
      </c>
      <c r="K445" t="str">
        <f>VLOOKUP(A445,'TV May Monthly Billing Sites'!$A:$L,1,0)</f>
        <v>76021674</v>
      </c>
    </row>
    <row r="446" spans="1:12">
      <c r="A446" t="str">
        <f t="shared" si="6"/>
        <v>76021731</v>
      </c>
      <c r="B446">
        <v>76021731</v>
      </c>
      <c r="C446" t="s">
        <v>5588</v>
      </c>
      <c r="D446" t="s">
        <v>2324</v>
      </c>
      <c r="E446">
        <v>4508714</v>
      </c>
      <c r="F446" t="s">
        <v>742</v>
      </c>
      <c r="G446" t="s">
        <v>743</v>
      </c>
      <c r="H446" t="s">
        <v>5375</v>
      </c>
      <c r="I446" s="12">
        <v>45992</v>
      </c>
      <c r="J446">
        <v>1</v>
      </c>
      <c r="K446" t="str">
        <f>VLOOKUP(A446,'TV May Monthly Billing Sites'!$A:$L,1,0)</f>
        <v>76021731</v>
      </c>
    </row>
    <row r="447" spans="1:12">
      <c r="A447" t="str">
        <f t="shared" si="6"/>
        <v>76021841</v>
      </c>
      <c r="B447">
        <v>76021841</v>
      </c>
      <c r="C447" t="s">
        <v>5589</v>
      </c>
      <c r="D447" t="s">
        <v>5590</v>
      </c>
      <c r="E447">
        <v>4408593</v>
      </c>
      <c r="F447" t="s">
        <v>742</v>
      </c>
      <c r="G447" t="s">
        <v>782</v>
      </c>
      <c r="H447" t="s">
        <v>5121</v>
      </c>
      <c r="I447" s="12">
        <v>45719</v>
      </c>
      <c r="J447">
        <v>1</v>
      </c>
      <c r="K447" t="str">
        <f>VLOOKUP(A447,'TV May Monthly Billing Sites'!$A:$L,1,0)</f>
        <v>76021841</v>
      </c>
    </row>
    <row r="448" spans="1:12">
      <c r="A448" t="str">
        <f t="shared" si="6"/>
        <v>76022550</v>
      </c>
      <c r="B448">
        <v>76022550</v>
      </c>
      <c r="C448" t="s">
        <v>5591</v>
      </c>
      <c r="D448" t="s">
        <v>5592</v>
      </c>
      <c r="E448">
        <v>4508740</v>
      </c>
      <c r="F448" t="s">
        <v>742</v>
      </c>
      <c r="G448" t="s">
        <v>5593</v>
      </c>
      <c r="H448" t="s">
        <v>2328</v>
      </c>
      <c r="I448" s="12">
        <v>45992</v>
      </c>
      <c r="J448">
        <v>1</v>
      </c>
      <c r="K448" t="str">
        <f>VLOOKUP(A448,'TV May Monthly Billing Sites'!$A:$L,1,0)</f>
        <v>76022550</v>
      </c>
    </row>
    <row r="449" spans="1:11">
      <c r="A449" t="str">
        <f t="shared" si="6"/>
        <v>76022772</v>
      </c>
      <c r="B449">
        <v>76022772</v>
      </c>
      <c r="C449" t="s">
        <v>5594</v>
      </c>
      <c r="D449" t="s">
        <v>2330</v>
      </c>
      <c r="E449">
        <v>4508714</v>
      </c>
      <c r="F449" t="s">
        <v>742</v>
      </c>
      <c r="G449" t="s">
        <v>743</v>
      </c>
      <c r="H449" t="s">
        <v>5595</v>
      </c>
      <c r="I449" s="12">
        <v>45411</v>
      </c>
      <c r="J449">
        <v>1</v>
      </c>
      <c r="K449" t="str">
        <f>VLOOKUP(A449,'TV May Monthly Billing Sites'!$A:$L,1,0)</f>
        <v>76022772</v>
      </c>
    </row>
    <row r="450" spans="1:11">
      <c r="A450" t="str">
        <f t="shared" ref="A450:A513" si="7">TRIM(B450)</f>
        <v>76022801</v>
      </c>
      <c r="B450">
        <v>76022801</v>
      </c>
      <c r="C450" t="s">
        <v>5596</v>
      </c>
      <c r="D450" t="s">
        <v>2332</v>
      </c>
      <c r="E450">
        <v>4508714</v>
      </c>
      <c r="F450" t="s">
        <v>742</v>
      </c>
      <c r="G450" t="s">
        <v>743</v>
      </c>
      <c r="H450" t="s">
        <v>5597</v>
      </c>
      <c r="I450" s="12">
        <v>45559</v>
      </c>
      <c r="J450">
        <v>1</v>
      </c>
      <c r="K450" t="str">
        <f>VLOOKUP(A450,'TV May Monthly Billing Sites'!$A:$L,1,0)</f>
        <v>76022801</v>
      </c>
    </row>
    <row r="451" spans="1:11">
      <c r="A451" t="str">
        <f t="shared" si="7"/>
        <v>76022907</v>
      </c>
      <c r="B451">
        <v>76022907</v>
      </c>
      <c r="C451" t="s">
        <v>5598</v>
      </c>
      <c r="D451" t="s">
        <v>2334</v>
      </c>
      <c r="E451">
        <v>4508714</v>
      </c>
      <c r="F451" t="s">
        <v>742</v>
      </c>
      <c r="G451" t="s">
        <v>743</v>
      </c>
      <c r="H451" t="s">
        <v>5599</v>
      </c>
      <c r="I451" s="12">
        <v>45778</v>
      </c>
      <c r="J451">
        <v>1</v>
      </c>
      <c r="K451" t="str">
        <f>VLOOKUP(A451,'TV May Monthly Billing Sites'!$A:$L,1,0)</f>
        <v>76022907</v>
      </c>
    </row>
    <row r="452" spans="1:11">
      <c r="A452" t="str">
        <f t="shared" si="7"/>
        <v>76023142</v>
      </c>
      <c r="B452">
        <v>76023142</v>
      </c>
      <c r="C452" t="s">
        <v>5600</v>
      </c>
      <c r="D452" t="s">
        <v>5601</v>
      </c>
      <c r="E452">
        <v>4408592</v>
      </c>
      <c r="F452" t="s">
        <v>742</v>
      </c>
      <c r="G452" t="s">
        <v>823</v>
      </c>
      <c r="H452" t="s">
        <v>4974</v>
      </c>
      <c r="I452" s="12">
        <v>45146</v>
      </c>
      <c r="J452">
        <v>1</v>
      </c>
      <c r="K452" t="str">
        <f>VLOOKUP(A452,'TV May Monthly Billing Sites'!$A:$L,1,0)</f>
        <v>76023142</v>
      </c>
    </row>
    <row r="453" spans="1:11">
      <c r="A453" t="str">
        <f t="shared" si="7"/>
        <v>76023315</v>
      </c>
      <c r="B453">
        <v>76023315</v>
      </c>
      <c r="C453" t="s">
        <v>5602</v>
      </c>
      <c r="D453" t="s">
        <v>5603</v>
      </c>
      <c r="E453">
        <v>4408593</v>
      </c>
      <c r="F453" t="s">
        <v>742</v>
      </c>
      <c r="G453" t="s">
        <v>782</v>
      </c>
      <c r="H453" t="s">
        <v>5059</v>
      </c>
      <c r="I453" s="12">
        <v>45427</v>
      </c>
      <c r="J453">
        <v>1</v>
      </c>
      <c r="K453" t="str">
        <f>VLOOKUP(A453,'TV May Monthly Billing Sites'!$A:$L,1,0)</f>
        <v>76023315</v>
      </c>
    </row>
    <row r="454" spans="1:11">
      <c r="A454" t="str">
        <f t="shared" si="7"/>
        <v>76023577</v>
      </c>
      <c r="B454">
        <v>76023577</v>
      </c>
      <c r="C454" t="s">
        <v>5604</v>
      </c>
      <c r="D454" t="s">
        <v>2340</v>
      </c>
      <c r="E454">
        <v>4508714</v>
      </c>
      <c r="F454" t="s">
        <v>742</v>
      </c>
      <c r="G454" t="s">
        <v>743</v>
      </c>
      <c r="H454" t="s">
        <v>5605</v>
      </c>
      <c r="I454" s="12">
        <v>46042</v>
      </c>
      <c r="J454">
        <v>1</v>
      </c>
      <c r="K454" t="str">
        <f>VLOOKUP(A454,'TV May Monthly Billing Sites'!$A:$L,1,0)</f>
        <v>76023577</v>
      </c>
    </row>
    <row r="455" spans="1:11">
      <c r="A455" t="str">
        <f t="shared" si="7"/>
        <v>76023606</v>
      </c>
      <c r="B455">
        <v>76023606</v>
      </c>
      <c r="C455" t="s">
        <v>5606</v>
      </c>
      <c r="D455" t="s">
        <v>2342</v>
      </c>
      <c r="E455">
        <v>4508714</v>
      </c>
      <c r="F455" t="s">
        <v>742</v>
      </c>
      <c r="G455" t="s">
        <v>743</v>
      </c>
      <c r="H455" t="s">
        <v>5607</v>
      </c>
      <c r="I455" s="12">
        <v>45719</v>
      </c>
      <c r="J455">
        <v>1</v>
      </c>
      <c r="K455" t="str">
        <f>VLOOKUP(A455,'TV May Monthly Billing Sites'!$A:$L,1,0)</f>
        <v>76023606</v>
      </c>
    </row>
    <row r="456" spans="1:11">
      <c r="A456" t="str">
        <f t="shared" si="7"/>
        <v>76023788</v>
      </c>
      <c r="B456">
        <v>76023788</v>
      </c>
      <c r="C456" t="s">
        <v>5608</v>
      </c>
      <c r="D456" t="s">
        <v>5609</v>
      </c>
      <c r="E456">
        <v>4408593</v>
      </c>
      <c r="F456" t="s">
        <v>742</v>
      </c>
      <c r="G456" t="s">
        <v>782</v>
      </c>
      <c r="H456" t="s">
        <v>5610</v>
      </c>
      <c r="I456" s="12">
        <v>45628</v>
      </c>
      <c r="J456">
        <v>1</v>
      </c>
      <c r="K456" t="str">
        <f>VLOOKUP(A456,'TV May Monthly Billing Sites'!$A:$L,1,0)</f>
        <v>76023788</v>
      </c>
    </row>
    <row r="457" spans="1:11">
      <c r="A457" t="str">
        <f t="shared" si="7"/>
        <v>76023794</v>
      </c>
      <c r="B457">
        <v>76023794</v>
      </c>
      <c r="C457" t="s">
        <v>5611</v>
      </c>
      <c r="D457" t="s">
        <v>2346</v>
      </c>
      <c r="E457">
        <v>4508675</v>
      </c>
      <c r="F457" t="s">
        <v>742</v>
      </c>
      <c r="G457" t="s">
        <v>828</v>
      </c>
      <c r="H457" t="s">
        <v>5008</v>
      </c>
      <c r="I457" s="12">
        <v>45212</v>
      </c>
      <c r="J457">
        <v>1</v>
      </c>
      <c r="K457" t="str">
        <f>VLOOKUP(A457,'TV May Monthly Billing Sites'!$A:$L,1,0)</f>
        <v>76023794</v>
      </c>
    </row>
    <row r="458" spans="1:11">
      <c r="A458" t="str">
        <f t="shared" si="7"/>
        <v>76023809</v>
      </c>
      <c r="B458">
        <v>76023809</v>
      </c>
      <c r="C458" t="s">
        <v>5612</v>
      </c>
      <c r="D458" t="s">
        <v>2348</v>
      </c>
      <c r="E458">
        <v>4508675</v>
      </c>
      <c r="F458" t="s">
        <v>742</v>
      </c>
      <c r="G458" t="s">
        <v>828</v>
      </c>
      <c r="H458" t="s">
        <v>5613</v>
      </c>
      <c r="I458" s="12">
        <v>45212</v>
      </c>
      <c r="J458">
        <v>1</v>
      </c>
      <c r="K458" t="str">
        <f>VLOOKUP(A458,'TV May Monthly Billing Sites'!$A:$L,1,0)</f>
        <v>76023809</v>
      </c>
    </row>
    <row r="459" spans="1:11">
      <c r="A459" t="str">
        <f t="shared" si="7"/>
        <v>76023859</v>
      </c>
      <c r="B459">
        <v>76023859</v>
      </c>
      <c r="C459" t="s">
        <v>5614</v>
      </c>
      <c r="D459" t="s">
        <v>5615</v>
      </c>
      <c r="E459">
        <v>4508714</v>
      </c>
      <c r="F459" t="s">
        <v>742</v>
      </c>
      <c r="G459" t="s">
        <v>743</v>
      </c>
      <c r="H459" t="s">
        <v>5616</v>
      </c>
      <c r="I459" s="12">
        <v>45625</v>
      </c>
      <c r="J459">
        <v>1</v>
      </c>
      <c r="K459" t="str">
        <f>VLOOKUP(A459,'TV May Monthly Billing Sites'!$A:$L,1,0)</f>
        <v>76023859</v>
      </c>
    </row>
    <row r="460" spans="1:11">
      <c r="A460" t="str">
        <f t="shared" si="7"/>
        <v>76024132</v>
      </c>
      <c r="B460">
        <v>76024132</v>
      </c>
      <c r="C460" t="s">
        <v>5617</v>
      </c>
      <c r="D460" t="s">
        <v>5618</v>
      </c>
      <c r="E460">
        <v>4508714</v>
      </c>
      <c r="F460" t="s">
        <v>742</v>
      </c>
      <c r="G460" t="s">
        <v>743</v>
      </c>
      <c r="H460" t="s">
        <v>5619</v>
      </c>
      <c r="I460" s="12">
        <v>45812</v>
      </c>
      <c r="J460">
        <v>1</v>
      </c>
      <c r="K460" t="str">
        <f>VLOOKUP(A460,'TV May Monthly Billing Sites'!$A:$L,1,0)</f>
        <v>76024132</v>
      </c>
    </row>
    <row r="461" spans="1:11">
      <c r="A461" t="str">
        <f t="shared" si="7"/>
        <v>76024834</v>
      </c>
      <c r="B461">
        <v>76024834</v>
      </c>
      <c r="C461" t="s">
        <v>5620</v>
      </c>
      <c r="D461" t="s">
        <v>2356</v>
      </c>
      <c r="E461">
        <v>4508714</v>
      </c>
      <c r="F461" t="s">
        <v>742</v>
      </c>
      <c r="G461" t="s">
        <v>743</v>
      </c>
      <c r="H461" t="s">
        <v>5536</v>
      </c>
      <c r="I461" s="12">
        <v>45587</v>
      </c>
      <c r="J461">
        <v>1</v>
      </c>
      <c r="K461" t="str">
        <f>VLOOKUP(A461,'TV May Monthly Billing Sites'!$A:$L,1,0)</f>
        <v>76024834</v>
      </c>
    </row>
    <row r="462" spans="1:11">
      <c r="A462" t="str">
        <f t="shared" si="7"/>
        <v>76025289</v>
      </c>
      <c r="B462">
        <v>76025289</v>
      </c>
      <c r="C462" t="s">
        <v>5621</v>
      </c>
      <c r="D462" t="s">
        <v>2358</v>
      </c>
      <c r="E462">
        <v>4508714</v>
      </c>
      <c r="F462" t="s">
        <v>742</v>
      </c>
      <c r="G462" t="s">
        <v>743</v>
      </c>
      <c r="H462" t="s">
        <v>860</v>
      </c>
      <c r="I462" s="12">
        <v>45604</v>
      </c>
      <c r="J462">
        <v>1</v>
      </c>
      <c r="K462" t="str">
        <f>VLOOKUP(A462,'TV May Monthly Billing Sites'!$A:$L,1,0)</f>
        <v>76025289</v>
      </c>
    </row>
    <row r="463" spans="1:11">
      <c r="A463" t="str">
        <f t="shared" si="7"/>
        <v>76025294</v>
      </c>
      <c r="B463">
        <v>76025294</v>
      </c>
      <c r="C463" t="s">
        <v>5622</v>
      </c>
      <c r="D463" t="s">
        <v>5623</v>
      </c>
      <c r="E463">
        <v>4508714</v>
      </c>
      <c r="F463" t="s">
        <v>742</v>
      </c>
      <c r="G463" t="s">
        <v>743</v>
      </c>
      <c r="H463" t="s">
        <v>5624</v>
      </c>
      <c r="I463" s="12">
        <v>45987</v>
      </c>
      <c r="J463">
        <v>1</v>
      </c>
      <c r="K463" t="str">
        <f>VLOOKUP(A463,'TV May Monthly Billing Sites'!$A:$L,1,0)</f>
        <v>76025294</v>
      </c>
    </row>
    <row r="464" spans="1:11">
      <c r="A464" t="str">
        <f t="shared" si="7"/>
        <v>76025457</v>
      </c>
      <c r="B464">
        <v>76025457</v>
      </c>
      <c r="C464" t="s">
        <v>5625</v>
      </c>
      <c r="D464" t="s">
        <v>5626</v>
      </c>
      <c r="E464">
        <v>4508714</v>
      </c>
      <c r="F464" t="s">
        <v>742</v>
      </c>
      <c r="G464" t="s">
        <v>743</v>
      </c>
      <c r="H464" t="s">
        <v>5626</v>
      </c>
      <c r="I464" s="12">
        <v>45968</v>
      </c>
      <c r="J464">
        <v>1</v>
      </c>
      <c r="K464" t="str">
        <f>VLOOKUP(A464,'TV May Monthly Billing Sites'!$A:$L,1,0)</f>
        <v>76025457</v>
      </c>
    </row>
    <row r="465" spans="1:12">
      <c r="A465" t="str">
        <f t="shared" si="7"/>
        <v>76025893</v>
      </c>
      <c r="B465">
        <v>76025893</v>
      </c>
      <c r="C465" t="s">
        <v>5627</v>
      </c>
      <c r="D465" t="s">
        <v>5628</v>
      </c>
      <c r="E465">
        <v>4508714</v>
      </c>
      <c r="F465" t="s">
        <v>742</v>
      </c>
      <c r="G465" t="s">
        <v>743</v>
      </c>
      <c r="H465" t="s">
        <v>5629</v>
      </c>
      <c r="I465" s="12">
        <v>45748</v>
      </c>
      <c r="J465">
        <v>1</v>
      </c>
      <c r="K465" t="str">
        <f>VLOOKUP(A465,'TV May Monthly Billing Sites'!$A:$L,1,0)</f>
        <v>76025893</v>
      </c>
    </row>
    <row r="466" spans="1:12">
      <c r="A466" t="str">
        <f t="shared" si="7"/>
        <v>76025960</v>
      </c>
      <c r="B466">
        <v>76025960</v>
      </c>
      <c r="C466" t="s">
        <v>5630</v>
      </c>
      <c r="D466" t="s">
        <v>5631</v>
      </c>
      <c r="E466">
        <v>4508714</v>
      </c>
      <c r="F466" t="s">
        <v>742</v>
      </c>
      <c r="G466" t="s">
        <v>743</v>
      </c>
      <c r="H466" t="s">
        <v>5632</v>
      </c>
      <c r="I466" s="12">
        <v>45644</v>
      </c>
      <c r="J466">
        <v>1</v>
      </c>
      <c r="K466" t="str">
        <f>VLOOKUP(A466,'TV May Monthly Billing Sites'!$A:$L,1,0)</f>
        <v>76025960</v>
      </c>
    </row>
    <row r="467" spans="1:12">
      <c r="A467" t="str">
        <f t="shared" si="7"/>
        <v>76025961</v>
      </c>
      <c r="B467">
        <v>76025961</v>
      </c>
      <c r="C467" t="s">
        <v>5633</v>
      </c>
      <c r="D467" t="s">
        <v>5634</v>
      </c>
      <c r="E467">
        <v>4508714</v>
      </c>
      <c r="F467" t="s">
        <v>742</v>
      </c>
      <c r="G467" t="s">
        <v>743</v>
      </c>
      <c r="H467" t="s">
        <v>2368</v>
      </c>
      <c r="I467" s="12">
        <v>45737</v>
      </c>
      <c r="J467">
        <v>1</v>
      </c>
      <c r="K467" t="str">
        <f>VLOOKUP(A467,'TV May Monthly Billing Sites'!$A:$L,1,0)</f>
        <v>76025961</v>
      </c>
    </row>
    <row r="468" spans="1:12">
      <c r="A468" t="str">
        <f t="shared" si="7"/>
        <v>76026142</v>
      </c>
      <c r="B468">
        <v>76026142</v>
      </c>
      <c r="C468" t="s">
        <v>5635</v>
      </c>
      <c r="D468" t="s">
        <v>5636</v>
      </c>
      <c r="E468">
        <v>4508714</v>
      </c>
      <c r="F468" t="s">
        <v>742</v>
      </c>
      <c r="G468" t="s">
        <v>743</v>
      </c>
      <c r="H468" t="s">
        <v>5637</v>
      </c>
      <c r="I468" s="12">
        <v>46083</v>
      </c>
      <c r="J468">
        <v>1</v>
      </c>
      <c r="K468" t="str">
        <f>VLOOKUP(A468,'TV May Monthly Billing Sites'!$A:$L,1,0)</f>
        <v>76026142</v>
      </c>
    </row>
    <row r="469" spans="1:12">
      <c r="A469" t="str">
        <f t="shared" si="7"/>
        <v>76026176</v>
      </c>
      <c r="B469">
        <v>76026176</v>
      </c>
      <c r="C469" t="s">
        <v>5638</v>
      </c>
      <c r="D469" t="s">
        <v>2372</v>
      </c>
      <c r="E469">
        <v>4508714</v>
      </c>
      <c r="F469" t="s">
        <v>742</v>
      </c>
      <c r="G469" t="s">
        <v>743</v>
      </c>
      <c r="H469" t="s">
        <v>4883</v>
      </c>
      <c r="I469" s="12">
        <v>46045</v>
      </c>
      <c r="J469">
        <v>1</v>
      </c>
      <c r="K469" t="str">
        <f>VLOOKUP(A469,'TV May Monthly Billing Sites'!$A:$L,1,0)</f>
        <v>76026176</v>
      </c>
    </row>
    <row r="470" spans="1:12">
      <c r="A470" t="str">
        <f t="shared" si="7"/>
        <v>76026210</v>
      </c>
      <c r="B470">
        <v>76026210</v>
      </c>
      <c r="C470" t="s">
        <v>5639</v>
      </c>
      <c r="D470" t="s">
        <v>2374</v>
      </c>
      <c r="E470">
        <v>4508714</v>
      </c>
      <c r="F470" t="s">
        <v>742</v>
      </c>
      <c r="G470" t="s">
        <v>743</v>
      </c>
      <c r="H470" t="s">
        <v>5640</v>
      </c>
      <c r="I470" s="12">
        <v>45650</v>
      </c>
      <c r="J470">
        <v>1</v>
      </c>
      <c r="K470" t="str">
        <f>VLOOKUP(A470,'TV May Monthly Billing Sites'!$A:$L,1,0)</f>
        <v>76026210</v>
      </c>
    </row>
    <row r="471" spans="1:12">
      <c r="A471" t="str">
        <f t="shared" si="7"/>
        <v>76026362</v>
      </c>
      <c r="B471">
        <v>76026362</v>
      </c>
      <c r="C471" t="s">
        <v>5641</v>
      </c>
      <c r="D471" t="s">
        <v>5642</v>
      </c>
      <c r="E471">
        <v>4508714</v>
      </c>
      <c r="F471" t="s">
        <v>742</v>
      </c>
      <c r="G471" t="s">
        <v>743</v>
      </c>
      <c r="H471" t="s">
        <v>5643</v>
      </c>
      <c r="I471" s="12">
        <v>45541</v>
      </c>
      <c r="J471">
        <v>1</v>
      </c>
      <c r="K471" t="str">
        <f>VLOOKUP(A471,'TV May Monthly Billing Sites'!$A:$L,1,0)</f>
        <v>76026362</v>
      </c>
    </row>
    <row r="472" spans="1:12">
      <c r="A472" t="str">
        <f t="shared" si="7"/>
        <v>76026375</v>
      </c>
      <c r="B472">
        <v>76026375</v>
      </c>
      <c r="C472" t="s">
        <v>5644</v>
      </c>
      <c r="D472" t="s">
        <v>5645</v>
      </c>
      <c r="E472">
        <v>4508714</v>
      </c>
      <c r="F472" t="s">
        <v>742</v>
      </c>
      <c r="G472" t="s">
        <v>743</v>
      </c>
      <c r="H472" t="s">
        <v>5174</v>
      </c>
      <c r="I472" s="12">
        <v>45967</v>
      </c>
      <c r="J472">
        <v>1</v>
      </c>
      <c r="K472" t="str">
        <f>VLOOKUP(A472,'TV May Monthly Billing Sites'!$A:$L,1,0)</f>
        <v>76026375</v>
      </c>
    </row>
    <row r="473" spans="1:12">
      <c r="A473" t="str">
        <f t="shared" si="7"/>
        <v>76026375</v>
      </c>
      <c r="B473">
        <v>76026375</v>
      </c>
      <c r="C473" t="s">
        <v>5646</v>
      </c>
      <c r="D473" t="s">
        <v>5645</v>
      </c>
      <c r="E473">
        <v>4508714</v>
      </c>
      <c r="F473" t="s">
        <v>742</v>
      </c>
      <c r="G473" t="s">
        <v>743</v>
      </c>
      <c r="H473" t="s">
        <v>5174</v>
      </c>
      <c r="I473" s="12">
        <v>45967</v>
      </c>
      <c r="J473">
        <v>1</v>
      </c>
      <c r="K473" t="str">
        <f>VLOOKUP(A473,'TV May Monthly Billing Sites'!$A:$L,1,0)</f>
        <v>76026375</v>
      </c>
    </row>
    <row r="474" spans="1:12">
      <c r="A474" t="str">
        <f t="shared" si="7"/>
        <v>76026691</v>
      </c>
      <c r="B474">
        <v>76026691</v>
      </c>
      <c r="C474" t="s">
        <v>854</v>
      </c>
      <c r="D474" t="s">
        <v>855</v>
      </c>
      <c r="E474">
        <v>4508714</v>
      </c>
      <c r="F474" t="s">
        <v>742</v>
      </c>
      <c r="G474" t="s">
        <v>743</v>
      </c>
      <c r="H474" t="s">
        <v>856</v>
      </c>
      <c r="I474" s="12">
        <v>45628</v>
      </c>
      <c r="J474">
        <v>1</v>
      </c>
      <c r="K474" t="e">
        <f>VLOOKUP(A474,'TV May Monthly Billing Sites'!$A:$L,1,0)</f>
        <v>#N/A</v>
      </c>
      <c r="L474" t="e">
        <f>VLOOKUP(D474,'TV May Monthly Billing Sites'!$B:$L,1,0)</f>
        <v>#N/A</v>
      </c>
    </row>
    <row r="475" spans="1:12">
      <c r="A475" t="str">
        <f t="shared" si="7"/>
        <v>76026920</v>
      </c>
      <c r="B475">
        <v>76026920</v>
      </c>
      <c r="C475" t="s">
        <v>5647</v>
      </c>
      <c r="D475" t="s">
        <v>5648</v>
      </c>
      <c r="E475">
        <v>4508714</v>
      </c>
      <c r="F475" t="s">
        <v>742</v>
      </c>
      <c r="G475" t="s">
        <v>743</v>
      </c>
      <c r="H475" t="s">
        <v>2380</v>
      </c>
      <c r="I475" s="12">
        <v>45902</v>
      </c>
      <c r="J475">
        <v>1</v>
      </c>
      <c r="K475" t="str">
        <f>VLOOKUP(A475,'TV May Monthly Billing Sites'!$A:$L,1,0)</f>
        <v>76026920</v>
      </c>
    </row>
    <row r="476" spans="1:12">
      <c r="A476" t="str">
        <f t="shared" si="7"/>
        <v>76027143</v>
      </c>
      <c r="B476">
        <v>76027143</v>
      </c>
      <c r="C476" t="s">
        <v>5649</v>
      </c>
      <c r="D476" t="s">
        <v>2382</v>
      </c>
      <c r="E476">
        <v>4508714</v>
      </c>
      <c r="F476" t="s">
        <v>742</v>
      </c>
      <c r="G476" t="s">
        <v>743</v>
      </c>
      <c r="H476" t="s">
        <v>5418</v>
      </c>
      <c r="I476" s="12">
        <v>45979</v>
      </c>
      <c r="J476">
        <v>1</v>
      </c>
      <c r="K476" t="str">
        <f>VLOOKUP(A476,'TV May Monthly Billing Sites'!$A:$L,1,0)</f>
        <v>76027143</v>
      </c>
    </row>
    <row r="477" spans="1:12">
      <c r="A477" t="str">
        <f t="shared" si="7"/>
        <v>76027238</v>
      </c>
      <c r="B477">
        <v>76027238</v>
      </c>
      <c r="C477" t="s">
        <v>5650</v>
      </c>
      <c r="D477" t="s">
        <v>2384</v>
      </c>
      <c r="E477">
        <v>4508714</v>
      </c>
      <c r="F477" t="s">
        <v>742</v>
      </c>
      <c r="G477" t="s">
        <v>743</v>
      </c>
      <c r="H477" t="s">
        <v>5651</v>
      </c>
      <c r="I477" s="12">
        <v>45784</v>
      </c>
      <c r="J477">
        <v>1</v>
      </c>
      <c r="K477" t="str">
        <f>VLOOKUP(A477,'TV May Monthly Billing Sites'!$A:$L,1,0)</f>
        <v>76027238</v>
      </c>
    </row>
    <row r="478" spans="1:12">
      <c r="A478" t="str">
        <f t="shared" si="7"/>
        <v>76027522</v>
      </c>
      <c r="B478">
        <v>76027522</v>
      </c>
      <c r="C478" t="s">
        <v>5652</v>
      </c>
      <c r="D478" t="s">
        <v>2386</v>
      </c>
      <c r="E478">
        <v>4408592</v>
      </c>
      <c r="F478" t="s">
        <v>742</v>
      </c>
      <c r="G478" t="s">
        <v>823</v>
      </c>
      <c r="H478" t="s">
        <v>5653</v>
      </c>
      <c r="I478" s="12">
        <v>45379</v>
      </c>
      <c r="J478">
        <v>1</v>
      </c>
      <c r="K478" t="str">
        <f>VLOOKUP(A478,'TV May Monthly Billing Sites'!$A:$L,1,0)</f>
        <v>76027522</v>
      </c>
    </row>
    <row r="479" spans="1:12">
      <c r="A479" t="str">
        <f t="shared" si="7"/>
        <v>76027813</v>
      </c>
      <c r="B479">
        <v>76027813</v>
      </c>
      <c r="C479" t="s">
        <v>5654</v>
      </c>
      <c r="D479" t="s">
        <v>2388</v>
      </c>
      <c r="E479">
        <v>4408593</v>
      </c>
      <c r="F479" t="s">
        <v>742</v>
      </c>
      <c r="G479" t="s">
        <v>782</v>
      </c>
      <c r="H479" t="s">
        <v>5655</v>
      </c>
      <c r="I479" s="12">
        <v>45628</v>
      </c>
      <c r="J479">
        <v>1</v>
      </c>
      <c r="K479" t="str">
        <f>VLOOKUP(A479,'TV May Monthly Billing Sites'!$A:$L,1,0)</f>
        <v>76027813</v>
      </c>
    </row>
    <row r="480" spans="1:12">
      <c r="A480" t="str">
        <f t="shared" si="7"/>
        <v>76028944</v>
      </c>
      <c r="B480">
        <v>76028944</v>
      </c>
      <c r="C480" t="s">
        <v>5656</v>
      </c>
      <c r="D480" t="s">
        <v>5657</v>
      </c>
      <c r="E480">
        <v>4508714</v>
      </c>
      <c r="F480" t="s">
        <v>742</v>
      </c>
      <c r="G480" t="s">
        <v>743</v>
      </c>
      <c r="H480" t="s">
        <v>5658</v>
      </c>
      <c r="I480" s="12">
        <v>45295</v>
      </c>
      <c r="J480">
        <v>1</v>
      </c>
      <c r="K480" t="str">
        <f>VLOOKUP(A480,'TV May Monthly Billing Sites'!$A:$L,1,0)</f>
        <v>76028944</v>
      </c>
    </row>
    <row r="481" spans="1:12">
      <c r="A481" t="str">
        <f t="shared" si="7"/>
        <v>76030318</v>
      </c>
      <c r="B481">
        <v>76030318</v>
      </c>
      <c r="C481" t="s">
        <v>5659</v>
      </c>
      <c r="D481" t="s">
        <v>5660</v>
      </c>
      <c r="E481">
        <v>4408593</v>
      </c>
      <c r="F481" t="s">
        <v>742</v>
      </c>
      <c r="G481" t="s">
        <v>782</v>
      </c>
      <c r="H481" t="s">
        <v>910</v>
      </c>
      <c r="I481" s="12">
        <v>45625</v>
      </c>
      <c r="J481">
        <v>1</v>
      </c>
      <c r="K481" t="str">
        <f>VLOOKUP(A481,'TV May Monthly Billing Sites'!$A:$L,1,0)</f>
        <v>76030318</v>
      </c>
    </row>
    <row r="482" spans="1:12">
      <c r="A482" t="str">
        <f t="shared" si="7"/>
        <v>76030961</v>
      </c>
      <c r="B482">
        <v>76030961</v>
      </c>
      <c r="C482" t="s">
        <v>5661</v>
      </c>
      <c r="D482" t="s">
        <v>2396</v>
      </c>
      <c r="E482">
        <v>4408593</v>
      </c>
      <c r="F482" t="s">
        <v>742</v>
      </c>
      <c r="G482" t="s">
        <v>782</v>
      </c>
      <c r="H482" t="s">
        <v>1038</v>
      </c>
      <c r="I482" s="12">
        <v>45597</v>
      </c>
      <c r="J482">
        <v>1</v>
      </c>
      <c r="K482" t="str">
        <f>VLOOKUP(A482,'TV May Monthly Billing Sites'!$A:$L,1,0)</f>
        <v>76030961</v>
      </c>
    </row>
    <row r="483" spans="1:12">
      <c r="A483" t="str">
        <f t="shared" si="7"/>
        <v>76031048</v>
      </c>
      <c r="B483">
        <v>76031048</v>
      </c>
      <c r="C483" t="s">
        <v>5662</v>
      </c>
      <c r="D483" t="s">
        <v>5663</v>
      </c>
      <c r="E483">
        <v>4508714</v>
      </c>
      <c r="F483" t="s">
        <v>742</v>
      </c>
      <c r="G483" t="s">
        <v>743</v>
      </c>
      <c r="H483" t="s">
        <v>4974</v>
      </c>
      <c r="I483" s="12">
        <v>45636</v>
      </c>
      <c r="J483">
        <v>1</v>
      </c>
      <c r="K483" t="str">
        <f>VLOOKUP(A483,'TV May Monthly Billing Sites'!$A:$L,1,0)</f>
        <v>76031048</v>
      </c>
    </row>
    <row r="484" spans="1:12">
      <c r="A484" t="str">
        <f t="shared" si="7"/>
        <v>76031489</v>
      </c>
      <c r="B484">
        <v>76031489</v>
      </c>
      <c r="C484" t="s">
        <v>5664</v>
      </c>
      <c r="D484" t="s">
        <v>5665</v>
      </c>
      <c r="E484">
        <v>4508714</v>
      </c>
      <c r="F484" t="s">
        <v>742</v>
      </c>
      <c r="G484" t="s">
        <v>743</v>
      </c>
      <c r="H484" t="s">
        <v>5666</v>
      </c>
      <c r="I484" s="12">
        <v>45965</v>
      </c>
      <c r="J484">
        <v>1</v>
      </c>
      <c r="K484" t="str">
        <f>VLOOKUP(A484,'TV May Monthly Billing Sites'!$A:$L,1,0)</f>
        <v>76031489</v>
      </c>
    </row>
    <row r="485" spans="1:12">
      <c r="A485" t="str">
        <f t="shared" si="7"/>
        <v>76031627</v>
      </c>
      <c r="B485">
        <v>76031627</v>
      </c>
      <c r="C485" t="s">
        <v>5667</v>
      </c>
      <c r="D485" t="s">
        <v>2402</v>
      </c>
      <c r="E485">
        <v>4508675</v>
      </c>
      <c r="F485" t="s">
        <v>742</v>
      </c>
      <c r="G485" t="s">
        <v>828</v>
      </c>
      <c r="H485" t="s">
        <v>1171</v>
      </c>
      <c r="I485" s="12">
        <v>45113</v>
      </c>
      <c r="J485">
        <v>1</v>
      </c>
      <c r="K485" t="str">
        <f>VLOOKUP(A485,'TV May Monthly Billing Sites'!$A:$L,1,0)</f>
        <v>76031627</v>
      </c>
    </row>
    <row r="486" spans="1:12">
      <c r="A486" t="str">
        <f t="shared" si="7"/>
        <v>76031932</v>
      </c>
      <c r="B486">
        <v>76031932</v>
      </c>
      <c r="C486" t="s">
        <v>5668</v>
      </c>
      <c r="D486" t="s">
        <v>5669</v>
      </c>
      <c r="E486">
        <v>4508714</v>
      </c>
      <c r="F486" t="s">
        <v>742</v>
      </c>
      <c r="G486" t="s">
        <v>743</v>
      </c>
      <c r="H486" t="s">
        <v>5170</v>
      </c>
      <c r="I486" s="12">
        <v>45636</v>
      </c>
      <c r="J486">
        <v>1</v>
      </c>
      <c r="K486" t="str">
        <f>VLOOKUP(A486,'TV May Monthly Billing Sites'!$A:$L,1,0)</f>
        <v>76031932</v>
      </c>
    </row>
    <row r="487" spans="1:12">
      <c r="A487" t="str">
        <f t="shared" si="7"/>
        <v>76032340</v>
      </c>
      <c r="B487">
        <v>76032340</v>
      </c>
      <c r="C487" t="s">
        <v>5670</v>
      </c>
      <c r="D487" t="s">
        <v>5671</v>
      </c>
      <c r="E487">
        <v>4508714</v>
      </c>
      <c r="F487" t="s">
        <v>742</v>
      </c>
      <c r="G487" t="s">
        <v>743</v>
      </c>
      <c r="H487" t="s">
        <v>5672</v>
      </c>
      <c r="I487" s="12">
        <v>45839</v>
      </c>
      <c r="J487">
        <v>1</v>
      </c>
      <c r="K487" t="str">
        <f>VLOOKUP(A487,'TV May Monthly Billing Sites'!$A:$L,1,0)</f>
        <v>76032340</v>
      </c>
    </row>
    <row r="488" spans="1:12">
      <c r="A488" t="str">
        <f t="shared" si="7"/>
        <v>76032341</v>
      </c>
      <c r="B488">
        <v>76032341</v>
      </c>
      <c r="C488" t="s">
        <v>5673</v>
      </c>
      <c r="D488" t="s">
        <v>5674</v>
      </c>
      <c r="E488">
        <v>4508684</v>
      </c>
      <c r="F488" t="s">
        <v>742</v>
      </c>
      <c r="G488" t="s">
        <v>4760</v>
      </c>
      <c r="H488" t="s">
        <v>4945</v>
      </c>
      <c r="I488" s="12">
        <v>45891</v>
      </c>
      <c r="J488">
        <v>1</v>
      </c>
      <c r="K488" t="str">
        <f>VLOOKUP(A488,'TV May Monthly Billing Sites'!$A:$L,1,0)</f>
        <v>76032341</v>
      </c>
    </row>
    <row r="489" spans="1:12">
      <c r="A489" t="str">
        <f t="shared" si="7"/>
        <v>76032553</v>
      </c>
      <c r="B489">
        <v>76032553</v>
      </c>
      <c r="C489" t="s">
        <v>5675</v>
      </c>
      <c r="D489" t="s">
        <v>2410</v>
      </c>
      <c r="E489">
        <v>4508714</v>
      </c>
      <c r="F489" t="s">
        <v>742</v>
      </c>
      <c r="G489" t="s">
        <v>743</v>
      </c>
      <c r="H489" t="s">
        <v>5676</v>
      </c>
      <c r="I489" s="12">
        <v>46008</v>
      </c>
      <c r="J489">
        <v>1</v>
      </c>
      <c r="K489" t="str">
        <f>VLOOKUP(A489,'TV May Monthly Billing Sites'!$A:$L,1,0)</f>
        <v>76032553</v>
      </c>
    </row>
    <row r="490" spans="1:12">
      <c r="A490" t="str">
        <f t="shared" si="7"/>
        <v>76032591</v>
      </c>
      <c r="B490">
        <v>76032591</v>
      </c>
      <c r="C490" t="s">
        <v>5677</v>
      </c>
      <c r="D490" t="s">
        <v>2412</v>
      </c>
      <c r="E490">
        <v>4408592</v>
      </c>
      <c r="F490" t="s">
        <v>742</v>
      </c>
      <c r="G490" t="s">
        <v>823</v>
      </c>
      <c r="H490" t="s">
        <v>5678</v>
      </c>
      <c r="I490" s="12">
        <v>45635</v>
      </c>
      <c r="J490">
        <v>1</v>
      </c>
      <c r="K490" t="str">
        <f>VLOOKUP(A490,'TV May Monthly Billing Sites'!$A:$L,1,0)</f>
        <v>76032591</v>
      </c>
    </row>
    <row r="491" spans="1:12">
      <c r="A491" t="str">
        <f t="shared" si="7"/>
        <v>76032657</v>
      </c>
      <c r="B491">
        <v>76032657</v>
      </c>
      <c r="C491" t="s">
        <v>858</v>
      </c>
      <c r="D491" t="s">
        <v>859</v>
      </c>
      <c r="E491">
        <v>4508714</v>
      </c>
      <c r="F491" t="s">
        <v>742</v>
      </c>
      <c r="G491" t="s">
        <v>743</v>
      </c>
      <c r="H491" t="s">
        <v>860</v>
      </c>
      <c r="I491" s="12">
        <v>45604</v>
      </c>
      <c r="J491">
        <v>1</v>
      </c>
      <c r="K491" t="e">
        <f>VLOOKUP(A491,'TV May Monthly Billing Sites'!$A:$L,1,0)</f>
        <v>#N/A</v>
      </c>
      <c r="L491" t="e">
        <f>VLOOKUP(D491,'TV May Monthly Billing Sites'!$B:$L,1,0)</f>
        <v>#N/A</v>
      </c>
    </row>
    <row r="492" spans="1:12">
      <c r="A492" t="str">
        <f t="shared" si="7"/>
        <v>76032698</v>
      </c>
      <c r="B492">
        <v>76032698</v>
      </c>
      <c r="C492" t="s">
        <v>5679</v>
      </c>
      <c r="D492" t="s">
        <v>5680</v>
      </c>
      <c r="E492">
        <v>4508675</v>
      </c>
      <c r="F492" t="s">
        <v>742</v>
      </c>
      <c r="G492" t="s">
        <v>828</v>
      </c>
      <c r="H492" t="s">
        <v>5681</v>
      </c>
      <c r="I492" s="12">
        <v>45874</v>
      </c>
      <c r="J492">
        <v>1</v>
      </c>
      <c r="K492" t="str">
        <f>VLOOKUP(A492,'TV May Monthly Billing Sites'!$A:$L,1,0)</f>
        <v>76032698</v>
      </c>
    </row>
    <row r="493" spans="1:12">
      <c r="A493" t="str">
        <f t="shared" si="7"/>
        <v>76033116</v>
      </c>
      <c r="B493">
        <v>76033116</v>
      </c>
      <c r="C493" t="s">
        <v>5682</v>
      </c>
      <c r="D493" t="s">
        <v>5683</v>
      </c>
      <c r="E493">
        <v>4508714</v>
      </c>
      <c r="F493" t="s">
        <v>742</v>
      </c>
      <c r="G493" t="s">
        <v>743</v>
      </c>
      <c r="H493" t="s">
        <v>5684</v>
      </c>
      <c r="I493" s="12">
        <v>45924</v>
      </c>
      <c r="J493">
        <v>1</v>
      </c>
      <c r="K493" t="str">
        <f>VLOOKUP(A493,'TV May Monthly Billing Sites'!$A:$L,1,0)</f>
        <v>76033116</v>
      </c>
    </row>
    <row r="494" spans="1:12">
      <c r="A494" t="str">
        <f t="shared" si="7"/>
        <v>76033191</v>
      </c>
      <c r="B494">
        <v>76033191</v>
      </c>
      <c r="C494" t="s">
        <v>862</v>
      </c>
      <c r="D494" t="s">
        <v>863</v>
      </c>
      <c r="E494">
        <v>4508714</v>
      </c>
      <c r="F494" t="s">
        <v>742</v>
      </c>
      <c r="G494" t="s">
        <v>743</v>
      </c>
      <c r="H494" t="s">
        <v>864</v>
      </c>
      <c r="I494" s="12">
        <v>45601</v>
      </c>
      <c r="J494">
        <v>1</v>
      </c>
      <c r="K494" t="e">
        <f>VLOOKUP(A494,'TV May Monthly Billing Sites'!$A:$L,1,0)</f>
        <v>#N/A</v>
      </c>
      <c r="L494" t="e">
        <f>VLOOKUP(D494,'TV May Monthly Billing Sites'!$B:$L,1,0)</f>
        <v>#N/A</v>
      </c>
    </row>
    <row r="495" spans="1:12">
      <c r="A495" t="str">
        <f t="shared" si="7"/>
        <v>76033693</v>
      </c>
      <c r="B495">
        <v>76033693</v>
      </c>
      <c r="C495" t="s">
        <v>5685</v>
      </c>
      <c r="D495" t="s">
        <v>2418</v>
      </c>
      <c r="E495">
        <v>4508714</v>
      </c>
      <c r="F495" t="s">
        <v>742</v>
      </c>
      <c r="G495" t="s">
        <v>743</v>
      </c>
      <c r="H495" t="s">
        <v>5686</v>
      </c>
      <c r="I495" s="12">
        <v>46135</v>
      </c>
      <c r="J495">
        <v>1</v>
      </c>
      <c r="K495" t="str">
        <f>VLOOKUP(A495,'TV May Monthly Billing Sites'!$A:$L,1,0)</f>
        <v>76033693</v>
      </c>
    </row>
    <row r="496" spans="1:12">
      <c r="A496" t="str">
        <f t="shared" si="7"/>
        <v>76033777</v>
      </c>
      <c r="B496">
        <v>76033777</v>
      </c>
      <c r="C496" t="s">
        <v>866</v>
      </c>
      <c r="D496" t="s">
        <v>867</v>
      </c>
      <c r="E496">
        <v>4408593</v>
      </c>
      <c r="F496" t="s">
        <v>742</v>
      </c>
      <c r="G496" t="s">
        <v>782</v>
      </c>
      <c r="H496" t="s">
        <v>868</v>
      </c>
      <c r="I496" s="12">
        <v>45273</v>
      </c>
      <c r="J496">
        <v>1</v>
      </c>
      <c r="K496" t="e">
        <f>VLOOKUP(A496,'TV May Monthly Billing Sites'!$A:$L,1,0)</f>
        <v>#N/A</v>
      </c>
      <c r="L496" t="e">
        <f>VLOOKUP(D496,'TV May Monthly Billing Sites'!$B:$L,1,0)</f>
        <v>#N/A</v>
      </c>
    </row>
    <row r="497" spans="1:11">
      <c r="A497" t="str">
        <f t="shared" si="7"/>
        <v>76034150</v>
      </c>
      <c r="B497">
        <v>76034150</v>
      </c>
      <c r="C497" t="s">
        <v>5687</v>
      </c>
      <c r="D497" t="s">
        <v>5688</v>
      </c>
      <c r="E497">
        <v>4508714</v>
      </c>
      <c r="F497" t="s">
        <v>742</v>
      </c>
      <c r="G497" t="s">
        <v>743</v>
      </c>
      <c r="H497" t="s">
        <v>2420</v>
      </c>
      <c r="I497" s="12">
        <v>45833</v>
      </c>
      <c r="J497">
        <v>1</v>
      </c>
      <c r="K497" t="str">
        <f>VLOOKUP(A497,'TV May Monthly Billing Sites'!$A:$L,1,0)</f>
        <v>76034150</v>
      </c>
    </row>
    <row r="498" spans="1:11">
      <c r="A498" t="str">
        <f t="shared" si="7"/>
        <v>76034154</v>
      </c>
      <c r="B498">
        <v>76034154</v>
      </c>
      <c r="C498" t="s">
        <v>5689</v>
      </c>
      <c r="D498" t="s">
        <v>2422</v>
      </c>
      <c r="E498">
        <v>4508714</v>
      </c>
      <c r="F498" t="s">
        <v>742</v>
      </c>
      <c r="G498" t="s">
        <v>743</v>
      </c>
      <c r="H498" t="s">
        <v>4743</v>
      </c>
      <c r="I498" s="12">
        <v>45813</v>
      </c>
      <c r="J498">
        <v>1</v>
      </c>
      <c r="K498" t="str">
        <f>VLOOKUP(A498,'TV May Monthly Billing Sites'!$A:$L,1,0)</f>
        <v>76034154</v>
      </c>
    </row>
    <row r="499" spans="1:11">
      <c r="A499" t="str">
        <f t="shared" si="7"/>
        <v>76034188</v>
      </c>
      <c r="B499">
        <v>76034188</v>
      </c>
      <c r="C499" t="s">
        <v>5690</v>
      </c>
      <c r="D499" t="s">
        <v>5691</v>
      </c>
      <c r="E499">
        <v>4508714</v>
      </c>
      <c r="F499" t="s">
        <v>742</v>
      </c>
      <c r="G499" t="s">
        <v>743</v>
      </c>
      <c r="H499" t="s">
        <v>4665</v>
      </c>
      <c r="I499" s="12">
        <v>45719</v>
      </c>
      <c r="J499">
        <v>1</v>
      </c>
      <c r="K499" t="str">
        <f>VLOOKUP(A499,'TV May Monthly Billing Sites'!$A:$L,1,0)</f>
        <v>76034188</v>
      </c>
    </row>
    <row r="500" spans="1:11">
      <c r="A500" t="str">
        <f t="shared" si="7"/>
        <v>76034396</v>
      </c>
      <c r="B500">
        <v>76034396</v>
      </c>
      <c r="C500" t="s">
        <v>5692</v>
      </c>
      <c r="D500" t="s">
        <v>2426</v>
      </c>
      <c r="E500">
        <v>4508714</v>
      </c>
      <c r="F500" t="s">
        <v>742</v>
      </c>
      <c r="G500" t="s">
        <v>743</v>
      </c>
      <c r="H500" t="s">
        <v>2426</v>
      </c>
      <c r="I500" s="12">
        <v>46078</v>
      </c>
      <c r="J500">
        <v>1</v>
      </c>
      <c r="K500" t="str">
        <f>VLOOKUP(A500,'TV May Monthly Billing Sites'!$A:$L,1,0)</f>
        <v>76034396</v>
      </c>
    </row>
    <row r="501" spans="1:11">
      <c r="A501" t="str">
        <f t="shared" si="7"/>
        <v>76034470</v>
      </c>
      <c r="B501">
        <v>76034470</v>
      </c>
      <c r="C501" t="s">
        <v>5693</v>
      </c>
      <c r="D501" t="s">
        <v>2428</v>
      </c>
      <c r="E501">
        <v>4408592</v>
      </c>
      <c r="F501" t="s">
        <v>742</v>
      </c>
      <c r="G501" t="s">
        <v>823</v>
      </c>
      <c r="H501" t="s">
        <v>4672</v>
      </c>
      <c r="I501" s="12">
        <v>45290</v>
      </c>
      <c r="J501">
        <v>1</v>
      </c>
      <c r="K501" t="str">
        <f>VLOOKUP(A501,'TV May Monthly Billing Sites'!$A:$L,1,0)</f>
        <v>76034470</v>
      </c>
    </row>
    <row r="502" spans="1:11">
      <c r="A502" t="str">
        <f t="shared" si="7"/>
        <v>76035061</v>
      </c>
      <c r="B502">
        <v>76035061</v>
      </c>
      <c r="C502" t="s">
        <v>5694</v>
      </c>
      <c r="D502" t="s">
        <v>2430</v>
      </c>
      <c r="E502">
        <v>4508675</v>
      </c>
      <c r="F502" t="s">
        <v>742</v>
      </c>
      <c r="G502" t="s">
        <v>828</v>
      </c>
      <c r="H502" t="s">
        <v>5468</v>
      </c>
      <c r="I502" s="12">
        <v>44812</v>
      </c>
      <c r="J502">
        <v>1</v>
      </c>
      <c r="K502" t="str">
        <f>VLOOKUP(A502,'TV May Monthly Billing Sites'!$A:$L,1,0)</f>
        <v>76035061</v>
      </c>
    </row>
    <row r="503" spans="1:11">
      <c r="A503" t="str">
        <f t="shared" si="7"/>
        <v>76036050</v>
      </c>
      <c r="B503">
        <v>76036050</v>
      </c>
      <c r="C503" t="s">
        <v>5695</v>
      </c>
      <c r="D503" t="s">
        <v>2432</v>
      </c>
      <c r="E503">
        <v>4508714</v>
      </c>
      <c r="F503" t="s">
        <v>742</v>
      </c>
      <c r="G503" t="s">
        <v>743</v>
      </c>
      <c r="H503" t="s">
        <v>860</v>
      </c>
      <c r="I503" s="12">
        <v>45604</v>
      </c>
      <c r="J503">
        <v>1</v>
      </c>
      <c r="K503" t="str">
        <f>VLOOKUP(A503,'TV May Monthly Billing Sites'!$A:$L,1,0)</f>
        <v>76036050</v>
      </c>
    </row>
    <row r="504" spans="1:11">
      <c r="A504" t="str">
        <f t="shared" si="7"/>
        <v>76036439</v>
      </c>
      <c r="B504">
        <v>76036439</v>
      </c>
      <c r="C504" t="s">
        <v>5696</v>
      </c>
      <c r="D504" t="s">
        <v>2434</v>
      </c>
      <c r="E504">
        <v>4508714</v>
      </c>
      <c r="F504" t="s">
        <v>742</v>
      </c>
      <c r="G504" t="s">
        <v>743</v>
      </c>
      <c r="H504" t="s">
        <v>5697</v>
      </c>
      <c r="I504" s="12">
        <v>45861</v>
      </c>
      <c r="J504">
        <v>1</v>
      </c>
      <c r="K504" t="str">
        <f>VLOOKUP(A504,'TV May Monthly Billing Sites'!$A:$L,1,0)</f>
        <v>76036439</v>
      </c>
    </row>
    <row r="505" spans="1:11">
      <c r="A505" t="str">
        <f t="shared" si="7"/>
        <v>76036962</v>
      </c>
      <c r="B505">
        <v>76036962</v>
      </c>
      <c r="C505" t="s">
        <v>5698</v>
      </c>
      <c r="D505" t="s">
        <v>5699</v>
      </c>
      <c r="E505">
        <v>4508714</v>
      </c>
      <c r="F505" t="s">
        <v>742</v>
      </c>
      <c r="G505" t="s">
        <v>743</v>
      </c>
      <c r="H505" t="s">
        <v>5525</v>
      </c>
      <c r="I505" s="12">
        <v>46022</v>
      </c>
      <c r="J505">
        <v>1</v>
      </c>
      <c r="K505" t="str">
        <f>VLOOKUP(A505,'TV May Monthly Billing Sites'!$A:$L,1,0)</f>
        <v>76036962</v>
      </c>
    </row>
    <row r="506" spans="1:11">
      <c r="A506" t="str">
        <f t="shared" si="7"/>
        <v>76036970</v>
      </c>
      <c r="B506">
        <v>76036970</v>
      </c>
      <c r="C506" t="s">
        <v>5700</v>
      </c>
      <c r="D506" t="s">
        <v>5701</v>
      </c>
      <c r="E506">
        <v>4508714</v>
      </c>
      <c r="F506" t="s">
        <v>742</v>
      </c>
      <c r="G506" t="s">
        <v>743</v>
      </c>
      <c r="H506" t="s">
        <v>5653</v>
      </c>
      <c r="I506" s="12">
        <v>45628</v>
      </c>
      <c r="J506">
        <v>1</v>
      </c>
      <c r="K506" t="str">
        <f>VLOOKUP(A506,'TV May Monthly Billing Sites'!$A:$L,1,0)</f>
        <v>76036970</v>
      </c>
    </row>
    <row r="507" spans="1:11">
      <c r="A507" t="str">
        <f t="shared" si="7"/>
        <v>76037117</v>
      </c>
      <c r="B507">
        <v>76037117</v>
      </c>
      <c r="C507" t="s">
        <v>5702</v>
      </c>
      <c r="D507" t="s">
        <v>2440</v>
      </c>
      <c r="E507">
        <v>4408593</v>
      </c>
      <c r="F507" t="s">
        <v>742</v>
      </c>
      <c r="G507" t="s">
        <v>782</v>
      </c>
      <c r="H507" t="s">
        <v>2440</v>
      </c>
      <c r="I507" s="12">
        <v>45734</v>
      </c>
      <c r="J507">
        <v>1</v>
      </c>
      <c r="K507" t="str">
        <f>VLOOKUP(A507,'TV May Monthly Billing Sites'!$A:$L,1,0)</f>
        <v>76037117</v>
      </c>
    </row>
    <row r="508" spans="1:11">
      <c r="A508" t="str">
        <f t="shared" si="7"/>
        <v>76037225</v>
      </c>
      <c r="B508">
        <v>76037225</v>
      </c>
      <c r="C508" t="s">
        <v>5703</v>
      </c>
      <c r="D508" t="s">
        <v>5704</v>
      </c>
      <c r="E508">
        <v>4508714</v>
      </c>
      <c r="F508" t="s">
        <v>742</v>
      </c>
      <c r="G508" t="s">
        <v>743</v>
      </c>
      <c r="H508" t="s">
        <v>5123</v>
      </c>
      <c r="I508" s="12">
        <v>46021</v>
      </c>
      <c r="J508">
        <v>1</v>
      </c>
      <c r="K508" t="str">
        <f>VLOOKUP(A508,'TV May Monthly Billing Sites'!$A:$L,1,0)</f>
        <v>76037225</v>
      </c>
    </row>
    <row r="509" spans="1:11">
      <c r="A509" t="str">
        <f t="shared" si="7"/>
        <v>76037226</v>
      </c>
      <c r="B509">
        <v>76037226</v>
      </c>
      <c r="C509" t="s">
        <v>5705</v>
      </c>
      <c r="D509" t="s">
        <v>5706</v>
      </c>
      <c r="E509">
        <v>4508714</v>
      </c>
      <c r="F509" t="s">
        <v>742</v>
      </c>
      <c r="G509" t="s">
        <v>743</v>
      </c>
      <c r="H509" t="s">
        <v>5123</v>
      </c>
      <c r="I509" s="12">
        <v>46021</v>
      </c>
      <c r="J509">
        <v>1</v>
      </c>
      <c r="K509" t="str">
        <f>VLOOKUP(A509,'TV May Monthly Billing Sites'!$A:$L,1,0)</f>
        <v>76037226</v>
      </c>
    </row>
    <row r="510" spans="1:11">
      <c r="A510" t="str">
        <f t="shared" si="7"/>
        <v>76037227</v>
      </c>
      <c r="B510">
        <v>76037227</v>
      </c>
      <c r="C510" t="s">
        <v>5707</v>
      </c>
      <c r="D510" t="s">
        <v>5708</v>
      </c>
      <c r="E510">
        <v>4508714</v>
      </c>
      <c r="F510" t="s">
        <v>742</v>
      </c>
      <c r="G510" t="s">
        <v>743</v>
      </c>
      <c r="H510" t="s">
        <v>5123</v>
      </c>
      <c r="I510" s="12">
        <v>46021</v>
      </c>
      <c r="J510">
        <v>1</v>
      </c>
      <c r="K510" t="str">
        <f>VLOOKUP(A510,'TV May Monthly Billing Sites'!$A:$L,1,0)</f>
        <v>76037227</v>
      </c>
    </row>
    <row r="511" spans="1:11">
      <c r="A511" t="str">
        <f t="shared" si="7"/>
        <v>76037250</v>
      </c>
      <c r="B511">
        <v>76037250</v>
      </c>
      <c r="C511" t="s">
        <v>5709</v>
      </c>
      <c r="D511" t="s">
        <v>5710</v>
      </c>
      <c r="E511">
        <v>4508714</v>
      </c>
      <c r="F511" t="s">
        <v>742</v>
      </c>
      <c r="G511" t="s">
        <v>743</v>
      </c>
      <c r="H511" t="s">
        <v>751</v>
      </c>
      <c r="I511" s="12">
        <v>45747</v>
      </c>
      <c r="J511">
        <v>1</v>
      </c>
      <c r="K511" t="str">
        <f>VLOOKUP(A511,'TV May Monthly Billing Sites'!$A:$L,1,0)</f>
        <v>76037250</v>
      </c>
    </row>
    <row r="512" spans="1:11">
      <c r="A512" t="str">
        <f t="shared" si="7"/>
        <v>76037307</v>
      </c>
      <c r="B512">
        <v>76037307</v>
      </c>
      <c r="C512" t="s">
        <v>5711</v>
      </c>
      <c r="D512" t="s">
        <v>5712</v>
      </c>
      <c r="E512">
        <v>4408593</v>
      </c>
      <c r="F512" t="s">
        <v>742</v>
      </c>
      <c r="G512" t="s">
        <v>782</v>
      </c>
      <c r="H512" t="s">
        <v>1038</v>
      </c>
      <c r="I512" s="12">
        <v>45597</v>
      </c>
      <c r="J512">
        <v>1</v>
      </c>
      <c r="K512" t="str">
        <f>VLOOKUP(A512,'TV May Monthly Billing Sites'!$A:$L,1,0)</f>
        <v>76037307</v>
      </c>
    </row>
    <row r="513" spans="1:11">
      <c r="A513" t="str">
        <f t="shared" si="7"/>
        <v>76037519</v>
      </c>
      <c r="B513">
        <v>76037519</v>
      </c>
      <c r="C513" t="s">
        <v>5713</v>
      </c>
      <c r="D513" t="s">
        <v>2452</v>
      </c>
      <c r="E513">
        <v>4508714</v>
      </c>
      <c r="F513" t="s">
        <v>742</v>
      </c>
      <c r="G513" t="s">
        <v>743</v>
      </c>
      <c r="H513" t="s">
        <v>5714</v>
      </c>
      <c r="I513" s="12">
        <v>45313</v>
      </c>
      <c r="J513">
        <v>1</v>
      </c>
      <c r="K513" t="str">
        <f>VLOOKUP(A513,'TV May Monthly Billing Sites'!$A:$L,1,0)</f>
        <v>76037519</v>
      </c>
    </row>
    <row r="514" spans="1:11">
      <c r="A514" t="str">
        <f t="shared" ref="A514:A577" si="8">TRIM(B514)</f>
        <v>76037927</v>
      </c>
      <c r="B514">
        <v>76037927</v>
      </c>
      <c r="C514" t="s">
        <v>5715</v>
      </c>
      <c r="D514" t="s">
        <v>2454</v>
      </c>
      <c r="E514">
        <v>4408592</v>
      </c>
      <c r="F514" t="s">
        <v>742</v>
      </c>
      <c r="G514" t="s">
        <v>823</v>
      </c>
      <c r="H514" t="s">
        <v>2454</v>
      </c>
      <c r="I514" s="12">
        <v>45036</v>
      </c>
      <c r="J514">
        <v>1</v>
      </c>
      <c r="K514" t="str">
        <f>VLOOKUP(A514,'TV May Monthly Billing Sites'!$A:$L,1,0)</f>
        <v>76037927</v>
      </c>
    </row>
    <row r="515" spans="1:11">
      <c r="A515" t="str">
        <f t="shared" si="8"/>
        <v>76037938</v>
      </c>
      <c r="B515">
        <v>76037938</v>
      </c>
      <c r="C515" t="s">
        <v>5716</v>
      </c>
      <c r="D515" t="s">
        <v>2456</v>
      </c>
      <c r="E515">
        <v>4508714</v>
      </c>
      <c r="F515" t="s">
        <v>742</v>
      </c>
      <c r="G515" t="s">
        <v>743</v>
      </c>
      <c r="H515" t="s">
        <v>5312</v>
      </c>
      <c r="I515" s="12">
        <v>45937</v>
      </c>
      <c r="J515">
        <v>1</v>
      </c>
      <c r="K515" t="str">
        <f>VLOOKUP(A515,'TV May Monthly Billing Sites'!$A:$L,1,0)</f>
        <v>76037938</v>
      </c>
    </row>
    <row r="516" spans="1:11">
      <c r="A516" t="str">
        <f t="shared" si="8"/>
        <v>76037938</v>
      </c>
      <c r="B516">
        <v>76037938</v>
      </c>
      <c r="C516" t="s">
        <v>5717</v>
      </c>
      <c r="D516" t="s">
        <v>2456</v>
      </c>
      <c r="E516">
        <v>4508714</v>
      </c>
      <c r="F516" t="s">
        <v>742</v>
      </c>
      <c r="G516" t="s">
        <v>743</v>
      </c>
      <c r="H516" t="s">
        <v>5312</v>
      </c>
      <c r="I516" s="12">
        <v>45937</v>
      </c>
      <c r="J516">
        <v>1</v>
      </c>
      <c r="K516" t="str">
        <f>VLOOKUP(A516,'TV May Monthly Billing Sites'!$A:$L,1,0)</f>
        <v>76037938</v>
      </c>
    </row>
    <row r="517" spans="1:11">
      <c r="A517" t="str">
        <f t="shared" si="8"/>
        <v>76037938</v>
      </c>
      <c r="B517">
        <v>76037938</v>
      </c>
      <c r="C517" t="s">
        <v>5718</v>
      </c>
      <c r="D517" t="s">
        <v>2456</v>
      </c>
      <c r="E517">
        <v>4508714</v>
      </c>
      <c r="F517" t="s">
        <v>742</v>
      </c>
      <c r="G517" t="s">
        <v>743</v>
      </c>
      <c r="H517" t="s">
        <v>5312</v>
      </c>
      <c r="I517" s="12">
        <v>45937</v>
      </c>
      <c r="J517">
        <v>1</v>
      </c>
      <c r="K517" t="str">
        <f>VLOOKUP(A517,'TV May Monthly Billing Sites'!$A:$L,1,0)</f>
        <v>76037938</v>
      </c>
    </row>
    <row r="518" spans="1:11">
      <c r="A518" t="str">
        <f t="shared" si="8"/>
        <v>76037963</v>
      </c>
      <c r="B518">
        <v>76037963</v>
      </c>
      <c r="C518" t="s">
        <v>5719</v>
      </c>
      <c r="D518" t="s">
        <v>5720</v>
      </c>
      <c r="E518">
        <v>4508714</v>
      </c>
      <c r="F518" t="s">
        <v>742</v>
      </c>
      <c r="G518" t="s">
        <v>743</v>
      </c>
      <c r="H518" t="s">
        <v>812</v>
      </c>
      <c r="I518" s="12">
        <v>45931</v>
      </c>
      <c r="J518">
        <v>1</v>
      </c>
      <c r="K518" t="str">
        <f>VLOOKUP(A518,'TV May Monthly Billing Sites'!$A:$L,1,0)</f>
        <v>76037963</v>
      </c>
    </row>
    <row r="519" spans="1:11">
      <c r="A519" t="str">
        <f t="shared" si="8"/>
        <v>76038006</v>
      </c>
      <c r="B519">
        <v>76038006</v>
      </c>
      <c r="C519" t="s">
        <v>5721</v>
      </c>
      <c r="D519" t="s">
        <v>5722</v>
      </c>
      <c r="E519">
        <v>4508714</v>
      </c>
      <c r="F519" t="s">
        <v>742</v>
      </c>
      <c r="G519" t="s">
        <v>743</v>
      </c>
      <c r="H519" t="s">
        <v>2460</v>
      </c>
      <c r="I519" s="12">
        <v>45820</v>
      </c>
      <c r="J519">
        <v>1</v>
      </c>
      <c r="K519" t="str">
        <f>VLOOKUP(A519,'TV May Monthly Billing Sites'!$A:$L,1,0)</f>
        <v>76038006</v>
      </c>
    </row>
    <row r="520" spans="1:11">
      <c r="A520" t="str">
        <f t="shared" si="8"/>
        <v>76038514</v>
      </c>
      <c r="B520">
        <v>76038514</v>
      </c>
      <c r="C520" t="s">
        <v>5723</v>
      </c>
      <c r="D520" t="s">
        <v>5724</v>
      </c>
      <c r="E520">
        <v>4508714</v>
      </c>
      <c r="F520" t="s">
        <v>742</v>
      </c>
      <c r="G520" t="s">
        <v>743</v>
      </c>
      <c r="H520" t="s">
        <v>1138</v>
      </c>
      <c r="I520" s="12">
        <v>45236</v>
      </c>
      <c r="J520">
        <v>1</v>
      </c>
      <c r="K520" t="str">
        <f>VLOOKUP(A520,'TV May Monthly Billing Sites'!$A:$L,1,0)</f>
        <v>76038514</v>
      </c>
    </row>
    <row r="521" spans="1:11">
      <c r="A521" t="str">
        <f t="shared" si="8"/>
        <v>76038770</v>
      </c>
      <c r="B521">
        <v>76038770</v>
      </c>
      <c r="C521" t="s">
        <v>5725</v>
      </c>
      <c r="D521" t="s">
        <v>5726</v>
      </c>
      <c r="E521">
        <v>4508675</v>
      </c>
      <c r="F521" t="s">
        <v>742</v>
      </c>
      <c r="G521" t="s">
        <v>828</v>
      </c>
      <c r="H521" t="s">
        <v>4894</v>
      </c>
      <c r="I521" s="12">
        <v>45450</v>
      </c>
      <c r="J521">
        <v>1</v>
      </c>
      <c r="K521" t="str">
        <f>VLOOKUP(A521,'TV May Monthly Billing Sites'!$A:$L,1,0)</f>
        <v>76038770</v>
      </c>
    </row>
    <row r="522" spans="1:11">
      <c r="A522" t="str">
        <f t="shared" si="8"/>
        <v>76039024</v>
      </c>
      <c r="B522">
        <v>76039024</v>
      </c>
      <c r="C522" t="s">
        <v>5727</v>
      </c>
      <c r="D522" t="s">
        <v>2468</v>
      </c>
      <c r="E522">
        <v>4408592</v>
      </c>
      <c r="F522" t="s">
        <v>742</v>
      </c>
      <c r="G522" t="s">
        <v>823</v>
      </c>
      <c r="H522" t="s">
        <v>5728</v>
      </c>
      <c r="I522" s="12">
        <v>44819</v>
      </c>
      <c r="J522">
        <v>2</v>
      </c>
      <c r="K522" t="str">
        <f>VLOOKUP(A522,'TV May Monthly Billing Sites'!$A:$L,1,0)</f>
        <v>76039024</v>
      </c>
    </row>
    <row r="523" spans="1:11">
      <c r="A523" t="str">
        <f t="shared" si="8"/>
        <v>76039025</v>
      </c>
      <c r="B523">
        <v>76039025</v>
      </c>
      <c r="C523" t="s">
        <v>5729</v>
      </c>
      <c r="D523" t="s">
        <v>2470</v>
      </c>
      <c r="E523">
        <v>4408592</v>
      </c>
      <c r="F523" t="s">
        <v>742</v>
      </c>
      <c r="G523" t="s">
        <v>823</v>
      </c>
      <c r="H523" t="s">
        <v>5728</v>
      </c>
      <c r="I523" s="12">
        <v>44819</v>
      </c>
      <c r="J523">
        <v>1</v>
      </c>
      <c r="K523" t="str">
        <f>VLOOKUP(A523,'TV May Monthly Billing Sites'!$A:$L,1,0)</f>
        <v>76039025</v>
      </c>
    </row>
    <row r="524" spans="1:11">
      <c r="A524" t="str">
        <f t="shared" si="8"/>
        <v>76039050</v>
      </c>
      <c r="B524">
        <v>76039050</v>
      </c>
      <c r="C524" t="s">
        <v>5730</v>
      </c>
      <c r="D524" t="s">
        <v>2472</v>
      </c>
      <c r="E524">
        <v>4408592</v>
      </c>
      <c r="F524" t="s">
        <v>742</v>
      </c>
      <c r="G524" t="s">
        <v>823</v>
      </c>
      <c r="H524" t="s">
        <v>5728</v>
      </c>
      <c r="I524" s="12">
        <v>44819</v>
      </c>
      <c r="J524">
        <v>1</v>
      </c>
      <c r="K524" t="str">
        <f>VLOOKUP(A524,'TV May Monthly Billing Sites'!$A:$L,1,0)</f>
        <v>76039050</v>
      </c>
    </row>
    <row r="525" spans="1:11">
      <c r="A525" t="str">
        <f t="shared" si="8"/>
        <v>76039060</v>
      </c>
      <c r="B525">
        <v>76039060</v>
      </c>
      <c r="C525" t="s">
        <v>5731</v>
      </c>
      <c r="D525" t="s">
        <v>2474</v>
      </c>
      <c r="E525">
        <v>4408592</v>
      </c>
      <c r="F525" t="s">
        <v>742</v>
      </c>
      <c r="G525" t="s">
        <v>823</v>
      </c>
      <c r="H525" t="s">
        <v>5728</v>
      </c>
      <c r="I525" s="12">
        <v>44819</v>
      </c>
      <c r="J525">
        <v>1</v>
      </c>
      <c r="K525" t="str">
        <f>VLOOKUP(A525,'TV May Monthly Billing Sites'!$A:$L,1,0)</f>
        <v>76039060</v>
      </c>
    </row>
    <row r="526" spans="1:11">
      <c r="A526" t="str">
        <f t="shared" si="8"/>
        <v>76039938</v>
      </c>
      <c r="B526">
        <v>76039938</v>
      </c>
      <c r="C526" t="s">
        <v>5732</v>
      </c>
      <c r="D526" t="s">
        <v>5733</v>
      </c>
      <c r="E526">
        <v>4508714</v>
      </c>
      <c r="F526" t="s">
        <v>742</v>
      </c>
      <c r="G526" t="s">
        <v>743</v>
      </c>
      <c r="H526" t="s">
        <v>5734</v>
      </c>
      <c r="I526" s="12">
        <v>45931</v>
      </c>
      <c r="J526">
        <v>1</v>
      </c>
      <c r="K526" t="str">
        <f>VLOOKUP(A526,'TV May Monthly Billing Sites'!$A:$L,1,0)</f>
        <v>76039938</v>
      </c>
    </row>
    <row r="527" spans="1:11">
      <c r="A527" t="str">
        <f t="shared" si="8"/>
        <v>76040091</v>
      </c>
      <c r="B527">
        <v>76040091</v>
      </c>
      <c r="C527" t="s">
        <v>5735</v>
      </c>
      <c r="D527" t="s">
        <v>2478</v>
      </c>
      <c r="E527">
        <v>4508714</v>
      </c>
      <c r="F527" t="s">
        <v>742</v>
      </c>
      <c r="G527" t="s">
        <v>743</v>
      </c>
      <c r="H527" t="s">
        <v>1096</v>
      </c>
      <c r="I527" s="12">
        <v>45961</v>
      </c>
      <c r="J527">
        <v>1</v>
      </c>
      <c r="K527" t="str">
        <f>VLOOKUP(A527,'TV May Monthly Billing Sites'!$A:$L,1,0)</f>
        <v>76040091</v>
      </c>
    </row>
    <row r="528" spans="1:11">
      <c r="A528" t="str">
        <f t="shared" si="8"/>
        <v>76040188</v>
      </c>
      <c r="B528">
        <v>76040188</v>
      </c>
      <c r="C528" t="s">
        <v>5736</v>
      </c>
      <c r="D528" t="s">
        <v>2480</v>
      </c>
      <c r="E528">
        <v>4508714</v>
      </c>
      <c r="F528" t="s">
        <v>742</v>
      </c>
      <c r="G528" t="s">
        <v>743</v>
      </c>
      <c r="H528" t="s">
        <v>4734</v>
      </c>
      <c r="I528" s="12">
        <v>45833</v>
      </c>
      <c r="J528">
        <v>1</v>
      </c>
      <c r="K528" t="str">
        <f>VLOOKUP(A528,'TV May Monthly Billing Sites'!$A:$L,1,0)</f>
        <v>76040188</v>
      </c>
    </row>
    <row r="529" spans="1:12">
      <c r="A529" t="str">
        <f t="shared" si="8"/>
        <v>76040226</v>
      </c>
      <c r="B529">
        <v>76040226</v>
      </c>
      <c r="C529" t="s">
        <v>870</v>
      </c>
      <c r="D529" t="s">
        <v>871</v>
      </c>
      <c r="E529">
        <v>4508714</v>
      </c>
      <c r="F529" t="s">
        <v>742</v>
      </c>
      <c r="G529" t="s">
        <v>743</v>
      </c>
      <c r="H529" t="s">
        <v>871</v>
      </c>
      <c r="I529" s="12">
        <v>45628</v>
      </c>
      <c r="J529">
        <v>1</v>
      </c>
      <c r="K529" t="e">
        <f>VLOOKUP(A529,'TV May Monthly Billing Sites'!$A:$L,1,0)</f>
        <v>#N/A</v>
      </c>
      <c r="L529" t="e">
        <f>VLOOKUP(D529,'TV May Monthly Billing Sites'!$B:$L,1,0)</f>
        <v>#N/A</v>
      </c>
    </row>
    <row r="530" spans="1:12">
      <c r="A530" t="str">
        <f t="shared" si="8"/>
        <v>76040505</v>
      </c>
      <c r="B530">
        <v>76040505</v>
      </c>
      <c r="C530" t="s">
        <v>5737</v>
      </c>
      <c r="D530" t="s">
        <v>5738</v>
      </c>
      <c r="E530">
        <v>4508675</v>
      </c>
      <c r="F530" t="s">
        <v>742</v>
      </c>
      <c r="G530" t="s">
        <v>828</v>
      </c>
      <c r="H530" t="s">
        <v>4982</v>
      </c>
      <c r="I530" s="12">
        <v>44929</v>
      </c>
      <c r="J530">
        <v>1</v>
      </c>
      <c r="K530" t="str">
        <f>VLOOKUP(A530,'TV May Monthly Billing Sites'!$A:$L,1,0)</f>
        <v>76040505</v>
      </c>
    </row>
    <row r="531" spans="1:12">
      <c r="A531" t="str">
        <f t="shared" si="8"/>
        <v>76040691</v>
      </c>
      <c r="B531">
        <v>76040691</v>
      </c>
      <c r="C531" t="s">
        <v>5739</v>
      </c>
      <c r="D531" t="s">
        <v>2272</v>
      </c>
      <c r="E531">
        <v>4508714</v>
      </c>
      <c r="F531" t="s">
        <v>742</v>
      </c>
      <c r="G531" t="s">
        <v>743</v>
      </c>
      <c r="H531" t="s">
        <v>5740</v>
      </c>
      <c r="I531" s="12">
        <v>45966</v>
      </c>
      <c r="J531">
        <v>1</v>
      </c>
      <c r="K531" t="str">
        <f>VLOOKUP(A531,'TV May Monthly Billing Sites'!$A:$L,1,0)</f>
        <v>76040691</v>
      </c>
    </row>
    <row r="532" spans="1:12">
      <c r="A532" t="str">
        <f t="shared" si="8"/>
        <v>76040853</v>
      </c>
      <c r="B532">
        <v>76040853</v>
      </c>
      <c r="C532" t="s">
        <v>5741</v>
      </c>
      <c r="D532" t="s">
        <v>2486</v>
      </c>
      <c r="E532">
        <v>4508714</v>
      </c>
      <c r="F532" t="s">
        <v>742</v>
      </c>
      <c r="G532" t="s">
        <v>743</v>
      </c>
      <c r="H532" t="s">
        <v>5742</v>
      </c>
      <c r="I532" s="12">
        <v>45628</v>
      </c>
      <c r="J532">
        <v>1</v>
      </c>
      <c r="K532" t="str">
        <f>VLOOKUP(A532,'TV May Monthly Billing Sites'!$A:$L,1,0)</f>
        <v>76040853</v>
      </c>
    </row>
    <row r="533" spans="1:12">
      <c r="A533" t="str">
        <f t="shared" si="8"/>
        <v>76040897</v>
      </c>
      <c r="B533">
        <v>76040897</v>
      </c>
      <c r="C533" t="s">
        <v>5743</v>
      </c>
      <c r="D533" t="s">
        <v>2488</v>
      </c>
      <c r="E533">
        <v>4508714</v>
      </c>
      <c r="F533" t="s">
        <v>742</v>
      </c>
      <c r="G533" t="s">
        <v>743</v>
      </c>
      <c r="H533" t="s">
        <v>5000</v>
      </c>
      <c r="I533" s="12">
        <v>45930</v>
      </c>
      <c r="J533">
        <v>1</v>
      </c>
      <c r="K533" t="str">
        <f>VLOOKUP(A533,'TV May Monthly Billing Sites'!$A:$L,1,0)</f>
        <v>76040897</v>
      </c>
    </row>
    <row r="534" spans="1:12">
      <c r="A534" t="str">
        <f t="shared" si="8"/>
        <v>76041382</v>
      </c>
      <c r="B534">
        <v>76041382</v>
      </c>
      <c r="C534" t="s">
        <v>5744</v>
      </c>
      <c r="D534" t="s">
        <v>2490</v>
      </c>
      <c r="E534">
        <v>4508714</v>
      </c>
      <c r="F534" t="s">
        <v>742</v>
      </c>
      <c r="G534" t="s">
        <v>743</v>
      </c>
      <c r="H534" t="s">
        <v>751</v>
      </c>
      <c r="I534" s="12">
        <v>45747</v>
      </c>
      <c r="J534">
        <v>1</v>
      </c>
      <c r="K534" t="str">
        <f>VLOOKUP(A534,'TV May Monthly Billing Sites'!$A:$L,1,0)</f>
        <v>76041382</v>
      </c>
    </row>
    <row r="535" spans="1:12">
      <c r="A535" t="str">
        <f t="shared" si="8"/>
        <v>76041553</v>
      </c>
      <c r="B535">
        <v>76041553</v>
      </c>
      <c r="C535" t="s">
        <v>5745</v>
      </c>
      <c r="D535" t="s">
        <v>5746</v>
      </c>
      <c r="E535">
        <v>4508714</v>
      </c>
      <c r="F535" t="s">
        <v>742</v>
      </c>
      <c r="G535" t="s">
        <v>743</v>
      </c>
      <c r="H535" t="s">
        <v>824</v>
      </c>
      <c r="I535" s="12">
        <v>45657</v>
      </c>
      <c r="J535">
        <v>1</v>
      </c>
      <c r="K535" t="str">
        <f>VLOOKUP(A535,'TV May Monthly Billing Sites'!$A:$L,1,0)</f>
        <v>76041553</v>
      </c>
    </row>
    <row r="536" spans="1:12">
      <c r="A536" t="str">
        <f t="shared" si="8"/>
        <v>76041555</v>
      </c>
      <c r="B536">
        <v>76041555</v>
      </c>
      <c r="C536" t="s">
        <v>5747</v>
      </c>
      <c r="D536" t="s">
        <v>2494</v>
      </c>
      <c r="E536">
        <v>4508714</v>
      </c>
      <c r="F536" t="s">
        <v>742</v>
      </c>
      <c r="G536" t="s">
        <v>743</v>
      </c>
      <c r="H536" t="s">
        <v>824</v>
      </c>
      <c r="I536" s="12">
        <v>45657</v>
      </c>
      <c r="J536">
        <v>1</v>
      </c>
      <c r="K536" t="str">
        <f>VLOOKUP(A536,'TV May Monthly Billing Sites'!$A:$L,1,0)</f>
        <v>76041555</v>
      </c>
    </row>
    <row r="537" spans="1:12">
      <c r="A537" t="str">
        <f t="shared" si="8"/>
        <v>76041556</v>
      </c>
      <c r="B537">
        <v>76041556</v>
      </c>
      <c r="C537" t="s">
        <v>5748</v>
      </c>
      <c r="D537" t="s">
        <v>5749</v>
      </c>
      <c r="E537">
        <v>4508714</v>
      </c>
      <c r="F537" t="s">
        <v>742</v>
      </c>
      <c r="G537" t="s">
        <v>743</v>
      </c>
      <c r="H537" t="s">
        <v>824</v>
      </c>
      <c r="I537" s="12">
        <v>45657</v>
      </c>
      <c r="J537">
        <v>1</v>
      </c>
      <c r="K537" t="str">
        <f>VLOOKUP(A537,'TV May Monthly Billing Sites'!$A:$L,1,0)</f>
        <v>76041556</v>
      </c>
    </row>
    <row r="538" spans="1:12">
      <c r="A538" t="str">
        <f t="shared" si="8"/>
        <v>76041569</v>
      </c>
      <c r="B538">
        <v>76041569</v>
      </c>
      <c r="C538" t="s">
        <v>5750</v>
      </c>
      <c r="D538" t="s">
        <v>2498</v>
      </c>
      <c r="E538">
        <v>4508714</v>
      </c>
      <c r="F538" t="s">
        <v>742</v>
      </c>
      <c r="G538" t="s">
        <v>743</v>
      </c>
      <c r="H538" t="s">
        <v>824</v>
      </c>
      <c r="I538" s="12">
        <v>45657</v>
      </c>
      <c r="J538">
        <v>1</v>
      </c>
      <c r="K538" t="str">
        <f>VLOOKUP(A538,'TV May Monthly Billing Sites'!$A:$L,1,0)</f>
        <v>76041569</v>
      </c>
    </row>
    <row r="539" spans="1:12">
      <c r="A539" t="str">
        <f t="shared" si="8"/>
        <v>76041932</v>
      </c>
      <c r="B539">
        <v>76041932</v>
      </c>
      <c r="C539" t="s">
        <v>5751</v>
      </c>
      <c r="D539" t="s">
        <v>5752</v>
      </c>
      <c r="E539">
        <v>4408593</v>
      </c>
      <c r="F539" t="s">
        <v>742</v>
      </c>
      <c r="G539" t="s">
        <v>782</v>
      </c>
      <c r="H539" t="s">
        <v>2500</v>
      </c>
      <c r="I539" s="12">
        <v>45695</v>
      </c>
      <c r="J539">
        <v>1</v>
      </c>
      <c r="K539" t="str">
        <f>VLOOKUP(A539,'TV May Monthly Billing Sites'!$A:$L,1,0)</f>
        <v>76041932</v>
      </c>
    </row>
    <row r="540" spans="1:12">
      <c r="A540" t="str">
        <f t="shared" si="8"/>
        <v>76042310</v>
      </c>
      <c r="B540">
        <v>76042310</v>
      </c>
      <c r="C540" t="s">
        <v>5753</v>
      </c>
      <c r="D540" t="s">
        <v>5754</v>
      </c>
      <c r="E540">
        <v>4508714</v>
      </c>
      <c r="F540" t="s">
        <v>742</v>
      </c>
      <c r="G540" t="s">
        <v>743</v>
      </c>
      <c r="H540" t="s">
        <v>1156</v>
      </c>
      <c r="I540" s="12">
        <v>45988</v>
      </c>
      <c r="J540">
        <v>1</v>
      </c>
      <c r="K540" t="str">
        <f>VLOOKUP(A540,'TV May Monthly Billing Sites'!$A:$L,1,0)</f>
        <v>76042310</v>
      </c>
    </row>
    <row r="541" spans="1:12">
      <c r="A541" t="str">
        <f t="shared" si="8"/>
        <v>76042552</v>
      </c>
      <c r="B541">
        <v>76042552</v>
      </c>
      <c r="C541" t="s">
        <v>5755</v>
      </c>
      <c r="D541" t="s">
        <v>2504</v>
      </c>
      <c r="E541">
        <v>4508714</v>
      </c>
      <c r="F541" t="s">
        <v>742</v>
      </c>
      <c r="G541" t="s">
        <v>743</v>
      </c>
      <c r="H541" t="s">
        <v>5134</v>
      </c>
      <c r="I541" s="12">
        <v>45713</v>
      </c>
      <c r="J541">
        <v>1</v>
      </c>
      <c r="K541" t="str">
        <f>VLOOKUP(A541,'TV May Monthly Billing Sites'!$A:$L,1,0)</f>
        <v>76042552</v>
      </c>
    </row>
    <row r="542" spans="1:12">
      <c r="A542" t="str">
        <f t="shared" si="8"/>
        <v>76042782</v>
      </c>
      <c r="B542">
        <v>76042782</v>
      </c>
      <c r="C542" t="s">
        <v>5756</v>
      </c>
      <c r="D542" t="s">
        <v>5757</v>
      </c>
      <c r="E542">
        <v>4508714</v>
      </c>
      <c r="F542" t="s">
        <v>742</v>
      </c>
      <c r="G542" t="s">
        <v>743</v>
      </c>
      <c r="H542" t="s">
        <v>5758</v>
      </c>
      <c r="I542" s="12">
        <v>46083</v>
      </c>
      <c r="J542">
        <v>1</v>
      </c>
      <c r="K542" t="str">
        <f>VLOOKUP(A542,'TV May Monthly Billing Sites'!$A:$L,1,0)</f>
        <v>76042782</v>
      </c>
    </row>
    <row r="543" spans="1:12">
      <c r="A543" t="str">
        <f t="shared" si="8"/>
        <v>76042791</v>
      </c>
      <c r="B543">
        <v>76042791</v>
      </c>
      <c r="C543" t="s">
        <v>5759</v>
      </c>
      <c r="D543" t="s">
        <v>5760</v>
      </c>
      <c r="E543">
        <v>4508714</v>
      </c>
      <c r="F543" t="s">
        <v>742</v>
      </c>
      <c r="G543" t="s">
        <v>743</v>
      </c>
      <c r="H543" t="s">
        <v>5761</v>
      </c>
      <c r="I543" s="12">
        <v>45777</v>
      </c>
      <c r="J543">
        <v>1</v>
      </c>
      <c r="K543" t="str">
        <f>VLOOKUP(A543,'TV May Monthly Billing Sites'!$A:$L,1,0)</f>
        <v>76042791</v>
      </c>
    </row>
    <row r="544" spans="1:12">
      <c r="A544" t="str">
        <f t="shared" si="8"/>
        <v>76042979</v>
      </c>
      <c r="B544">
        <v>76042979</v>
      </c>
      <c r="C544" t="s">
        <v>5762</v>
      </c>
      <c r="D544" t="s">
        <v>2510</v>
      </c>
      <c r="E544">
        <v>4408593</v>
      </c>
      <c r="F544" t="s">
        <v>742</v>
      </c>
      <c r="G544" t="s">
        <v>782</v>
      </c>
      <c r="H544" t="s">
        <v>5655</v>
      </c>
      <c r="I544" s="12">
        <v>45628</v>
      </c>
      <c r="J544">
        <v>1</v>
      </c>
      <c r="K544" t="str">
        <f>VLOOKUP(A544,'TV May Monthly Billing Sites'!$A:$L,1,0)</f>
        <v>76042979</v>
      </c>
    </row>
    <row r="545" spans="1:11">
      <c r="A545" t="str">
        <f t="shared" si="8"/>
        <v>76042990</v>
      </c>
      <c r="B545">
        <v>76042990</v>
      </c>
      <c r="C545" t="s">
        <v>5763</v>
      </c>
      <c r="D545" t="s">
        <v>5764</v>
      </c>
      <c r="E545">
        <v>4408593</v>
      </c>
      <c r="F545" t="s">
        <v>742</v>
      </c>
      <c r="G545" t="s">
        <v>782</v>
      </c>
      <c r="H545" t="s">
        <v>5655</v>
      </c>
      <c r="I545" s="12">
        <v>45628</v>
      </c>
      <c r="J545">
        <v>1</v>
      </c>
      <c r="K545" t="str">
        <f>VLOOKUP(A545,'TV May Monthly Billing Sites'!$A:$L,1,0)</f>
        <v>76042990</v>
      </c>
    </row>
    <row r="546" spans="1:11">
      <c r="A546" t="str">
        <f t="shared" si="8"/>
        <v>76042992</v>
      </c>
      <c r="B546">
        <v>76042992</v>
      </c>
      <c r="C546" t="s">
        <v>5765</v>
      </c>
      <c r="D546" t="s">
        <v>2514</v>
      </c>
      <c r="E546">
        <v>4408593</v>
      </c>
      <c r="F546" t="s">
        <v>742</v>
      </c>
      <c r="G546" t="s">
        <v>782</v>
      </c>
      <c r="H546" t="s">
        <v>5655</v>
      </c>
      <c r="I546" s="12">
        <v>45628</v>
      </c>
      <c r="J546">
        <v>1</v>
      </c>
      <c r="K546" t="str">
        <f>VLOOKUP(A546,'TV May Monthly Billing Sites'!$A:$L,1,0)</f>
        <v>76042992</v>
      </c>
    </row>
    <row r="547" spans="1:11">
      <c r="A547" t="str">
        <f t="shared" si="8"/>
        <v>76042993</v>
      </c>
      <c r="B547">
        <v>76042993</v>
      </c>
      <c r="C547" t="s">
        <v>5766</v>
      </c>
      <c r="D547" t="s">
        <v>2516</v>
      </c>
      <c r="E547">
        <v>4408593</v>
      </c>
      <c r="F547" t="s">
        <v>742</v>
      </c>
      <c r="G547" t="s">
        <v>782</v>
      </c>
      <c r="H547" t="s">
        <v>5655</v>
      </c>
      <c r="I547" s="12">
        <v>45930</v>
      </c>
      <c r="J547">
        <v>1</v>
      </c>
      <c r="K547" t="str">
        <f>VLOOKUP(A547,'TV May Monthly Billing Sites'!$A:$L,1,0)</f>
        <v>76042993</v>
      </c>
    </row>
    <row r="548" spans="1:11">
      <c r="A548" t="str">
        <f t="shared" si="8"/>
        <v>76043002</v>
      </c>
      <c r="B548">
        <v>76043002</v>
      </c>
      <c r="C548" t="s">
        <v>5767</v>
      </c>
      <c r="D548" t="s">
        <v>2518</v>
      </c>
      <c r="E548">
        <v>4408593</v>
      </c>
      <c r="F548" t="s">
        <v>742</v>
      </c>
      <c r="G548" t="s">
        <v>782</v>
      </c>
      <c r="H548" t="s">
        <v>5655</v>
      </c>
      <c r="I548" s="12">
        <v>45658</v>
      </c>
      <c r="J548">
        <v>1</v>
      </c>
      <c r="K548" t="str">
        <f>VLOOKUP(A548,'TV May Monthly Billing Sites'!$A:$L,1,0)</f>
        <v>76043002</v>
      </c>
    </row>
    <row r="549" spans="1:11">
      <c r="A549" t="str">
        <f t="shared" si="8"/>
        <v>76043216</v>
      </c>
      <c r="B549">
        <v>76043216</v>
      </c>
      <c r="C549" t="s">
        <v>5768</v>
      </c>
      <c r="D549" t="s">
        <v>2520</v>
      </c>
      <c r="E549">
        <v>4508714</v>
      </c>
      <c r="F549" t="s">
        <v>742</v>
      </c>
      <c r="G549" t="s">
        <v>743</v>
      </c>
      <c r="H549" t="s">
        <v>5327</v>
      </c>
      <c r="I549" s="12">
        <v>45295</v>
      </c>
      <c r="J549">
        <v>1</v>
      </c>
      <c r="K549" t="str">
        <f>VLOOKUP(A549,'TV May Monthly Billing Sites'!$A:$L,1,0)</f>
        <v>76043216</v>
      </c>
    </row>
    <row r="550" spans="1:11">
      <c r="A550" t="str">
        <f t="shared" si="8"/>
        <v>76043771</v>
      </c>
      <c r="B550">
        <v>76043771</v>
      </c>
      <c r="C550" t="s">
        <v>5769</v>
      </c>
      <c r="D550" t="s">
        <v>5770</v>
      </c>
      <c r="E550">
        <v>4508714</v>
      </c>
      <c r="F550" t="s">
        <v>742</v>
      </c>
      <c r="G550" t="s">
        <v>743</v>
      </c>
      <c r="H550" t="s">
        <v>5174</v>
      </c>
      <c r="I550" s="12">
        <v>45967</v>
      </c>
      <c r="J550">
        <v>1</v>
      </c>
      <c r="K550" t="str">
        <f>VLOOKUP(A550,'TV May Monthly Billing Sites'!$A:$L,1,0)</f>
        <v>76043771</v>
      </c>
    </row>
    <row r="551" spans="1:11">
      <c r="A551" t="str">
        <f t="shared" si="8"/>
        <v>76043778</v>
      </c>
      <c r="B551">
        <v>76043778</v>
      </c>
      <c r="C551" t="s">
        <v>5771</v>
      </c>
      <c r="D551" t="s">
        <v>5772</v>
      </c>
      <c r="E551">
        <v>4508714</v>
      </c>
      <c r="F551" t="s">
        <v>742</v>
      </c>
      <c r="G551" t="s">
        <v>743</v>
      </c>
      <c r="H551" t="s">
        <v>5123</v>
      </c>
      <c r="I551" s="12">
        <v>46021</v>
      </c>
      <c r="J551">
        <v>1</v>
      </c>
      <c r="K551" t="str">
        <f>VLOOKUP(A551,'TV May Monthly Billing Sites'!$A:$L,1,0)</f>
        <v>76043778</v>
      </c>
    </row>
    <row r="552" spans="1:11">
      <c r="A552" t="str">
        <f t="shared" si="8"/>
        <v>76043844</v>
      </c>
      <c r="B552">
        <v>76043844</v>
      </c>
      <c r="C552" t="s">
        <v>5773</v>
      </c>
      <c r="D552" t="s">
        <v>5774</v>
      </c>
      <c r="E552">
        <v>4508714</v>
      </c>
      <c r="F552" t="s">
        <v>742</v>
      </c>
      <c r="G552" t="s">
        <v>743</v>
      </c>
      <c r="H552" t="s">
        <v>5575</v>
      </c>
      <c r="I552" s="12">
        <v>45604</v>
      </c>
      <c r="J552">
        <v>1</v>
      </c>
      <c r="K552" t="str">
        <f>VLOOKUP(A552,'TV May Monthly Billing Sites'!$A:$L,1,0)</f>
        <v>76043844</v>
      </c>
    </row>
    <row r="553" spans="1:11">
      <c r="A553" t="str">
        <f t="shared" si="8"/>
        <v>76043948</v>
      </c>
      <c r="B553">
        <v>76043948</v>
      </c>
      <c r="C553" t="s">
        <v>5775</v>
      </c>
      <c r="D553" t="s">
        <v>2528</v>
      </c>
      <c r="E553">
        <v>4408592</v>
      </c>
      <c r="F553" t="s">
        <v>742</v>
      </c>
      <c r="G553" t="s">
        <v>823</v>
      </c>
      <c r="H553" t="s">
        <v>1096</v>
      </c>
      <c r="I553" s="12">
        <v>45961</v>
      </c>
      <c r="J553">
        <v>1</v>
      </c>
      <c r="K553" t="str">
        <f>VLOOKUP(A553,'TV May Monthly Billing Sites'!$A:$L,1,0)</f>
        <v>76043948</v>
      </c>
    </row>
    <row r="554" spans="1:11">
      <c r="A554" t="str">
        <f t="shared" si="8"/>
        <v>76043967</v>
      </c>
      <c r="B554">
        <v>76043967</v>
      </c>
      <c r="C554" t="s">
        <v>5776</v>
      </c>
      <c r="D554" t="s">
        <v>2530</v>
      </c>
      <c r="E554">
        <v>4508714</v>
      </c>
      <c r="F554" t="s">
        <v>742</v>
      </c>
      <c r="G554" t="s">
        <v>743</v>
      </c>
      <c r="H554" t="s">
        <v>5777</v>
      </c>
      <c r="I554" s="12">
        <v>45768</v>
      </c>
      <c r="J554">
        <v>1</v>
      </c>
      <c r="K554" t="str">
        <f>VLOOKUP(A554,'TV May Monthly Billing Sites'!$A:$L,1,0)</f>
        <v>76043967</v>
      </c>
    </row>
    <row r="555" spans="1:11">
      <c r="A555" t="str">
        <f t="shared" si="8"/>
        <v>76044363</v>
      </c>
      <c r="B555">
        <v>76044363</v>
      </c>
      <c r="C555" t="s">
        <v>5778</v>
      </c>
      <c r="D555" t="s">
        <v>5779</v>
      </c>
      <c r="E555">
        <v>4508682</v>
      </c>
      <c r="F555" t="s">
        <v>742</v>
      </c>
      <c r="G555" t="s">
        <v>4879</v>
      </c>
      <c r="H555" t="s">
        <v>5128</v>
      </c>
      <c r="I555" s="12">
        <v>44655</v>
      </c>
      <c r="J555">
        <v>1</v>
      </c>
      <c r="K555" t="str">
        <f>VLOOKUP(A555,'TV May Monthly Billing Sites'!$A:$L,1,0)</f>
        <v>76044363</v>
      </c>
    </row>
    <row r="556" spans="1:11">
      <c r="A556" t="str">
        <f t="shared" si="8"/>
        <v>76045003</v>
      </c>
      <c r="B556">
        <v>76045003</v>
      </c>
      <c r="C556" t="s">
        <v>5780</v>
      </c>
      <c r="D556" t="s">
        <v>5781</v>
      </c>
      <c r="E556">
        <v>4408593</v>
      </c>
      <c r="F556" t="s">
        <v>742</v>
      </c>
      <c r="G556" t="s">
        <v>782</v>
      </c>
      <c r="H556" t="s">
        <v>5782</v>
      </c>
      <c r="I556" s="12">
        <v>45628</v>
      </c>
      <c r="J556">
        <v>1</v>
      </c>
      <c r="K556" t="str">
        <f>VLOOKUP(A556,'TV May Monthly Billing Sites'!$A:$L,1,0)</f>
        <v>76045003</v>
      </c>
    </row>
    <row r="557" spans="1:11">
      <c r="A557" t="str">
        <f t="shared" si="8"/>
        <v>76045042</v>
      </c>
      <c r="B557">
        <v>76045042</v>
      </c>
      <c r="C557" t="s">
        <v>5783</v>
      </c>
      <c r="D557" t="s">
        <v>5784</v>
      </c>
      <c r="E557">
        <v>4508714</v>
      </c>
      <c r="F557" t="s">
        <v>742</v>
      </c>
      <c r="G557" t="s">
        <v>743</v>
      </c>
      <c r="H557" t="s">
        <v>5183</v>
      </c>
      <c r="I557" s="12">
        <v>45628</v>
      </c>
      <c r="J557">
        <v>1</v>
      </c>
      <c r="K557" t="str">
        <f>VLOOKUP(A557,'TV May Monthly Billing Sites'!$A:$L,1,0)</f>
        <v>76045042</v>
      </c>
    </row>
    <row r="558" spans="1:11">
      <c r="A558" t="str">
        <f t="shared" si="8"/>
        <v>76045170</v>
      </c>
      <c r="B558">
        <v>76045170</v>
      </c>
      <c r="C558" t="s">
        <v>5785</v>
      </c>
      <c r="D558" t="s">
        <v>2538</v>
      </c>
      <c r="E558">
        <v>4408594</v>
      </c>
      <c r="F558" t="s">
        <v>742</v>
      </c>
      <c r="G558" t="s">
        <v>909</v>
      </c>
      <c r="H558" t="s">
        <v>5786</v>
      </c>
      <c r="I558" s="12">
        <v>44803</v>
      </c>
      <c r="J558">
        <v>1</v>
      </c>
      <c r="K558" t="str">
        <f>VLOOKUP(A558,'TV May Monthly Billing Sites'!$A:$L,1,0)</f>
        <v>76045170</v>
      </c>
    </row>
    <row r="559" spans="1:11">
      <c r="A559" t="str">
        <f t="shared" si="8"/>
        <v>76045308</v>
      </c>
      <c r="B559">
        <v>76045308</v>
      </c>
      <c r="C559" t="s">
        <v>5787</v>
      </c>
      <c r="D559" t="s">
        <v>2540</v>
      </c>
      <c r="E559">
        <v>4508714</v>
      </c>
      <c r="F559" t="s">
        <v>742</v>
      </c>
      <c r="G559" t="s">
        <v>743</v>
      </c>
      <c r="H559" t="s">
        <v>824</v>
      </c>
      <c r="I559" s="12">
        <v>45657</v>
      </c>
      <c r="J559">
        <v>1</v>
      </c>
      <c r="K559" t="str">
        <f>VLOOKUP(A559,'TV May Monthly Billing Sites'!$A:$L,1,0)</f>
        <v>76045308</v>
      </c>
    </row>
    <row r="560" spans="1:11">
      <c r="A560" t="str">
        <f t="shared" si="8"/>
        <v>76045326</v>
      </c>
      <c r="B560">
        <v>76045326</v>
      </c>
      <c r="C560" t="s">
        <v>5788</v>
      </c>
      <c r="D560" t="s">
        <v>2542</v>
      </c>
      <c r="E560">
        <v>4508714</v>
      </c>
      <c r="F560" t="s">
        <v>742</v>
      </c>
      <c r="G560" t="s">
        <v>743</v>
      </c>
      <c r="H560" t="s">
        <v>2542</v>
      </c>
      <c r="I560" s="12">
        <v>45777</v>
      </c>
      <c r="J560">
        <v>1</v>
      </c>
      <c r="K560" t="str">
        <f>VLOOKUP(A560,'TV May Monthly Billing Sites'!$A:$L,1,0)</f>
        <v>76045326</v>
      </c>
    </row>
    <row r="561" spans="1:11">
      <c r="A561" t="str">
        <f t="shared" si="8"/>
        <v>76048287</v>
      </c>
      <c r="B561">
        <v>76048287</v>
      </c>
      <c r="C561" t="s">
        <v>5789</v>
      </c>
      <c r="D561" t="s">
        <v>2544</v>
      </c>
      <c r="E561">
        <v>4508714</v>
      </c>
      <c r="F561" t="s">
        <v>742</v>
      </c>
      <c r="G561" t="s">
        <v>743</v>
      </c>
      <c r="H561" t="s">
        <v>5790</v>
      </c>
      <c r="I561" s="12">
        <v>45834</v>
      </c>
      <c r="J561">
        <v>1</v>
      </c>
      <c r="K561" t="str">
        <f>VLOOKUP(A561,'TV May Monthly Billing Sites'!$A:$L,1,0)</f>
        <v>76048287</v>
      </c>
    </row>
    <row r="562" spans="1:11">
      <c r="A562" t="str">
        <f t="shared" si="8"/>
        <v>76048459</v>
      </c>
      <c r="B562">
        <v>76048459</v>
      </c>
      <c r="C562" t="s">
        <v>5791</v>
      </c>
      <c r="D562" t="s">
        <v>2546</v>
      </c>
      <c r="E562">
        <v>4508675</v>
      </c>
      <c r="F562" t="s">
        <v>742</v>
      </c>
      <c r="G562" t="s">
        <v>828</v>
      </c>
      <c r="H562" t="s">
        <v>1171</v>
      </c>
      <c r="I562" s="12">
        <v>45113</v>
      </c>
      <c r="J562">
        <v>1</v>
      </c>
      <c r="K562" t="str">
        <f>VLOOKUP(A562,'TV May Monthly Billing Sites'!$A:$L,1,0)</f>
        <v>76048459</v>
      </c>
    </row>
    <row r="563" spans="1:11">
      <c r="A563" t="str">
        <f t="shared" si="8"/>
        <v>76050375</v>
      </c>
      <c r="B563">
        <v>76050375</v>
      </c>
      <c r="C563" t="s">
        <v>5792</v>
      </c>
      <c r="D563" t="s">
        <v>2548</v>
      </c>
      <c r="E563">
        <v>4508714</v>
      </c>
      <c r="F563" t="s">
        <v>742</v>
      </c>
      <c r="G563" t="s">
        <v>743</v>
      </c>
      <c r="H563" t="s">
        <v>5520</v>
      </c>
      <c r="I563" s="12">
        <v>45625</v>
      </c>
      <c r="J563">
        <v>1</v>
      </c>
      <c r="K563" t="str">
        <f>VLOOKUP(A563,'TV May Monthly Billing Sites'!$A:$L,1,0)</f>
        <v>76050375</v>
      </c>
    </row>
    <row r="564" spans="1:11">
      <c r="A564" t="str">
        <f t="shared" si="8"/>
        <v>76050376</v>
      </c>
      <c r="B564">
        <v>76050376</v>
      </c>
      <c r="C564" t="s">
        <v>5793</v>
      </c>
      <c r="D564" t="s">
        <v>2550</v>
      </c>
      <c r="E564">
        <v>4508714</v>
      </c>
      <c r="F564" t="s">
        <v>742</v>
      </c>
      <c r="G564" t="s">
        <v>743</v>
      </c>
      <c r="H564" t="s">
        <v>5520</v>
      </c>
      <c r="I564" s="12">
        <v>45910</v>
      </c>
      <c r="J564">
        <v>1</v>
      </c>
      <c r="K564" t="str">
        <f>VLOOKUP(A564,'TV May Monthly Billing Sites'!$A:$L,1,0)</f>
        <v>76050376</v>
      </c>
    </row>
    <row r="565" spans="1:11">
      <c r="A565" t="str">
        <f t="shared" si="8"/>
        <v>76051491</v>
      </c>
      <c r="B565">
        <v>76051491</v>
      </c>
      <c r="C565" t="s">
        <v>5794</v>
      </c>
      <c r="D565" t="s">
        <v>5795</v>
      </c>
      <c r="E565">
        <v>4508714</v>
      </c>
      <c r="F565" t="s">
        <v>742</v>
      </c>
      <c r="G565" t="s">
        <v>743</v>
      </c>
      <c r="H565" t="s">
        <v>5796</v>
      </c>
      <c r="I565" s="12">
        <v>45930</v>
      </c>
      <c r="J565">
        <v>1</v>
      </c>
      <c r="K565" t="str">
        <f>VLOOKUP(A565,'TV May Monthly Billing Sites'!$A:$L,1,0)</f>
        <v>76051491</v>
      </c>
    </row>
    <row r="566" spans="1:11">
      <c r="A566" t="str">
        <f t="shared" si="8"/>
        <v>76051494</v>
      </c>
      <c r="B566">
        <v>76051494</v>
      </c>
      <c r="C566" t="s">
        <v>5797</v>
      </c>
      <c r="D566" t="s">
        <v>5798</v>
      </c>
      <c r="E566">
        <v>4508714</v>
      </c>
      <c r="F566" t="s">
        <v>742</v>
      </c>
      <c r="G566" t="s">
        <v>743</v>
      </c>
      <c r="H566" t="s">
        <v>5796</v>
      </c>
      <c r="I566" s="12">
        <v>45930</v>
      </c>
      <c r="J566">
        <v>1</v>
      </c>
      <c r="K566" t="str">
        <f>VLOOKUP(A566,'TV May Monthly Billing Sites'!$A:$L,1,0)</f>
        <v>76051494</v>
      </c>
    </row>
    <row r="567" spans="1:11">
      <c r="A567" t="str">
        <f t="shared" si="8"/>
        <v>76051609</v>
      </c>
      <c r="B567">
        <v>76051609</v>
      </c>
      <c r="C567" t="s">
        <v>5799</v>
      </c>
      <c r="D567" t="s">
        <v>2556</v>
      </c>
      <c r="E567">
        <v>4508714</v>
      </c>
      <c r="F567" t="s">
        <v>742</v>
      </c>
      <c r="G567" t="s">
        <v>743</v>
      </c>
      <c r="H567" t="s">
        <v>5131</v>
      </c>
      <c r="I567" s="12">
        <v>46024</v>
      </c>
      <c r="J567">
        <v>1</v>
      </c>
      <c r="K567" t="str">
        <f>VLOOKUP(A567,'TV May Monthly Billing Sites'!$A:$L,1,0)</f>
        <v>76051609</v>
      </c>
    </row>
    <row r="568" spans="1:11">
      <c r="A568" t="str">
        <f t="shared" si="8"/>
        <v>76053108</v>
      </c>
      <c r="B568">
        <v>76053108</v>
      </c>
      <c r="C568" t="s">
        <v>5800</v>
      </c>
      <c r="D568" t="s">
        <v>2558</v>
      </c>
      <c r="E568">
        <v>4508714</v>
      </c>
      <c r="F568" t="s">
        <v>742</v>
      </c>
      <c r="G568" t="s">
        <v>743</v>
      </c>
      <c r="H568" t="s">
        <v>5281</v>
      </c>
      <c r="I568" s="12">
        <v>45589</v>
      </c>
      <c r="J568">
        <v>1</v>
      </c>
      <c r="K568" t="str">
        <f>VLOOKUP(A568,'TV May Monthly Billing Sites'!$A:$L,1,0)</f>
        <v>76053108</v>
      </c>
    </row>
    <row r="569" spans="1:11">
      <c r="A569" t="str">
        <f t="shared" si="8"/>
        <v>76054978</v>
      </c>
      <c r="B569">
        <v>76054978</v>
      </c>
      <c r="C569" t="s">
        <v>5801</v>
      </c>
      <c r="D569" t="s">
        <v>5802</v>
      </c>
      <c r="E569">
        <v>4508714</v>
      </c>
      <c r="F569" t="s">
        <v>742</v>
      </c>
      <c r="G569" t="s">
        <v>743</v>
      </c>
      <c r="H569" t="s">
        <v>5803</v>
      </c>
      <c r="I569" s="12">
        <v>45833</v>
      </c>
      <c r="J569">
        <v>1</v>
      </c>
      <c r="K569" t="str">
        <f>VLOOKUP(A569,'TV May Monthly Billing Sites'!$A:$L,1,0)</f>
        <v>76054978</v>
      </c>
    </row>
    <row r="570" spans="1:11">
      <c r="A570" t="str">
        <f t="shared" si="8"/>
        <v>76055037</v>
      </c>
      <c r="B570">
        <v>76055037</v>
      </c>
      <c r="C570" t="s">
        <v>5804</v>
      </c>
      <c r="D570" t="s">
        <v>2562</v>
      </c>
      <c r="E570">
        <v>4508714</v>
      </c>
      <c r="F570" t="s">
        <v>742</v>
      </c>
      <c r="G570" t="s">
        <v>743</v>
      </c>
      <c r="H570" t="s">
        <v>2562</v>
      </c>
      <c r="I570" s="12">
        <v>45502</v>
      </c>
      <c r="J570">
        <v>1</v>
      </c>
      <c r="K570" t="str">
        <f>VLOOKUP(A570,'TV May Monthly Billing Sites'!$A:$L,1,0)</f>
        <v>76055037</v>
      </c>
    </row>
    <row r="571" spans="1:11">
      <c r="A571" t="str">
        <f t="shared" si="8"/>
        <v>76055051</v>
      </c>
      <c r="B571">
        <v>76055051</v>
      </c>
      <c r="C571" t="s">
        <v>5805</v>
      </c>
      <c r="D571" t="s">
        <v>2564</v>
      </c>
      <c r="E571">
        <v>4508685</v>
      </c>
      <c r="F571" t="s">
        <v>742</v>
      </c>
      <c r="G571" t="s">
        <v>904</v>
      </c>
      <c r="H571" t="s">
        <v>2564</v>
      </c>
      <c r="I571" s="12">
        <v>45110</v>
      </c>
      <c r="J571">
        <v>1</v>
      </c>
      <c r="K571" t="str">
        <f>VLOOKUP(A571,'TV May Monthly Billing Sites'!$A:$L,1,0)</f>
        <v>76055051</v>
      </c>
    </row>
    <row r="572" spans="1:11">
      <c r="A572" t="str">
        <f t="shared" si="8"/>
        <v>76055439</v>
      </c>
      <c r="B572">
        <v>76055439</v>
      </c>
      <c r="C572" t="s">
        <v>5806</v>
      </c>
      <c r="D572" t="s">
        <v>5807</v>
      </c>
      <c r="E572">
        <v>4508714</v>
      </c>
      <c r="F572" t="s">
        <v>742</v>
      </c>
      <c r="G572" t="s">
        <v>743</v>
      </c>
      <c r="H572" t="s">
        <v>5808</v>
      </c>
      <c r="I572" s="12">
        <v>46002</v>
      </c>
      <c r="J572">
        <v>1</v>
      </c>
      <c r="K572" t="str">
        <f>VLOOKUP(A572,'TV May Monthly Billing Sites'!$A:$L,1,0)</f>
        <v>76055439</v>
      </c>
    </row>
    <row r="573" spans="1:11">
      <c r="A573" t="str">
        <f t="shared" si="8"/>
        <v>76055600</v>
      </c>
      <c r="B573">
        <v>76055600</v>
      </c>
      <c r="C573" t="s">
        <v>5809</v>
      </c>
      <c r="D573" t="s">
        <v>2568</v>
      </c>
      <c r="E573">
        <v>4508692</v>
      </c>
      <c r="F573" t="s">
        <v>742</v>
      </c>
      <c r="G573" t="s">
        <v>5338</v>
      </c>
      <c r="H573" t="s">
        <v>5810</v>
      </c>
      <c r="I573" s="12">
        <v>45716</v>
      </c>
      <c r="J573">
        <v>1</v>
      </c>
      <c r="K573" t="str">
        <f>VLOOKUP(A573,'TV May Monthly Billing Sites'!$A:$L,1,0)</f>
        <v>76055600</v>
      </c>
    </row>
    <row r="574" spans="1:11">
      <c r="A574" t="str">
        <f t="shared" si="8"/>
        <v>76055606</v>
      </c>
      <c r="B574">
        <v>76055606</v>
      </c>
      <c r="C574" t="s">
        <v>5811</v>
      </c>
      <c r="D574" t="s">
        <v>2570</v>
      </c>
      <c r="E574">
        <v>4408592</v>
      </c>
      <c r="F574" t="s">
        <v>742</v>
      </c>
      <c r="G574" t="s">
        <v>823</v>
      </c>
      <c r="H574" t="s">
        <v>5653</v>
      </c>
      <c r="I574" s="12">
        <v>45379</v>
      </c>
      <c r="J574">
        <v>1</v>
      </c>
      <c r="K574" t="str">
        <f>VLOOKUP(A574,'TV May Monthly Billing Sites'!$A:$L,1,0)</f>
        <v>76055606</v>
      </c>
    </row>
    <row r="575" spans="1:11">
      <c r="A575" t="str">
        <f t="shared" si="8"/>
        <v>76055608</v>
      </c>
      <c r="B575">
        <v>76055608</v>
      </c>
      <c r="C575" t="s">
        <v>5812</v>
      </c>
      <c r="D575" t="s">
        <v>5813</v>
      </c>
      <c r="E575">
        <v>4508714</v>
      </c>
      <c r="F575" t="s">
        <v>742</v>
      </c>
      <c r="G575" t="s">
        <v>743</v>
      </c>
      <c r="H575" t="s">
        <v>5653</v>
      </c>
      <c r="I575" s="12">
        <v>45628</v>
      </c>
      <c r="J575">
        <v>1</v>
      </c>
      <c r="K575" t="str">
        <f>VLOOKUP(A575,'TV May Monthly Billing Sites'!$A:$L,1,0)</f>
        <v>76055608</v>
      </c>
    </row>
    <row r="576" spans="1:11">
      <c r="A576" t="str">
        <f t="shared" si="8"/>
        <v>76055609</v>
      </c>
      <c r="B576">
        <v>76055609</v>
      </c>
      <c r="C576" t="s">
        <v>5814</v>
      </c>
      <c r="D576" t="s">
        <v>5815</v>
      </c>
      <c r="E576">
        <v>4408592</v>
      </c>
      <c r="F576" t="s">
        <v>742</v>
      </c>
      <c r="G576" t="s">
        <v>823</v>
      </c>
      <c r="H576" t="s">
        <v>5653</v>
      </c>
      <c r="I576" s="12">
        <v>45379</v>
      </c>
      <c r="J576">
        <v>1</v>
      </c>
      <c r="K576" t="str">
        <f>VLOOKUP(A576,'TV May Monthly Billing Sites'!$A:$L,1,0)</f>
        <v>76055609</v>
      </c>
    </row>
    <row r="577" spans="1:11">
      <c r="A577" t="str">
        <f t="shared" si="8"/>
        <v>76055620</v>
      </c>
      <c r="B577">
        <v>76055620</v>
      </c>
      <c r="C577" t="s">
        <v>5816</v>
      </c>
      <c r="D577" t="s">
        <v>2576</v>
      </c>
      <c r="E577">
        <v>4508675</v>
      </c>
      <c r="F577" t="s">
        <v>742</v>
      </c>
      <c r="G577" t="s">
        <v>828</v>
      </c>
      <c r="H577" t="s">
        <v>5810</v>
      </c>
      <c r="I577" s="12">
        <v>45362</v>
      </c>
      <c r="J577">
        <v>1</v>
      </c>
      <c r="K577" t="str">
        <f>VLOOKUP(A577,'TV May Monthly Billing Sites'!$A:$L,1,0)</f>
        <v>76055620</v>
      </c>
    </row>
    <row r="578" spans="1:11">
      <c r="A578" t="str">
        <f t="shared" ref="A578:A641" si="9">TRIM(B578)</f>
        <v>76055623</v>
      </c>
      <c r="B578">
        <v>76055623</v>
      </c>
      <c r="C578" t="s">
        <v>5817</v>
      </c>
      <c r="D578" t="s">
        <v>2578</v>
      </c>
      <c r="E578">
        <v>4508682</v>
      </c>
      <c r="F578" t="s">
        <v>742</v>
      </c>
      <c r="G578" t="s">
        <v>4879</v>
      </c>
      <c r="H578" t="s">
        <v>5810</v>
      </c>
      <c r="I578" s="12">
        <v>44637</v>
      </c>
      <c r="J578">
        <v>1</v>
      </c>
      <c r="K578" t="str">
        <f>VLOOKUP(A578,'TV May Monthly Billing Sites'!$A:$L,1,0)</f>
        <v>76055623</v>
      </c>
    </row>
    <row r="579" spans="1:11">
      <c r="A579" t="str">
        <f t="shared" si="9"/>
        <v>76055624</v>
      </c>
      <c r="B579">
        <v>76055624</v>
      </c>
      <c r="C579" t="s">
        <v>5818</v>
      </c>
      <c r="D579" t="s">
        <v>2580</v>
      </c>
      <c r="E579">
        <v>4508675</v>
      </c>
      <c r="F579" t="s">
        <v>742</v>
      </c>
      <c r="G579" t="s">
        <v>828</v>
      </c>
      <c r="H579" t="s">
        <v>5810</v>
      </c>
      <c r="I579" s="12">
        <v>45714</v>
      </c>
      <c r="J579">
        <v>1</v>
      </c>
      <c r="K579" t="str">
        <f>VLOOKUP(A579,'TV May Monthly Billing Sites'!$A:$L,1,0)</f>
        <v>76055624</v>
      </c>
    </row>
    <row r="580" spans="1:11">
      <c r="A580" t="str">
        <f t="shared" si="9"/>
        <v>76055641</v>
      </c>
      <c r="B580">
        <v>76055641</v>
      </c>
      <c r="C580" t="s">
        <v>5819</v>
      </c>
      <c r="D580" t="s">
        <v>5820</v>
      </c>
      <c r="E580">
        <v>4508675</v>
      </c>
      <c r="F580" t="s">
        <v>742</v>
      </c>
      <c r="G580" t="s">
        <v>828</v>
      </c>
      <c r="H580" t="s">
        <v>5810</v>
      </c>
      <c r="I580" s="12">
        <v>45749</v>
      </c>
      <c r="J580">
        <v>1</v>
      </c>
      <c r="K580" t="str">
        <f>VLOOKUP(A580,'TV May Monthly Billing Sites'!$A:$L,1,0)</f>
        <v>76055641</v>
      </c>
    </row>
    <row r="581" spans="1:11">
      <c r="A581" t="str">
        <f t="shared" si="9"/>
        <v>76055805</v>
      </c>
      <c r="B581">
        <v>76055805</v>
      </c>
      <c r="C581" t="s">
        <v>5821</v>
      </c>
      <c r="D581" t="s">
        <v>5822</v>
      </c>
      <c r="E581">
        <v>4508675</v>
      </c>
      <c r="F581" t="s">
        <v>742</v>
      </c>
      <c r="G581" t="s">
        <v>828</v>
      </c>
      <c r="H581" t="s">
        <v>2584</v>
      </c>
      <c r="I581" s="12">
        <v>45289</v>
      </c>
      <c r="J581">
        <v>1</v>
      </c>
      <c r="K581" t="str">
        <f>VLOOKUP(A581,'TV May Monthly Billing Sites'!$A:$L,1,0)</f>
        <v>76055805</v>
      </c>
    </row>
    <row r="582" spans="1:11">
      <c r="A582" t="str">
        <f t="shared" si="9"/>
        <v>76055894</v>
      </c>
      <c r="B582">
        <v>76055894</v>
      </c>
      <c r="C582" t="s">
        <v>5823</v>
      </c>
      <c r="D582" t="s">
        <v>5824</v>
      </c>
      <c r="E582">
        <v>4508675</v>
      </c>
      <c r="F582" t="s">
        <v>742</v>
      </c>
      <c r="G582" t="s">
        <v>828</v>
      </c>
      <c r="H582" t="s">
        <v>5810</v>
      </c>
      <c r="I582" s="12">
        <v>46045</v>
      </c>
      <c r="J582">
        <v>1</v>
      </c>
      <c r="K582" t="str">
        <f>VLOOKUP(A582,'TV May Monthly Billing Sites'!$A:$L,1,0)</f>
        <v>76055894</v>
      </c>
    </row>
    <row r="583" spans="1:11">
      <c r="A583" t="str">
        <f t="shared" si="9"/>
        <v>76056036</v>
      </c>
      <c r="B583">
        <v>76056036</v>
      </c>
      <c r="C583" t="s">
        <v>5825</v>
      </c>
      <c r="D583" t="s">
        <v>2588</v>
      </c>
      <c r="E583">
        <v>4508714</v>
      </c>
      <c r="F583" t="s">
        <v>742</v>
      </c>
      <c r="G583" t="s">
        <v>743</v>
      </c>
      <c r="H583" t="s">
        <v>5542</v>
      </c>
      <c r="I583" s="12">
        <v>45790</v>
      </c>
      <c r="J583">
        <v>1</v>
      </c>
      <c r="K583" t="str">
        <f>VLOOKUP(A583,'TV May Monthly Billing Sites'!$A:$L,1,0)</f>
        <v>76056036</v>
      </c>
    </row>
    <row r="584" spans="1:11">
      <c r="A584" t="str">
        <f t="shared" si="9"/>
        <v>76056610</v>
      </c>
      <c r="B584">
        <v>76056610</v>
      </c>
      <c r="C584" t="s">
        <v>5826</v>
      </c>
      <c r="D584" t="s">
        <v>2590</v>
      </c>
      <c r="E584">
        <v>4508714</v>
      </c>
      <c r="F584" t="s">
        <v>742</v>
      </c>
      <c r="G584" t="s">
        <v>743</v>
      </c>
      <c r="H584" t="s">
        <v>856</v>
      </c>
      <c r="I584" s="12">
        <v>45628</v>
      </c>
      <c r="J584">
        <v>1</v>
      </c>
      <c r="K584" t="str">
        <f>VLOOKUP(A584,'TV May Monthly Billing Sites'!$A:$L,1,0)</f>
        <v>76056610</v>
      </c>
    </row>
    <row r="585" spans="1:11">
      <c r="A585" t="str">
        <f t="shared" si="9"/>
        <v>76056708</v>
      </c>
      <c r="B585">
        <v>76056708</v>
      </c>
      <c r="C585" t="s">
        <v>5827</v>
      </c>
      <c r="D585" t="s">
        <v>5828</v>
      </c>
      <c r="E585">
        <v>4508714</v>
      </c>
      <c r="F585" t="s">
        <v>742</v>
      </c>
      <c r="G585" t="s">
        <v>743</v>
      </c>
      <c r="H585" t="s">
        <v>5829</v>
      </c>
      <c r="I585" s="12">
        <v>45457</v>
      </c>
      <c r="J585">
        <v>1</v>
      </c>
      <c r="K585" t="str">
        <f>VLOOKUP(A585,'TV May Monthly Billing Sites'!$A:$L,1,0)</f>
        <v>76056708</v>
      </c>
    </row>
    <row r="586" spans="1:11">
      <c r="A586" t="str">
        <f t="shared" si="9"/>
        <v>76057591</v>
      </c>
      <c r="B586">
        <v>76057591</v>
      </c>
      <c r="C586" t="s">
        <v>5830</v>
      </c>
      <c r="D586" t="s">
        <v>2595</v>
      </c>
      <c r="E586">
        <v>4408592</v>
      </c>
      <c r="F586" t="s">
        <v>742</v>
      </c>
      <c r="G586" t="s">
        <v>823</v>
      </c>
      <c r="H586" t="s">
        <v>4785</v>
      </c>
      <c r="I586" s="12">
        <v>44512</v>
      </c>
      <c r="J586">
        <v>1</v>
      </c>
      <c r="K586" t="str">
        <f>VLOOKUP(A586,'TV May Monthly Billing Sites'!$A:$L,1,0)</f>
        <v>76057591</v>
      </c>
    </row>
    <row r="587" spans="1:11">
      <c r="A587" t="str">
        <f t="shared" si="9"/>
        <v>76057680</v>
      </c>
      <c r="B587">
        <v>76057680</v>
      </c>
      <c r="C587" t="s">
        <v>5831</v>
      </c>
      <c r="D587" t="s">
        <v>2597</v>
      </c>
      <c r="E587">
        <v>4508714</v>
      </c>
      <c r="F587" t="s">
        <v>742</v>
      </c>
      <c r="G587" t="s">
        <v>743</v>
      </c>
      <c r="H587" t="s">
        <v>4883</v>
      </c>
      <c r="I587" s="12">
        <v>46098</v>
      </c>
      <c r="J587">
        <v>1</v>
      </c>
      <c r="K587" t="str">
        <f>VLOOKUP(A587,'TV May Monthly Billing Sites'!$A:$L,1,0)</f>
        <v>76057680</v>
      </c>
    </row>
    <row r="588" spans="1:11">
      <c r="A588" t="str">
        <f t="shared" si="9"/>
        <v>76057683</v>
      </c>
      <c r="B588">
        <v>76057683</v>
      </c>
      <c r="C588" t="s">
        <v>5832</v>
      </c>
      <c r="D588" t="s">
        <v>2599</v>
      </c>
      <c r="E588">
        <v>4508714</v>
      </c>
      <c r="F588" t="s">
        <v>742</v>
      </c>
      <c r="G588" t="s">
        <v>743</v>
      </c>
      <c r="H588" t="s">
        <v>751</v>
      </c>
      <c r="I588" s="12">
        <v>45747</v>
      </c>
      <c r="J588">
        <v>1</v>
      </c>
      <c r="K588" t="str">
        <f>VLOOKUP(A588,'TV May Monthly Billing Sites'!$A:$L,1,0)</f>
        <v>76057683</v>
      </c>
    </row>
    <row r="589" spans="1:11">
      <c r="A589" t="str">
        <f t="shared" si="9"/>
        <v>76058144</v>
      </c>
      <c r="B589">
        <v>76058144</v>
      </c>
      <c r="C589" t="s">
        <v>5833</v>
      </c>
      <c r="D589" t="s">
        <v>5834</v>
      </c>
      <c r="E589">
        <v>4408592</v>
      </c>
      <c r="F589" t="s">
        <v>742</v>
      </c>
      <c r="G589" t="s">
        <v>823</v>
      </c>
      <c r="H589" t="s">
        <v>5835</v>
      </c>
      <c r="I589" s="12">
        <v>45485</v>
      </c>
      <c r="J589">
        <v>1</v>
      </c>
      <c r="K589" t="str">
        <f>VLOOKUP(A589,'TV May Monthly Billing Sites'!$A:$L,1,0)</f>
        <v>76058144</v>
      </c>
    </row>
    <row r="590" spans="1:11">
      <c r="A590" t="str">
        <f t="shared" si="9"/>
        <v>76058171</v>
      </c>
      <c r="B590">
        <v>76058171</v>
      </c>
      <c r="C590" t="s">
        <v>5836</v>
      </c>
      <c r="D590" t="s">
        <v>2603</v>
      </c>
      <c r="E590">
        <v>4408592</v>
      </c>
      <c r="F590" t="s">
        <v>742</v>
      </c>
      <c r="G590" t="s">
        <v>823</v>
      </c>
      <c r="H590" t="s">
        <v>1038</v>
      </c>
      <c r="I590" s="12">
        <v>45597</v>
      </c>
      <c r="J590">
        <v>1</v>
      </c>
      <c r="K590" t="str">
        <f>VLOOKUP(A590,'TV May Monthly Billing Sites'!$A:$L,1,0)</f>
        <v>76058171</v>
      </c>
    </row>
    <row r="591" spans="1:11">
      <c r="A591" t="str">
        <f t="shared" si="9"/>
        <v>76058173</v>
      </c>
      <c r="B591">
        <v>76058173</v>
      </c>
      <c r="C591" t="s">
        <v>5837</v>
      </c>
      <c r="D591" t="s">
        <v>5838</v>
      </c>
      <c r="E591">
        <v>4508714</v>
      </c>
      <c r="F591" t="s">
        <v>742</v>
      </c>
      <c r="G591" t="s">
        <v>743</v>
      </c>
      <c r="H591" t="s">
        <v>5796</v>
      </c>
      <c r="I591" s="12">
        <v>45930</v>
      </c>
      <c r="J591">
        <v>1</v>
      </c>
      <c r="K591" t="str">
        <f>VLOOKUP(A591,'TV May Monthly Billing Sites'!$A:$L,1,0)</f>
        <v>76058173</v>
      </c>
    </row>
    <row r="592" spans="1:11">
      <c r="A592" t="str">
        <f t="shared" si="9"/>
        <v>76058281</v>
      </c>
      <c r="B592">
        <v>76058281</v>
      </c>
      <c r="C592" t="s">
        <v>5839</v>
      </c>
      <c r="D592" t="s">
        <v>2607</v>
      </c>
      <c r="E592">
        <v>4508714</v>
      </c>
      <c r="F592" t="s">
        <v>742</v>
      </c>
      <c r="G592" t="s">
        <v>743</v>
      </c>
      <c r="H592" t="s">
        <v>2607</v>
      </c>
      <c r="I592" s="12">
        <v>45947</v>
      </c>
      <c r="J592">
        <v>1</v>
      </c>
      <c r="K592" t="str">
        <f>VLOOKUP(A592,'TV May Monthly Billing Sites'!$A:$L,1,0)</f>
        <v>76058281</v>
      </c>
    </row>
    <row r="593" spans="1:11">
      <c r="A593" t="str">
        <f t="shared" si="9"/>
        <v>76058287</v>
      </c>
      <c r="B593">
        <v>76058287</v>
      </c>
      <c r="C593" t="s">
        <v>5840</v>
      </c>
      <c r="D593" t="s">
        <v>5841</v>
      </c>
      <c r="E593">
        <v>4508714</v>
      </c>
      <c r="F593" t="s">
        <v>742</v>
      </c>
      <c r="G593" t="s">
        <v>743</v>
      </c>
      <c r="H593" t="s">
        <v>5842</v>
      </c>
      <c r="I593" s="12">
        <v>45869</v>
      </c>
      <c r="J593">
        <v>1</v>
      </c>
      <c r="K593" t="str">
        <f>VLOOKUP(A593,'TV May Monthly Billing Sites'!$A:$L,1,0)</f>
        <v>76058287</v>
      </c>
    </row>
    <row r="594" spans="1:11">
      <c r="A594" t="str">
        <f t="shared" si="9"/>
        <v>76058289</v>
      </c>
      <c r="B594">
        <v>76058289</v>
      </c>
      <c r="C594" t="s">
        <v>5843</v>
      </c>
      <c r="D594" t="s">
        <v>5844</v>
      </c>
      <c r="E594">
        <v>4508714</v>
      </c>
      <c r="F594" t="s">
        <v>742</v>
      </c>
      <c r="G594" t="s">
        <v>743</v>
      </c>
      <c r="H594" t="s">
        <v>5842</v>
      </c>
      <c r="I594" s="12">
        <v>45770</v>
      </c>
      <c r="J594">
        <v>1</v>
      </c>
      <c r="K594" t="str">
        <f>VLOOKUP(A594,'TV May Monthly Billing Sites'!$A:$L,1,0)</f>
        <v>76058289</v>
      </c>
    </row>
    <row r="595" spans="1:11">
      <c r="A595" t="str">
        <f t="shared" si="9"/>
        <v>76058290</v>
      </c>
      <c r="B595">
        <v>76058290</v>
      </c>
      <c r="C595" t="s">
        <v>5845</v>
      </c>
      <c r="D595" t="s">
        <v>5846</v>
      </c>
      <c r="E595">
        <v>4408592</v>
      </c>
      <c r="F595" t="s">
        <v>742</v>
      </c>
      <c r="G595" t="s">
        <v>823</v>
      </c>
      <c r="H595" t="s">
        <v>5842</v>
      </c>
      <c r="I595" s="12">
        <v>45652</v>
      </c>
      <c r="J595">
        <v>1</v>
      </c>
      <c r="K595" t="str">
        <f>VLOOKUP(A595,'TV May Monthly Billing Sites'!$A:$L,1,0)</f>
        <v>76058290</v>
      </c>
    </row>
    <row r="596" spans="1:11">
      <c r="A596" t="str">
        <f t="shared" si="9"/>
        <v>76058883</v>
      </c>
      <c r="B596">
        <v>76058883</v>
      </c>
      <c r="C596" t="s">
        <v>5847</v>
      </c>
      <c r="D596" t="s">
        <v>2615</v>
      </c>
      <c r="E596">
        <v>4508714</v>
      </c>
      <c r="F596" t="s">
        <v>742</v>
      </c>
      <c r="G596" t="s">
        <v>743</v>
      </c>
      <c r="H596" t="s">
        <v>5536</v>
      </c>
      <c r="I596" s="12">
        <v>45587</v>
      </c>
      <c r="J596">
        <v>1</v>
      </c>
      <c r="K596" t="str">
        <f>VLOOKUP(A596,'TV May Monthly Billing Sites'!$A:$L,1,0)</f>
        <v>76058883</v>
      </c>
    </row>
    <row r="597" spans="1:11">
      <c r="A597" t="str">
        <f t="shared" si="9"/>
        <v>76059014</v>
      </c>
      <c r="B597">
        <v>76059014</v>
      </c>
      <c r="C597" t="s">
        <v>5848</v>
      </c>
      <c r="D597" t="s">
        <v>5849</v>
      </c>
      <c r="E597">
        <v>4408592</v>
      </c>
      <c r="F597" t="s">
        <v>742</v>
      </c>
      <c r="G597" t="s">
        <v>823</v>
      </c>
      <c r="H597" t="s">
        <v>4834</v>
      </c>
      <c r="I597" s="12">
        <v>45694</v>
      </c>
      <c r="J597">
        <v>1</v>
      </c>
      <c r="K597" t="str">
        <f>VLOOKUP(A597,'TV May Monthly Billing Sites'!$A:$L,1,0)</f>
        <v>76059014</v>
      </c>
    </row>
    <row r="598" spans="1:11">
      <c r="A598" t="str">
        <f t="shared" si="9"/>
        <v>76059984</v>
      </c>
      <c r="B598">
        <v>76059984</v>
      </c>
      <c r="C598" t="s">
        <v>5850</v>
      </c>
      <c r="D598" t="s">
        <v>2619</v>
      </c>
      <c r="E598">
        <v>4508714</v>
      </c>
      <c r="F598" t="s">
        <v>742</v>
      </c>
      <c r="G598" t="s">
        <v>743</v>
      </c>
      <c r="H598" t="s">
        <v>5851</v>
      </c>
      <c r="I598" s="12">
        <v>45782</v>
      </c>
      <c r="J598">
        <v>1</v>
      </c>
      <c r="K598" t="str">
        <f>VLOOKUP(A598,'TV May Monthly Billing Sites'!$A:$L,1,0)</f>
        <v>76059984</v>
      </c>
    </row>
    <row r="599" spans="1:11">
      <c r="A599" t="str">
        <f t="shared" si="9"/>
        <v>76060058</v>
      </c>
      <c r="B599">
        <v>76060058</v>
      </c>
      <c r="C599" t="s">
        <v>5852</v>
      </c>
      <c r="D599" t="s">
        <v>5853</v>
      </c>
      <c r="E599">
        <v>4508714</v>
      </c>
      <c r="F599" t="s">
        <v>742</v>
      </c>
      <c r="G599" t="s">
        <v>743</v>
      </c>
      <c r="H599" t="s">
        <v>5000</v>
      </c>
      <c r="I599" s="12">
        <v>45930</v>
      </c>
      <c r="J599">
        <v>1</v>
      </c>
      <c r="K599" t="str">
        <f>VLOOKUP(A599,'TV May Monthly Billing Sites'!$A:$L,1,0)</f>
        <v>76060058</v>
      </c>
    </row>
    <row r="600" spans="1:11">
      <c r="A600" t="str">
        <f t="shared" si="9"/>
        <v>76060185</v>
      </c>
      <c r="B600">
        <v>76060185</v>
      </c>
      <c r="C600" t="s">
        <v>5854</v>
      </c>
      <c r="D600" t="s">
        <v>2623</v>
      </c>
      <c r="E600">
        <v>4508714</v>
      </c>
      <c r="F600" t="s">
        <v>742</v>
      </c>
      <c r="G600" t="s">
        <v>743</v>
      </c>
      <c r="H600" t="s">
        <v>5213</v>
      </c>
      <c r="I600" s="12">
        <v>45659</v>
      </c>
      <c r="J600">
        <v>1</v>
      </c>
      <c r="K600" t="str">
        <f>VLOOKUP(A600,'TV May Monthly Billing Sites'!$A:$L,1,0)</f>
        <v>76060185</v>
      </c>
    </row>
    <row r="601" spans="1:11">
      <c r="A601" t="str">
        <f t="shared" si="9"/>
        <v>76060190</v>
      </c>
      <c r="B601">
        <v>76060190</v>
      </c>
      <c r="C601" t="s">
        <v>5855</v>
      </c>
      <c r="D601" t="s">
        <v>5856</v>
      </c>
      <c r="E601">
        <v>4508714</v>
      </c>
      <c r="F601" t="s">
        <v>742</v>
      </c>
      <c r="G601" t="s">
        <v>743</v>
      </c>
      <c r="H601" t="s">
        <v>1056</v>
      </c>
      <c r="I601" s="12">
        <v>45293</v>
      </c>
      <c r="J601">
        <v>1</v>
      </c>
      <c r="K601" t="str">
        <f>VLOOKUP(A601,'TV May Monthly Billing Sites'!$A:$L,1,0)</f>
        <v>76060190</v>
      </c>
    </row>
    <row r="602" spans="1:11">
      <c r="A602" t="str">
        <f t="shared" si="9"/>
        <v>76060191</v>
      </c>
      <c r="B602">
        <v>76060191</v>
      </c>
      <c r="C602" t="s">
        <v>5857</v>
      </c>
      <c r="D602" t="s">
        <v>5858</v>
      </c>
      <c r="E602">
        <v>4508714</v>
      </c>
      <c r="F602" t="s">
        <v>742</v>
      </c>
      <c r="G602" t="s">
        <v>743</v>
      </c>
      <c r="H602" t="s">
        <v>1056</v>
      </c>
      <c r="I602" s="12">
        <v>45293</v>
      </c>
      <c r="J602">
        <v>1</v>
      </c>
      <c r="K602" t="str">
        <f>VLOOKUP(A602,'TV May Monthly Billing Sites'!$A:$L,1,0)</f>
        <v>76060191</v>
      </c>
    </row>
    <row r="603" spans="1:11">
      <c r="A603" t="str">
        <f t="shared" si="9"/>
        <v>76060376</v>
      </c>
      <c r="B603">
        <v>76060376</v>
      </c>
      <c r="C603" t="s">
        <v>5859</v>
      </c>
      <c r="D603" t="s">
        <v>5860</v>
      </c>
      <c r="E603">
        <v>4408593</v>
      </c>
      <c r="F603" t="s">
        <v>742</v>
      </c>
      <c r="G603" t="s">
        <v>782</v>
      </c>
      <c r="H603" t="s">
        <v>5861</v>
      </c>
      <c r="I603" s="12">
        <v>45978</v>
      </c>
      <c r="J603">
        <v>1</v>
      </c>
      <c r="K603" t="str">
        <f>VLOOKUP(A603,'TV May Monthly Billing Sites'!$A:$L,1,0)</f>
        <v>76060376</v>
      </c>
    </row>
    <row r="604" spans="1:11">
      <c r="A604" t="str">
        <f t="shared" si="9"/>
        <v>76060491</v>
      </c>
      <c r="B604">
        <v>76060491</v>
      </c>
      <c r="C604" t="s">
        <v>5862</v>
      </c>
      <c r="D604" t="s">
        <v>2631</v>
      </c>
      <c r="E604">
        <v>4508675</v>
      </c>
      <c r="F604" t="s">
        <v>742</v>
      </c>
      <c r="G604" t="s">
        <v>828</v>
      </c>
      <c r="H604" t="s">
        <v>5098</v>
      </c>
      <c r="I604" s="12">
        <v>44985</v>
      </c>
      <c r="J604">
        <v>1</v>
      </c>
      <c r="K604" t="str">
        <f>VLOOKUP(A604,'TV May Monthly Billing Sites'!$A:$L,1,0)</f>
        <v>76060491</v>
      </c>
    </row>
    <row r="605" spans="1:11">
      <c r="A605" t="str">
        <f t="shared" si="9"/>
        <v>76060545</v>
      </c>
      <c r="B605">
        <v>76060545</v>
      </c>
      <c r="C605" t="s">
        <v>5863</v>
      </c>
      <c r="D605" t="s">
        <v>2633</v>
      </c>
      <c r="E605">
        <v>4508675</v>
      </c>
      <c r="F605" t="s">
        <v>742</v>
      </c>
      <c r="G605" t="s">
        <v>828</v>
      </c>
      <c r="H605" t="s">
        <v>5864</v>
      </c>
      <c r="I605" s="12">
        <v>45393</v>
      </c>
      <c r="J605">
        <v>1</v>
      </c>
      <c r="K605" t="str">
        <f>VLOOKUP(A605,'TV May Monthly Billing Sites'!$A:$L,1,0)</f>
        <v>76060545</v>
      </c>
    </row>
    <row r="606" spans="1:11">
      <c r="A606" t="str">
        <f t="shared" si="9"/>
        <v>76060769</v>
      </c>
      <c r="B606">
        <v>76060769</v>
      </c>
      <c r="C606" t="s">
        <v>5865</v>
      </c>
      <c r="D606" t="s">
        <v>2635</v>
      </c>
      <c r="E606">
        <v>4508714</v>
      </c>
      <c r="F606" t="s">
        <v>742</v>
      </c>
      <c r="G606" t="s">
        <v>743</v>
      </c>
      <c r="H606" t="s">
        <v>5512</v>
      </c>
      <c r="I606" s="12">
        <v>45622</v>
      </c>
      <c r="J606">
        <v>1</v>
      </c>
      <c r="K606" t="str">
        <f>VLOOKUP(A606,'TV May Monthly Billing Sites'!$A:$L,1,0)</f>
        <v>76060769</v>
      </c>
    </row>
    <row r="607" spans="1:11">
      <c r="A607" t="str">
        <f t="shared" si="9"/>
        <v>76060791</v>
      </c>
      <c r="B607">
        <v>76060791</v>
      </c>
      <c r="C607" t="s">
        <v>5866</v>
      </c>
      <c r="D607" t="s">
        <v>5867</v>
      </c>
      <c r="E607">
        <v>4508714</v>
      </c>
      <c r="F607" t="s">
        <v>742</v>
      </c>
      <c r="G607" t="s">
        <v>743</v>
      </c>
      <c r="H607" t="s">
        <v>2637</v>
      </c>
      <c r="I607" s="12">
        <v>45415</v>
      </c>
      <c r="J607">
        <v>1</v>
      </c>
      <c r="K607" t="str">
        <f>VLOOKUP(A607,'TV May Monthly Billing Sites'!$A:$L,1,0)</f>
        <v>76060791</v>
      </c>
    </row>
    <row r="608" spans="1:11">
      <c r="A608" t="str">
        <f t="shared" si="9"/>
        <v>76060927</v>
      </c>
      <c r="B608">
        <v>76060927</v>
      </c>
      <c r="C608" t="s">
        <v>5868</v>
      </c>
      <c r="D608" t="s">
        <v>5869</v>
      </c>
      <c r="E608">
        <v>4508714</v>
      </c>
      <c r="F608" t="s">
        <v>742</v>
      </c>
      <c r="G608" t="s">
        <v>743</v>
      </c>
      <c r="H608" t="s">
        <v>5870</v>
      </c>
      <c r="I608" s="12">
        <v>45901</v>
      </c>
      <c r="J608">
        <v>1</v>
      </c>
      <c r="K608" t="str">
        <f>VLOOKUP(A608,'TV May Monthly Billing Sites'!$A:$L,1,0)</f>
        <v>76060927</v>
      </c>
    </row>
    <row r="609" spans="1:12">
      <c r="A609" t="str">
        <f t="shared" si="9"/>
        <v>76060936</v>
      </c>
      <c r="B609">
        <v>76060936</v>
      </c>
      <c r="C609" t="s">
        <v>5871</v>
      </c>
      <c r="D609" t="s">
        <v>2641</v>
      </c>
      <c r="E609">
        <v>4408593</v>
      </c>
      <c r="F609" t="s">
        <v>742</v>
      </c>
      <c r="G609" t="s">
        <v>782</v>
      </c>
      <c r="H609" t="s">
        <v>2641</v>
      </c>
      <c r="I609" s="12">
        <v>45854</v>
      </c>
      <c r="J609">
        <v>1</v>
      </c>
      <c r="K609" t="str">
        <f>VLOOKUP(A609,'TV May Monthly Billing Sites'!$A:$L,1,0)</f>
        <v>76060936</v>
      </c>
    </row>
    <row r="610" spans="1:12">
      <c r="A610" t="str">
        <f t="shared" si="9"/>
        <v>76061499</v>
      </c>
      <c r="B610">
        <v>76061499</v>
      </c>
      <c r="C610" t="s">
        <v>5872</v>
      </c>
      <c r="D610" t="s">
        <v>5873</v>
      </c>
      <c r="E610">
        <v>4508675</v>
      </c>
      <c r="F610" t="s">
        <v>742</v>
      </c>
      <c r="G610" t="s">
        <v>828</v>
      </c>
      <c r="H610" t="s">
        <v>5874</v>
      </c>
      <c r="I610" s="12">
        <v>46105</v>
      </c>
      <c r="J610">
        <v>1</v>
      </c>
      <c r="K610" t="str">
        <f>VLOOKUP(A610,'TV May Monthly Billing Sites'!$A:$L,1,0)</f>
        <v>76061499</v>
      </c>
    </row>
    <row r="611" spans="1:12">
      <c r="A611" t="str">
        <f t="shared" si="9"/>
        <v>76062737</v>
      </c>
      <c r="B611">
        <v>76062737</v>
      </c>
      <c r="C611" t="s">
        <v>5875</v>
      </c>
      <c r="D611" t="s">
        <v>5876</v>
      </c>
      <c r="E611">
        <v>4508714</v>
      </c>
      <c r="F611" t="s">
        <v>742</v>
      </c>
      <c r="G611" t="s">
        <v>743</v>
      </c>
      <c r="H611" t="s">
        <v>5186</v>
      </c>
      <c r="I611" s="12">
        <v>45839</v>
      </c>
      <c r="J611">
        <v>1</v>
      </c>
      <c r="K611" t="str">
        <f>VLOOKUP(A611,'TV May Monthly Billing Sites'!$A:$L,1,0)</f>
        <v>76062737</v>
      </c>
    </row>
    <row r="612" spans="1:12">
      <c r="A612" t="str">
        <f t="shared" si="9"/>
        <v>76062764</v>
      </c>
      <c r="B612">
        <v>76062764</v>
      </c>
      <c r="C612" t="s">
        <v>5877</v>
      </c>
      <c r="D612" t="s">
        <v>5878</v>
      </c>
      <c r="E612">
        <v>4508675</v>
      </c>
      <c r="F612" t="s">
        <v>742</v>
      </c>
      <c r="G612" t="s">
        <v>828</v>
      </c>
      <c r="H612" t="s">
        <v>5879</v>
      </c>
      <c r="I612" s="12">
        <v>45355</v>
      </c>
      <c r="J612">
        <v>1</v>
      </c>
      <c r="K612" t="str">
        <f>VLOOKUP(A612,'TV May Monthly Billing Sites'!$A:$L,1,0)</f>
        <v>76062764</v>
      </c>
    </row>
    <row r="613" spans="1:12">
      <c r="A613" t="str">
        <f t="shared" si="9"/>
        <v>76062941</v>
      </c>
      <c r="B613">
        <v>76062941</v>
      </c>
      <c r="C613" t="s">
        <v>873</v>
      </c>
      <c r="D613" t="s">
        <v>874</v>
      </c>
      <c r="E613">
        <v>4408593</v>
      </c>
      <c r="F613" t="s">
        <v>742</v>
      </c>
      <c r="G613" t="s">
        <v>782</v>
      </c>
      <c r="H613" t="s">
        <v>875</v>
      </c>
      <c r="I613" s="12">
        <v>45763</v>
      </c>
      <c r="J613">
        <v>1</v>
      </c>
      <c r="K613" t="e">
        <f>VLOOKUP(A613,'TV May Monthly Billing Sites'!$A:$L,1,0)</f>
        <v>#N/A</v>
      </c>
      <c r="L613" t="e">
        <f>VLOOKUP(D613,'TV May Monthly Billing Sites'!$B:$L,1,0)</f>
        <v>#N/A</v>
      </c>
    </row>
    <row r="614" spans="1:12">
      <c r="A614" t="str">
        <f t="shared" si="9"/>
        <v>76063135</v>
      </c>
      <c r="B614">
        <v>76063135</v>
      </c>
      <c r="C614" t="s">
        <v>5880</v>
      </c>
      <c r="D614" t="s">
        <v>2649</v>
      </c>
      <c r="E614">
        <v>4508714</v>
      </c>
      <c r="F614" t="s">
        <v>742</v>
      </c>
      <c r="G614" t="s">
        <v>743</v>
      </c>
      <c r="H614" t="s">
        <v>5881</v>
      </c>
      <c r="I614" s="12">
        <v>45992</v>
      </c>
      <c r="J614">
        <v>1</v>
      </c>
      <c r="K614" t="str">
        <f>VLOOKUP(A614,'TV May Monthly Billing Sites'!$A:$L,1,0)</f>
        <v>76063135</v>
      </c>
    </row>
    <row r="615" spans="1:12">
      <c r="A615" t="str">
        <f t="shared" si="9"/>
        <v>76063223</v>
      </c>
      <c r="B615">
        <v>76063223</v>
      </c>
      <c r="C615" t="s">
        <v>5882</v>
      </c>
      <c r="D615" t="s">
        <v>2651</v>
      </c>
      <c r="E615">
        <v>4408593</v>
      </c>
      <c r="F615" t="s">
        <v>742</v>
      </c>
      <c r="G615" t="s">
        <v>782</v>
      </c>
      <c r="H615" t="s">
        <v>2651</v>
      </c>
      <c r="I615" s="12">
        <v>45033</v>
      </c>
      <c r="J615">
        <v>1</v>
      </c>
      <c r="K615" t="str">
        <f>VLOOKUP(A615,'TV May Monthly Billing Sites'!$A:$L,1,0)</f>
        <v>76063223</v>
      </c>
    </row>
    <row r="616" spans="1:12">
      <c r="A616" t="str">
        <f t="shared" si="9"/>
        <v>76063507</v>
      </c>
      <c r="B616">
        <v>76063507</v>
      </c>
      <c r="C616" t="s">
        <v>5883</v>
      </c>
      <c r="D616" t="s">
        <v>2653</v>
      </c>
      <c r="E616">
        <v>4508714</v>
      </c>
      <c r="F616" t="s">
        <v>742</v>
      </c>
      <c r="G616" t="s">
        <v>743</v>
      </c>
      <c r="H616" t="s">
        <v>5884</v>
      </c>
      <c r="I616" s="12">
        <v>45658</v>
      </c>
      <c r="J616">
        <v>1</v>
      </c>
      <c r="K616" t="str">
        <f>VLOOKUP(A616,'TV May Monthly Billing Sites'!$A:$L,1,0)</f>
        <v>76063507</v>
      </c>
    </row>
    <row r="617" spans="1:12">
      <c r="A617" t="str">
        <f t="shared" si="9"/>
        <v>76063637</v>
      </c>
      <c r="B617">
        <v>76063637</v>
      </c>
      <c r="C617" t="s">
        <v>5885</v>
      </c>
      <c r="D617" t="s">
        <v>5886</v>
      </c>
      <c r="E617">
        <v>4508675</v>
      </c>
      <c r="F617" t="s">
        <v>742</v>
      </c>
      <c r="G617" t="s">
        <v>828</v>
      </c>
      <c r="H617" t="s">
        <v>1164</v>
      </c>
      <c r="I617" s="12">
        <v>45198</v>
      </c>
      <c r="J617">
        <v>1</v>
      </c>
      <c r="K617" t="str">
        <f>VLOOKUP(A617,'TV May Monthly Billing Sites'!$A:$L,1,0)</f>
        <v>76063637</v>
      </c>
    </row>
    <row r="618" spans="1:12">
      <c r="A618" t="str">
        <f t="shared" si="9"/>
        <v>76063969</v>
      </c>
      <c r="B618">
        <v>76063969</v>
      </c>
      <c r="C618" t="s">
        <v>5887</v>
      </c>
      <c r="D618" t="s">
        <v>5888</v>
      </c>
      <c r="E618">
        <v>4508714</v>
      </c>
      <c r="F618" t="s">
        <v>742</v>
      </c>
      <c r="G618" t="s">
        <v>743</v>
      </c>
      <c r="H618" t="s">
        <v>4942</v>
      </c>
      <c r="I618" s="12">
        <v>45810</v>
      </c>
      <c r="J618">
        <v>1</v>
      </c>
      <c r="K618" t="str">
        <f>VLOOKUP(A618,'TV May Monthly Billing Sites'!$A:$L,1,0)</f>
        <v>76063969</v>
      </c>
    </row>
    <row r="619" spans="1:12">
      <c r="A619" t="str">
        <f t="shared" si="9"/>
        <v>76064072</v>
      </c>
      <c r="B619">
        <v>76064072</v>
      </c>
      <c r="C619" t="s">
        <v>5889</v>
      </c>
      <c r="D619" t="s">
        <v>2659</v>
      </c>
      <c r="E619">
        <v>4508675</v>
      </c>
      <c r="F619" t="s">
        <v>742</v>
      </c>
      <c r="G619" t="s">
        <v>828</v>
      </c>
      <c r="H619" t="s">
        <v>5890</v>
      </c>
      <c r="I619" s="12">
        <v>45544</v>
      </c>
      <c r="J619">
        <v>1</v>
      </c>
      <c r="K619" t="str">
        <f>VLOOKUP(A619,'TV May Monthly Billing Sites'!$A:$L,1,0)</f>
        <v>76064072</v>
      </c>
    </row>
    <row r="620" spans="1:12">
      <c r="A620" t="str">
        <f t="shared" si="9"/>
        <v>76064083</v>
      </c>
      <c r="B620">
        <v>76064083</v>
      </c>
      <c r="C620" t="s">
        <v>5891</v>
      </c>
      <c r="D620" t="s">
        <v>2661</v>
      </c>
      <c r="E620">
        <v>4408594</v>
      </c>
      <c r="F620" t="s">
        <v>742</v>
      </c>
      <c r="G620" t="s">
        <v>909</v>
      </c>
      <c r="H620" t="s">
        <v>5890</v>
      </c>
      <c r="I620" s="12">
        <v>44471</v>
      </c>
      <c r="J620">
        <v>1</v>
      </c>
      <c r="K620" t="str">
        <f>VLOOKUP(A620,'TV May Monthly Billing Sites'!$A:$L,1,0)</f>
        <v>76064083</v>
      </c>
    </row>
    <row r="621" spans="1:12">
      <c r="A621" t="str">
        <f t="shared" si="9"/>
        <v>76064099</v>
      </c>
      <c r="B621">
        <v>76064099</v>
      </c>
      <c r="C621" t="s">
        <v>5892</v>
      </c>
      <c r="D621" t="s">
        <v>2663</v>
      </c>
      <c r="E621">
        <v>4508714</v>
      </c>
      <c r="F621" t="s">
        <v>742</v>
      </c>
      <c r="G621" t="s">
        <v>743</v>
      </c>
      <c r="H621" t="s">
        <v>5893</v>
      </c>
      <c r="I621" s="12">
        <v>45876</v>
      </c>
      <c r="J621">
        <v>1</v>
      </c>
      <c r="K621" t="str">
        <f>VLOOKUP(A621,'TV May Monthly Billing Sites'!$A:$L,1,0)</f>
        <v>76064099</v>
      </c>
    </row>
    <row r="622" spans="1:12">
      <c r="A622" t="str">
        <f t="shared" si="9"/>
        <v>76064145</v>
      </c>
      <c r="B622">
        <v>76064145</v>
      </c>
      <c r="C622" t="s">
        <v>5894</v>
      </c>
      <c r="D622" t="s">
        <v>2665</v>
      </c>
      <c r="E622">
        <v>4508714</v>
      </c>
      <c r="F622" t="s">
        <v>742</v>
      </c>
      <c r="G622" t="s">
        <v>743</v>
      </c>
      <c r="H622" t="s">
        <v>2665</v>
      </c>
      <c r="I622" s="12">
        <v>45603</v>
      </c>
      <c r="J622">
        <v>1</v>
      </c>
      <c r="K622" t="str">
        <f>VLOOKUP(A622,'TV May Monthly Billing Sites'!$A:$L,1,0)</f>
        <v>76064145</v>
      </c>
    </row>
    <row r="623" spans="1:12">
      <c r="A623" t="str">
        <f t="shared" si="9"/>
        <v>76064538</v>
      </c>
      <c r="B623">
        <v>76064538</v>
      </c>
      <c r="C623" t="s">
        <v>5895</v>
      </c>
      <c r="D623" t="s">
        <v>5896</v>
      </c>
      <c r="E623">
        <v>4508714</v>
      </c>
      <c r="F623" t="s">
        <v>742</v>
      </c>
      <c r="G623" t="s">
        <v>743</v>
      </c>
      <c r="H623" t="s">
        <v>5897</v>
      </c>
      <c r="I623" s="12">
        <v>45839</v>
      </c>
      <c r="J623">
        <v>1</v>
      </c>
      <c r="K623" t="str">
        <f>VLOOKUP(A623,'TV May Monthly Billing Sites'!$A:$L,1,0)</f>
        <v>76064538</v>
      </c>
    </row>
    <row r="624" spans="1:12">
      <c r="A624" t="str">
        <f t="shared" si="9"/>
        <v>76064539</v>
      </c>
      <c r="B624">
        <v>76064539</v>
      </c>
      <c r="C624" t="s">
        <v>5898</v>
      </c>
      <c r="D624" t="s">
        <v>2669</v>
      </c>
      <c r="E624">
        <v>4508714</v>
      </c>
      <c r="F624" t="s">
        <v>742</v>
      </c>
      <c r="G624" t="s">
        <v>743</v>
      </c>
      <c r="H624" t="s">
        <v>5897</v>
      </c>
      <c r="I624" s="12">
        <v>45839</v>
      </c>
      <c r="J624">
        <v>1</v>
      </c>
      <c r="K624" t="str">
        <f>VLOOKUP(A624,'TV May Monthly Billing Sites'!$A:$L,1,0)</f>
        <v>76064539</v>
      </c>
    </row>
    <row r="625" spans="1:12">
      <c r="A625" t="str">
        <f t="shared" si="9"/>
        <v>76065121</v>
      </c>
      <c r="B625">
        <v>76065121</v>
      </c>
      <c r="C625" t="s">
        <v>5899</v>
      </c>
      <c r="D625" t="s">
        <v>5900</v>
      </c>
      <c r="E625">
        <v>4508714</v>
      </c>
      <c r="F625" t="s">
        <v>742</v>
      </c>
      <c r="G625" t="s">
        <v>743</v>
      </c>
      <c r="H625" t="s">
        <v>5306</v>
      </c>
      <c r="I625" s="12">
        <v>45765</v>
      </c>
      <c r="J625">
        <v>1</v>
      </c>
      <c r="K625" t="str">
        <f>VLOOKUP(A625,'TV May Monthly Billing Sites'!$A:$L,1,0)</f>
        <v>76065121</v>
      </c>
    </row>
    <row r="626" spans="1:12">
      <c r="A626" t="str">
        <f t="shared" si="9"/>
        <v>76065781</v>
      </c>
      <c r="B626">
        <v>76065781</v>
      </c>
      <c r="C626" t="s">
        <v>5901</v>
      </c>
      <c r="D626" t="s">
        <v>5902</v>
      </c>
      <c r="E626">
        <v>4508714</v>
      </c>
      <c r="F626" t="s">
        <v>742</v>
      </c>
      <c r="G626" t="s">
        <v>743</v>
      </c>
      <c r="H626" t="s">
        <v>5903</v>
      </c>
      <c r="I626" s="12">
        <v>45986</v>
      </c>
      <c r="J626">
        <v>1</v>
      </c>
      <c r="K626" t="str">
        <f>VLOOKUP(A626,'TV May Monthly Billing Sites'!$A:$L,1,0)</f>
        <v>76065781</v>
      </c>
    </row>
    <row r="627" spans="1:12">
      <c r="A627" t="str">
        <f t="shared" si="9"/>
        <v>76065862</v>
      </c>
      <c r="B627">
        <v>76065862</v>
      </c>
      <c r="C627" t="s">
        <v>5904</v>
      </c>
      <c r="D627" t="s">
        <v>5905</v>
      </c>
      <c r="E627">
        <v>4508714</v>
      </c>
      <c r="F627" t="s">
        <v>742</v>
      </c>
      <c r="G627" t="s">
        <v>743</v>
      </c>
      <c r="H627" t="s">
        <v>5742</v>
      </c>
      <c r="I627" s="12">
        <v>45628</v>
      </c>
      <c r="J627">
        <v>1</v>
      </c>
      <c r="K627" t="str">
        <f>VLOOKUP(A627,'TV May Monthly Billing Sites'!$A:$L,1,0)</f>
        <v>76065862</v>
      </c>
    </row>
    <row r="628" spans="1:12">
      <c r="A628" t="str">
        <f t="shared" si="9"/>
        <v>76065889</v>
      </c>
      <c r="B628">
        <v>76065889</v>
      </c>
      <c r="C628" t="s">
        <v>5906</v>
      </c>
      <c r="D628" t="s">
        <v>5907</v>
      </c>
      <c r="E628">
        <v>4408592</v>
      </c>
      <c r="F628" t="s">
        <v>742</v>
      </c>
      <c r="G628" t="s">
        <v>823</v>
      </c>
      <c r="H628" t="s">
        <v>5908</v>
      </c>
      <c r="I628" s="12">
        <v>44967</v>
      </c>
      <c r="J628">
        <v>1</v>
      </c>
      <c r="K628" t="str">
        <f>VLOOKUP(A628,'TV May Monthly Billing Sites'!$A:$L,1,0)</f>
        <v>76065889</v>
      </c>
    </row>
    <row r="629" spans="1:12">
      <c r="A629" t="str">
        <f t="shared" si="9"/>
        <v>76065970</v>
      </c>
      <c r="B629">
        <v>76065970</v>
      </c>
      <c r="C629" t="s">
        <v>5909</v>
      </c>
      <c r="D629" t="s">
        <v>2679</v>
      </c>
      <c r="E629">
        <v>4508714</v>
      </c>
      <c r="F629" t="s">
        <v>742</v>
      </c>
      <c r="G629" t="s">
        <v>743</v>
      </c>
      <c r="H629" t="s">
        <v>816</v>
      </c>
      <c r="I629" s="12">
        <v>45597</v>
      </c>
      <c r="J629">
        <v>1</v>
      </c>
      <c r="K629" t="str">
        <f>VLOOKUP(A629,'TV May Monthly Billing Sites'!$A:$L,1,0)</f>
        <v>76065970</v>
      </c>
    </row>
    <row r="630" spans="1:12">
      <c r="A630" t="str">
        <f t="shared" si="9"/>
        <v>76066082</v>
      </c>
      <c r="B630">
        <v>76066082</v>
      </c>
      <c r="C630" t="s">
        <v>5910</v>
      </c>
      <c r="D630" t="s">
        <v>2681</v>
      </c>
      <c r="E630">
        <v>4408593</v>
      </c>
      <c r="F630" t="s">
        <v>742</v>
      </c>
      <c r="G630" t="s">
        <v>782</v>
      </c>
      <c r="H630" t="s">
        <v>879</v>
      </c>
      <c r="I630" s="12">
        <v>45820</v>
      </c>
      <c r="J630">
        <v>1</v>
      </c>
      <c r="K630" t="str">
        <f>VLOOKUP(A630,'TV May Monthly Billing Sites'!$A:$L,1,0)</f>
        <v>76066082</v>
      </c>
    </row>
    <row r="631" spans="1:12">
      <c r="A631" t="str">
        <f t="shared" si="9"/>
        <v>76066083</v>
      </c>
      <c r="B631">
        <v>76066083</v>
      </c>
      <c r="C631" t="s">
        <v>5911</v>
      </c>
      <c r="D631" t="s">
        <v>5912</v>
      </c>
      <c r="E631">
        <v>4408593</v>
      </c>
      <c r="F631" t="s">
        <v>742</v>
      </c>
      <c r="G631" t="s">
        <v>782</v>
      </c>
      <c r="H631" t="s">
        <v>879</v>
      </c>
      <c r="I631" s="12">
        <v>45820</v>
      </c>
      <c r="J631">
        <v>1</v>
      </c>
      <c r="K631" t="str">
        <f>VLOOKUP(A631,'TV May Monthly Billing Sites'!$A:$L,1,0)</f>
        <v>76066083</v>
      </c>
    </row>
    <row r="632" spans="1:12">
      <c r="A632" t="str">
        <f t="shared" si="9"/>
        <v>76066084</v>
      </c>
      <c r="B632">
        <v>76066084</v>
      </c>
      <c r="C632" t="s">
        <v>5913</v>
      </c>
      <c r="D632" t="s">
        <v>5914</v>
      </c>
      <c r="E632">
        <v>4408593</v>
      </c>
      <c r="F632" t="s">
        <v>742</v>
      </c>
      <c r="G632" t="s">
        <v>782</v>
      </c>
      <c r="H632" t="s">
        <v>879</v>
      </c>
      <c r="I632" s="12">
        <v>45820</v>
      </c>
      <c r="J632">
        <v>1</v>
      </c>
      <c r="K632" t="str">
        <f>VLOOKUP(A632,'TV May Monthly Billing Sites'!$A:$L,1,0)</f>
        <v>76066084</v>
      </c>
    </row>
    <row r="633" spans="1:12">
      <c r="A633" t="str">
        <f t="shared" si="9"/>
        <v>76066085</v>
      </c>
      <c r="B633">
        <v>76066085</v>
      </c>
      <c r="C633" t="s">
        <v>5915</v>
      </c>
      <c r="D633" t="s">
        <v>5916</v>
      </c>
      <c r="E633">
        <v>4408593</v>
      </c>
      <c r="F633" t="s">
        <v>742</v>
      </c>
      <c r="G633" t="s">
        <v>782</v>
      </c>
      <c r="H633" t="s">
        <v>879</v>
      </c>
      <c r="I633" s="12">
        <v>45820</v>
      </c>
      <c r="J633">
        <v>1</v>
      </c>
      <c r="K633" t="str">
        <f>VLOOKUP(A633,'TV May Monthly Billing Sites'!$A:$L,1,0)</f>
        <v>76066085</v>
      </c>
    </row>
    <row r="634" spans="1:12">
      <c r="A634" t="str">
        <f t="shared" si="9"/>
        <v>76066086</v>
      </c>
      <c r="B634">
        <v>76066086</v>
      </c>
      <c r="C634" t="s">
        <v>877</v>
      </c>
      <c r="D634" t="s">
        <v>878</v>
      </c>
      <c r="E634">
        <v>4408593</v>
      </c>
      <c r="F634" t="s">
        <v>742</v>
      </c>
      <c r="G634" t="s">
        <v>782</v>
      </c>
      <c r="H634" t="s">
        <v>879</v>
      </c>
      <c r="I634" s="12">
        <v>45657</v>
      </c>
      <c r="J634">
        <v>1</v>
      </c>
      <c r="K634" t="e">
        <f>VLOOKUP(A634,'TV May Monthly Billing Sites'!$A:$L,1,0)</f>
        <v>#N/A</v>
      </c>
      <c r="L634" t="e">
        <f>VLOOKUP(D634,'TV May Monthly Billing Sites'!$B:$L,1,0)</f>
        <v>#N/A</v>
      </c>
    </row>
    <row r="635" spans="1:12">
      <c r="A635" t="str">
        <f t="shared" si="9"/>
        <v>76066088</v>
      </c>
      <c r="B635">
        <v>76066088</v>
      </c>
      <c r="C635" t="s">
        <v>5917</v>
      </c>
      <c r="D635" t="s">
        <v>5918</v>
      </c>
      <c r="E635">
        <v>4408592</v>
      </c>
      <c r="F635" t="s">
        <v>742</v>
      </c>
      <c r="G635" t="s">
        <v>823</v>
      </c>
      <c r="H635" t="s">
        <v>879</v>
      </c>
      <c r="I635" s="12">
        <v>45916</v>
      </c>
      <c r="J635">
        <v>1</v>
      </c>
      <c r="K635" t="str">
        <f>VLOOKUP(A635,'TV May Monthly Billing Sites'!$A:$L,1,0)</f>
        <v>76066088</v>
      </c>
    </row>
    <row r="636" spans="1:12">
      <c r="A636" t="str">
        <f t="shared" si="9"/>
        <v>76066091</v>
      </c>
      <c r="B636">
        <v>76066091</v>
      </c>
      <c r="C636" t="s">
        <v>5919</v>
      </c>
      <c r="D636" t="s">
        <v>2691</v>
      </c>
      <c r="E636">
        <v>4408593</v>
      </c>
      <c r="F636" t="s">
        <v>742</v>
      </c>
      <c r="G636" t="s">
        <v>782</v>
      </c>
      <c r="H636" t="s">
        <v>879</v>
      </c>
      <c r="I636" s="12">
        <v>45820</v>
      </c>
      <c r="J636">
        <v>1</v>
      </c>
      <c r="K636" t="str">
        <f>VLOOKUP(A636,'TV May Monthly Billing Sites'!$A:$L,1,0)</f>
        <v>76066091</v>
      </c>
    </row>
    <row r="637" spans="1:12">
      <c r="A637" t="str">
        <f t="shared" si="9"/>
        <v>76066100</v>
      </c>
      <c r="B637">
        <v>76066100</v>
      </c>
      <c r="C637" t="s">
        <v>5920</v>
      </c>
      <c r="D637" t="s">
        <v>2693</v>
      </c>
      <c r="E637">
        <v>4508714</v>
      </c>
      <c r="F637" t="s">
        <v>742</v>
      </c>
      <c r="G637" t="s">
        <v>743</v>
      </c>
      <c r="H637" t="s">
        <v>5921</v>
      </c>
      <c r="I637" s="12">
        <v>45721</v>
      </c>
      <c r="J637">
        <v>1</v>
      </c>
      <c r="K637" t="str">
        <f>VLOOKUP(A637,'TV May Monthly Billing Sites'!$A:$L,1,0)</f>
        <v>76066100</v>
      </c>
    </row>
    <row r="638" spans="1:12">
      <c r="A638" t="str">
        <f t="shared" si="9"/>
        <v>76066101</v>
      </c>
      <c r="B638">
        <v>76066101</v>
      </c>
      <c r="C638" t="s">
        <v>5922</v>
      </c>
      <c r="D638" t="s">
        <v>5923</v>
      </c>
      <c r="E638">
        <v>4508714</v>
      </c>
      <c r="F638" t="s">
        <v>742</v>
      </c>
      <c r="G638" t="s">
        <v>743</v>
      </c>
      <c r="H638" t="s">
        <v>5921</v>
      </c>
      <c r="I638" s="12">
        <v>45925</v>
      </c>
      <c r="J638">
        <v>1</v>
      </c>
      <c r="K638" t="str">
        <f>VLOOKUP(A638,'TV May Monthly Billing Sites'!$A:$L,1,0)</f>
        <v>76066101</v>
      </c>
    </row>
    <row r="639" spans="1:12">
      <c r="A639" t="str">
        <f t="shared" si="9"/>
        <v>76066140</v>
      </c>
      <c r="B639">
        <v>76066140</v>
      </c>
      <c r="C639" t="s">
        <v>5924</v>
      </c>
      <c r="D639" t="s">
        <v>5925</v>
      </c>
      <c r="E639">
        <v>4408593</v>
      </c>
      <c r="F639" t="s">
        <v>742</v>
      </c>
      <c r="G639" t="s">
        <v>782</v>
      </c>
      <c r="H639" t="s">
        <v>5926</v>
      </c>
      <c r="I639" s="12">
        <v>45646</v>
      </c>
      <c r="J639">
        <v>1</v>
      </c>
      <c r="K639" t="str">
        <f>VLOOKUP(A639,'TV May Monthly Billing Sites'!$A:$L,1,0)</f>
        <v>76066140</v>
      </c>
    </row>
    <row r="640" spans="1:12">
      <c r="A640" t="str">
        <f t="shared" si="9"/>
        <v>76066350</v>
      </c>
      <c r="B640">
        <v>76066350</v>
      </c>
      <c r="C640" t="s">
        <v>5927</v>
      </c>
      <c r="D640" t="s">
        <v>2699</v>
      </c>
      <c r="E640">
        <v>4508714</v>
      </c>
      <c r="F640" t="s">
        <v>742</v>
      </c>
      <c r="G640" t="s">
        <v>743</v>
      </c>
      <c r="H640" t="s">
        <v>860</v>
      </c>
      <c r="I640" s="12">
        <v>45604</v>
      </c>
      <c r="J640">
        <v>1</v>
      </c>
      <c r="K640" t="str">
        <f>VLOOKUP(A640,'TV May Monthly Billing Sites'!$A:$L,1,0)</f>
        <v>76066350</v>
      </c>
    </row>
    <row r="641" spans="1:12">
      <c r="A641" t="str">
        <f t="shared" si="9"/>
        <v>76066353</v>
      </c>
      <c r="B641">
        <v>76066353</v>
      </c>
      <c r="C641" t="s">
        <v>5928</v>
      </c>
      <c r="D641" t="s">
        <v>5929</v>
      </c>
      <c r="E641">
        <v>4508714</v>
      </c>
      <c r="F641" t="s">
        <v>742</v>
      </c>
      <c r="G641" t="s">
        <v>743</v>
      </c>
      <c r="H641" t="s">
        <v>860</v>
      </c>
      <c r="I641" s="12">
        <v>45604</v>
      </c>
      <c r="J641">
        <v>1</v>
      </c>
      <c r="K641" t="str">
        <f>VLOOKUP(A641,'TV May Monthly Billing Sites'!$A:$L,1,0)</f>
        <v>76066353</v>
      </c>
    </row>
    <row r="642" spans="1:12">
      <c r="A642" t="str">
        <f t="shared" ref="A642:A705" si="10">TRIM(B642)</f>
        <v>76066680</v>
      </c>
      <c r="B642">
        <v>76066680</v>
      </c>
      <c r="C642" t="s">
        <v>5930</v>
      </c>
      <c r="D642" t="s">
        <v>2703</v>
      </c>
      <c r="E642">
        <v>4408593</v>
      </c>
      <c r="F642" t="s">
        <v>742</v>
      </c>
      <c r="G642" t="s">
        <v>782</v>
      </c>
      <c r="H642" t="s">
        <v>5931</v>
      </c>
      <c r="I642" s="12">
        <v>46121</v>
      </c>
      <c r="J642">
        <v>1</v>
      </c>
      <c r="K642" t="str">
        <f>VLOOKUP(A642,'TV May Monthly Billing Sites'!$A:$L,1,0)</f>
        <v>76066680</v>
      </c>
    </row>
    <row r="643" spans="1:12">
      <c r="A643" t="str">
        <f t="shared" si="10"/>
        <v>76066702</v>
      </c>
      <c r="B643">
        <v>76066702</v>
      </c>
      <c r="C643" t="s">
        <v>5932</v>
      </c>
      <c r="D643" t="s">
        <v>2705</v>
      </c>
      <c r="E643">
        <v>4508714</v>
      </c>
      <c r="F643" t="s">
        <v>742</v>
      </c>
      <c r="G643" t="s">
        <v>743</v>
      </c>
      <c r="H643" t="s">
        <v>5933</v>
      </c>
      <c r="I643" s="12">
        <v>45624</v>
      </c>
      <c r="J643">
        <v>1</v>
      </c>
      <c r="K643" t="str">
        <f>VLOOKUP(A643,'TV May Monthly Billing Sites'!$A:$L,1,0)</f>
        <v>76066702</v>
      </c>
    </row>
    <row r="644" spans="1:12">
      <c r="A644" t="str">
        <f t="shared" si="10"/>
        <v>76066716</v>
      </c>
      <c r="B644">
        <v>76066716</v>
      </c>
      <c r="C644" t="s">
        <v>5934</v>
      </c>
      <c r="D644" t="s">
        <v>5935</v>
      </c>
      <c r="E644">
        <v>4508714</v>
      </c>
      <c r="F644" t="s">
        <v>742</v>
      </c>
      <c r="G644" t="s">
        <v>743</v>
      </c>
      <c r="H644" t="s">
        <v>5933</v>
      </c>
      <c r="I644" s="12">
        <v>45624</v>
      </c>
      <c r="J644">
        <v>1</v>
      </c>
      <c r="K644" t="str">
        <f>VLOOKUP(A644,'TV May Monthly Billing Sites'!$A:$L,1,0)</f>
        <v>76066716</v>
      </c>
    </row>
    <row r="645" spans="1:12">
      <c r="A645" t="str">
        <f t="shared" si="10"/>
        <v>76067157</v>
      </c>
      <c r="B645">
        <v>76067157</v>
      </c>
      <c r="C645" t="s">
        <v>5936</v>
      </c>
      <c r="D645" t="s">
        <v>5937</v>
      </c>
      <c r="E645">
        <v>4508714</v>
      </c>
      <c r="F645" t="s">
        <v>742</v>
      </c>
      <c r="G645" t="s">
        <v>743</v>
      </c>
      <c r="H645" t="s">
        <v>778</v>
      </c>
      <c r="I645" s="12">
        <v>45967</v>
      </c>
      <c r="J645">
        <v>1</v>
      </c>
      <c r="K645" t="str">
        <f>VLOOKUP(A645,'TV May Monthly Billing Sites'!$A:$L,1,0)</f>
        <v>76067157</v>
      </c>
    </row>
    <row r="646" spans="1:12">
      <c r="A646" t="str">
        <f t="shared" si="10"/>
        <v>76067225</v>
      </c>
      <c r="B646">
        <v>76067225</v>
      </c>
      <c r="C646" t="s">
        <v>5938</v>
      </c>
      <c r="D646" t="s">
        <v>2711</v>
      </c>
      <c r="E646">
        <v>4508714</v>
      </c>
      <c r="F646" t="s">
        <v>742</v>
      </c>
      <c r="G646" t="s">
        <v>743</v>
      </c>
      <c r="H646" t="s">
        <v>5939</v>
      </c>
      <c r="I646" s="12">
        <v>45713</v>
      </c>
      <c r="J646">
        <v>1</v>
      </c>
      <c r="K646" t="str">
        <f>VLOOKUP(A646,'TV May Monthly Billing Sites'!$A:$L,1,0)</f>
        <v>76067225</v>
      </c>
    </row>
    <row r="647" spans="1:12">
      <c r="A647" t="str">
        <f t="shared" si="10"/>
        <v>76067320</v>
      </c>
      <c r="B647">
        <v>76067320</v>
      </c>
      <c r="C647" t="s">
        <v>5940</v>
      </c>
      <c r="D647" t="s">
        <v>2713</v>
      </c>
      <c r="E647">
        <v>4508714</v>
      </c>
      <c r="F647" t="s">
        <v>742</v>
      </c>
      <c r="G647" t="s">
        <v>743</v>
      </c>
      <c r="H647" t="s">
        <v>2713</v>
      </c>
      <c r="I647" s="12">
        <v>45376</v>
      </c>
      <c r="J647">
        <v>1</v>
      </c>
      <c r="K647" t="str">
        <f>VLOOKUP(A647,'TV May Monthly Billing Sites'!$A:$L,1,0)</f>
        <v>76067320</v>
      </c>
    </row>
    <row r="648" spans="1:12">
      <c r="A648" t="str">
        <f t="shared" si="10"/>
        <v>76067505</v>
      </c>
      <c r="B648">
        <v>76067505</v>
      </c>
      <c r="C648" t="s">
        <v>5941</v>
      </c>
      <c r="D648" t="s">
        <v>2715</v>
      </c>
      <c r="E648">
        <v>4508714</v>
      </c>
      <c r="F648" t="s">
        <v>742</v>
      </c>
      <c r="G648" t="s">
        <v>743</v>
      </c>
      <c r="H648" t="s">
        <v>5942</v>
      </c>
      <c r="I648" s="12">
        <v>45982</v>
      </c>
      <c r="J648">
        <v>1</v>
      </c>
      <c r="K648" t="str">
        <f>VLOOKUP(A648,'TV May Monthly Billing Sites'!$A:$L,1,0)</f>
        <v>76067505</v>
      </c>
    </row>
    <row r="649" spans="1:12">
      <c r="A649" t="str">
        <f t="shared" si="10"/>
        <v>76067571</v>
      </c>
      <c r="B649">
        <v>76067571</v>
      </c>
      <c r="C649" t="s">
        <v>5943</v>
      </c>
      <c r="D649" t="s">
        <v>2717</v>
      </c>
      <c r="E649">
        <v>4508714</v>
      </c>
      <c r="F649" t="s">
        <v>742</v>
      </c>
      <c r="G649" t="s">
        <v>743</v>
      </c>
      <c r="H649" t="s">
        <v>1096</v>
      </c>
      <c r="I649" s="12">
        <v>45961</v>
      </c>
      <c r="J649">
        <v>1</v>
      </c>
      <c r="K649" t="str">
        <f>VLOOKUP(A649,'TV May Monthly Billing Sites'!$A:$L,1,0)</f>
        <v>76067571</v>
      </c>
    </row>
    <row r="650" spans="1:12">
      <c r="A650" t="str">
        <f t="shared" si="10"/>
        <v>76067577</v>
      </c>
      <c r="B650">
        <v>76067577</v>
      </c>
      <c r="C650" t="s">
        <v>881</v>
      </c>
      <c r="D650" t="s">
        <v>882</v>
      </c>
      <c r="E650">
        <v>4508714</v>
      </c>
      <c r="F650" t="s">
        <v>742</v>
      </c>
      <c r="G650" t="s">
        <v>743</v>
      </c>
      <c r="H650" t="s">
        <v>883</v>
      </c>
      <c r="I650" s="12">
        <v>45748</v>
      </c>
      <c r="J650">
        <v>1</v>
      </c>
      <c r="K650" t="e">
        <f>VLOOKUP(A650,'TV May Monthly Billing Sites'!$A:$L,1,0)</f>
        <v>#N/A</v>
      </c>
      <c r="L650" t="e">
        <f>VLOOKUP(D650,'TV May Monthly Billing Sites'!$B:$L,1,0)</f>
        <v>#N/A</v>
      </c>
    </row>
    <row r="651" spans="1:12">
      <c r="A651" t="str">
        <f t="shared" si="10"/>
        <v>76067624</v>
      </c>
      <c r="B651">
        <v>76067624</v>
      </c>
      <c r="C651" t="s">
        <v>5944</v>
      </c>
      <c r="D651" t="s">
        <v>5945</v>
      </c>
      <c r="E651">
        <v>4508714</v>
      </c>
      <c r="F651" t="s">
        <v>742</v>
      </c>
      <c r="G651" t="s">
        <v>743</v>
      </c>
      <c r="H651" t="s">
        <v>5632</v>
      </c>
      <c r="I651" s="12">
        <v>45644</v>
      </c>
      <c r="J651">
        <v>1</v>
      </c>
      <c r="K651" t="str">
        <f>VLOOKUP(A651,'TV May Monthly Billing Sites'!$A:$L,1,0)</f>
        <v>76067624</v>
      </c>
    </row>
    <row r="652" spans="1:12">
      <c r="A652" t="str">
        <f t="shared" si="10"/>
        <v>76067802</v>
      </c>
      <c r="B652">
        <v>76067802</v>
      </c>
      <c r="C652" t="s">
        <v>5946</v>
      </c>
      <c r="D652" t="s">
        <v>2721</v>
      </c>
      <c r="E652">
        <v>4508714</v>
      </c>
      <c r="F652" t="s">
        <v>742</v>
      </c>
      <c r="G652" t="s">
        <v>743</v>
      </c>
      <c r="H652" t="s">
        <v>4728</v>
      </c>
      <c r="I652" s="12">
        <v>45754</v>
      </c>
      <c r="J652">
        <v>1</v>
      </c>
      <c r="K652" t="str">
        <f>VLOOKUP(A652,'TV May Monthly Billing Sites'!$A:$L,1,0)</f>
        <v>76067802</v>
      </c>
    </row>
    <row r="653" spans="1:12">
      <c r="A653" t="str">
        <f t="shared" si="10"/>
        <v>76067841</v>
      </c>
      <c r="B653">
        <v>76067841</v>
      </c>
      <c r="C653" t="s">
        <v>5947</v>
      </c>
      <c r="D653" t="s">
        <v>2723</v>
      </c>
      <c r="E653">
        <v>4508714</v>
      </c>
      <c r="F653" t="s">
        <v>742</v>
      </c>
      <c r="G653" t="s">
        <v>743</v>
      </c>
      <c r="H653" t="s">
        <v>5948</v>
      </c>
      <c r="I653" s="12">
        <v>45953</v>
      </c>
      <c r="J653">
        <v>1</v>
      </c>
      <c r="K653" t="str">
        <f>VLOOKUP(A653,'TV May Monthly Billing Sites'!$A:$L,1,0)</f>
        <v>76067841</v>
      </c>
    </row>
    <row r="654" spans="1:12">
      <c r="A654" t="str">
        <f t="shared" si="10"/>
        <v>76069424</v>
      </c>
      <c r="B654">
        <v>76069424</v>
      </c>
      <c r="C654" t="s">
        <v>5949</v>
      </c>
      <c r="D654" t="s">
        <v>2725</v>
      </c>
      <c r="E654">
        <v>4408593</v>
      </c>
      <c r="F654" t="s">
        <v>742</v>
      </c>
      <c r="G654" t="s">
        <v>782</v>
      </c>
      <c r="H654" t="s">
        <v>2725</v>
      </c>
      <c r="I654" s="12">
        <v>45807</v>
      </c>
      <c r="J654">
        <v>1</v>
      </c>
      <c r="K654" t="str">
        <f>VLOOKUP(A654,'TV May Monthly Billing Sites'!$A:$L,1,0)</f>
        <v>76069424</v>
      </c>
    </row>
    <row r="655" spans="1:12">
      <c r="A655" t="str">
        <f t="shared" si="10"/>
        <v>76069739</v>
      </c>
      <c r="B655">
        <v>76069739</v>
      </c>
      <c r="C655" t="s">
        <v>5950</v>
      </c>
      <c r="D655" t="s">
        <v>908</v>
      </c>
      <c r="E655">
        <v>4408594</v>
      </c>
      <c r="F655" t="s">
        <v>742</v>
      </c>
      <c r="G655" t="s">
        <v>909</v>
      </c>
      <c r="H655" t="s">
        <v>5951</v>
      </c>
      <c r="I655" s="12">
        <v>44592</v>
      </c>
      <c r="J655">
        <v>1</v>
      </c>
      <c r="K655" t="str">
        <f>VLOOKUP(A655,'TV May Monthly Billing Sites'!$A:$L,1,0)</f>
        <v>76069739</v>
      </c>
    </row>
    <row r="656" spans="1:12">
      <c r="A656" t="str">
        <f t="shared" si="10"/>
        <v>76069861</v>
      </c>
      <c r="B656">
        <v>76069861</v>
      </c>
      <c r="C656" t="s">
        <v>5952</v>
      </c>
      <c r="D656" t="s">
        <v>5953</v>
      </c>
      <c r="E656">
        <v>4508714</v>
      </c>
      <c r="F656" t="s">
        <v>742</v>
      </c>
      <c r="G656" t="s">
        <v>743</v>
      </c>
      <c r="H656" t="s">
        <v>4846</v>
      </c>
      <c r="I656" s="12">
        <v>45625</v>
      </c>
      <c r="J656">
        <v>1</v>
      </c>
      <c r="K656" t="str">
        <f>VLOOKUP(A656,'TV May Monthly Billing Sites'!$A:$L,1,0)</f>
        <v>76069861</v>
      </c>
    </row>
    <row r="657" spans="1:12">
      <c r="A657" t="str">
        <f t="shared" si="10"/>
        <v>76070762</v>
      </c>
      <c r="B657">
        <v>76070762</v>
      </c>
      <c r="C657" t="s">
        <v>5954</v>
      </c>
      <c r="D657" t="s">
        <v>2733</v>
      </c>
      <c r="E657">
        <v>4508714</v>
      </c>
      <c r="F657" t="s">
        <v>742</v>
      </c>
      <c r="G657" t="s">
        <v>743</v>
      </c>
      <c r="H657" t="s">
        <v>4974</v>
      </c>
      <c r="I657" s="12">
        <v>45636</v>
      </c>
      <c r="J657">
        <v>1</v>
      </c>
      <c r="K657" t="str">
        <f>VLOOKUP(A657,'TV May Monthly Billing Sites'!$A:$L,1,0)</f>
        <v>76070762</v>
      </c>
    </row>
    <row r="658" spans="1:12">
      <c r="A658" t="str">
        <f t="shared" si="10"/>
        <v>76071366</v>
      </c>
      <c r="B658">
        <v>76071366</v>
      </c>
      <c r="C658" t="s">
        <v>5955</v>
      </c>
      <c r="D658" t="s">
        <v>2735</v>
      </c>
      <c r="E658">
        <v>4508714</v>
      </c>
      <c r="F658" t="s">
        <v>742</v>
      </c>
      <c r="G658" t="s">
        <v>743</v>
      </c>
      <c r="H658" t="s">
        <v>5956</v>
      </c>
      <c r="I658" s="12">
        <v>45839</v>
      </c>
      <c r="J658">
        <v>1</v>
      </c>
      <c r="K658" t="str">
        <f>VLOOKUP(A658,'TV May Monthly Billing Sites'!$A:$L,1,0)</f>
        <v>76071366</v>
      </c>
    </row>
    <row r="659" spans="1:12">
      <c r="A659" t="str">
        <f t="shared" si="10"/>
        <v>76071528</v>
      </c>
      <c r="B659">
        <v>76071528</v>
      </c>
      <c r="C659" t="s">
        <v>5957</v>
      </c>
      <c r="D659" t="s">
        <v>2737</v>
      </c>
      <c r="E659">
        <v>4408592</v>
      </c>
      <c r="F659" t="s">
        <v>742</v>
      </c>
      <c r="G659" t="s">
        <v>823</v>
      </c>
      <c r="H659" t="s">
        <v>5508</v>
      </c>
      <c r="I659" s="12">
        <v>45412</v>
      </c>
      <c r="J659">
        <v>1</v>
      </c>
      <c r="K659" t="str">
        <f>VLOOKUP(A659,'TV May Monthly Billing Sites'!$A:$L,1,0)</f>
        <v>76071528</v>
      </c>
    </row>
    <row r="660" spans="1:12">
      <c r="A660" t="str">
        <f t="shared" si="10"/>
        <v>76071552</v>
      </c>
      <c r="B660">
        <v>76071552</v>
      </c>
      <c r="C660" t="s">
        <v>5958</v>
      </c>
      <c r="D660" t="s">
        <v>5959</v>
      </c>
      <c r="E660">
        <v>4408592</v>
      </c>
      <c r="F660" t="s">
        <v>742</v>
      </c>
      <c r="G660" t="s">
        <v>823</v>
      </c>
      <c r="H660" t="s">
        <v>2739</v>
      </c>
      <c r="I660" s="12">
        <v>45401</v>
      </c>
      <c r="J660">
        <v>1</v>
      </c>
      <c r="K660" t="str">
        <f>VLOOKUP(A660,'TV May Monthly Billing Sites'!$A:$L,1,0)</f>
        <v>76071552</v>
      </c>
    </row>
    <row r="661" spans="1:12">
      <c r="A661" t="str">
        <f t="shared" si="10"/>
        <v>76072153</v>
      </c>
      <c r="B661">
        <v>76072153</v>
      </c>
      <c r="C661" t="s">
        <v>885</v>
      </c>
      <c r="D661" t="s">
        <v>886</v>
      </c>
      <c r="E661">
        <v>4508714</v>
      </c>
      <c r="F661" t="s">
        <v>742</v>
      </c>
      <c r="G661" t="s">
        <v>743</v>
      </c>
      <c r="H661" t="s">
        <v>762</v>
      </c>
      <c r="I661" s="12">
        <v>45622</v>
      </c>
      <c r="J661">
        <v>1</v>
      </c>
      <c r="K661" t="e">
        <f>VLOOKUP(A661,'TV May Monthly Billing Sites'!$A:$L,1,0)</f>
        <v>#N/A</v>
      </c>
      <c r="L661" t="e">
        <f>VLOOKUP(D661,'TV May Monthly Billing Sites'!$B:$L,1,0)</f>
        <v>#N/A</v>
      </c>
    </row>
    <row r="662" spans="1:12">
      <c r="A662" t="str">
        <f t="shared" si="10"/>
        <v>76072230</v>
      </c>
      <c r="B662">
        <v>76072230</v>
      </c>
      <c r="C662" t="s">
        <v>5960</v>
      </c>
      <c r="D662" t="s">
        <v>5961</v>
      </c>
      <c r="E662">
        <v>4408593</v>
      </c>
      <c r="F662" t="s">
        <v>742</v>
      </c>
      <c r="G662" t="s">
        <v>782</v>
      </c>
      <c r="H662" t="s">
        <v>5962</v>
      </c>
      <c r="I662" s="12">
        <v>46098</v>
      </c>
      <c r="J662">
        <v>1</v>
      </c>
      <c r="K662" t="str">
        <f>VLOOKUP(A662,'TV May Monthly Billing Sites'!$A:$L,1,0)</f>
        <v>76072230</v>
      </c>
    </row>
    <row r="663" spans="1:12">
      <c r="A663" t="str">
        <f t="shared" si="10"/>
        <v>76072262</v>
      </c>
      <c r="B663">
        <v>76072262</v>
      </c>
      <c r="C663" t="s">
        <v>888</v>
      </c>
      <c r="D663" t="s">
        <v>889</v>
      </c>
      <c r="E663">
        <v>4508714</v>
      </c>
      <c r="F663" t="s">
        <v>742</v>
      </c>
      <c r="G663" t="s">
        <v>743</v>
      </c>
      <c r="H663" t="s">
        <v>852</v>
      </c>
      <c r="I663" s="12">
        <v>45545</v>
      </c>
      <c r="J663">
        <v>1</v>
      </c>
      <c r="K663" t="e">
        <f>VLOOKUP(A663,'TV May Monthly Billing Sites'!$A:$L,1,0)</f>
        <v>#N/A</v>
      </c>
      <c r="L663" t="e">
        <f>VLOOKUP(D663,'TV May Monthly Billing Sites'!$B:$L,1,0)</f>
        <v>#N/A</v>
      </c>
    </row>
    <row r="664" spans="1:12">
      <c r="A664" t="str">
        <f t="shared" si="10"/>
        <v>76072430</v>
      </c>
      <c r="B664">
        <v>76072430</v>
      </c>
      <c r="C664" t="s">
        <v>5963</v>
      </c>
      <c r="D664" t="s">
        <v>2743</v>
      </c>
      <c r="E664">
        <v>4508714</v>
      </c>
      <c r="F664" t="s">
        <v>742</v>
      </c>
      <c r="G664" t="s">
        <v>743</v>
      </c>
      <c r="H664" t="s">
        <v>751</v>
      </c>
      <c r="I664" s="12">
        <v>45747</v>
      </c>
      <c r="J664">
        <v>1</v>
      </c>
      <c r="K664" t="str">
        <f>VLOOKUP(A664,'TV May Monthly Billing Sites'!$A:$L,1,0)</f>
        <v>76072430</v>
      </c>
    </row>
    <row r="665" spans="1:12">
      <c r="A665" t="str">
        <f t="shared" si="10"/>
        <v>76072436</v>
      </c>
      <c r="B665">
        <v>76072436</v>
      </c>
      <c r="C665" t="s">
        <v>5964</v>
      </c>
      <c r="D665" t="s">
        <v>2745</v>
      </c>
      <c r="E665">
        <v>4508714</v>
      </c>
      <c r="F665" t="s">
        <v>742</v>
      </c>
      <c r="G665" t="s">
        <v>743</v>
      </c>
      <c r="H665" t="s">
        <v>751</v>
      </c>
      <c r="I665" s="12">
        <v>45747</v>
      </c>
      <c r="J665">
        <v>1</v>
      </c>
      <c r="K665" t="str">
        <f>VLOOKUP(A665,'TV May Monthly Billing Sites'!$A:$L,1,0)</f>
        <v>76072436</v>
      </c>
    </row>
    <row r="666" spans="1:12">
      <c r="A666" t="str">
        <f t="shared" si="10"/>
        <v>76072437</v>
      </c>
      <c r="B666">
        <v>76072437</v>
      </c>
      <c r="C666" t="s">
        <v>891</v>
      </c>
      <c r="D666" t="s">
        <v>892</v>
      </c>
      <c r="E666">
        <v>4508714</v>
      </c>
      <c r="F666" t="s">
        <v>742</v>
      </c>
      <c r="G666" t="s">
        <v>743</v>
      </c>
      <c r="H666" t="s">
        <v>751</v>
      </c>
      <c r="I666" s="12">
        <v>45747</v>
      </c>
      <c r="J666">
        <v>1</v>
      </c>
      <c r="K666" t="e">
        <f>VLOOKUP(A666,'TV May Monthly Billing Sites'!$A:$L,1,0)</f>
        <v>#N/A</v>
      </c>
      <c r="L666" t="e">
        <f>VLOOKUP(D666,'TV May Monthly Billing Sites'!$B:$L,1,0)</f>
        <v>#N/A</v>
      </c>
    </row>
    <row r="667" spans="1:12">
      <c r="A667" t="str">
        <f t="shared" si="10"/>
        <v>76072713</v>
      </c>
      <c r="B667">
        <v>76072713</v>
      </c>
      <c r="C667" t="s">
        <v>5965</v>
      </c>
      <c r="D667" t="s">
        <v>5966</v>
      </c>
      <c r="E667">
        <v>4508714</v>
      </c>
      <c r="F667" t="s">
        <v>742</v>
      </c>
      <c r="G667" t="s">
        <v>743</v>
      </c>
      <c r="H667" t="s">
        <v>5742</v>
      </c>
      <c r="I667" s="12">
        <v>45628</v>
      </c>
      <c r="J667">
        <v>1</v>
      </c>
      <c r="K667" t="str">
        <f>VLOOKUP(A667,'TV May Monthly Billing Sites'!$A:$L,1,0)</f>
        <v>76072713</v>
      </c>
    </row>
    <row r="668" spans="1:12">
      <c r="A668" t="str">
        <f t="shared" si="10"/>
        <v>76072714</v>
      </c>
      <c r="B668">
        <v>76072714</v>
      </c>
      <c r="C668" t="s">
        <v>5967</v>
      </c>
      <c r="D668" t="s">
        <v>5968</v>
      </c>
      <c r="E668">
        <v>4508714</v>
      </c>
      <c r="F668" t="s">
        <v>742</v>
      </c>
      <c r="G668" t="s">
        <v>743</v>
      </c>
      <c r="H668" t="s">
        <v>2749</v>
      </c>
      <c r="I668" s="12">
        <v>46024</v>
      </c>
      <c r="J668">
        <v>1</v>
      </c>
      <c r="K668" t="str">
        <f>VLOOKUP(A668,'TV May Monthly Billing Sites'!$A:$L,1,0)</f>
        <v>76072714</v>
      </c>
    </row>
    <row r="669" spans="1:12">
      <c r="A669" t="str">
        <f t="shared" si="10"/>
        <v>76072787</v>
      </c>
      <c r="B669">
        <v>76072787</v>
      </c>
      <c r="C669" t="s">
        <v>5969</v>
      </c>
      <c r="D669" t="s">
        <v>2751</v>
      </c>
      <c r="E669">
        <v>4408593</v>
      </c>
      <c r="F669" t="s">
        <v>742</v>
      </c>
      <c r="G669" t="s">
        <v>782</v>
      </c>
      <c r="H669" t="s">
        <v>5970</v>
      </c>
      <c r="I669" s="12">
        <v>44593</v>
      </c>
      <c r="J669">
        <v>1</v>
      </c>
      <c r="K669" t="str">
        <f>VLOOKUP(A669,'TV May Monthly Billing Sites'!$A:$L,1,0)</f>
        <v>76072787</v>
      </c>
    </row>
    <row r="670" spans="1:12">
      <c r="A670" t="str">
        <f t="shared" si="10"/>
        <v>76072815</v>
      </c>
      <c r="B670">
        <v>76072815</v>
      </c>
      <c r="C670" t="s">
        <v>5971</v>
      </c>
      <c r="D670" t="s">
        <v>5972</v>
      </c>
      <c r="E670">
        <v>4508714</v>
      </c>
      <c r="F670" t="s">
        <v>742</v>
      </c>
      <c r="G670" t="s">
        <v>743</v>
      </c>
      <c r="H670" t="s">
        <v>5973</v>
      </c>
      <c r="I670" s="12">
        <v>45776</v>
      </c>
      <c r="J670">
        <v>1</v>
      </c>
      <c r="K670" t="str">
        <f>VLOOKUP(A670,'TV May Monthly Billing Sites'!$A:$L,1,0)</f>
        <v>76072815</v>
      </c>
    </row>
    <row r="671" spans="1:12">
      <c r="A671" t="str">
        <f t="shared" si="10"/>
        <v>76073308</v>
      </c>
      <c r="B671">
        <v>76073308</v>
      </c>
      <c r="C671" t="s">
        <v>5974</v>
      </c>
      <c r="D671" t="s">
        <v>2755</v>
      </c>
      <c r="E671">
        <v>4508675</v>
      </c>
      <c r="F671" t="s">
        <v>742</v>
      </c>
      <c r="G671" t="s">
        <v>828</v>
      </c>
      <c r="H671" t="s">
        <v>5059</v>
      </c>
      <c r="I671" s="12">
        <v>45694</v>
      </c>
      <c r="J671">
        <v>1</v>
      </c>
      <c r="K671" t="str">
        <f>VLOOKUP(A671,'TV May Monthly Billing Sites'!$A:$L,1,0)</f>
        <v>76073308</v>
      </c>
    </row>
    <row r="672" spans="1:12">
      <c r="A672" t="str">
        <f t="shared" si="10"/>
        <v>76073359</v>
      </c>
      <c r="B672">
        <v>76073359</v>
      </c>
      <c r="C672" t="s">
        <v>5975</v>
      </c>
      <c r="D672" t="s">
        <v>2757</v>
      </c>
      <c r="E672">
        <v>4408592</v>
      </c>
      <c r="F672" t="s">
        <v>742</v>
      </c>
      <c r="G672" t="s">
        <v>823</v>
      </c>
      <c r="H672" t="s">
        <v>5976</v>
      </c>
      <c r="I672" s="12">
        <v>45523</v>
      </c>
      <c r="J672">
        <v>1</v>
      </c>
      <c r="K672" t="str">
        <f>VLOOKUP(A672,'TV May Monthly Billing Sites'!$A:$L,1,0)</f>
        <v>76073359</v>
      </c>
    </row>
    <row r="673" spans="1:12">
      <c r="A673" t="str">
        <f t="shared" si="10"/>
        <v>76073516</v>
      </c>
      <c r="B673">
        <v>76073516</v>
      </c>
      <c r="C673" t="s">
        <v>5977</v>
      </c>
      <c r="D673" t="s">
        <v>5978</v>
      </c>
      <c r="E673">
        <v>4508675</v>
      </c>
      <c r="F673" t="s">
        <v>742</v>
      </c>
      <c r="G673" t="s">
        <v>828</v>
      </c>
      <c r="H673" t="s">
        <v>5810</v>
      </c>
      <c r="I673" s="12">
        <v>45764</v>
      </c>
      <c r="J673">
        <v>1</v>
      </c>
      <c r="K673" t="str">
        <f>VLOOKUP(A673,'TV May Monthly Billing Sites'!$A:$L,1,0)</f>
        <v>76073516</v>
      </c>
    </row>
    <row r="674" spans="1:12">
      <c r="A674" t="str">
        <f t="shared" si="10"/>
        <v>76073554</v>
      </c>
      <c r="B674">
        <v>76073554</v>
      </c>
      <c r="C674" t="s">
        <v>5979</v>
      </c>
      <c r="D674" t="s">
        <v>2761</v>
      </c>
      <c r="E674">
        <v>4508714</v>
      </c>
      <c r="F674" t="s">
        <v>742</v>
      </c>
      <c r="G674" t="s">
        <v>743</v>
      </c>
      <c r="H674" t="s">
        <v>5948</v>
      </c>
      <c r="I674" s="12">
        <v>45953</v>
      </c>
      <c r="J674">
        <v>1</v>
      </c>
      <c r="K674" t="str">
        <f>VLOOKUP(A674,'TV May Monthly Billing Sites'!$A:$L,1,0)</f>
        <v>76073554</v>
      </c>
    </row>
    <row r="675" spans="1:12">
      <c r="A675" t="str">
        <f t="shared" si="10"/>
        <v>76073606</v>
      </c>
      <c r="B675">
        <v>76073606</v>
      </c>
      <c r="C675" t="s">
        <v>894</v>
      </c>
      <c r="D675" t="s">
        <v>895</v>
      </c>
      <c r="E675">
        <v>4408592</v>
      </c>
      <c r="F675" t="s">
        <v>742</v>
      </c>
      <c r="G675" t="s">
        <v>823</v>
      </c>
      <c r="H675" t="s">
        <v>896</v>
      </c>
      <c r="I675" s="12">
        <v>45846</v>
      </c>
      <c r="J675">
        <v>1</v>
      </c>
      <c r="K675" t="e">
        <f>VLOOKUP(A675,'TV May Monthly Billing Sites'!$A:$L,1,0)</f>
        <v>#N/A</v>
      </c>
      <c r="L675" t="e">
        <f>VLOOKUP(D675,'TV May Monthly Billing Sites'!$B:$L,1,0)</f>
        <v>#N/A</v>
      </c>
    </row>
    <row r="676" spans="1:12">
      <c r="A676" t="str">
        <f t="shared" si="10"/>
        <v>76073738</v>
      </c>
      <c r="B676">
        <v>76073738</v>
      </c>
      <c r="C676" t="s">
        <v>5980</v>
      </c>
      <c r="D676" t="s">
        <v>5981</v>
      </c>
      <c r="E676">
        <v>4508714</v>
      </c>
      <c r="F676" t="s">
        <v>742</v>
      </c>
      <c r="G676" t="s">
        <v>743</v>
      </c>
      <c r="H676" t="s">
        <v>5982</v>
      </c>
      <c r="I676" s="12">
        <v>45807</v>
      </c>
      <c r="J676">
        <v>1</v>
      </c>
      <c r="K676" t="str">
        <f>VLOOKUP(A676,'TV May Monthly Billing Sites'!$A:$L,1,0)</f>
        <v>76073738</v>
      </c>
    </row>
    <row r="677" spans="1:12">
      <c r="A677" t="str">
        <f t="shared" si="10"/>
        <v>76073739</v>
      </c>
      <c r="B677">
        <v>76073739</v>
      </c>
      <c r="C677" t="s">
        <v>898</v>
      </c>
      <c r="D677" t="s">
        <v>899</v>
      </c>
      <c r="E677">
        <v>4508714</v>
      </c>
      <c r="F677" t="s">
        <v>742</v>
      </c>
      <c r="G677" t="s">
        <v>743</v>
      </c>
      <c r="H677" t="s">
        <v>900</v>
      </c>
      <c r="I677" s="12">
        <v>45726</v>
      </c>
      <c r="J677">
        <v>1</v>
      </c>
      <c r="K677" t="e">
        <f>VLOOKUP(A677,'TV May Monthly Billing Sites'!$A:$L,1,0)</f>
        <v>#N/A</v>
      </c>
      <c r="L677" t="e">
        <f>VLOOKUP(D677,'TV May Monthly Billing Sites'!$B:$L,1,0)</f>
        <v>#N/A</v>
      </c>
    </row>
    <row r="678" spans="1:12">
      <c r="A678" t="str">
        <f t="shared" si="10"/>
        <v>76074106</v>
      </c>
      <c r="B678">
        <v>76074106</v>
      </c>
      <c r="C678" t="s">
        <v>5983</v>
      </c>
      <c r="D678" t="s">
        <v>2765</v>
      </c>
      <c r="E678">
        <v>4508714</v>
      </c>
      <c r="F678" t="s">
        <v>742</v>
      </c>
      <c r="G678" t="s">
        <v>743</v>
      </c>
      <c r="H678" t="s">
        <v>2765</v>
      </c>
      <c r="I678" s="12">
        <v>46015</v>
      </c>
      <c r="J678">
        <v>1</v>
      </c>
      <c r="K678" t="str">
        <f>VLOOKUP(A678,'TV May Monthly Billing Sites'!$A:$L,1,0)</f>
        <v>76074106</v>
      </c>
    </row>
    <row r="679" spans="1:12">
      <c r="A679" t="str">
        <f t="shared" si="10"/>
        <v>76074251</v>
      </c>
      <c r="B679">
        <v>76074251</v>
      </c>
      <c r="C679" t="s">
        <v>5984</v>
      </c>
      <c r="D679" t="s">
        <v>2767</v>
      </c>
      <c r="E679">
        <v>4408593</v>
      </c>
      <c r="F679" t="s">
        <v>742</v>
      </c>
      <c r="G679" t="s">
        <v>782</v>
      </c>
      <c r="H679" t="s">
        <v>1171</v>
      </c>
      <c r="I679" s="12">
        <v>45618</v>
      </c>
      <c r="J679">
        <v>1</v>
      </c>
      <c r="K679" t="str">
        <f>VLOOKUP(A679,'TV May Monthly Billing Sites'!$A:$L,1,0)</f>
        <v>76074251</v>
      </c>
    </row>
    <row r="680" spans="1:12">
      <c r="A680" t="str">
        <f t="shared" si="10"/>
        <v>76074276</v>
      </c>
      <c r="B680">
        <v>76074276</v>
      </c>
      <c r="C680" t="s">
        <v>902</v>
      </c>
      <c r="D680" t="s">
        <v>903</v>
      </c>
      <c r="E680">
        <v>4508685</v>
      </c>
      <c r="F680" t="s">
        <v>742</v>
      </c>
      <c r="G680" t="s">
        <v>904</v>
      </c>
      <c r="H680" t="s">
        <v>905</v>
      </c>
      <c r="I680" s="12">
        <v>45581</v>
      </c>
      <c r="J680">
        <v>2</v>
      </c>
      <c r="K680" t="e">
        <f>VLOOKUP(A680,'TV May Monthly Billing Sites'!$A:$L,1,0)</f>
        <v>#N/A</v>
      </c>
      <c r="L680" t="e">
        <f>VLOOKUP(D680,'TV May Monthly Billing Sites'!$B:$L,1,0)</f>
        <v>#N/A</v>
      </c>
    </row>
    <row r="681" spans="1:12">
      <c r="A681" t="str">
        <f t="shared" si="10"/>
        <v>76074483</v>
      </c>
      <c r="B681">
        <v>76074483</v>
      </c>
      <c r="C681" t="s">
        <v>5985</v>
      </c>
      <c r="D681" t="s">
        <v>2769</v>
      </c>
      <c r="E681">
        <v>4508675</v>
      </c>
      <c r="F681" t="s">
        <v>742</v>
      </c>
      <c r="G681" t="s">
        <v>828</v>
      </c>
      <c r="H681" t="s">
        <v>5986</v>
      </c>
      <c r="I681" s="12">
        <v>45630</v>
      </c>
      <c r="J681">
        <v>1</v>
      </c>
      <c r="K681" t="str">
        <f>VLOOKUP(A681,'TV May Monthly Billing Sites'!$A:$L,1,0)</f>
        <v>76074483</v>
      </c>
    </row>
    <row r="682" spans="1:12">
      <c r="A682" t="str">
        <f t="shared" si="10"/>
        <v>76074486</v>
      </c>
      <c r="B682">
        <v>76074486</v>
      </c>
      <c r="C682" t="s">
        <v>5987</v>
      </c>
      <c r="D682" t="s">
        <v>2771</v>
      </c>
      <c r="E682">
        <v>4508675</v>
      </c>
      <c r="F682" t="s">
        <v>742</v>
      </c>
      <c r="G682" t="s">
        <v>828</v>
      </c>
      <c r="H682" t="s">
        <v>5986</v>
      </c>
      <c r="I682" s="12">
        <v>45630</v>
      </c>
      <c r="J682">
        <v>1</v>
      </c>
      <c r="K682" t="str">
        <f>VLOOKUP(A682,'TV May Monthly Billing Sites'!$A:$L,1,0)</f>
        <v>76074486</v>
      </c>
    </row>
    <row r="683" spans="1:12">
      <c r="A683" t="str">
        <f t="shared" si="10"/>
        <v>76074595</v>
      </c>
      <c r="B683">
        <v>76074595</v>
      </c>
      <c r="C683" t="s">
        <v>5988</v>
      </c>
      <c r="D683" t="s">
        <v>5989</v>
      </c>
      <c r="E683">
        <v>4508714</v>
      </c>
      <c r="F683" t="s">
        <v>742</v>
      </c>
      <c r="G683" t="s">
        <v>743</v>
      </c>
      <c r="H683" t="s">
        <v>5366</v>
      </c>
      <c r="I683" s="12">
        <v>45559</v>
      </c>
      <c r="J683">
        <v>1</v>
      </c>
      <c r="K683" t="str">
        <f>VLOOKUP(A683,'TV May Monthly Billing Sites'!$A:$L,1,0)</f>
        <v>76074595</v>
      </c>
    </row>
    <row r="684" spans="1:12">
      <c r="A684" t="str">
        <f t="shared" si="10"/>
        <v>76074728</v>
      </c>
      <c r="B684">
        <v>76074728</v>
      </c>
      <c r="C684" t="s">
        <v>5990</v>
      </c>
      <c r="D684" t="s">
        <v>5991</v>
      </c>
      <c r="E684">
        <v>4508714</v>
      </c>
      <c r="F684" t="s">
        <v>742</v>
      </c>
      <c r="G684" t="s">
        <v>743</v>
      </c>
      <c r="H684" t="s">
        <v>5992</v>
      </c>
      <c r="I684" s="12">
        <v>45293</v>
      </c>
      <c r="J684">
        <v>1</v>
      </c>
      <c r="K684" t="str">
        <f>VLOOKUP(A684,'TV May Monthly Billing Sites'!$A:$L,1,0)</f>
        <v>76074728</v>
      </c>
    </row>
    <row r="685" spans="1:12">
      <c r="A685" t="str">
        <f t="shared" si="10"/>
        <v>76074827</v>
      </c>
      <c r="B685">
        <v>76074827</v>
      </c>
      <c r="C685" t="s">
        <v>5993</v>
      </c>
      <c r="D685" t="s">
        <v>5994</v>
      </c>
      <c r="E685">
        <v>4508714</v>
      </c>
      <c r="F685" t="s">
        <v>742</v>
      </c>
      <c r="G685" t="s">
        <v>743</v>
      </c>
      <c r="H685" t="s">
        <v>5995</v>
      </c>
      <c r="I685" s="12">
        <v>45869</v>
      </c>
      <c r="J685">
        <v>1</v>
      </c>
      <c r="K685" t="str">
        <f>VLOOKUP(A685,'TV May Monthly Billing Sites'!$A:$L,1,0)</f>
        <v>76074827</v>
      </c>
    </row>
    <row r="686" spans="1:12">
      <c r="A686" t="str">
        <f t="shared" si="10"/>
        <v>76075454</v>
      </c>
      <c r="B686">
        <v>76075454</v>
      </c>
      <c r="C686" t="s">
        <v>907</v>
      </c>
      <c r="D686" t="s">
        <v>908</v>
      </c>
      <c r="E686">
        <v>4408594</v>
      </c>
      <c r="F686" t="s">
        <v>742</v>
      </c>
      <c r="G686" t="s">
        <v>909</v>
      </c>
      <c r="H686" t="s">
        <v>910</v>
      </c>
      <c r="I686" s="12">
        <v>44530</v>
      </c>
      <c r="J686">
        <v>1</v>
      </c>
      <c r="K686" t="e">
        <f>VLOOKUP(A686,'TV May Monthly Billing Sites'!$A:$L,1,0)</f>
        <v>#N/A</v>
      </c>
      <c r="L686" t="e">
        <f>VLOOKUP(D686,'TV May Monthly Billing Sites'!$B:$L,1,0)</f>
        <v>#N/A</v>
      </c>
    </row>
    <row r="687" spans="1:12">
      <c r="A687" t="str">
        <f t="shared" si="10"/>
        <v>76075567</v>
      </c>
      <c r="B687">
        <v>76075567</v>
      </c>
      <c r="C687" t="s">
        <v>5996</v>
      </c>
      <c r="D687" t="s">
        <v>2779</v>
      </c>
      <c r="E687">
        <v>4508714</v>
      </c>
      <c r="F687" t="s">
        <v>742</v>
      </c>
      <c r="G687" t="s">
        <v>743</v>
      </c>
      <c r="H687" t="s">
        <v>5997</v>
      </c>
      <c r="I687" s="12">
        <v>46035</v>
      </c>
      <c r="J687">
        <v>1</v>
      </c>
      <c r="K687" t="str">
        <f>VLOOKUP(A687,'TV May Monthly Billing Sites'!$A:$L,1,0)</f>
        <v>76075567</v>
      </c>
    </row>
    <row r="688" spans="1:12">
      <c r="A688" t="str">
        <f t="shared" si="10"/>
        <v>76075751</v>
      </c>
      <c r="B688">
        <v>76075751</v>
      </c>
      <c r="C688" t="s">
        <v>5998</v>
      </c>
      <c r="D688" t="s">
        <v>2781</v>
      </c>
      <c r="E688">
        <v>4408594</v>
      </c>
      <c r="F688" t="s">
        <v>742</v>
      </c>
      <c r="G688" t="s">
        <v>909</v>
      </c>
      <c r="H688" t="s">
        <v>5999</v>
      </c>
      <c r="I688" s="12">
        <v>44495</v>
      </c>
      <c r="J688">
        <v>1</v>
      </c>
      <c r="K688" t="str">
        <f>VLOOKUP(A688,'TV May Monthly Billing Sites'!$A:$L,1,0)</f>
        <v>76075751</v>
      </c>
    </row>
    <row r="689" spans="1:11">
      <c r="A689" t="str">
        <f t="shared" si="10"/>
        <v>76076129</v>
      </c>
      <c r="B689">
        <v>76076129</v>
      </c>
      <c r="C689" t="s">
        <v>6000</v>
      </c>
      <c r="D689" t="s">
        <v>2783</v>
      </c>
      <c r="E689">
        <v>4508714</v>
      </c>
      <c r="F689" t="s">
        <v>742</v>
      </c>
      <c r="G689" t="s">
        <v>743</v>
      </c>
      <c r="H689" t="s">
        <v>2783</v>
      </c>
      <c r="I689" s="12">
        <v>45870</v>
      </c>
      <c r="J689">
        <v>1</v>
      </c>
      <c r="K689" t="str">
        <f>VLOOKUP(A689,'TV May Monthly Billing Sites'!$A:$L,1,0)</f>
        <v>76076129</v>
      </c>
    </row>
    <row r="690" spans="1:11">
      <c r="A690" t="str">
        <f t="shared" si="10"/>
        <v>76076364</v>
      </c>
      <c r="B690">
        <v>76076364</v>
      </c>
      <c r="C690" t="s">
        <v>6001</v>
      </c>
      <c r="D690" t="s">
        <v>6002</v>
      </c>
      <c r="E690">
        <v>4508714</v>
      </c>
      <c r="F690" t="s">
        <v>742</v>
      </c>
      <c r="G690" t="s">
        <v>743</v>
      </c>
      <c r="H690" t="s">
        <v>6003</v>
      </c>
      <c r="I690" s="12">
        <v>45931</v>
      </c>
      <c r="J690">
        <v>1</v>
      </c>
      <c r="K690" t="str">
        <f>VLOOKUP(A690,'TV May Monthly Billing Sites'!$A:$L,1,0)</f>
        <v>76076364</v>
      </c>
    </row>
    <row r="691" spans="1:11">
      <c r="A691" t="str">
        <f t="shared" si="10"/>
        <v>76076543</v>
      </c>
      <c r="B691">
        <v>76076543</v>
      </c>
      <c r="C691" t="s">
        <v>6004</v>
      </c>
      <c r="D691" t="s">
        <v>2156</v>
      </c>
      <c r="E691">
        <v>4408593</v>
      </c>
      <c r="F691" t="s">
        <v>742</v>
      </c>
      <c r="G691" t="s">
        <v>782</v>
      </c>
      <c r="H691" t="s">
        <v>5422</v>
      </c>
      <c r="I691" s="12">
        <v>46003</v>
      </c>
      <c r="J691">
        <v>1</v>
      </c>
      <c r="K691" t="str">
        <f>VLOOKUP(A691,'TV May Monthly Billing Sites'!$A:$L,1,0)</f>
        <v>76076543</v>
      </c>
    </row>
    <row r="692" spans="1:11">
      <c r="A692" t="str">
        <f t="shared" si="10"/>
        <v>76076581</v>
      </c>
      <c r="B692">
        <v>76076581</v>
      </c>
      <c r="C692" t="s">
        <v>6005</v>
      </c>
      <c r="D692" t="s">
        <v>2789</v>
      </c>
      <c r="E692">
        <v>4408593</v>
      </c>
      <c r="F692" t="s">
        <v>742</v>
      </c>
      <c r="G692" t="s">
        <v>782</v>
      </c>
      <c r="H692" t="s">
        <v>6006</v>
      </c>
      <c r="I692" s="12">
        <v>45826</v>
      </c>
      <c r="J692">
        <v>1</v>
      </c>
      <c r="K692" t="str">
        <f>VLOOKUP(A692,'TV May Monthly Billing Sites'!$A:$L,1,0)</f>
        <v>76076581</v>
      </c>
    </row>
    <row r="693" spans="1:11">
      <c r="A693" t="str">
        <f t="shared" si="10"/>
        <v>76076583</v>
      </c>
      <c r="B693">
        <v>76076583</v>
      </c>
      <c r="C693" t="s">
        <v>6007</v>
      </c>
      <c r="D693" t="s">
        <v>6008</v>
      </c>
      <c r="E693">
        <v>4508714</v>
      </c>
      <c r="F693" t="s">
        <v>742</v>
      </c>
      <c r="G693" t="s">
        <v>743</v>
      </c>
      <c r="H693" t="s">
        <v>6008</v>
      </c>
      <c r="I693" s="12">
        <v>46083</v>
      </c>
      <c r="J693">
        <v>1</v>
      </c>
      <c r="K693" t="str">
        <f>VLOOKUP(A693,'TV May Monthly Billing Sites'!$A:$L,1,0)</f>
        <v>76076583</v>
      </c>
    </row>
    <row r="694" spans="1:11">
      <c r="A694" t="str">
        <f t="shared" si="10"/>
        <v>76077218</v>
      </c>
      <c r="B694">
        <v>76077218</v>
      </c>
      <c r="C694" t="s">
        <v>6009</v>
      </c>
      <c r="D694" t="s">
        <v>6010</v>
      </c>
      <c r="E694">
        <v>4408593</v>
      </c>
      <c r="F694" t="s">
        <v>742</v>
      </c>
      <c r="G694" t="s">
        <v>782</v>
      </c>
      <c r="H694" t="s">
        <v>6011</v>
      </c>
      <c r="I694" s="12">
        <v>45782</v>
      </c>
      <c r="J694">
        <v>1</v>
      </c>
      <c r="K694" t="str">
        <f>VLOOKUP(A694,'TV May Monthly Billing Sites'!$A:$L,1,0)</f>
        <v>76077218</v>
      </c>
    </row>
    <row r="695" spans="1:11">
      <c r="A695" t="str">
        <f t="shared" si="10"/>
        <v>76077258</v>
      </c>
      <c r="B695">
        <v>76077258</v>
      </c>
      <c r="C695" t="s">
        <v>6012</v>
      </c>
      <c r="D695" t="s">
        <v>6013</v>
      </c>
      <c r="E695">
        <v>4508714</v>
      </c>
      <c r="F695" t="s">
        <v>742</v>
      </c>
      <c r="G695" t="s">
        <v>743</v>
      </c>
      <c r="H695" t="s">
        <v>4974</v>
      </c>
      <c r="I695" s="12">
        <v>45638</v>
      </c>
      <c r="J695">
        <v>1</v>
      </c>
      <c r="K695" t="str">
        <f>VLOOKUP(A695,'TV May Monthly Billing Sites'!$A:$L,1,0)</f>
        <v>76077258</v>
      </c>
    </row>
    <row r="696" spans="1:11">
      <c r="A696" t="str">
        <f t="shared" si="10"/>
        <v>76077479</v>
      </c>
      <c r="B696">
        <v>76077479</v>
      </c>
      <c r="C696" t="s">
        <v>6014</v>
      </c>
      <c r="D696" t="s">
        <v>6015</v>
      </c>
      <c r="E696">
        <v>4508714</v>
      </c>
      <c r="F696" t="s">
        <v>742</v>
      </c>
      <c r="G696" t="s">
        <v>743</v>
      </c>
      <c r="H696" t="s">
        <v>6015</v>
      </c>
      <c r="I696" s="12">
        <v>46002</v>
      </c>
      <c r="J696">
        <v>1</v>
      </c>
      <c r="K696" t="str">
        <f>VLOOKUP(A696,'TV May Monthly Billing Sites'!$A:$L,1,0)</f>
        <v>76077479</v>
      </c>
    </row>
    <row r="697" spans="1:11">
      <c r="A697" t="str">
        <f t="shared" si="10"/>
        <v>76078758</v>
      </c>
      <c r="B697">
        <v>76078758</v>
      </c>
      <c r="C697" t="s">
        <v>6016</v>
      </c>
      <c r="D697" t="s">
        <v>2799</v>
      </c>
      <c r="E697">
        <v>4508714</v>
      </c>
      <c r="F697" t="s">
        <v>742</v>
      </c>
      <c r="G697" t="s">
        <v>743</v>
      </c>
      <c r="H697" t="s">
        <v>6017</v>
      </c>
      <c r="I697" s="12">
        <v>45625</v>
      </c>
      <c r="J697">
        <v>1</v>
      </c>
      <c r="K697" t="str">
        <f>VLOOKUP(A697,'TV May Monthly Billing Sites'!$A:$L,1,0)</f>
        <v>76078758</v>
      </c>
    </row>
    <row r="698" spans="1:11">
      <c r="A698" t="str">
        <f t="shared" si="10"/>
        <v>76078798</v>
      </c>
      <c r="B698">
        <v>76078798</v>
      </c>
      <c r="C698" t="s">
        <v>6018</v>
      </c>
      <c r="D698" t="s">
        <v>6019</v>
      </c>
      <c r="E698">
        <v>4508714</v>
      </c>
      <c r="F698" t="s">
        <v>742</v>
      </c>
      <c r="G698" t="s">
        <v>743</v>
      </c>
      <c r="H698" t="s">
        <v>6017</v>
      </c>
      <c r="I698" s="12">
        <v>45623</v>
      </c>
      <c r="J698">
        <v>1</v>
      </c>
      <c r="K698" t="str">
        <f>VLOOKUP(A698,'TV May Monthly Billing Sites'!$A:$L,1,0)</f>
        <v>76078798</v>
      </c>
    </row>
    <row r="699" spans="1:11">
      <c r="A699" t="str">
        <f t="shared" si="10"/>
        <v>76078800</v>
      </c>
      <c r="B699">
        <v>76078800</v>
      </c>
      <c r="C699" t="s">
        <v>6020</v>
      </c>
      <c r="D699" t="s">
        <v>2803</v>
      </c>
      <c r="E699">
        <v>4508714</v>
      </c>
      <c r="F699" t="s">
        <v>742</v>
      </c>
      <c r="G699" t="s">
        <v>743</v>
      </c>
      <c r="H699" t="s">
        <v>6017</v>
      </c>
      <c r="I699" s="12">
        <v>45625</v>
      </c>
      <c r="J699">
        <v>1</v>
      </c>
      <c r="K699" t="str">
        <f>VLOOKUP(A699,'TV May Monthly Billing Sites'!$A:$L,1,0)</f>
        <v>76078800</v>
      </c>
    </row>
    <row r="700" spans="1:11">
      <c r="A700" t="str">
        <f t="shared" si="10"/>
        <v>76078918</v>
      </c>
      <c r="B700">
        <v>76078918</v>
      </c>
      <c r="C700" t="s">
        <v>6021</v>
      </c>
      <c r="D700" t="s">
        <v>2002</v>
      </c>
      <c r="E700">
        <v>4408592</v>
      </c>
      <c r="F700" t="s">
        <v>742</v>
      </c>
      <c r="G700" t="s">
        <v>823</v>
      </c>
      <c r="H700" t="s">
        <v>4834</v>
      </c>
      <c r="I700" s="12">
        <v>46077</v>
      </c>
      <c r="J700">
        <v>1</v>
      </c>
      <c r="K700" t="str">
        <f>VLOOKUP(A700,'TV May Monthly Billing Sites'!$A:$L,1,0)</f>
        <v>76078918</v>
      </c>
    </row>
    <row r="701" spans="1:11">
      <c r="A701" t="str">
        <f t="shared" si="10"/>
        <v>76079338</v>
      </c>
      <c r="B701">
        <v>76079338</v>
      </c>
      <c r="C701" t="s">
        <v>6022</v>
      </c>
      <c r="D701" t="s">
        <v>2807</v>
      </c>
      <c r="E701">
        <v>4508714</v>
      </c>
      <c r="F701" t="s">
        <v>742</v>
      </c>
      <c r="G701" t="s">
        <v>743</v>
      </c>
      <c r="H701" t="s">
        <v>1175</v>
      </c>
      <c r="I701" s="12">
        <v>45622</v>
      </c>
      <c r="J701">
        <v>1</v>
      </c>
      <c r="K701" t="str">
        <f>VLOOKUP(A701,'TV May Monthly Billing Sites'!$A:$L,1,0)</f>
        <v>76079338</v>
      </c>
    </row>
    <row r="702" spans="1:11">
      <c r="A702" t="str">
        <f t="shared" si="10"/>
        <v>76079339</v>
      </c>
      <c r="B702">
        <v>76079339</v>
      </c>
      <c r="C702" t="s">
        <v>6023</v>
      </c>
      <c r="D702" t="s">
        <v>2809</v>
      </c>
      <c r="E702">
        <v>4508714</v>
      </c>
      <c r="F702" t="s">
        <v>742</v>
      </c>
      <c r="G702" t="s">
        <v>743</v>
      </c>
      <c r="H702" t="s">
        <v>1175</v>
      </c>
      <c r="I702" s="12">
        <v>45622</v>
      </c>
      <c r="J702">
        <v>1</v>
      </c>
      <c r="K702" t="str">
        <f>VLOOKUP(A702,'TV May Monthly Billing Sites'!$A:$L,1,0)</f>
        <v>76079339</v>
      </c>
    </row>
    <row r="703" spans="1:11">
      <c r="A703" t="str">
        <f t="shared" si="10"/>
        <v>76082498</v>
      </c>
      <c r="B703">
        <v>76082498</v>
      </c>
      <c r="C703" t="s">
        <v>6024</v>
      </c>
      <c r="D703" t="s">
        <v>2811</v>
      </c>
      <c r="E703">
        <v>4508714</v>
      </c>
      <c r="F703" t="s">
        <v>742</v>
      </c>
      <c r="G703" t="s">
        <v>743</v>
      </c>
      <c r="H703" t="s">
        <v>6025</v>
      </c>
      <c r="I703" s="12">
        <v>45869</v>
      </c>
      <c r="J703">
        <v>1</v>
      </c>
      <c r="K703" t="str">
        <f>VLOOKUP(A703,'TV May Monthly Billing Sites'!$A:$L,1,0)</f>
        <v>76082498</v>
      </c>
    </row>
    <row r="704" spans="1:11">
      <c r="A704" t="str">
        <f t="shared" si="10"/>
        <v>76085787</v>
      </c>
      <c r="B704">
        <v>76085787</v>
      </c>
      <c r="C704" t="s">
        <v>6026</v>
      </c>
      <c r="D704" t="s">
        <v>6027</v>
      </c>
      <c r="E704">
        <v>4408593</v>
      </c>
      <c r="F704" t="s">
        <v>742</v>
      </c>
      <c r="G704" t="s">
        <v>782</v>
      </c>
      <c r="H704" t="s">
        <v>6028</v>
      </c>
      <c r="I704" s="12">
        <v>45642</v>
      </c>
      <c r="J704">
        <v>1</v>
      </c>
      <c r="K704" t="str">
        <f>VLOOKUP(A704,'TV May Monthly Billing Sites'!$A:$L,1,0)</f>
        <v>76085787</v>
      </c>
    </row>
    <row r="705" spans="1:12">
      <c r="A705" t="str">
        <f t="shared" si="10"/>
        <v>76086618</v>
      </c>
      <c r="B705">
        <v>76086618</v>
      </c>
      <c r="C705" t="s">
        <v>6029</v>
      </c>
      <c r="D705" t="s">
        <v>2815</v>
      </c>
      <c r="E705">
        <v>4508714</v>
      </c>
      <c r="F705" t="s">
        <v>742</v>
      </c>
      <c r="G705" t="s">
        <v>743</v>
      </c>
      <c r="H705" t="s">
        <v>6030</v>
      </c>
      <c r="I705" s="12">
        <v>45901</v>
      </c>
      <c r="J705">
        <v>1</v>
      </c>
      <c r="K705" t="str">
        <f>VLOOKUP(A705,'TV May Monthly Billing Sites'!$A:$L,1,0)</f>
        <v>76086618</v>
      </c>
    </row>
    <row r="706" spans="1:12">
      <c r="A706" t="str">
        <f t="shared" ref="A706:A769" si="11">TRIM(B706)</f>
        <v>76087938</v>
      </c>
      <c r="B706">
        <v>76087938</v>
      </c>
      <c r="C706" t="s">
        <v>6031</v>
      </c>
      <c r="D706" t="s">
        <v>6032</v>
      </c>
      <c r="E706">
        <v>4408592</v>
      </c>
      <c r="F706" t="s">
        <v>742</v>
      </c>
      <c r="G706" t="s">
        <v>823</v>
      </c>
      <c r="H706" t="s">
        <v>6033</v>
      </c>
      <c r="I706" s="12">
        <v>45426</v>
      </c>
      <c r="J706">
        <v>1</v>
      </c>
      <c r="K706" t="str">
        <f>VLOOKUP(A706,'TV May Monthly Billing Sites'!$A:$L,1,0)</f>
        <v>76087938</v>
      </c>
    </row>
    <row r="707" spans="1:12">
      <c r="A707" t="str">
        <f t="shared" si="11"/>
        <v>76090518</v>
      </c>
      <c r="B707">
        <v>76090518</v>
      </c>
      <c r="C707" t="s">
        <v>6034</v>
      </c>
      <c r="D707" t="s">
        <v>2821</v>
      </c>
      <c r="E707">
        <v>4508714</v>
      </c>
      <c r="F707" t="s">
        <v>742</v>
      </c>
      <c r="G707" t="s">
        <v>743</v>
      </c>
      <c r="H707" t="s">
        <v>5525</v>
      </c>
      <c r="I707" s="12">
        <v>46022</v>
      </c>
      <c r="J707">
        <v>1</v>
      </c>
      <c r="K707" t="str">
        <f>VLOOKUP(A707,'TV May Monthly Billing Sites'!$A:$L,1,0)</f>
        <v>76090518</v>
      </c>
    </row>
    <row r="708" spans="1:12">
      <c r="A708" t="str">
        <f t="shared" si="11"/>
        <v>76091258</v>
      </c>
      <c r="B708">
        <v>76091258</v>
      </c>
      <c r="C708" t="s">
        <v>912</v>
      </c>
      <c r="D708" t="s">
        <v>913</v>
      </c>
      <c r="E708">
        <v>4508714</v>
      </c>
      <c r="F708" t="s">
        <v>742</v>
      </c>
      <c r="G708" t="s">
        <v>743</v>
      </c>
      <c r="H708" t="s">
        <v>900</v>
      </c>
      <c r="I708" s="12">
        <v>45726</v>
      </c>
      <c r="J708">
        <v>1</v>
      </c>
      <c r="K708" t="e">
        <f>VLOOKUP(A708,'TV May Monthly Billing Sites'!$A:$L,1,0)</f>
        <v>#N/A</v>
      </c>
      <c r="L708" t="e">
        <f>VLOOKUP(D708,'TV May Monthly Billing Sites'!$B:$L,1,0)</f>
        <v>#N/A</v>
      </c>
    </row>
    <row r="709" spans="1:12">
      <c r="A709" t="str">
        <f t="shared" si="11"/>
        <v>76097060</v>
      </c>
      <c r="B709">
        <v>76097060</v>
      </c>
      <c r="C709" t="s">
        <v>6035</v>
      </c>
      <c r="D709" t="s">
        <v>2823</v>
      </c>
      <c r="E709">
        <v>4508714</v>
      </c>
      <c r="F709" t="s">
        <v>742</v>
      </c>
      <c r="G709" t="s">
        <v>743</v>
      </c>
      <c r="H709" t="s">
        <v>5082</v>
      </c>
      <c r="I709" s="12">
        <v>45964</v>
      </c>
      <c r="J709">
        <v>1</v>
      </c>
      <c r="K709" t="str">
        <f>VLOOKUP(A709,'TV May Monthly Billing Sites'!$A:$L,1,0)</f>
        <v>76097060</v>
      </c>
    </row>
    <row r="710" spans="1:12">
      <c r="A710" t="str">
        <f t="shared" si="11"/>
        <v>76097770</v>
      </c>
      <c r="B710">
        <v>76097770</v>
      </c>
      <c r="C710" t="s">
        <v>6036</v>
      </c>
      <c r="D710" t="s">
        <v>6037</v>
      </c>
      <c r="E710">
        <v>4508714</v>
      </c>
      <c r="F710" t="s">
        <v>742</v>
      </c>
      <c r="G710" t="s">
        <v>743</v>
      </c>
      <c r="H710" t="s">
        <v>1096</v>
      </c>
      <c r="I710" s="12">
        <v>45961</v>
      </c>
      <c r="J710">
        <v>1</v>
      </c>
      <c r="K710" t="str">
        <f>VLOOKUP(A710,'TV May Monthly Billing Sites'!$A:$L,1,0)</f>
        <v>76097770</v>
      </c>
    </row>
    <row r="711" spans="1:12">
      <c r="A711" t="str">
        <f t="shared" si="11"/>
        <v>76097838</v>
      </c>
      <c r="B711">
        <v>76097838</v>
      </c>
      <c r="C711" t="s">
        <v>6038</v>
      </c>
      <c r="D711" t="s">
        <v>2827</v>
      </c>
      <c r="E711">
        <v>4408592</v>
      </c>
      <c r="F711" t="s">
        <v>742</v>
      </c>
      <c r="G711" t="s">
        <v>823</v>
      </c>
      <c r="H711" t="s">
        <v>5552</v>
      </c>
      <c r="I711" s="12">
        <v>45107</v>
      </c>
      <c r="J711">
        <v>1</v>
      </c>
      <c r="K711" t="str">
        <f>VLOOKUP(A711,'TV May Monthly Billing Sites'!$A:$L,1,0)</f>
        <v>76097838</v>
      </c>
    </row>
    <row r="712" spans="1:12">
      <c r="A712" t="str">
        <f t="shared" si="11"/>
        <v>76098038</v>
      </c>
      <c r="B712">
        <v>76098038</v>
      </c>
      <c r="C712" t="s">
        <v>6039</v>
      </c>
      <c r="D712" t="s">
        <v>6040</v>
      </c>
      <c r="E712">
        <v>4508714</v>
      </c>
      <c r="F712" t="s">
        <v>742</v>
      </c>
      <c r="G712" t="s">
        <v>743</v>
      </c>
      <c r="H712" t="s">
        <v>5306</v>
      </c>
      <c r="I712" s="12">
        <v>45765</v>
      </c>
      <c r="J712">
        <v>1</v>
      </c>
      <c r="K712" t="str">
        <f>VLOOKUP(A712,'TV May Monthly Billing Sites'!$A:$L,1,0)</f>
        <v>76098038</v>
      </c>
    </row>
    <row r="713" spans="1:12">
      <c r="A713" t="str">
        <f t="shared" si="11"/>
        <v>76098118</v>
      </c>
      <c r="B713">
        <v>76098118</v>
      </c>
      <c r="C713" t="s">
        <v>6041</v>
      </c>
      <c r="D713" t="s">
        <v>2831</v>
      </c>
      <c r="E713">
        <v>4508714</v>
      </c>
      <c r="F713" t="s">
        <v>742</v>
      </c>
      <c r="G713" t="s">
        <v>743</v>
      </c>
      <c r="H713" t="s">
        <v>2831</v>
      </c>
      <c r="I713" s="12">
        <v>45679</v>
      </c>
      <c r="J713">
        <v>1</v>
      </c>
      <c r="K713" t="str">
        <f>VLOOKUP(A713,'TV May Monthly Billing Sites'!$A:$L,1,0)</f>
        <v>76098118</v>
      </c>
    </row>
    <row r="714" spans="1:12">
      <c r="A714" t="str">
        <f t="shared" si="11"/>
        <v>76099558</v>
      </c>
      <c r="B714">
        <v>76099558</v>
      </c>
      <c r="C714" t="s">
        <v>6042</v>
      </c>
      <c r="D714" t="s">
        <v>6043</v>
      </c>
      <c r="E714">
        <v>4508714</v>
      </c>
      <c r="F714" t="s">
        <v>742</v>
      </c>
      <c r="G714" t="s">
        <v>743</v>
      </c>
      <c r="H714" t="s">
        <v>6044</v>
      </c>
      <c r="I714" s="12">
        <v>45931</v>
      </c>
      <c r="J714">
        <v>1</v>
      </c>
      <c r="K714" t="str">
        <f>VLOOKUP(A714,'TV May Monthly Billing Sites'!$A:$L,1,0)</f>
        <v>76099558</v>
      </c>
    </row>
    <row r="715" spans="1:12">
      <c r="A715" t="str">
        <f t="shared" si="11"/>
        <v>76114898</v>
      </c>
      <c r="B715">
        <v>76114898</v>
      </c>
      <c r="C715" t="s">
        <v>6045</v>
      </c>
      <c r="D715" t="s">
        <v>6046</v>
      </c>
      <c r="E715">
        <v>4508714</v>
      </c>
      <c r="F715" t="s">
        <v>742</v>
      </c>
      <c r="G715" t="s">
        <v>743</v>
      </c>
      <c r="H715" t="s">
        <v>4890</v>
      </c>
      <c r="I715" s="12">
        <v>45719</v>
      </c>
      <c r="J715">
        <v>1</v>
      </c>
      <c r="K715" t="str">
        <f>VLOOKUP(A715,'TV May Monthly Billing Sites'!$A:$L,1,0)</f>
        <v>76114898</v>
      </c>
    </row>
    <row r="716" spans="1:12">
      <c r="A716" t="str">
        <f t="shared" si="11"/>
        <v>76117440</v>
      </c>
      <c r="B716">
        <v>76117440</v>
      </c>
      <c r="C716" t="s">
        <v>6047</v>
      </c>
      <c r="D716" t="s">
        <v>6048</v>
      </c>
      <c r="E716">
        <v>4508714</v>
      </c>
      <c r="F716" t="s">
        <v>742</v>
      </c>
      <c r="G716" t="s">
        <v>743</v>
      </c>
      <c r="H716" t="s">
        <v>6049</v>
      </c>
      <c r="I716" s="12">
        <v>45971</v>
      </c>
      <c r="J716">
        <v>1</v>
      </c>
      <c r="K716" t="str">
        <f>VLOOKUP(A716,'TV May Monthly Billing Sites'!$A:$L,1,0)</f>
        <v>76117440</v>
      </c>
    </row>
    <row r="717" spans="1:12">
      <c r="A717" t="str">
        <f t="shared" si="11"/>
        <v>76117702</v>
      </c>
      <c r="B717">
        <v>76117702</v>
      </c>
      <c r="C717" t="s">
        <v>6050</v>
      </c>
      <c r="D717" t="s">
        <v>6051</v>
      </c>
      <c r="E717">
        <v>4508714</v>
      </c>
      <c r="F717" t="s">
        <v>742</v>
      </c>
      <c r="G717" t="s">
        <v>743</v>
      </c>
      <c r="H717" t="s">
        <v>6049</v>
      </c>
      <c r="I717" s="12">
        <v>45971</v>
      </c>
      <c r="J717">
        <v>1</v>
      </c>
      <c r="K717" t="str">
        <f>VLOOKUP(A717,'TV May Monthly Billing Sites'!$A:$L,1,0)</f>
        <v>76117702</v>
      </c>
    </row>
    <row r="718" spans="1:12">
      <c r="A718" t="str">
        <f t="shared" si="11"/>
        <v>76117703</v>
      </c>
      <c r="B718">
        <v>76117703</v>
      </c>
      <c r="C718" t="s">
        <v>6052</v>
      </c>
      <c r="D718" t="s">
        <v>6053</v>
      </c>
      <c r="E718">
        <v>4508714</v>
      </c>
      <c r="F718" t="s">
        <v>742</v>
      </c>
      <c r="G718" t="s">
        <v>743</v>
      </c>
      <c r="H718" t="s">
        <v>6049</v>
      </c>
      <c r="I718" s="12">
        <v>45971</v>
      </c>
      <c r="J718">
        <v>1</v>
      </c>
      <c r="K718" t="str">
        <f>VLOOKUP(A718,'TV May Monthly Billing Sites'!$A:$L,1,0)</f>
        <v>76117703</v>
      </c>
    </row>
    <row r="719" spans="1:12">
      <c r="A719" t="str">
        <f t="shared" si="11"/>
        <v>76122958</v>
      </c>
      <c r="B719">
        <v>76122958</v>
      </c>
      <c r="C719" t="s">
        <v>6054</v>
      </c>
      <c r="D719" t="s">
        <v>6055</v>
      </c>
      <c r="E719">
        <v>4408592</v>
      </c>
      <c r="F719" t="s">
        <v>742</v>
      </c>
      <c r="G719" t="s">
        <v>823</v>
      </c>
      <c r="H719" t="s">
        <v>6056</v>
      </c>
      <c r="I719" s="12">
        <v>44967</v>
      </c>
      <c r="J719">
        <v>1</v>
      </c>
      <c r="K719" t="str">
        <f>VLOOKUP(A719,'TV May Monthly Billing Sites'!$A:$L,1,0)</f>
        <v>76122958</v>
      </c>
    </row>
    <row r="720" spans="1:12">
      <c r="A720" t="str">
        <f t="shared" si="11"/>
        <v>76127638</v>
      </c>
      <c r="B720">
        <v>76127638</v>
      </c>
      <c r="C720" t="s">
        <v>915</v>
      </c>
      <c r="D720" t="s">
        <v>916</v>
      </c>
      <c r="E720">
        <v>4508714</v>
      </c>
      <c r="F720" t="s">
        <v>742</v>
      </c>
      <c r="G720" t="s">
        <v>743</v>
      </c>
      <c r="H720" t="s">
        <v>762</v>
      </c>
      <c r="I720" s="12">
        <v>45622</v>
      </c>
      <c r="J720">
        <v>1</v>
      </c>
      <c r="K720" t="e">
        <f>VLOOKUP(A720,'TV May Monthly Billing Sites'!$A:$L,1,0)</f>
        <v>#N/A</v>
      </c>
      <c r="L720" t="e">
        <f>VLOOKUP(D720,'TV May Monthly Billing Sites'!$B:$L,1,0)</f>
        <v>#N/A</v>
      </c>
    </row>
    <row r="721" spans="1:12">
      <c r="A721" t="str">
        <f t="shared" si="11"/>
        <v>76127638</v>
      </c>
      <c r="B721">
        <v>76127638</v>
      </c>
      <c r="C721" t="s">
        <v>917</v>
      </c>
      <c r="D721" t="s">
        <v>916</v>
      </c>
      <c r="E721">
        <v>4508714</v>
      </c>
      <c r="F721" t="s">
        <v>742</v>
      </c>
      <c r="G721" t="s">
        <v>743</v>
      </c>
      <c r="H721" t="s">
        <v>762</v>
      </c>
      <c r="I721" s="12">
        <v>45622</v>
      </c>
      <c r="J721">
        <v>1</v>
      </c>
      <c r="K721" t="e">
        <f>VLOOKUP(A721,'TV May Monthly Billing Sites'!$A:$L,1,0)</f>
        <v>#N/A</v>
      </c>
      <c r="L721" t="e">
        <f>VLOOKUP(D721,'TV May Monthly Billing Sites'!$B:$L,1,0)</f>
        <v>#N/A</v>
      </c>
    </row>
    <row r="722" spans="1:12">
      <c r="A722" t="str">
        <f t="shared" si="11"/>
        <v>76127639</v>
      </c>
      <c r="B722">
        <v>76127639</v>
      </c>
      <c r="C722" t="s">
        <v>919</v>
      </c>
      <c r="D722" t="s">
        <v>920</v>
      </c>
      <c r="E722">
        <v>4508714</v>
      </c>
      <c r="F722" t="s">
        <v>742</v>
      </c>
      <c r="G722" t="s">
        <v>743</v>
      </c>
      <c r="H722" t="s">
        <v>762</v>
      </c>
      <c r="I722" s="12">
        <v>45622</v>
      </c>
      <c r="J722">
        <v>1</v>
      </c>
      <c r="K722" t="e">
        <f>VLOOKUP(A722,'TV May Monthly Billing Sites'!$A:$L,1,0)</f>
        <v>#N/A</v>
      </c>
      <c r="L722" t="e">
        <f>VLOOKUP(D722,'TV May Monthly Billing Sites'!$B:$L,1,0)</f>
        <v>#N/A</v>
      </c>
    </row>
    <row r="723" spans="1:12">
      <c r="A723" t="str">
        <f t="shared" si="11"/>
        <v>76127658</v>
      </c>
      <c r="B723">
        <v>76127658</v>
      </c>
      <c r="C723" t="s">
        <v>923</v>
      </c>
      <c r="D723" t="s">
        <v>924</v>
      </c>
      <c r="E723">
        <v>4508714</v>
      </c>
      <c r="F723" t="s">
        <v>742</v>
      </c>
      <c r="G723" t="s">
        <v>743</v>
      </c>
      <c r="H723" t="s">
        <v>762</v>
      </c>
      <c r="I723" s="12">
        <v>45622</v>
      </c>
      <c r="J723">
        <v>1</v>
      </c>
      <c r="K723" t="e">
        <f>VLOOKUP(A723,'TV May Monthly Billing Sites'!$A:$L,1,0)</f>
        <v>#N/A</v>
      </c>
      <c r="L723" t="e">
        <f>VLOOKUP(D723,'TV May Monthly Billing Sites'!$B:$L,1,0)</f>
        <v>#N/A</v>
      </c>
    </row>
    <row r="724" spans="1:12">
      <c r="A724" t="str">
        <f t="shared" si="11"/>
        <v>76127658</v>
      </c>
      <c r="B724">
        <v>76127658</v>
      </c>
      <c r="C724" t="s">
        <v>925</v>
      </c>
      <c r="D724" t="s">
        <v>924</v>
      </c>
      <c r="E724">
        <v>4508714</v>
      </c>
      <c r="F724" t="s">
        <v>742</v>
      </c>
      <c r="G724" t="s">
        <v>743</v>
      </c>
      <c r="H724" t="s">
        <v>762</v>
      </c>
      <c r="I724" s="12">
        <v>45622</v>
      </c>
      <c r="J724">
        <v>1</v>
      </c>
      <c r="K724" t="e">
        <f>VLOOKUP(A724,'TV May Monthly Billing Sites'!$A:$L,1,0)</f>
        <v>#N/A</v>
      </c>
      <c r="L724" t="e">
        <f>VLOOKUP(D724,'TV May Monthly Billing Sites'!$B:$L,1,0)</f>
        <v>#N/A</v>
      </c>
    </row>
    <row r="725" spans="1:12">
      <c r="A725" t="str">
        <f t="shared" si="11"/>
        <v>76127659</v>
      </c>
      <c r="B725">
        <v>76127659</v>
      </c>
      <c r="C725" t="s">
        <v>927</v>
      </c>
      <c r="D725" t="s">
        <v>928</v>
      </c>
      <c r="E725">
        <v>4508714</v>
      </c>
      <c r="F725" t="s">
        <v>742</v>
      </c>
      <c r="G725" t="s">
        <v>743</v>
      </c>
      <c r="H725" t="s">
        <v>762</v>
      </c>
      <c r="I725" s="12">
        <v>45622</v>
      </c>
      <c r="J725">
        <v>1</v>
      </c>
      <c r="K725" t="e">
        <f>VLOOKUP(A725,'TV May Monthly Billing Sites'!$A:$L,1,0)</f>
        <v>#N/A</v>
      </c>
      <c r="L725" t="e">
        <f>VLOOKUP(D725,'TV May Monthly Billing Sites'!$B:$L,1,0)</f>
        <v>#N/A</v>
      </c>
    </row>
    <row r="726" spans="1:12">
      <c r="A726" t="str">
        <f t="shared" si="11"/>
        <v>76127679</v>
      </c>
      <c r="B726">
        <v>76127679</v>
      </c>
      <c r="C726" t="s">
        <v>930</v>
      </c>
      <c r="D726" t="s">
        <v>931</v>
      </c>
      <c r="E726">
        <v>4508714</v>
      </c>
      <c r="F726" t="s">
        <v>742</v>
      </c>
      <c r="G726" t="s">
        <v>743</v>
      </c>
      <c r="H726" t="s">
        <v>762</v>
      </c>
      <c r="I726" s="12">
        <v>45622</v>
      </c>
      <c r="J726">
        <v>1</v>
      </c>
      <c r="K726" t="e">
        <f>VLOOKUP(A726,'TV May Monthly Billing Sites'!$A:$L,1,0)</f>
        <v>#N/A</v>
      </c>
      <c r="L726" t="e">
        <f>VLOOKUP(D726,'TV May Monthly Billing Sites'!$B:$L,1,0)</f>
        <v>#N/A</v>
      </c>
    </row>
    <row r="727" spans="1:12">
      <c r="A727" t="str">
        <f t="shared" si="11"/>
        <v>76127679</v>
      </c>
      <c r="B727">
        <v>76127679</v>
      </c>
      <c r="C727" t="s">
        <v>932</v>
      </c>
      <c r="D727" t="s">
        <v>931</v>
      </c>
      <c r="E727">
        <v>4508714</v>
      </c>
      <c r="F727" t="s">
        <v>742</v>
      </c>
      <c r="G727" t="s">
        <v>743</v>
      </c>
      <c r="H727" t="s">
        <v>762</v>
      </c>
      <c r="I727" s="12">
        <v>45622</v>
      </c>
      <c r="J727">
        <v>1</v>
      </c>
      <c r="K727" t="e">
        <f>VLOOKUP(A727,'TV May Monthly Billing Sites'!$A:$L,1,0)</f>
        <v>#N/A</v>
      </c>
      <c r="L727" t="e">
        <f>VLOOKUP(D727,'TV May Monthly Billing Sites'!$B:$L,1,0)</f>
        <v>#N/A</v>
      </c>
    </row>
    <row r="728" spans="1:12">
      <c r="A728" t="str">
        <f t="shared" si="11"/>
        <v>76133538</v>
      </c>
      <c r="B728">
        <v>76133538</v>
      </c>
      <c r="C728" t="s">
        <v>6057</v>
      </c>
      <c r="D728" t="s">
        <v>2845</v>
      </c>
      <c r="E728">
        <v>4508714</v>
      </c>
      <c r="F728" t="s">
        <v>742</v>
      </c>
      <c r="G728" t="s">
        <v>743</v>
      </c>
      <c r="H728" t="s">
        <v>860</v>
      </c>
      <c r="I728" s="12">
        <v>45604</v>
      </c>
      <c r="J728">
        <v>1</v>
      </c>
      <c r="K728" t="str">
        <f>VLOOKUP(A728,'TV May Monthly Billing Sites'!$A:$L,1,0)</f>
        <v>76133538</v>
      </c>
    </row>
    <row r="729" spans="1:12">
      <c r="A729" t="str">
        <f t="shared" si="11"/>
        <v>76133951</v>
      </c>
      <c r="B729">
        <v>76133951</v>
      </c>
      <c r="C729" t="s">
        <v>6058</v>
      </c>
      <c r="D729" t="s">
        <v>6059</v>
      </c>
      <c r="E729">
        <v>4508714</v>
      </c>
      <c r="F729" t="s">
        <v>742</v>
      </c>
      <c r="G729" t="s">
        <v>743</v>
      </c>
      <c r="H729" t="s">
        <v>6060</v>
      </c>
      <c r="I729" s="12">
        <v>45929</v>
      </c>
      <c r="J729">
        <v>1</v>
      </c>
      <c r="K729" t="str">
        <f>VLOOKUP(A729,'TV May Monthly Billing Sites'!$A:$L,1,0)</f>
        <v>76133951</v>
      </c>
    </row>
    <row r="730" spans="1:12">
      <c r="A730" t="str">
        <f t="shared" si="11"/>
        <v>76134179</v>
      </c>
      <c r="B730">
        <v>76134179</v>
      </c>
      <c r="C730" t="s">
        <v>6061</v>
      </c>
      <c r="D730" t="s">
        <v>2849</v>
      </c>
      <c r="E730">
        <v>4408593</v>
      </c>
      <c r="F730" t="s">
        <v>742</v>
      </c>
      <c r="G730" t="s">
        <v>782</v>
      </c>
      <c r="H730" t="s">
        <v>6062</v>
      </c>
      <c r="I730" s="12">
        <v>45626</v>
      </c>
      <c r="J730">
        <v>1</v>
      </c>
      <c r="K730" t="str">
        <f>VLOOKUP(A730,'TV May Monthly Billing Sites'!$A:$L,1,0)</f>
        <v>76134179</v>
      </c>
    </row>
    <row r="731" spans="1:12">
      <c r="A731" t="str">
        <f t="shared" si="11"/>
        <v>76135482</v>
      </c>
      <c r="B731">
        <v>76135482</v>
      </c>
      <c r="C731" t="s">
        <v>6063</v>
      </c>
      <c r="D731" t="s">
        <v>6064</v>
      </c>
      <c r="E731">
        <v>4508714</v>
      </c>
      <c r="F731" t="s">
        <v>742</v>
      </c>
      <c r="G731" t="s">
        <v>743</v>
      </c>
      <c r="H731" t="s">
        <v>5607</v>
      </c>
      <c r="I731" s="12">
        <v>45719</v>
      </c>
      <c r="J731">
        <v>1</v>
      </c>
      <c r="K731" t="str">
        <f>VLOOKUP(A731,'TV May Monthly Billing Sites'!$A:$L,1,0)</f>
        <v>76135482</v>
      </c>
    </row>
    <row r="732" spans="1:12">
      <c r="A732" t="str">
        <f t="shared" si="11"/>
        <v>76135779</v>
      </c>
      <c r="B732">
        <v>76135779</v>
      </c>
      <c r="C732" t="s">
        <v>6065</v>
      </c>
      <c r="D732" t="s">
        <v>6066</v>
      </c>
      <c r="E732">
        <v>4508714</v>
      </c>
      <c r="F732" t="s">
        <v>742</v>
      </c>
      <c r="G732" t="s">
        <v>743</v>
      </c>
      <c r="H732" t="s">
        <v>5183</v>
      </c>
      <c r="I732" s="12">
        <v>45628</v>
      </c>
      <c r="J732">
        <v>1</v>
      </c>
      <c r="K732" t="str">
        <f>VLOOKUP(A732,'TV May Monthly Billing Sites'!$A:$L,1,0)</f>
        <v>76135779</v>
      </c>
    </row>
    <row r="733" spans="1:12">
      <c r="A733" t="str">
        <f t="shared" si="11"/>
        <v>76135923</v>
      </c>
      <c r="B733">
        <v>76135923</v>
      </c>
      <c r="C733" t="s">
        <v>6067</v>
      </c>
      <c r="D733" t="s">
        <v>6068</v>
      </c>
      <c r="E733">
        <v>4508714</v>
      </c>
      <c r="F733" t="s">
        <v>742</v>
      </c>
      <c r="G733" t="s">
        <v>743</v>
      </c>
      <c r="H733" t="s">
        <v>6069</v>
      </c>
      <c r="I733" s="12">
        <v>45868</v>
      </c>
      <c r="J733">
        <v>1</v>
      </c>
      <c r="K733" t="str">
        <f>VLOOKUP(A733,'TV May Monthly Billing Sites'!$A:$L,1,0)</f>
        <v>76135923</v>
      </c>
    </row>
    <row r="734" spans="1:12">
      <c r="A734" t="str">
        <f t="shared" si="11"/>
        <v>76136145</v>
      </c>
      <c r="B734">
        <v>76136145</v>
      </c>
      <c r="C734" t="s">
        <v>6070</v>
      </c>
      <c r="D734" t="s">
        <v>2857</v>
      </c>
      <c r="E734">
        <v>4508714</v>
      </c>
      <c r="F734" t="s">
        <v>742</v>
      </c>
      <c r="G734" t="s">
        <v>743</v>
      </c>
      <c r="H734" t="s">
        <v>1156</v>
      </c>
      <c r="I734" s="12">
        <v>45628</v>
      </c>
      <c r="J734">
        <v>1</v>
      </c>
      <c r="K734" t="str">
        <f>VLOOKUP(A734,'TV May Monthly Billing Sites'!$A:$L,1,0)</f>
        <v>76136145</v>
      </c>
    </row>
    <row r="735" spans="1:12">
      <c r="A735" t="str">
        <f t="shared" si="11"/>
        <v>76136381</v>
      </c>
      <c r="B735">
        <v>76136381</v>
      </c>
      <c r="C735" t="s">
        <v>6071</v>
      </c>
      <c r="D735" t="s">
        <v>2859</v>
      </c>
      <c r="E735">
        <v>4408593</v>
      </c>
      <c r="F735" t="s">
        <v>742</v>
      </c>
      <c r="G735" t="s">
        <v>782</v>
      </c>
      <c r="H735" t="s">
        <v>6072</v>
      </c>
      <c r="I735" s="12">
        <v>45897</v>
      </c>
      <c r="J735">
        <v>1</v>
      </c>
      <c r="K735" t="str">
        <f>VLOOKUP(A735,'TV May Monthly Billing Sites'!$A:$L,1,0)</f>
        <v>76136381</v>
      </c>
    </row>
    <row r="736" spans="1:12">
      <c r="A736" t="str">
        <f t="shared" si="11"/>
        <v>76136763</v>
      </c>
      <c r="B736">
        <v>76136763</v>
      </c>
      <c r="C736" t="s">
        <v>6073</v>
      </c>
      <c r="D736" t="s">
        <v>2861</v>
      </c>
      <c r="E736">
        <v>4408593</v>
      </c>
      <c r="F736" t="s">
        <v>742</v>
      </c>
      <c r="G736" t="s">
        <v>782</v>
      </c>
      <c r="H736" t="s">
        <v>5252</v>
      </c>
      <c r="I736" s="12">
        <v>45439</v>
      </c>
      <c r="J736">
        <v>1</v>
      </c>
      <c r="K736" t="str">
        <f>VLOOKUP(A736,'TV May Monthly Billing Sites'!$A:$L,1,0)</f>
        <v>76136763</v>
      </c>
    </row>
    <row r="737" spans="1:12">
      <c r="A737" t="str">
        <f t="shared" si="11"/>
        <v>76137617</v>
      </c>
      <c r="B737">
        <v>76137617</v>
      </c>
      <c r="C737" t="s">
        <v>6074</v>
      </c>
      <c r="D737" t="s">
        <v>2863</v>
      </c>
      <c r="E737">
        <v>4508714</v>
      </c>
      <c r="F737" t="s">
        <v>742</v>
      </c>
      <c r="G737" t="s">
        <v>743</v>
      </c>
      <c r="H737" t="s">
        <v>6075</v>
      </c>
      <c r="I737" s="12">
        <v>45931</v>
      </c>
      <c r="J737">
        <v>1</v>
      </c>
      <c r="K737" t="str">
        <f>VLOOKUP(A737,'TV May Monthly Billing Sites'!$A:$L,1,0)</f>
        <v>76137617</v>
      </c>
    </row>
    <row r="738" spans="1:12">
      <c r="A738" t="str">
        <f t="shared" si="11"/>
        <v>76137624</v>
      </c>
      <c r="B738">
        <v>76137624</v>
      </c>
      <c r="C738" t="s">
        <v>6076</v>
      </c>
      <c r="D738" t="s">
        <v>2865</v>
      </c>
      <c r="E738">
        <v>4508714</v>
      </c>
      <c r="F738" t="s">
        <v>742</v>
      </c>
      <c r="G738" t="s">
        <v>743</v>
      </c>
      <c r="H738" t="s">
        <v>6049</v>
      </c>
      <c r="I738" s="12">
        <v>45971</v>
      </c>
      <c r="J738">
        <v>1</v>
      </c>
      <c r="K738" t="str">
        <f>VLOOKUP(A738,'TV May Monthly Billing Sites'!$A:$L,1,0)</f>
        <v>76137624</v>
      </c>
    </row>
    <row r="739" spans="1:12">
      <c r="A739" t="str">
        <f t="shared" si="11"/>
        <v>76138081</v>
      </c>
      <c r="B739">
        <v>76138081</v>
      </c>
      <c r="C739" t="s">
        <v>6077</v>
      </c>
      <c r="D739" t="s">
        <v>2867</v>
      </c>
      <c r="E739">
        <v>4408593</v>
      </c>
      <c r="F739" t="s">
        <v>742</v>
      </c>
      <c r="G739" t="s">
        <v>782</v>
      </c>
      <c r="H739" t="s">
        <v>5383</v>
      </c>
      <c r="I739" s="12">
        <v>45735</v>
      </c>
      <c r="J739">
        <v>1</v>
      </c>
      <c r="K739" t="str">
        <f>VLOOKUP(A739,'TV May Monthly Billing Sites'!$A:$L,1,0)</f>
        <v>76138081</v>
      </c>
    </row>
    <row r="740" spans="1:12">
      <c r="A740" t="str">
        <f t="shared" si="11"/>
        <v>76139117</v>
      </c>
      <c r="B740">
        <v>76139117</v>
      </c>
      <c r="C740" t="s">
        <v>934</v>
      </c>
      <c r="D740" t="s">
        <v>935</v>
      </c>
      <c r="E740">
        <v>4508714</v>
      </c>
      <c r="F740" t="s">
        <v>742</v>
      </c>
      <c r="G740" t="s">
        <v>743</v>
      </c>
      <c r="H740" t="s">
        <v>762</v>
      </c>
      <c r="I740" s="12">
        <v>45622</v>
      </c>
      <c r="J740">
        <v>1</v>
      </c>
      <c r="K740" t="e">
        <f>VLOOKUP(A740,'TV May Monthly Billing Sites'!$A:$L,1,0)</f>
        <v>#N/A</v>
      </c>
      <c r="L740" t="e">
        <f>VLOOKUP(D740,'TV May Monthly Billing Sites'!$B:$L,1,0)</f>
        <v>#N/A</v>
      </c>
    </row>
    <row r="741" spans="1:12">
      <c r="A741" t="str">
        <f t="shared" si="11"/>
        <v>76139444</v>
      </c>
      <c r="B741">
        <v>76139444</v>
      </c>
      <c r="C741" t="s">
        <v>6078</v>
      </c>
      <c r="D741" t="s">
        <v>2869</v>
      </c>
      <c r="E741">
        <v>4508714</v>
      </c>
      <c r="F741" t="s">
        <v>742</v>
      </c>
      <c r="G741" t="s">
        <v>743</v>
      </c>
      <c r="H741" t="s">
        <v>5624</v>
      </c>
      <c r="I741" s="12">
        <v>45952</v>
      </c>
      <c r="J741">
        <v>1</v>
      </c>
      <c r="K741" t="str">
        <f>VLOOKUP(A741,'TV May Monthly Billing Sites'!$A:$L,1,0)</f>
        <v>76139444</v>
      </c>
    </row>
    <row r="742" spans="1:12">
      <c r="A742" t="str">
        <f t="shared" si="11"/>
        <v>76139791</v>
      </c>
      <c r="B742">
        <v>76139791</v>
      </c>
      <c r="C742" t="s">
        <v>6079</v>
      </c>
      <c r="D742" t="s">
        <v>2871</v>
      </c>
      <c r="E742">
        <v>4508714</v>
      </c>
      <c r="F742" t="s">
        <v>742</v>
      </c>
      <c r="G742" t="s">
        <v>743</v>
      </c>
      <c r="H742" t="s">
        <v>6080</v>
      </c>
      <c r="I742" s="12">
        <v>45905</v>
      </c>
      <c r="J742">
        <v>1</v>
      </c>
      <c r="K742" t="str">
        <f>VLOOKUP(A742,'TV May Monthly Billing Sites'!$A:$L,1,0)</f>
        <v>76139791</v>
      </c>
    </row>
    <row r="743" spans="1:12">
      <c r="A743" t="str">
        <f t="shared" si="11"/>
        <v>76140202</v>
      </c>
      <c r="B743">
        <v>76140202</v>
      </c>
      <c r="C743" t="s">
        <v>6081</v>
      </c>
      <c r="D743" t="s">
        <v>6082</v>
      </c>
      <c r="E743">
        <v>4508675</v>
      </c>
      <c r="F743" t="s">
        <v>742</v>
      </c>
      <c r="G743" t="s">
        <v>828</v>
      </c>
      <c r="H743" t="s">
        <v>6083</v>
      </c>
      <c r="I743" s="12">
        <v>46097</v>
      </c>
      <c r="J743">
        <v>1</v>
      </c>
      <c r="K743" t="str">
        <f>VLOOKUP(A743,'TV May Monthly Billing Sites'!$A:$L,1,0)</f>
        <v>76140202</v>
      </c>
    </row>
    <row r="744" spans="1:12">
      <c r="A744" t="str">
        <f t="shared" si="11"/>
        <v>76140738</v>
      </c>
      <c r="B744">
        <v>76140738</v>
      </c>
      <c r="C744" t="s">
        <v>6084</v>
      </c>
      <c r="D744" t="s">
        <v>6085</v>
      </c>
      <c r="E744">
        <v>4508714</v>
      </c>
      <c r="F744" t="s">
        <v>742</v>
      </c>
      <c r="G744" t="s">
        <v>743</v>
      </c>
      <c r="H744" t="s">
        <v>5897</v>
      </c>
      <c r="I744" s="12">
        <v>45839</v>
      </c>
      <c r="J744">
        <v>1</v>
      </c>
      <c r="K744" t="str">
        <f>VLOOKUP(A744,'TV May Monthly Billing Sites'!$A:$L,1,0)</f>
        <v>76140738</v>
      </c>
    </row>
    <row r="745" spans="1:12">
      <c r="A745" t="str">
        <f t="shared" si="11"/>
        <v>76141509</v>
      </c>
      <c r="B745">
        <v>76141509</v>
      </c>
      <c r="C745" t="s">
        <v>6086</v>
      </c>
      <c r="D745" t="s">
        <v>2877</v>
      </c>
      <c r="E745">
        <v>4408592</v>
      </c>
      <c r="F745" t="s">
        <v>742</v>
      </c>
      <c r="G745" t="s">
        <v>823</v>
      </c>
      <c r="H745" t="s">
        <v>6087</v>
      </c>
      <c r="I745" s="12">
        <v>45775</v>
      </c>
      <c r="J745">
        <v>1</v>
      </c>
      <c r="K745" t="str">
        <f>VLOOKUP(A745,'TV May Monthly Billing Sites'!$A:$L,1,0)</f>
        <v>76141509</v>
      </c>
    </row>
    <row r="746" spans="1:12">
      <c r="A746" t="str">
        <f t="shared" si="11"/>
        <v>76141603</v>
      </c>
      <c r="B746">
        <v>76141603</v>
      </c>
      <c r="C746" t="s">
        <v>6088</v>
      </c>
      <c r="D746" t="s">
        <v>2879</v>
      </c>
      <c r="E746">
        <v>4508675</v>
      </c>
      <c r="F746" t="s">
        <v>742</v>
      </c>
      <c r="G746" t="s">
        <v>828</v>
      </c>
      <c r="H746" t="s">
        <v>1164</v>
      </c>
      <c r="I746" s="12">
        <v>45552</v>
      </c>
      <c r="J746">
        <v>1</v>
      </c>
      <c r="K746" t="str">
        <f>VLOOKUP(A746,'TV May Monthly Billing Sites'!$A:$L,1,0)</f>
        <v>76141603</v>
      </c>
    </row>
    <row r="747" spans="1:12">
      <c r="A747" t="str">
        <f t="shared" si="11"/>
        <v>76141860</v>
      </c>
      <c r="B747">
        <v>76141860</v>
      </c>
      <c r="C747" t="s">
        <v>6089</v>
      </c>
      <c r="D747" t="s">
        <v>6090</v>
      </c>
      <c r="E747">
        <v>4508714</v>
      </c>
      <c r="F747" t="s">
        <v>742</v>
      </c>
      <c r="G747" t="s">
        <v>743</v>
      </c>
      <c r="H747" t="s">
        <v>1138</v>
      </c>
      <c r="I747" s="12">
        <v>45236</v>
      </c>
      <c r="J747">
        <v>1</v>
      </c>
      <c r="K747" t="str">
        <f>VLOOKUP(A747,'TV May Monthly Billing Sites'!$A:$L,1,0)</f>
        <v>76141860</v>
      </c>
    </row>
    <row r="748" spans="1:12">
      <c r="A748" t="str">
        <f t="shared" si="11"/>
        <v>76141861</v>
      </c>
      <c r="B748">
        <v>76141861</v>
      </c>
      <c r="C748" t="s">
        <v>6091</v>
      </c>
      <c r="D748" t="s">
        <v>6092</v>
      </c>
      <c r="E748">
        <v>4508714</v>
      </c>
      <c r="F748" t="s">
        <v>742</v>
      </c>
      <c r="G748" t="s">
        <v>743</v>
      </c>
      <c r="H748" t="s">
        <v>1138</v>
      </c>
      <c r="I748" s="12">
        <v>45236</v>
      </c>
      <c r="J748">
        <v>1</v>
      </c>
      <c r="K748" t="str">
        <f>VLOOKUP(A748,'TV May Monthly Billing Sites'!$A:$L,1,0)</f>
        <v>76141861</v>
      </c>
    </row>
    <row r="749" spans="1:12">
      <c r="A749" t="str">
        <f t="shared" si="11"/>
        <v>76142698</v>
      </c>
      <c r="B749">
        <v>76142698</v>
      </c>
      <c r="C749" t="s">
        <v>6093</v>
      </c>
      <c r="D749" t="s">
        <v>6094</v>
      </c>
      <c r="E749">
        <v>4508684</v>
      </c>
      <c r="F749" t="s">
        <v>742</v>
      </c>
      <c r="G749" t="s">
        <v>4760</v>
      </c>
      <c r="H749" t="s">
        <v>4945</v>
      </c>
      <c r="I749" s="12">
        <v>45891</v>
      </c>
      <c r="J749">
        <v>1</v>
      </c>
      <c r="K749" t="str">
        <f>VLOOKUP(A749,'TV May Monthly Billing Sites'!$A:$L,1,0)</f>
        <v>76142698</v>
      </c>
    </row>
    <row r="750" spans="1:12">
      <c r="A750" t="str">
        <f t="shared" si="11"/>
        <v>76143102</v>
      </c>
      <c r="B750">
        <v>76143102</v>
      </c>
      <c r="C750" t="s">
        <v>6095</v>
      </c>
      <c r="D750" t="s">
        <v>6096</v>
      </c>
      <c r="E750">
        <v>4508714</v>
      </c>
      <c r="F750" t="s">
        <v>742</v>
      </c>
      <c r="G750" t="s">
        <v>743</v>
      </c>
      <c r="H750" t="s">
        <v>1096</v>
      </c>
      <c r="I750" s="12">
        <v>45961</v>
      </c>
      <c r="J750">
        <v>1</v>
      </c>
      <c r="K750" t="str">
        <f>VLOOKUP(A750,'TV May Monthly Billing Sites'!$A:$L,1,0)</f>
        <v>76143102</v>
      </c>
    </row>
    <row r="751" spans="1:12">
      <c r="A751" t="str">
        <f t="shared" si="11"/>
        <v>76143629</v>
      </c>
      <c r="B751">
        <v>76143629</v>
      </c>
      <c r="C751" t="s">
        <v>6097</v>
      </c>
      <c r="D751" t="s">
        <v>2891</v>
      </c>
      <c r="E751">
        <v>4508714</v>
      </c>
      <c r="F751" t="s">
        <v>742</v>
      </c>
      <c r="G751" t="s">
        <v>743</v>
      </c>
      <c r="H751" t="s">
        <v>5298</v>
      </c>
      <c r="I751" s="12">
        <v>45875</v>
      </c>
      <c r="J751">
        <v>1</v>
      </c>
      <c r="K751" t="str">
        <f>VLOOKUP(A751,'TV May Monthly Billing Sites'!$A:$L,1,0)</f>
        <v>76143629</v>
      </c>
    </row>
    <row r="752" spans="1:12">
      <c r="A752" t="str">
        <f t="shared" si="11"/>
        <v>76143961</v>
      </c>
      <c r="B752">
        <v>76143961</v>
      </c>
      <c r="C752" t="s">
        <v>6098</v>
      </c>
      <c r="D752" t="s">
        <v>6099</v>
      </c>
      <c r="E752">
        <v>4508714</v>
      </c>
      <c r="F752" t="s">
        <v>742</v>
      </c>
      <c r="G752" t="s">
        <v>743</v>
      </c>
      <c r="H752" t="s">
        <v>6100</v>
      </c>
      <c r="I752" s="12">
        <v>45755</v>
      </c>
      <c r="J752">
        <v>1</v>
      </c>
      <c r="K752" t="str">
        <f>VLOOKUP(A752,'TV May Monthly Billing Sites'!$A:$L,1,0)</f>
        <v>76143961</v>
      </c>
    </row>
    <row r="753" spans="1:11">
      <c r="A753" t="str">
        <f t="shared" si="11"/>
        <v>76143966</v>
      </c>
      <c r="B753">
        <v>76143966</v>
      </c>
      <c r="C753" t="s">
        <v>6101</v>
      </c>
      <c r="D753" t="s">
        <v>6102</v>
      </c>
      <c r="E753">
        <v>4508714</v>
      </c>
      <c r="F753" t="s">
        <v>742</v>
      </c>
      <c r="G753" t="s">
        <v>743</v>
      </c>
      <c r="H753" t="s">
        <v>6100</v>
      </c>
      <c r="I753" s="12">
        <v>45755</v>
      </c>
      <c r="J753">
        <v>1</v>
      </c>
      <c r="K753" t="str">
        <f>VLOOKUP(A753,'TV May Monthly Billing Sites'!$A:$L,1,0)</f>
        <v>76143966</v>
      </c>
    </row>
    <row r="754" spans="1:11">
      <c r="A754" t="str">
        <f t="shared" si="11"/>
        <v>76144324</v>
      </c>
      <c r="B754">
        <v>76144324</v>
      </c>
      <c r="C754" t="s">
        <v>6103</v>
      </c>
      <c r="D754" t="s">
        <v>2897</v>
      </c>
      <c r="E754">
        <v>4408593</v>
      </c>
      <c r="F754" t="s">
        <v>742</v>
      </c>
      <c r="G754" t="s">
        <v>782</v>
      </c>
      <c r="H754" t="s">
        <v>6072</v>
      </c>
      <c r="I754" s="12">
        <v>45897</v>
      </c>
      <c r="J754">
        <v>1</v>
      </c>
      <c r="K754" t="str">
        <f>VLOOKUP(A754,'TV May Monthly Billing Sites'!$A:$L,1,0)</f>
        <v>76144324</v>
      </c>
    </row>
    <row r="755" spans="1:11">
      <c r="A755" t="str">
        <f t="shared" si="11"/>
        <v>76144717</v>
      </c>
      <c r="B755">
        <v>76144717</v>
      </c>
      <c r="C755" t="s">
        <v>6104</v>
      </c>
      <c r="D755" t="s">
        <v>2899</v>
      </c>
      <c r="E755">
        <v>4508714</v>
      </c>
      <c r="F755" t="s">
        <v>742</v>
      </c>
      <c r="G755" t="s">
        <v>743</v>
      </c>
      <c r="H755" t="s">
        <v>6105</v>
      </c>
      <c r="I755" s="12">
        <v>45628</v>
      </c>
      <c r="J755">
        <v>1</v>
      </c>
      <c r="K755" t="str">
        <f>VLOOKUP(A755,'TV May Monthly Billing Sites'!$A:$L,1,0)</f>
        <v>76144717</v>
      </c>
    </row>
    <row r="756" spans="1:11">
      <c r="A756" t="str">
        <f t="shared" si="11"/>
        <v>76144738</v>
      </c>
      <c r="B756">
        <v>76144738</v>
      </c>
      <c r="C756" t="s">
        <v>6106</v>
      </c>
      <c r="D756" t="s">
        <v>6107</v>
      </c>
      <c r="E756">
        <v>4508714</v>
      </c>
      <c r="F756" t="s">
        <v>742</v>
      </c>
      <c r="G756" t="s">
        <v>743</v>
      </c>
      <c r="H756" t="s">
        <v>2901</v>
      </c>
      <c r="I756" s="12">
        <v>45560</v>
      </c>
      <c r="J756">
        <v>1</v>
      </c>
      <c r="K756" t="str">
        <f>VLOOKUP(A756,'TV May Monthly Billing Sites'!$A:$L,1,0)</f>
        <v>76144738</v>
      </c>
    </row>
    <row r="757" spans="1:11">
      <c r="A757" t="str">
        <f t="shared" si="11"/>
        <v>76144974</v>
      </c>
      <c r="B757">
        <v>76144974</v>
      </c>
      <c r="C757" t="s">
        <v>6108</v>
      </c>
      <c r="D757" t="s">
        <v>2903</v>
      </c>
      <c r="E757">
        <v>4508682</v>
      </c>
      <c r="F757" t="s">
        <v>742</v>
      </c>
      <c r="G757" t="s">
        <v>4879</v>
      </c>
      <c r="H757" t="s">
        <v>5128</v>
      </c>
      <c r="I757" s="12">
        <v>44655</v>
      </c>
      <c r="J757">
        <v>1</v>
      </c>
      <c r="K757" t="str">
        <f>VLOOKUP(A757,'TV May Monthly Billing Sites'!$A:$L,1,0)</f>
        <v>76144974</v>
      </c>
    </row>
    <row r="758" spans="1:11">
      <c r="A758" t="str">
        <f t="shared" si="11"/>
        <v>76145158</v>
      </c>
      <c r="B758">
        <v>76145158</v>
      </c>
      <c r="C758" t="s">
        <v>6109</v>
      </c>
      <c r="D758" t="s">
        <v>2905</v>
      </c>
      <c r="E758">
        <v>4508714</v>
      </c>
      <c r="F758" t="s">
        <v>742</v>
      </c>
      <c r="G758" t="s">
        <v>743</v>
      </c>
      <c r="H758" t="s">
        <v>5629</v>
      </c>
      <c r="I758" s="12">
        <v>45748</v>
      </c>
      <c r="J758">
        <v>1</v>
      </c>
      <c r="K758" t="str">
        <f>VLOOKUP(A758,'TV May Monthly Billing Sites'!$A:$L,1,0)</f>
        <v>76145158</v>
      </c>
    </row>
    <row r="759" spans="1:11">
      <c r="A759" t="str">
        <f t="shared" si="11"/>
        <v>76145456</v>
      </c>
      <c r="B759">
        <v>76145456</v>
      </c>
      <c r="C759" t="s">
        <v>6110</v>
      </c>
      <c r="D759" t="s">
        <v>2907</v>
      </c>
      <c r="E759">
        <v>4408593</v>
      </c>
      <c r="F759" t="s">
        <v>742</v>
      </c>
      <c r="G759" t="s">
        <v>782</v>
      </c>
      <c r="H759" t="s">
        <v>6111</v>
      </c>
      <c r="I759" s="12">
        <v>45626</v>
      </c>
      <c r="J759">
        <v>1</v>
      </c>
      <c r="K759" t="str">
        <f>VLOOKUP(A759,'TV May Monthly Billing Sites'!$A:$L,1,0)</f>
        <v>76145456</v>
      </c>
    </row>
    <row r="760" spans="1:11">
      <c r="A760" t="str">
        <f t="shared" si="11"/>
        <v>76145631</v>
      </c>
      <c r="B760">
        <v>76145631</v>
      </c>
      <c r="C760" t="s">
        <v>6112</v>
      </c>
      <c r="D760" t="s">
        <v>6113</v>
      </c>
      <c r="E760">
        <v>4508714</v>
      </c>
      <c r="F760" t="s">
        <v>742</v>
      </c>
      <c r="G760" t="s">
        <v>743</v>
      </c>
      <c r="H760" t="s">
        <v>6114</v>
      </c>
      <c r="I760" s="12">
        <v>45973</v>
      </c>
      <c r="J760">
        <v>1</v>
      </c>
      <c r="K760" t="str">
        <f>VLOOKUP(A760,'TV May Monthly Billing Sites'!$A:$L,1,0)</f>
        <v>76145631</v>
      </c>
    </row>
    <row r="761" spans="1:11">
      <c r="A761" t="str">
        <f t="shared" si="11"/>
        <v>76145953</v>
      </c>
      <c r="B761">
        <v>76145953</v>
      </c>
      <c r="C761" t="s">
        <v>6115</v>
      </c>
      <c r="D761" t="s">
        <v>2911</v>
      </c>
      <c r="E761">
        <v>4508714</v>
      </c>
      <c r="F761" t="s">
        <v>742</v>
      </c>
      <c r="G761" t="s">
        <v>743</v>
      </c>
      <c r="H761" t="s">
        <v>5115</v>
      </c>
      <c r="I761" s="12">
        <v>45540</v>
      </c>
      <c r="J761">
        <v>1</v>
      </c>
      <c r="K761" t="str">
        <f>VLOOKUP(A761,'TV May Monthly Billing Sites'!$A:$L,1,0)</f>
        <v>76145953</v>
      </c>
    </row>
    <row r="762" spans="1:11">
      <c r="A762" t="str">
        <f t="shared" si="11"/>
        <v>76146760</v>
      </c>
      <c r="B762">
        <v>76146760</v>
      </c>
      <c r="C762" t="s">
        <v>6116</v>
      </c>
      <c r="D762" t="s">
        <v>6117</v>
      </c>
      <c r="E762">
        <v>4408592</v>
      </c>
      <c r="F762" t="s">
        <v>742</v>
      </c>
      <c r="G762" t="s">
        <v>823</v>
      </c>
      <c r="H762" t="s">
        <v>5552</v>
      </c>
      <c r="I762" s="12">
        <v>45107</v>
      </c>
      <c r="J762">
        <v>1</v>
      </c>
      <c r="K762" t="str">
        <f>VLOOKUP(A762,'TV May Monthly Billing Sites'!$A:$L,1,0)</f>
        <v>76146760</v>
      </c>
    </row>
    <row r="763" spans="1:11">
      <c r="A763" t="str">
        <f t="shared" si="11"/>
        <v>76146834</v>
      </c>
      <c r="B763">
        <v>76146834</v>
      </c>
      <c r="C763" t="s">
        <v>6118</v>
      </c>
      <c r="D763" t="s">
        <v>2915</v>
      </c>
      <c r="E763">
        <v>4408592</v>
      </c>
      <c r="F763" t="s">
        <v>742</v>
      </c>
      <c r="G763" t="s">
        <v>823</v>
      </c>
      <c r="H763" t="s">
        <v>4797</v>
      </c>
      <c r="I763" s="12">
        <v>44533</v>
      </c>
      <c r="J763">
        <v>1</v>
      </c>
      <c r="K763" t="str">
        <f>VLOOKUP(A763,'TV May Monthly Billing Sites'!$A:$L,1,0)</f>
        <v>76146834</v>
      </c>
    </row>
    <row r="764" spans="1:11">
      <c r="A764" t="str">
        <f t="shared" si="11"/>
        <v>76148275</v>
      </c>
      <c r="B764">
        <v>76148275</v>
      </c>
      <c r="C764" t="s">
        <v>6119</v>
      </c>
      <c r="D764" t="s">
        <v>2917</v>
      </c>
      <c r="E764">
        <v>4508714</v>
      </c>
      <c r="F764" t="s">
        <v>742</v>
      </c>
      <c r="G764" t="s">
        <v>743</v>
      </c>
      <c r="H764" t="s">
        <v>751</v>
      </c>
      <c r="I764" s="12">
        <v>45747</v>
      </c>
      <c r="J764">
        <v>1</v>
      </c>
      <c r="K764" t="str">
        <f>VLOOKUP(A764,'TV May Monthly Billing Sites'!$A:$L,1,0)</f>
        <v>76148275</v>
      </c>
    </row>
    <row r="765" spans="1:11">
      <c r="A765" t="str">
        <f t="shared" si="11"/>
        <v>76148335</v>
      </c>
      <c r="B765">
        <v>76148335</v>
      </c>
      <c r="C765" t="s">
        <v>6120</v>
      </c>
      <c r="D765" t="s">
        <v>2919</v>
      </c>
      <c r="E765">
        <v>4508714</v>
      </c>
      <c r="F765" t="s">
        <v>742</v>
      </c>
      <c r="G765" t="s">
        <v>743</v>
      </c>
      <c r="H765" t="s">
        <v>5557</v>
      </c>
      <c r="I765" s="12">
        <v>46023</v>
      </c>
      <c r="J765">
        <v>1</v>
      </c>
      <c r="K765" t="str">
        <f>VLOOKUP(A765,'TV May Monthly Billing Sites'!$A:$L,1,0)</f>
        <v>76148335</v>
      </c>
    </row>
    <row r="766" spans="1:11">
      <c r="A766" t="str">
        <f t="shared" si="11"/>
        <v>76148582</v>
      </c>
      <c r="B766">
        <v>76148582</v>
      </c>
      <c r="C766" t="s">
        <v>6121</v>
      </c>
      <c r="D766" t="s">
        <v>2921</v>
      </c>
      <c r="E766">
        <v>4508714</v>
      </c>
      <c r="F766" t="s">
        <v>742</v>
      </c>
      <c r="G766" t="s">
        <v>743</v>
      </c>
      <c r="H766" t="s">
        <v>1164</v>
      </c>
      <c r="I766" s="12">
        <v>45636</v>
      </c>
      <c r="J766">
        <v>1</v>
      </c>
      <c r="K766" t="str">
        <f>VLOOKUP(A766,'TV May Monthly Billing Sites'!$A:$L,1,0)</f>
        <v>76148582</v>
      </c>
    </row>
    <row r="767" spans="1:11">
      <c r="A767" t="str">
        <f t="shared" si="11"/>
        <v>76149027</v>
      </c>
      <c r="B767">
        <v>76149027</v>
      </c>
      <c r="C767" t="s">
        <v>6122</v>
      </c>
      <c r="D767" t="s">
        <v>2923</v>
      </c>
      <c r="E767">
        <v>4508714</v>
      </c>
      <c r="F767" t="s">
        <v>742</v>
      </c>
      <c r="G767" t="s">
        <v>743</v>
      </c>
      <c r="H767" t="s">
        <v>5629</v>
      </c>
      <c r="I767" s="12">
        <v>45748</v>
      </c>
      <c r="J767">
        <v>1</v>
      </c>
      <c r="K767" t="str">
        <f>VLOOKUP(A767,'TV May Monthly Billing Sites'!$A:$L,1,0)</f>
        <v>76149027</v>
      </c>
    </row>
    <row r="768" spans="1:11">
      <c r="A768" t="str">
        <f t="shared" si="11"/>
        <v>76149136</v>
      </c>
      <c r="B768">
        <v>76149136</v>
      </c>
      <c r="C768" t="s">
        <v>6123</v>
      </c>
      <c r="D768" t="s">
        <v>2925</v>
      </c>
      <c r="E768">
        <v>4508675</v>
      </c>
      <c r="F768" t="s">
        <v>742</v>
      </c>
      <c r="G768" t="s">
        <v>828</v>
      </c>
      <c r="H768" t="s">
        <v>6124</v>
      </c>
      <c r="I768" s="12">
        <v>45593</v>
      </c>
      <c r="J768">
        <v>2</v>
      </c>
      <c r="K768" t="str">
        <f>VLOOKUP(A768,'TV May Monthly Billing Sites'!$A:$L,1,0)</f>
        <v>76149136</v>
      </c>
    </row>
    <row r="769" spans="1:12">
      <c r="A769" t="str">
        <f t="shared" si="11"/>
        <v>76149528</v>
      </c>
      <c r="B769">
        <v>76149528</v>
      </c>
      <c r="C769" t="s">
        <v>6125</v>
      </c>
      <c r="D769" t="s">
        <v>6126</v>
      </c>
      <c r="E769">
        <v>4508714</v>
      </c>
      <c r="F769" t="s">
        <v>742</v>
      </c>
      <c r="G769" t="s">
        <v>743</v>
      </c>
      <c r="H769" t="s">
        <v>751</v>
      </c>
      <c r="I769" s="12">
        <v>45747</v>
      </c>
      <c r="J769">
        <v>1</v>
      </c>
      <c r="K769" t="str">
        <f>VLOOKUP(A769,'TV May Monthly Billing Sites'!$A:$L,1,0)</f>
        <v>76149528</v>
      </c>
    </row>
    <row r="770" spans="1:12">
      <c r="A770" t="str">
        <f t="shared" ref="A770:A833" si="12">TRIM(B770)</f>
        <v>76149630</v>
      </c>
      <c r="B770">
        <v>76149630</v>
      </c>
      <c r="C770" t="s">
        <v>6127</v>
      </c>
      <c r="D770" t="s">
        <v>6128</v>
      </c>
      <c r="E770">
        <v>4508714</v>
      </c>
      <c r="F770" t="s">
        <v>742</v>
      </c>
      <c r="G770" t="s">
        <v>743</v>
      </c>
      <c r="H770" t="s">
        <v>1179</v>
      </c>
      <c r="I770" s="12">
        <v>45646</v>
      </c>
      <c r="J770">
        <v>1</v>
      </c>
      <c r="K770" t="str">
        <f>VLOOKUP(A770,'TV May Monthly Billing Sites'!$A:$L,1,0)</f>
        <v>76149630</v>
      </c>
    </row>
    <row r="771" spans="1:12">
      <c r="A771" t="str">
        <f t="shared" si="12"/>
        <v>76149709</v>
      </c>
      <c r="B771">
        <v>76149709</v>
      </c>
      <c r="C771" t="s">
        <v>6129</v>
      </c>
      <c r="D771" t="s">
        <v>2931</v>
      </c>
      <c r="E771">
        <v>4508714</v>
      </c>
      <c r="F771" t="s">
        <v>742</v>
      </c>
      <c r="G771" t="s">
        <v>743</v>
      </c>
      <c r="H771" t="s">
        <v>6130</v>
      </c>
      <c r="I771" s="12">
        <v>45867</v>
      </c>
      <c r="J771">
        <v>1</v>
      </c>
      <c r="K771" t="str">
        <f>VLOOKUP(A771,'TV May Monthly Billing Sites'!$A:$L,1,0)</f>
        <v>76149709</v>
      </c>
    </row>
    <row r="772" spans="1:12">
      <c r="A772" t="str">
        <f t="shared" si="12"/>
        <v>76150535</v>
      </c>
      <c r="B772">
        <v>76150535</v>
      </c>
      <c r="C772" t="s">
        <v>6131</v>
      </c>
      <c r="D772" t="s">
        <v>6132</v>
      </c>
      <c r="E772">
        <v>4508714</v>
      </c>
      <c r="F772" t="s">
        <v>742</v>
      </c>
      <c r="G772" t="s">
        <v>743</v>
      </c>
      <c r="H772" t="s">
        <v>2933</v>
      </c>
      <c r="I772" s="12">
        <v>45637</v>
      </c>
      <c r="J772">
        <v>1</v>
      </c>
      <c r="K772" t="str">
        <f>VLOOKUP(A772,'TV May Monthly Billing Sites'!$A:$L,1,0)</f>
        <v>76150535</v>
      </c>
    </row>
    <row r="773" spans="1:12">
      <c r="A773" t="str">
        <f t="shared" si="12"/>
        <v>76150627</v>
      </c>
      <c r="B773">
        <v>76150627</v>
      </c>
      <c r="C773" t="s">
        <v>6133</v>
      </c>
      <c r="D773" t="s">
        <v>2935</v>
      </c>
      <c r="E773">
        <v>4408593</v>
      </c>
      <c r="F773" t="s">
        <v>742</v>
      </c>
      <c r="G773" t="s">
        <v>782</v>
      </c>
      <c r="H773" t="s">
        <v>6134</v>
      </c>
      <c r="I773" s="12">
        <v>46022</v>
      </c>
      <c r="J773">
        <v>1</v>
      </c>
      <c r="K773" t="str">
        <f>VLOOKUP(A773,'TV May Monthly Billing Sites'!$A:$L,1,0)</f>
        <v>76150627</v>
      </c>
    </row>
    <row r="774" spans="1:12">
      <c r="A774" t="str">
        <f t="shared" si="12"/>
        <v>76150784</v>
      </c>
      <c r="B774">
        <v>76150784</v>
      </c>
      <c r="C774" t="s">
        <v>937</v>
      </c>
      <c r="D774" t="s">
        <v>938</v>
      </c>
      <c r="E774">
        <v>4508714</v>
      </c>
      <c r="F774" t="s">
        <v>742</v>
      </c>
      <c r="G774" t="s">
        <v>743</v>
      </c>
      <c r="H774" t="s">
        <v>939</v>
      </c>
      <c r="I774" s="12">
        <v>46085</v>
      </c>
      <c r="J774">
        <v>1</v>
      </c>
      <c r="K774" t="e">
        <f>VLOOKUP(A774,'TV May Monthly Billing Sites'!$A:$L,1,0)</f>
        <v>#N/A</v>
      </c>
      <c r="L774" t="e">
        <f>VLOOKUP(D774,'TV May Monthly Billing Sites'!$B:$L,1,0)</f>
        <v>#N/A</v>
      </c>
    </row>
    <row r="775" spans="1:12">
      <c r="A775" t="str">
        <f t="shared" si="12"/>
        <v>76151556</v>
      </c>
      <c r="B775">
        <v>76151556</v>
      </c>
      <c r="C775" t="s">
        <v>6135</v>
      </c>
      <c r="D775" t="s">
        <v>6136</v>
      </c>
      <c r="E775">
        <v>4508714</v>
      </c>
      <c r="F775" t="s">
        <v>742</v>
      </c>
      <c r="G775" t="s">
        <v>743</v>
      </c>
      <c r="H775" t="s">
        <v>5942</v>
      </c>
      <c r="I775" s="12">
        <v>45982</v>
      </c>
      <c r="J775">
        <v>1</v>
      </c>
      <c r="K775" t="str">
        <f>VLOOKUP(A775,'TV May Monthly Billing Sites'!$A:$L,1,0)</f>
        <v>76151556</v>
      </c>
    </row>
    <row r="776" spans="1:12">
      <c r="A776" t="str">
        <f t="shared" si="12"/>
        <v>76151557</v>
      </c>
      <c r="B776">
        <v>76151557</v>
      </c>
      <c r="C776" t="s">
        <v>6137</v>
      </c>
      <c r="D776" t="s">
        <v>6138</v>
      </c>
      <c r="E776">
        <v>4508714</v>
      </c>
      <c r="F776" t="s">
        <v>742</v>
      </c>
      <c r="G776" t="s">
        <v>743</v>
      </c>
      <c r="H776" t="s">
        <v>5942</v>
      </c>
      <c r="I776" s="12">
        <v>45982</v>
      </c>
      <c r="J776">
        <v>1</v>
      </c>
      <c r="K776" t="str">
        <f>VLOOKUP(A776,'TV May Monthly Billing Sites'!$A:$L,1,0)</f>
        <v>76151557</v>
      </c>
    </row>
    <row r="777" spans="1:12">
      <c r="A777" t="str">
        <f t="shared" si="12"/>
        <v>76151592</v>
      </c>
      <c r="B777">
        <v>76151592</v>
      </c>
      <c r="C777" t="s">
        <v>6139</v>
      </c>
      <c r="D777" t="s">
        <v>2941</v>
      </c>
      <c r="E777">
        <v>4508714</v>
      </c>
      <c r="F777" t="s">
        <v>742</v>
      </c>
      <c r="G777" t="s">
        <v>743</v>
      </c>
      <c r="H777" t="s">
        <v>5266</v>
      </c>
      <c r="I777" s="12">
        <v>45940</v>
      </c>
      <c r="J777">
        <v>1</v>
      </c>
      <c r="K777" t="str">
        <f>VLOOKUP(A777,'TV May Monthly Billing Sites'!$A:$L,1,0)</f>
        <v>76151592</v>
      </c>
    </row>
    <row r="778" spans="1:12">
      <c r="A778" t="str">
        <f t="shared" si="12"/>
        <v>76152121</v>
      </c>
      <c r="B778">
        <v>76152121</v>
      </c>
      <c r="C778" t="s">
        <v>6140</v>
      </c>
      <c r="D778" t="s">
        <v>2947</v>
      </c>
      <c r="E778">
        <v>4508714</v>
      </c>
      <c r="F778" t="s">
        <v>742</v>
      </c>
      <c r="G778" t="s">
        <v>743</v>
      </c>
      <c r="H778" t="s">
        <v>6141</v>
      </c>
      <c r="I778" s="12">
        <v>45747</v>
      </c>
      <c r="J778">
        <v>1</v>
      </c>
      <c r="K778" t="str">
        <f>VLOOKUP(A778,'TV May Monthly Billing Sites'!$A:$L,1,0)</f>
        <v>76152121</v>
      </c>
    </row>
    <row r="779" spans="1:12">
      <c r="A779" t="str">
        <f t="shared" si="12"/>
        <v>76152121</v>
      </c>
      <c r="B779">
        <v>76152121</v>
      </c>
      <c r="C779" t="s">
        <v>6142</v>
      </c>
      <c r="D779" t="s">
        <v>2947</v>
      </c>
      <c r="E779">
        <v>4508714</v>
      </c>
      <c r="F779" t="s">
        <v>742</v>
      </c>
      <c r="G779" t="s">
        <v>743</v>
      </c>
      <c r="H779" t="s">
        <v>6141</v>
      </c>
      <c r="I779" s="12">
        <v>45747</v>
      </c>
      <c r="J779">
        <v>1</v>
      </c>
      <c r="K779" t="str">
        <f>VLOOKUP(A779,'TV May Monthly Billing Sites'!$A:$L,1,0)</f>
        <v>76152121</v>
      </c>
    </row>
    <row r="780" spans="1:12">
      <c r="A780" t="str">
        <f t="shared" si="12"/>
        <v>76152121</v>
      </c>
      <c r="B780">
        <v>76152121</v>
      </c>
      <c r="C780" t="s">
        <v>6143</v>
      </c>
      <c r="D780" t="s">
        <v>2947</v>
      </c>
      <c r="E780">
        <v>4508714</v>
      </c>
      <c r="F780" t="s">
        <v>742</v>
      </c>
      <c r="G780" t="s">
        <v>743</v>
      </c>
      <c r="H780" t="s">
        <v>6141</v>
      </c>
      <c r="I780" s="12">
        <v>45747</v>
      </c>
      <c r="J780">
        <v>1</v>
      </c>
      <c r="K780" t="str">
        <f>VLOOKUP(A780,'TV May Monthly Billing Sites'!$A:$L,1,0)</f>
        <v>76152121</v>
      </c>
    </row>
    <row r="781" spans="1:12">
      <c r="A781" t="str">
        <f t="shared" si="12"/>
        <v>76152360</v>
      </c>
      <c r="B781">
        <v>76152360</v>
      </c>
      <c r="C781" t="s">
        <v>6144</v>
      </c>
      <c r="D781" t="s">
        <v>2949</v>
      </c>
      <c r="E781">
        <v>4508714</v>
      </c>
      <c r="F781" t="s">
        <v>742</v>
      </c>
      <c r="G781" t="s">
        <v>743</v>
      </c>
      <c r="H781" t="s">
        <v>6145</v>
      </c>
      <c r="I781" s="12">
        <v>45964</v>
      </c>
      <c r="J781">
        <v>1</v>
      </c>
      <c r="K781" t="str">
        <f>VLOOKUP(A781,'TV May Monthly Billing Sites'!$A:$L,1,0)</f>
        <v>76152360</v>
      </c>
    </row>
    <row r="782" spans="1:12">
      <c r="A782" t="str">
        <f t="shared" si="12"/>
        <v>76152361</v>
      </c>
      <c r="B782">
        <v>76152361</v>
      </c>
      <c r="C782" t="s">
        <v>6146</v>
      </c>
      <c r="D782" t="s">
        <v>2951</v>
      </c>
      <c r="E782">
        <v>4508714</v>
      </c>
      <c r="F782" t="s">
        <v>742</v>
      </c>
      <c r="G782" t="s">
        <v>743</v>
      </c>
      <c r="H782" t="s">
        <v>6145</v>
      </c>
      <c r="I782" s="12">
        <v>45964</v>
      </c>
      <c r="J782">
        <v>1</v>
      </c>
      <c r="K782" t="str">
        <f>VLOOKUP(A782,'TV May Monthly Billing Sites'!$A:$L,1,0)</f>
        <v>76152361</v>
      </c>
    </row>
    <row r="783" spans="1:12">
      <c r="A783" t="str">
        <f t="shared" si="12"/>
        <v>76152362</v>
      </c>
      <c r="B783">
        <v>76152362</v>
      </c>
      <c r="C783" t="s">
        <v>6147</v>
      </c>
      <c r="D783" t="s">
        <v>6148</v>
      </c>
      <c r="E783">
        <v>4508714</v>
      </c>
      <c r="F783" t="s">
        <v>742</v>
      </c>
      <c r="G783" t="s">
        <v>743</v>
      </c>
      <c r="H783" t="s">
        <v>6145</v>
      </c>
      <c r="I783" s="12">
        <v>45964</v>
      </c>
      <c r="J783">
        <v>1</v>
      </c>
      <c r="K783" t="str">
        <f>VLOOKUP(A783,'TV May Monthly Billing Sites'!$A:$L,1,0)</f>
        <v>76152362</v>
      </c>
    </row>
    <row r="784" spans="1:12">
      <c r="A784" t="str">
        <f t="shared" si="12"/>
        <v>76152864</v>
      </c>
      <c r="B784">
        <v>76152864</v>
      </c>
      <c r="C784" t="s">
        <v>6149</v>
      </c>
      <c r="D784" t="s">
        <v>2955</v>
      </c>
      <c r="E784">
        <v>4508714</v>
      </c>
      <c r="F784" t="s">
        <v>742</v>
      </c>
      <c r="G784" t="s">
        <v>743</v>
      </c>
      <c r="H784" t="s">
        <v>6150</v>
      </c>
      <c r="I784" s="12">
        <v>46007</v>
      </c>
      <c r="J784">
        <v>1</v>
      </c>
      <c r="K784" t="str">
        <f>VLOOKUP(A784,'TV May Monthly Billing Sites'!$A:$L,1,0)</f>
        <v>76152864</v>
      </c>
    </row>
    <row r="785" spans="1:12">
      <c r="A785" t="str">
        <f t="shared" si="12"/>
        <v>76152875</v>
      </c>
      <c r="B785">
        <v>76152875</v>
      </c>
      <c r="C785" t="s">
        <v>6151</v>
      </c>
      <c r="D785" t="s">
        <v>6152</v>
      </c>
      <c r="E785">
        <v>4508714</v>
      </c>
      <c r="F785" t="s">
        <v>742</v>
      </c>
      <c r="G785" t="s">
        <v>743</v>
      </c>
      <c r="H785" t="s">
        <v>6069</v>
      </c>
      <c r="I785" s="12">
        <v>45868</v>
      </c>
      <c r="J785">
        <v>1</v>
      </c>
      <c r="K785" t="str">
        <f>VLOOKUP(A785,'TV May Monthly Billing Sites'!$A:$L,1,0)</f>
        <v>76152875</v>
      </c>
    </row>
    <row r="786" spans="1:12">
      <c r="A786" t="str">
        <f t="shared" si="12"/>
        <v>76153500</v>
      </c>
      <c r="B786">
        <v>76153500</v>
      </c>
      <c r="C786" t="s">
        <v>6153</v>
      </c>
      <c r="D786" t="s">
        <v>6154</v>
      </c>
      <c r="E786">
        <v>4508714</v>
      </c>
      <c r="F786" t="s">
        <v>742</v>
      </c>
      <c r="G786" t="s">
        <v>743</v>
      </c>
      <c r="H786" t="s">
        <v>5629</v>
      </c>
      <c r="I786" s="12">
        <v>45748</v>
      </c>
      <c r="J786">
        <v>1</v>
      </c>
      <c r="K786" t="str">
        <f>VLOOKUP(A786,'TV May Monthly Billing Sites'!$A:$L,1,0)</f>
        <v>76153500</v>
      </c>
    </row>
    <row r="787" spans="1:12">
      <c r="A787" t="str">
        <f t="shared" si="12"/>
        <v>76153879</v>
      </c>
      <c r="B787">
        <v>76153879</v>
      </c>
      <c r="C787" t="s">
        <v>6155</v>
      </c>
      <c r="D787" t="s">
        <v>6156</v>
      </c>
      <c r="E787">
        <v>4508714</v>
      </c>
      <c r="F787" t="s">
        <v>742</v>
      </c>
      <c r="G787" t="s">
        <v>743</v>
      </c>
      <c r="H787" t="s">
        <v>5933</v>
      </c>
      <c r="I787" s="12">
        <v>45624</v>
      </c>
      <c r="J787">
        <v>1</v>
      </c>
      <c r="K787" t="str">
        <f>VLOOKUP(A787,'TV May Monthly Billing Sites'!$A:$L,1,0)</f>
        <v>76153879</v>
      </c>
    </row>
    <row r="788" spans="1:12">
      <c r="A788" t="str">
        <f t="shared" si="12"/>
        <v>76154117</v>
      </c>
      <c r="B788">
        <v>76154117</v>
      </c>
      <c r="C788" t="s">
        <v>6157</v>
      </c>
      <c r="D788" t="s">
        <v>2963</v>
      </c>
      <c r="E788">
        <v>4508714</v>
      </c>
      <c r="F788" t="s">
        <v>742</v>
      </c>
      <c r="G788" t="s">
        <v>743</v>
      </c>
      <c r="H788" t="s">
        <v>6158</v>
      </c>
      <c r="I788" s="12">
        <v>45968</v>
      </c>
      <c r="J788">
        <v>1</v>
      </c>
      <c r="K788" t="str">
        <f>VLOOKUP(A788,'TV May Monthly Billing Sites'!$A:$L,1,0)</f>
        <v>76154117</v>
      </c>
    </row>
    <row r="789" spans="1:12">
      <c r="A789" t="str">
        <f t="shared" si="12"/>
        <v>76154119</v>
      </c>
      <c r="B789">
        <v>76154119</v>
      </c>
      <c r="C789" t="s">
        <v>6159</v>
      </c>
      <c r="D789" t="s">
        <v>6160</v>
      </c>
      <c r="E789">
        <v>4508714</v>
      </c>
      <c r="F789" t="s">
        <v>742</v>
      </c>
      <c r="G789" t="s">
        <v>743</v>
      </c>
      <c r="H789" t="s">
        <v>6161</v>
      </c>
      <c r="I789" s="12">
        <v>45769</v>
      </c>
      <c r="J789">
        <v>1</v>
      </c>
      <c r="K789" t="str">
        <f>VLOOKUP(A789,'TV May Monthly Billing Sites'!$A:$L,1,0)</f>
        <v>76154119</v>
      </c>
    </row>
    <row r="790" spans="1:12">
      <c r="A790" t="str">
        <f t="shared" si="12"/>
        <v>76154153</v>
      </c>
      <c r="B790">
        <v>76154153</v>
      </c>
      <c r="C790" t="s">
        <v>6162</v>
      </c>
      <c r="D790" t="s">
        <v>2967</v>
      </c>
      <c r="E790">
        <v>4408592</v>
      </c>
      <c r="F790" t="s">
        <v>742</v>
      </c>
      <c r="G790" t="s">
        <v>823</v>
      </c>
      <c r="H790" t="s">
        <v>4797</v>
      </c>
      <c r="I790" s="12">
        <v>44533</v>
      </c>
      <c r="J790">
        <v>1</v>
      </c>
      <c r="K790" t="str">
        <f>VLOOKUP(A790,'TV May Monthly Billing Sites'!$A:$L,1,0)</f>
        <v>76154153</v>
      </c>
    </row>
    <row r="791" spans="1:12">
      <c r="A791" t="str">
        <f t="shared" si="12"/>
        <v>76154183</v>
      </c>
      <c r="B791">
        <v>76154183</v>
      </c>
      <c r="C791" t="s">
        <v>6163</v>
      </c>
      <c r="D791" t="s">
        <v>6164</v>
      </c>
      <c r="E791">
        <v>4508714</v>
      </c>
      <c r="F791" t="s">
        <v>742</v>
      </c>
      <c r="G791" t="s">
        <v>743</v>
      </c>
      <c r="H791" t="s">
        <v>6164</v>
      </c>
      <c r="I791" s="12">
        <v>45772</v>
      </c>
      <c r="J791">
        <v>1</v>
      </c>
      <c r="K791" t="str">
        <f>VLOOKUP(A791,'TV May Monthly Billing Sites'!$A:$L,1,0)</f>
        <v>76154183</v>
      </c>
    </row>
    <row r="792" spans="1:12">
      <c r="A792" t="str">
        <f t="shared" si="12"/>
        <v>76154344</v>
      </c>
      <c r="B792">
        <v>76154344</v>
      </c>
      <c r="C792" t="s">
        <v>6165</v>
      </c>
      <c r="D792" t="s">
        <v>2971</v>
      </c>
      <c r="E792">
        <v>4508714</v>
      </c>
      <c r="F792" t="s">
        <v>742</v>
      </c>
      <c r="G792" t="s">
        <v>743</v>
      </c>
      <c r="H792" t="s">
        <v>5501</v>
      </c>
      <c r="I792" s="12">
        <v>46024</v>
      </c>
      <c r="J792">
        <v>1</v>
      </c>
      <c r="K792" t="str">
        <f>VLOOKUP(A792,'TV May Monthly Billing Sites'!$A:$L,1,0)</f>
        <v>76154344</v>
      </c>
    </row>
    <row r="793" spans="1:12">
      <c r="A793" t="str">
        <f t="shared" si="12"/>
        <v>76154476</v>
      </c>
      <c r="B793">
        <v>76154476</v>
      </c>
      <c r="C793" t="s">
        <v>6166</v>
      </c>
      <c r="D793" t="s">
        <v>6167</v>
      </c>
      <c r="E793">
        <v>4508714</v>
      </c>
      <c r="F793" t="s">
        <v>742</v>
      </c>
      <c r="G793" t="s">
        <v>743</v>
      </c>
      <c r="H793" t="s">
        <v>6168</v>
      </c>
      <c r="I793" s="12">
        <v>45595</v>
      </c>
      <c r="J793">
        <v>1</v>
      </c>
      <c r="K793" t="str">
        <f>VLOOKUP(A793,'TV May Monthly Billing Sites'!$A:$L,1,0)</f>
        <v>76154476</v>
      </c>
    </row>
    <row r="794" spans="1:12">
      <c r="A794" t="str">
        <f t="shared" si="12"/>
        <v>76154763</v>
      </c>
      <c r="B794">
        <v>76154763</v>
      </c>
      <c r="C794" t="s">
        <v>6169</v>
      </c>
      <c r="D794" t="s">
        <v>6170</v>
      </c>
      <c r="E794">
        <v>4508714</v>
      </c>
      <c r="F794" t="s">
        <v>742</v>
      </c>
      <c r="G794" t="s">
        <v>743</v>
      </c>
      <c r="H794" t="s">
        <v>998</v>
      </c>
      <c r="I794" s="12">
        <v>45814</v>
      </c>
      <c r="J794">
        <v>1</v>
      </c>
      <c r="K794" t="str">
        <f>VLOOKUP(A794,'TV May Monthly Billing Sites'!$A:$L,1,0)</f>
        <v>76154763</v>
      </c>
    </row>
    <row r="795" spans="1:12">
      <c r="A795" t="str">
        <f t="shared" si="12"/>
        <v>76155267</v>
      </c>
      <c r="B795">
        <v>76155267</v>
      </c>
      <c r="C795" t="s">
        <v>6171</v>
      </c>
      <c r="D795" t="s">
        <v>6172</v>
      </c>
      <c r="E795">
        <v>4508714</v>
      </c>
      <c r="F795" t="s">
        <v>742</v>
      </c>
      <c r="G795" t="s">
        <v>743</v>
      </c>
      <c r="H795" t="s">
        <v>1164</v>
      </c>
      <c r="I795" s="12">
        <v>45636</v>
      </c>
      <c r="J795">
        <v>1</v>
      </c>
      <c r="K795" t="str">
        <f>VLOOKUP(A795,'TV May Monthly Billing Sites'!$A:$L,1,0)</f>
        <v>76155267</v>
      </c>
    </row>
    <row r="796" spans="1:12">
      <c r="A796" t="str">
        <f t="shared" si="12"/>
        <v>76155716</v>
      </c>
      <c r="B796">
        <v>76155716</v>
      </c>
      <c r="C796" t="s">
        <v>941</v>
      </c>
      <c r="D796" t="s">
        <v>942</v>
      </c>
      <c r="E796">
        <v>4508714</v>
      </c>
      <c r="F796" t="s">
        <v>742</v>
      </c>
      <c r="G796" t="s">
        <v>743</v>
      </c>
      <c r="H796" t="s">
        <v>762</v>
      </c>
      <c r="I796" s="12">
        <v>45622</v>
      </c>
      <c r="J796">
        <v>1</v>
      </c>
      <c r="K796" t="e">
        <f>VLOOKUP(A796,'TV May Monthly Billing Sites'!$A:$L,1,0)</f>
        <v>#N/A</v>
      </c>
      <c r="L796" t="e">
        <f>VLOOKUP(D796,'TV May Monthly Billing Sites'!$B:$L,1,0)</f>
        <v>#N/A</v>
      </c>
    </row>
    <row r="797" spans="1:12">
      <c r="A797" t="str">
        <f t="shared" si="12"/>
        <v>76155736</v>
      </c>
      <c r="B797">
        <v>76155736</v>
      </c>
      <c r="C797" t="s">
        <v>6173</v>
      </c>
      <c r="D797" t="s">
        <v>2979</v>
      </c>
      <c r="E797">
        <v>4508714</v>
      </c>
      <c r="F797" t="s">
        <v>742</v>
      </c>
      <c r="G797" t="s">
        <v>743</v>
      </c>
      <c r="H797" t="s">
        <v>6174</v>
      </c>
      <c r="I797" s="12">
        <v>46023</v>
      </c>
      <c r="J797">
        <v>1</v>
      </c>
      <c r="K797" t="str">
        <f>VLOOKUP(A797,'TV May Monthly Billing Sites'!$A:$L,1,0)</f>
        <v>76155736</v>
      </c>
    </row>
    <row r="798" spans="1:12">
      <c r="A798" t="str">
        <f t="shared" si="12"/>
        <v>76155780</v>
      </c>
      <c r="B798">
        <v>76155780</v>
      </c>
      <c r="C798" t="s">
        <v>6175</v>
      </c>
      <c r="D798" t="s">
        <v>2981</v>
      </c>
      <c r="E798">
        <v>4508714</v>
      </c>
      <c r="F798" t="s">
        <v>742</v>
      </c>
      <c r="G798" t="s">
        <v>743</v>
      </c>
      <c r="H798" t="s">
        <v>6176</v>
      </c>
      <c r="I798" s="12">
        <v>46105</v>
      </c>
      <c r="J798">
        <v>1</v>
      </c>
      <c r="K798" t="str">
        <f>VLOOKUP(A798,'TV May Monthly Billing Sites'!$A:$L,1,0)</f>
        <v>76155780</v>
      </c>
    </row>
    <row r="799" spans="1:12">
      <c r="A799" t="str">
        <f t="shared" si="12"/>
        <v>76156389</v>
      </c>
      <c r="B799">
        <v>76156389</v>
      </c>
      <c r="C799" t="s">
        <v>6177</v>
      </c>
      <c r="D799" t="s">
        <v>6178</v>
      </c>
      <c r="E799">
        <v>4508714</v>
      </c>
      <c r="F799" t="s">
        <v>742</v>
      </c>
      <c r="G799" t="s">
        <v>743</v>
      </c>
      <c r="H799" t="s">
        <v>5306</v>
      </c>
      <c r="I799" s="12">
        <v>45765</v>
      </c>
      <c r="J799">
        <v>1</v>
      </c>
      <c r="K799" t="str">
        <f>VLOOKUP(A799,'TV May Monthly Billing Sites'!$A:$L,1,0)</f>
        <v>76156389</v>
      </c>
    </row>
    <row r="800" spans="1:12">
      <c r="A800" t="str">
        <f t="shared" si="12"/>
        <v>76156785</v>
      </c>
      <c r="B800">
        <v>76156785</v>
      </c>
      <c r="C800" t="s">
        <v>6179</v>
      </c>
      <c r="D800" t="s">
        <v>2987</v>
      </c>
      <c r="E800">
        <v>4508714</v>
      </c>
      <c r="F800" t="s">
        <v>742</v>
      </c>
      <c r="G800" t="s">
        <v>743</v>
      </c>
      <c r="H800" t="s">
        <v>4728</v>
      </c>
      <c r="I800" s="12">
        <v>45754</v>
      </c>
      <c r="J800">
        <v>1</v>
      </c>
      <c r="K800" t="str">
        <f>VLOOKUP(A800,'TV May Monthly Billing Sites'!$A:$L,1,0)</f>
        <v>76156785</v>
      </c>
    </row>
    <row r="801" spans="1:11">
      <c r="A801" t="str">
        <f t="shared" si="12"/>
        <v>76157326</v>
      </c>
      <c r="B801">
        <v>76157326</v>
      </c>
      <c r="C801" t="s">
        <v>6180</v>
      </c>
      <c r="D801" t="s">
        <v>2989</v>
      </c>
      <c r="E801">
        <v>4508714</v>
      </c>
      <c r="F801" t="s">
        <v>742</v>
      </c>
      <c r="G801" t="s">
        <v>743</v>
      </c>
      <c r="H801" t="s">
        <v>5462</v>
      </c>
      <c r="I801" s="12">
        <v>45625</v>
      </c>
      <c r="J801">
        <v>1</v>
      </c>
      <c r="K801" t="str">
        <f>VLOOKUP(A801,'TV May Monthly Billing Sites'!$A:$L,1,0)</f>
        <v>76157326</v>
      </c>
    </row>
    <row r="802" spans="1:11">
      <c r="A802" t="str">
        <f t="shared" si="12"/>
        <v>76157328</v>
      </c>
      <c r="B802">
        <v>76157328</v>
      </c>
      <c r="C802" t="s">
        <v>6181</v>
      </c>
      <c r="D802" t="s">
        <v>6182</v>
      </c>
      <c r="E802">
        <v>4408593</v>
      </c>
      <c r="F802" t="s">
        <v>742</v>
      </c>
      <c r="G802" t="s">
        <v>782</v>
      </c>
      <c r="H802" t="s">
        <v>5462</v>
      </c>
      <c r="I802" s="12">
        <v>45735</v>
      </c>
      <c r="J802">
        <v>1</v>
      </c>
      <c r="K802" t="str">
        <f>VLOOKUP(A802,'TV May Monthly Billing Sites'!$A:$L,1,0)</f>
        <v>76157328</v>
      </c>
    </row>
    <row r="803" spans="1:11">
      <c r="A803" t="str">
        <f t="shared" si="12"/>
        <v>76157649</v>
      </c>
      <c r="B803">
        <v>76157649</v>
      </c>
      <c r="C803" t="s">
        <v>6183</v>
      </c>
      <c r="D803" t="s">
        <v>2993</v>
      </c>
      <c r="E803">
        <v>4508714</v>
      </c>
      <c r="F803" t="s">
        <v>742</v>
      </c>
      <c r="G803" t="s">
        <v>743</v>
      </c>
      <c r="H803" t="s">
        <v>5512</v>
      </c>
      <c r="I803" s="12">
        <v>45622</v>
      </c>
      <c r="J803">
        <v>1</v>
      </c>
      <c r="K803" t="str">
        <f>VLOOKUP(A803,'TV May Monthly Billing Sites'!$A:$L,1,0)</f>
        <v>76157649</v>
      </c>
    </row>
    <row r="804" spans="1:11">
      <c r="A804" t="str">
        <f t="shared" si="12"/>
        <v>76157682</v>
      </c>
      <c r="B804">
        <v>76157682</v>
      </c>
      <c r="C804" t="s">
        <v>6184</v>
      </c>
      <c r="D804" t="s">
        <v>2995</v>
      </c>
      <c r="E804">
        <v>4508675</v>
      </c>
      <c r="F804" t="s">
        <v>742</v>
      </c>
      <c r="G804" t="s">
        <v>828</v>
      </c>
      <c r="H804" t="s">
        <v>6185</v>
      </c>
      <c r="I804" s="12">
        <v>45881</v>
      </c>
      <c r="J804">
        <v>1</v>
      </c>
      <c r="K804" t="str">
        <f>VLOOKUP(A804,'TV May Monthly Billing Sites'!$A:$L,1,0)</f>
        <v>76157682</v>
      </c>
    </row>
    <row r="805" spans="1:11">
      <c r="A805" t="str">
        <f t="shared" si="12"/>
        <v>76157719</v>
      </c>
      <c r="B805">
        <v>76157719</v>
      </c>
      <c r="C805" t="s">
        <v>6186</v>
      </c>
      <c r="D805" t="s">
        <v>6187</v>
      </c>
      <c r="E805">
        <v>4508714</v>
      </c>
      <c r="F805" t="s">
        <v>742</v>
      </c>
      <c r="G805" t="s">
        <v>743</v>
      </c>
      <c r="H805" t="s">
        <v>6161</v>
      </c>
      <c r="I805" s="12">
        <v>45772</v>
      </c>
      <c r="J805">
        <v>1</v>
      </c>
      <c r="K805" t="str">
        <f>VLOOKUP(A805,'TV May Monthly Billing Sites'!$A:$L,1,0)</f>
        <v>76157719</v>
      </c>
    </row>
    <row r="806" spans="1:11">
      <c r="A806" t="str">
        <f t="shared" si="12"/>
        <v>76157889</v>
      </c>
      <c r="B806">
        <v>76157889</v>
      </c>
      <c r="C806" t="s">
        <v>6188</v>
      </c>
      <c r="D806" t="s">
        <v>2999</v>
      </c>
      <c r="E806">
        <v>4508675</v>
      </c>
      <c r="F806" t="s">
        <v>742</v>
      </c>
      <c r="G806" t="s">
        <v>828</v>
      </c>
      <c r="H806" t="s">
        <v>5439</v>
      </c>
      <c r="I806" s="12">
        <v>45811</v>
      </c>
      <c r="J806">
        <v>1</v>
      </c>
      <c r="K806" t="str">
        <f>VLOOKUP(A806,'TV May Monthly Billing Sites'!$A:$L,1,0)</f>
        <v>76157889</v>
      </c>
    </row>
    <row r="807" spans="1:11">
      <c r="A807" t="str">
        <f t="shared" si="12"/>
        <v>76158138</v>
      </c>
      <c r="B807">
        <v>76158138</v>
      </c>
      <c r="C807" t="s">
        <v>6189</v>
      </c>
      <c r="D807" t="s">
        <v>3001</v>
      </c>
      <c r="E807">
        <v>4408593</v>
      </c>
      <c r="F807" t="s">
        <v>742</v>
      </c>
      <c r="G807" t="s">
        <v>782</v>
      </c>
      <c r="H807" t="s">
        <v>4934</v>
      </c>
      <c r="I807" s="12">
        <v>45919</v>
      </c>
      <c r="J807">
        <v>1</v>
      </c>
      <c r="K807" t="str">
        <f>VLOOKUP(A807,'TV May Monthly Billing Sites'!$A:$L,1,0)</f>
        <v>76158138</v>
      </c>
    </row>
    <row r="808" spans="1:11">
      <c r="A808" t="str">
        <f t="shared" si="12"/>
        <v>76158362</v>
      </c>
      <c r="B808">
        <v>76158362</v>
      </c>
      <c r="C808" t="s">
        <v>6190</v>
      </c>
      <c r="D808" t="s">
        <v>3003</v>
      </c>
      <c r="E808">
        <v>4508714</v>
      </c>
      <c r="F808" t="s">
        <v>742</v>
      </c>
      <c r="G808" t="s">
        <v>743</v>
      </c>
      <c r="H808" t="s">
        <v>1909</v>
      </c>
      <c r="I808" s="12">
        <v>45569</v>
      </c>
      <c r="J808">
        <v>1</v>
      </c>
      <c r="K808" t="str">
        <f>VLOOKUP(A808,'TV May Monthly Billing Sites'!$A:$L,1,0)</f>
        <v>76158362</v>
      </c>
    </row>
    <row r="809" spans="1:11">
      <c r="A809" t="str">
        <f t="shared" si="12"/>
        <v>76158627</v>
      </c>
      <c r="B809">
        <v>76158627</v>
      </c>
      <c r="C809" t="s">
        <v>6191</v>
      </c>
      <c r="D809" t="s">
        <v>3005</v>
      </c>
      <c r="E809">
        <v>4508714</v>
      </c>
      <c r="F809" t="s">
        <v>742</v>
      </c>
      <c r="G809" t="s">
        <v>743</v>
      </c>
      <c r="H809" t="s">
        <v>860</v>
      </c>
      <c r="I809" s="12">
        <v>45604</v>
      </c>
      <c r="J809">
        <v>1</v>
      </c>
      <c r="K809" t="str">
        <f>VLOOKUP(A809,'TV May Monthly Billing Sites'!$A:$L,1,0)</f>
        <v>76158627</v>
      </c>
    </row>
    <row r="810" spans="1:11">
      <c r="A810" t="str">
        <f t="shared" si="12"/>
        <v>76158689</v>
      </c>
      <c r="B810">
        <v>76158689</v>
      </c>
      <c r="C810" t="s">
        <v>6192</v>
      </c>
      <c r="D810" t="s">
        <v>3007</v>
      </c>
      <c r="E810">
        <v>4508682</v>
      </c>
      <c r="F810" t="s">
        <v>742</v>
      </c>
      <c r="G810" t="s">
        <v>4879</v>
      </c>
      <c r="H810" t="s">
        <v>6193</v>
      </c>
      <c r="I810" s="12">
        <v>44645</v>
      </c>
      <c r="J810">
        <v>1</v>
      </c>
      <c r="K810" t="str">
        <f>VLOOKUP(A810,'TV May Monthly Billing Sites'!$A:$L,1,0)</f>
        <v>76158689</v>
      </c>
    </row>
    <row r="811" spans="1:11">
      <c r="A811" t="str">
        <f t="shared" si="12"/>
        <v>76158989</v>
      </c>
      <c r="B811">
        <v>76158989</v>
      </c>
      <c r="C811" t="s">
        <v>6194</v>
      </c>
      <c r="D811" t="s">
        <v>3009</v>
      </c>
      <c r="E811">
        <v>4508714</v>
      </c>
      <c r="F811" t="s">
        <v>742</v>
      </c>
      <c r="G811" t="s">
        <v>743</v>
      </c>
      <c r="H811" t="s">
        <v>5536</v>
      </c>
      <c r="I811" s="12">
        <v>45587</v>
      </c>
      <c r="J811">
        <v>1</v>
      </c>
      <c r="K811" t="str">
        <f>VLOOKUP(A811,'TV May Monthly Billing Sites'!$A:$L,1,0)</f>
        <v>76158989</v>
      </c>
    </row>
    <row r="812" spans="1:11">
      <c r="A812" t="str">
        <f t="shared" si="12"/>
        <v>76159018</v>
      </c>
      <c r="B812">
        <v>76159018</v>
      </c>
      <c r="C812" t="s">
        <v>6195</v>
      </c>
      <c r="D812" t="s">
        <v>3011</v>
      </c>
      <c r="E812">
        <v>4508714</v>
      </c>
      <c r="F812" t="s">
        <v>742</v>
      </c>
      <c r="G812" t="s">
        <v>743</v>
      </c>
      <c r="H812" t="s">
        <v>6114</v>
      </c>
      <c r="I812" s="12">
        <v>45659</v>
      </c>
      <c r="J812">
        <v>1</v>
      </c>
      <c r="K812" t="str">
        <f>VLOOKUP(A812,'TV May Monthly Billing Sites'!$A:$L,1,0)</f>
        <v>76159018</v>
      </c>
    </row>
    <row r="813" spans="1:11">
      <c r="A813" t="str">
        <f t="shared" si="12"/>
        <v>76159093</v>
      </c>
      <c r="B813">
        <v>76159093</v>
      </c>
      <c r="C813" t="s">
        <v>6196</v>
      </c>
      <c r="D813" t="s">
        <v>3013</v>
      </c>
      <c r="E813">
        <v>4408593</v>
      </c>
      <c r="F813" t="s">
        <v>742</v>
      </c>
      <c r="G813" t="s">
        <v>782</v>
      </c>
      <c r="H813" t="s">
        <v>5098</v>
      </c>
      <c r="I813" s="12">
        <v>45638</v>
      </c>
      <c r="J813">
        <v>1</v>
      </c>
      <c r="K813" t="str">
        <f>VLOOKUP(A813,'TV May Monthly Billing Sites'!$A:$L,1,0)</f>
        <v>76159093</v>
      </c>
    </row>
    <row r="814" spans="1:11">
      <c r="A814" t="str">
        <f t="shared" si="12"/>
        <v>76159110</v>
      </c>
      <c r="B814">
        <v>76159110</v>
      </c>
      <c r="C814" t="s">
        <v>6197</v>
      </c>
      <c r="D814" t="s">
        <v>6198</v>
      </c>
      <c r="E814">
        <v>4408592</v>
      </c>
      <c r="F814" t="s">
        <v>742</v>
      </c>
      <c r="G814" t="s">
        <v>823</v>
      </c>
      <c r="H814" t="s">
        <v>4681</v>
      </c>
      <c r="I814" s="12">
        <v>45279</v>
      </c>
      <c r="J814">
        <v>1</v>
      </c>
      <c r="K814" t="str">
        <f>VLOOKUP(A814,'TV May Monthly Billing Sites'!$A:$L,1,0)</f>
        <v>76159110</v>
      </c>
    </row>
    <row r="815" spans="1:11">
      <c r="A815" t="str">
        <f t="shared" si="12"/>
        <v>76159148</v>
      </c>
      <c r="B815">
        <v>76159148</v>
      </c>
      <c r="C815" t="s">
        <v>6199</v>
      </c>
      <c r="D815" t="s">
        <v>6200</v>
      </c>
      <c r="E815">
        <v>4508714</v>
      </c>
      <c r="F815" t="s">
        <v>742</v>
      </c>
      <c r="G815" t="s">
        <v>743</v>
      </c>
      <c r="H815" t="s">
        <v>6114</v>
      </c>
      <c r="I815" s="12">
        <v>45659</v>
      </c>
      <c r="J815">
        <v>1</v>
      </c>
      <c r="K815" t="str">
        <f>VLOOKUP(A815,'TV May Monthly Billing Sites'!$A:$L,1,0)</f>
        <v>76159148</v>
      </c>
    </row>
    <row r="816" spans="1:11">
      <c r="A816" t="str">
        <f t="shared" si="12"/>
        <v>76159263</v>
      </c>
      <c r="B816">
        <v>76159263</v>
      </c>
      <c r="C816" t="s">
        <v>6201</v>
      </c>
      <c r="D816" t="s">
        <v>3019</v>
      </c>
      <c r="E816">
        <v>4408593</v>
      </c>
      <c r="F816" t="s">
        <v>742</v>
      </c>
      <c r="G816" t="s">
        <v>782</v>
      </c>
      <c r="H816" t="s">
        <v>3019</v>
      </c>
      <c r="I816" s="12">
        <v>45502</v>
      </c>
      <c r="J816">
        <v>1</v>
      </c>
      <c r="K816" t="str">
        <f>VLOOKUP(A816,'TV May Monthly Billing Sites'!$A:$L,1,0)</f>
        <v>76159263</v>
      </c>
    </row>
    <row r="817" spans="1:12">
      <c r="A817" t="str">
        <f t="shared" si="12"/>
        <v>76159809</v>
      </c>
      <c r="B817">
        <v>76159809</v>
      </c>
      <c r="C817" t="s">
        <v>6202</v>
      </c>
      <c r="D817" t="s">
        <v>6203</v>
      </c>
      <c r="E817">
        <v>4508675</v>
      </c>
      <c r="F817" t="s">
        <v>742</v>
      </c>
      <c r="G817" t="s">
        <v>828</v>
      </c>
      <c r="H817" t="s">
        <v>6185</v>
      </c>
      <c r="I817" s="12">
        <v>45881</v>
      </c>
      <c r="J817">
        <v>1</v>
      </c>
      <c r="K817" t="str">
        <f>VLOOKUP(A817,'TV May Monthly Billing Sites'!$A:$L,1,0)</f>
        <v>76159809</v>
      </c>
    </row>
    <row r="818" spans="1:12">
      <c r="A818" t="str">
        <f t="shared" si="12"/>
        <v>76159907</v>
      </c>
      <c r="B818">
        <v>76159907</v>
      </c>
      <c r="C818" t="s">
        <v>6204</v>
      </c>
      <c r="D818" t="s">
        <v>3023</v>
      </c>
      <c r="E818">
        <v>4508714</v>
      </c>
      <c r="F818" t="s">
        <v>742</v>
      </c>
      <c r="G818" t="s">
        <v>743</v>
      </c>
      <c r="H818" t="s">
        <v>5123</v>
      </c>
      <c r="I818" s="12">
        <v>46021</v>
      </c>
      <c r="J818">
        <v>1</v>
      </c>
      <c r="K818" t="str">
        <f>VLOOKUP(A818,'TV May Monthly Billing Sites'!$A:$L,1,0)</f>
        <v>76159907</v>
      </c>
    </row>
    <row r="819" spans="1:12">
      <c r="A819" t="str">
        <f t="shared" si="12"/>
        <v>76159908</v>
      </c>
      <c r="B819">
        <v>76159908</v>
      </c>
      <c r="C819" t="s">
        <v>6205</v>
      </c>
      <c r="D819" t="s">
        <v>6206</v>
      </c>
      <c r="E819">
        <v>4508714</v>
      </c>
      <c r="F819" t="s">
        <v>742</v>
      </c>
      <c r="G819" t="s">
        <v>743</v>
      </c>
      <c r="H819" t="s">
        <v>5123</v>
      </c>
      <c r="I819" s="12">
        <v>46021</v>
      </c>
      <c r="J819">
        <v>1</v>
      </c>
      <c r="K819" t="str">
        <f>VLOOKUP(A819,'TV May Monthly Billing Sites'!$A:$L,1,0)</f>
        <v>76159908</v>
      </c>
    </row>
    <row r="820" spans="1:12">
      <c r="A820" t="str">
        <f t="shared" si="12"/>
        <v>76159995</v>
      </c>
      <c r="B820">
        <v>76159995</v>
      </c>
      <c r="C820" t="s">
        <v>944</v>
      </c>
      <c r="D820" t="s">
        <v>945</v>
      </c>
      <c r="E820">
        <v>4508714</v>
      </c>
      <c r="F820" t="s">
        <v>742</v>
      </c>
      <c r="G820" t="s">
        <v>743</v>
      </c>
      <c r="H820" t="s">
        <v>762</v>
      </c>
      <c r="I820" s="12">
        <v>45622</v>
      </c>
      <c r="J820">
        <v>1</v>
      </c>
      <c r="K820" t="e">
        <f>VLOOKUP(A820,'TV May Monthly Billing Sites'!$A:$L,1,0)</f>
        <v>#N/A</v>
      </c>
      <c r="L820" t="e">
        <f>VLOOKUP(D820,'TV May Monthly Billing Sites'!$B:$L,1,0)</f>
        <v>#N/A</v>
      </c>
    </row>
    <row r="821" spans="1:12">
      <c r="A821" t="str">
        <f t="shared" si="12"/>
        <v>76160175</v>
      </c>
      <c r="B821">
        <v>76160175</v>
      </c>
      <c r="C821" t="s">
        <v>947</v>
      </c>
      <c r="D821" t="s">
        <v>948</v>
      </c>
      <c r="E821">
        <v>4508714</v>
      </c>
      <c r="F821" t="s">
        <v>742</v>
      </c>
      <c r="G821" t="s">
        <v>743</v>
      </c>
      <c r="H821" t="s">
        <v>900</v>
      </c>
      <c r="I821" s="12">
        <v>45726</v>
      </c>
      <c r="J821">
        <v>1</v>
      </c>
      <c r="K821" t="e">
        <f>VLOOKUP(A821,'TV May Monthly Billing Sites'!$A:$L,1,0)</f>
        <v>#N/A</v>
      </c>
      <c r="L821" t="e">
        <f>VLOOKUP(D821,'TV May Monthly Billing Sites'!$B:$L,1,0)</f>
        <v>#N/A</v>
      </c>
    </row>
    <row r="822" spans="1:12">
      <c r="A822" t="str">
        <f t="shared" si="12"/>
        <v>76160177</v>
      </c>
      <c r="B822">
        <v>76160177</v>
      </c>
      <c r="C822" t="s">
        <v>950</v>
      </c>
      <c r="D822" t="s">
        <v>951</v>
      </c>
      <c r="E822">
        <v>4508714</v>
      </c>
      <c r="F822" t="s">
        <v>742</v>
      </c>
      <c r="G822" t="s">
        <v>743</v>
      </c>
      <c r="H822" t="s">
        <v>900</v>
      </c>
      <c r="I822" s="12">
        <v>45726</v>
      </c>
      <c r="J822">
        <v>1</v>
      </c>
      <c r="K822" t="e">
        <f>VLOOKUP(A822,'TV May Monthly Billing Sites'!$A:$L,1,0)</f>
        <v>#N/A</v>
      </c>
      <c r="L822" t="e">
        <f>VLOOKUP(D822,'TV May Monthly Billing Sites'!$B:$L,1,0)</f>
        <v>#N/A</v>
      </c>
    </row>
    <row r="823" spans="1:12">
      <c r="A823" t="str">
        <f t="shared" si="12"/>
        <v>76160178</v>
      </c>
      <c r="B823">
        <v>76160178</v>
      </c>
      <c r="C823" t="s">
        <v>953</v>
      </c>
      <c r="D823" t="s">
        <v>954</v>
      </c>
      <c r="E823">
        <v>4508714</v>
      </c>
      <c r="F823" t="s">
        <v>742</v>
      </c>
      <c r="G823" t="s">
        <v>743</v>
      </c>
      <c r="H823" t="s">
        <v>900</v>
      </c>
      <c r="I823" s="12">
        <v>45726</v>
      </c>
      <c r="J823">
        <v>1</v>
      </c>
      <c r="K823" t="e">
        <f>VLOOKUP(A823,'TV May Monthly Billing Sites'!$A:$L,1,0)</f>
        <v>#N/A</v>
      </c>
      <c r="L823" t="e">
        <f>VLOOKUP(D823,'TV May Monthly Billing Sites'!$B:$L,1,0)</f>
        <v>#N/A</v>
      </c>
    </row>
    <row r="824" spans="1:12">
      <c r="A824" t="str">
        <f t="shared" si="12"/>
        <v>76160180</v>
      </c>
      <c r="B824">
        <v>76160180</v>
      </c>
      <c r="C824" t="s">
        <v>956</v>
      </c>
      <c r="D824" t="s">
        <v>957</v>
      </c>
      <c r="E824">
        <v>4508714</v>
      </c>
      <c r="F824" t="s">
        <v>742</v>
      </c>
      <c r="G824" t="s">
        <v>743</v>
      </c>
      <c r="H824" t="s">
        <v>900</v>
      </c>
      <c r="I824" s="12">
        <v>45726</v>
      </c>
      <c r="J824">
        <v>1</v>
      </c>
      <c r="K824" t="e">
        <f>VLOOKUP(A824,'TV May Monthly Billing Sites'!$A:$L,1,0)</f>
        <v>#N/A</v>
      </c>
      <c r="L824" t="e">
        <f>VLOOKUP(D824,'TV May Monthly Billing Sites'!$B:$L,1,0)</f>
        <v>#N/A</v>
      </c>
    </row>
    <row r="825" spans="1:12">
      <c r="A825" t="str">
        <f t="shared" si="12"/>
        <v>76160182</v>
      </c>
      <c r="B825">
        <v>76160182</v>
      </c>
      <c r="C825" t="s">
        <v>959</v>
      </c>
      <c r="D825" t="s">
        <v>960</v>
      </c>
      <c r="E825">
        <v>4508714</v>
      </c>
      <c r="F825" t="s">
        <v>742</v>
      </c>
      <c r="G825" t="s">
        <v>743</v>
      </c>
      <c r="H825" t="s">
        <v>900</v>
      </c>
      <c r="I825" s="12">
        <v>45726</v>
      </c>
      <c r="J825">
        <v>1</v>
      </c>
      <c r="K825" t="e">
        <f>VLOOKUP(A825,'TV May Monthly Billing Sites'!$A:$L,1,0)</f>
        <v>#N/A</v>
      </c>
      <c r="L825" t="e">
        <f>VLOOKUP(D825,'TV May Monthly Billing Sites'!$B:$L,1,0)</f>
        <v>#N/A</v>
      </c>
    </row>
    <row r="826" spans="1:12">
      <c r="A826" t="str">
        <f t="shared" si="12"/>
        <v>76160183</v>
      </c>
      <c r="B826">
        <v>76160183</v>
      </c>
      <c r="C826" t="s">
        <v>962</v>
      </c>
      <c r="D826" t="s">
        <v>963</v>
      </c>
      <c r="E826">
        <v>4508714</v>
      </c>
      <c r="F826" t="s">
        <v>742</v>
      </c>
      <c r="G826" t="s">
        <v>743</v>
      </c>
      <c r="H826" t="s">
        <v>900</v>
      </c>
      <c r="I826" s="12">
        <v>45726</v>
      </c>
      <c r="J826">
        <v>1</v>
      </c>
      <c r="K826" t="e">
        <f>VLOOKUP(A826,'TV May Monthly Billing Sites'!$A:$L,1,0)</f>
        <v>#N/A</v>
      </c>
      <c r="L826" t="e">
        <f>VLOOKUP(D826,'TV May Monthly Billing Sites'!$B:$L,1,0)</f>
        <v>#N/A</v>
      </c>
    </row>
    <row r="827" spans="1:12">
      <c r="A827" t="str">
        <f t="shared" si="12"/>
        <v>76160283</v>
      </c>
      <c r="B827">
        <v>76160283</v>
      </c>
      <c r="C827" t="s">
        <v>6207</v>
      </c>
      <c r="D827" t="s">
        <v>3027</v>
      </c>
      <c r="E827">
        <v>4408593</v>
      </c>
      <c r="F827" t="s">
        <v>742</v>
      </c>
      <c r="G827" t="s">
        <v>782</v>
      </c>
      <c r="H827" t="s">
        <v>5098</v>
      </c>
      <c r="I827" s="12">
        <v>45636</v>
      </c>
      <c r="J827">
        <v>1</v>
      </c>
      <c r="K827" t="str">
        <f>VLOOKUP(A827,'TV May Monthly Billing Sites'!$A:$L,1,0)</f>
        <v>76160283</v>
      </c>
    </row>
    <row r="828" spans="1:12">
      <c r="A828" t="str">
        <f t="shared" si="12"/>
        <v>76160393</v>
      </c>
      <c r="B828">
        <v>76160393</v>
      </c>
      <c r="C828" t="s">
        <v>6208</v>
      </c>
      <c r="D828" t="s">
        <v>6209</v>
      </c>
      <c r="E828">
        <v>4508675</v>
      </c>
      <c r="F828" t="s">
        <v>742</v>
      </c>
      <c r="G828" t="s">
        <v>828</v>
      </c>
      <c r="H828" t="s">
        <v>5059</v>
      </c>
      <c r="I828" s="12">
        <v>45694</v>
      </c>
      <c r="J828">
        <v>1</v>
      </c>
      <c r="K828" t="str">
        <f>VLOOKUP(A828,'TV May Monthly Billing Sites'!$A:$L,1,0)</f>
        <v>76160393</v>
      </c>
    </row>
    <row r="829" spans="1:12">
      <c r="A829" t="str">
        <f t="shared" si="12"/>
        <v>76160927</v>
      </c>
      <c r="B829">
        <v>76160927</v>
      </c>
      <c r="C829" t="s">
        <v>6210</v>
      </c>
      <c r="D829" t="s">
        <v>3031</v>
      </c>
      <c r="E829">
        <v>4408592</v>
      </c>
      <c r="F829" t="s">
        <v>742</v>
      </c>
      <c r="G829" t="s">
        <v>823</v>
      </c>
      <c r="H829" t="s">
        <v>4681</v>
      </c>
      <c r="I829" s="12">
        <v>44832</v>
      </c>
      <c r="J829">
        <v>1</v>
      </c>
      <c r="K829" t="str">
        <f>VLOOKUP(A829,'TV May Monthly Billing Sites'!$A:$L,1,0)</f>
        <v>76160927</v>
      </c>
    </row>
    <row r="830" spans="1:12">
      <c r="A830" t="str">
        <f t="shared" si="12"/>
        <v>76161091</v>
      </c>
      <c r="B830">
        <v>76161091</v>
      </c>
      <c r="C830" t="s">
        <v>6211</v>
      </c>
      <c r="D830" t="s">
        <v>6212</v>
      </c>
      <c r="E830">
        <v>4508714</v>
      </c>
      <c r="F830" t="s">
        <v>742</v>
      </c>
      <c r="G830" t="s">
        <v>743</v>
      </c>
      <c r="H830" t="s">
        <v>5306</v>
      </c>
      <c r="I830" s="12">
        <v>45765</v>
      </c>
      <c r="J830">
        <v>1</v>
      </c>
      <c r="K830" t="str">
        <f>VLOOKUP(A830,'TV May Monthly Billing Sites'!$A:$L,1,0)</f>
        <v>76161091</v>
      </c>
    </row>
    <row r="831" spans="1:12">
      <c r="A831" t="str">
        <f t="shared" si="12"/>
        <v>76162198</v>
      </c>
      <c r="B831">
        <v>76162198</v>
      </c>
      <c r="C831" t="s">
        <v>6213</v>
      </c>
      <c r="D831" t="s">
        <v>3035</v>
      </c>
      <c r="E831">
        <v>4508714</v>
      </c>
      <c r="F831" t="s">
        <v>742</v>
      </c>
      <c r="G831" t="s">
        <v>743</v>
      </c>
      <c r="H831" t="s">
        <v>4974</v>
      </c>
      <c r="I831" s="12">
        <v>45636</v>
      </c>
      <c r="J831">
        <v>1</v>
      </c>
      <c r="K831" t="str">
        <f>VLOOKUP(A831,'TV May Monthly Billing Sites'!$A:$L,1,0)</f>
        <v>76162198</v>
      </c>
    </row>
    <row r="832" spans="1:12">
      <c r="A832" t="str">
        <f t="shared" si="12"/>
        <v>76162426</v>
      </c>
      <c r="B832">
        <v>76162426</v>
      </c>
      <c r="C832" t="s">
        <v>6214</v>
      </c>
      <c r="D832" t="s">
        <v>3037</v>
      </c>
      <c r="E832">
        <v>4508714</v>
      </c>
      <c r="F832" t="s">
        <v>742</v>
      </c>
      <c r="G832" t="s">
        <v>743</v>
      </c>
      <c r="H832" t="s">
        <v>5327</v>
      </c>
      <c r="I832" s="12">
        <v>45295</v>
      </c>
      <c r="J832">
        <v>1</v>
      </c>
      <c r="K832" t="str">
        <f>VLOOKUP(A832,'TV May Monthly Billing Sites'!$A:$L,1,0)</f>
        <v>76162426</v>
      </c>
    </row>
    <row r="833" spans="1:12">
      <c r="A833" t="str">
        <f t="shared" si="12"/>
        <v>76162428</v>
      </c>
      <c r="B833">
        <v>76162428</v>
      </c>
      <c r="C833" t="s">
        <v>6215</v>
      </c>
      <c r="D833" t="s">
        <v>3457</v>
      </c>
      <c r="E833">
        <v>4508714</v>
      </c>
      <c r="F833" t="s">
        <v>742</v>
      </c>
      <c r="G833" t="s">
        <v>743</v>
      </c>
      <c r="H833" t="s">
        <v>5327</v>
      </c>
      <c r="I833" s="12">
        <v>45295</v>
      </c>
      <c r="J833">
        <v>1</v>
      </c>
      <c r="K833" t="e">
        <f>VLOOKUP(A833,'TV May Monthly Billing Sites'!$A:$L,1,0)</f>
        <v>#N/A</v>
      </c>
      <c r="L833" t="str">
        <f>VLOOKUP(D833,'TV May Monthly Billing Sites'!$B:$L,1,0)</f>
        <v>MODERN NISSAN OF CONCORD</v>
      </c>
    </row>
    <row r="834" spans="1:12">
      <c r="A834" t="str">
        <f t="shared" ref="A834:A897" si="13">TRIM(B834)</f>
        <v>76162462</v>
      </c>
      <c r="B834">
        <v>76162462</v>
      </c>
      <c r="C834" t="s">
        <v>6216</v>
      </c>
      <c r="D834" t="s">
        <v>3455</v>
      </c>
      <c r="E834">
        <v>4508714</v>
      </c>
      <c r="F834" t="s">
        <v>742</v>
      </c>
      <c r="G834" t="s">
        <v>743</v>
      </c>
      <c r="H834" t="s">
        <v>5327</v>
      </c>
      <c r="I834" s="12">
        <v>45295</v>
      </c>
      <c r="J834">
        <v>1</v>
      </c>
      <c r="K834" t="e">
        <f>VLOOKUP(A834,'TV May Monthly Billing Sites'!$A:$L,1,0)</f>
        <v>#N/A</v>
      </c>
      <c r="L834" t="str">
        <f>VLOOKUP(D834,'TV May Monthly Billing Sites'!$B:$L,1,0)</f>
        <v>MODERN INFINITI OF WINSTON-SALEM</v>
      </c>
    </row>
    <row r="835" spans="1:12">
      <c r="A835" t="str">
        <f t="shared" si="13"/>
        <v>76162825</v>
      </c>
      <c r="B835">
        <v>76162825</v>
      </c>
      <c r="C835" t="s">
        <v>6217</v>
      </c>
      <c r="D835" t="s">
        <v>3041</v>
      </c>
      <c r="E835">
        <v>4508675</v>
      </c>
      <c r="F835" t="s">
        <v>742</v>
      </c>
      <c r="G835" t="s">
        <v>828</v>
      </c>
      <c r="H835" t="s">
        <v>6218</v>
      </c>
      <c r="I835" s="12">
        <v>45979</v>
      </c>
      <c r="J835">
        <v>1</v>
      </c>
      <c r="K835" t="str">
        <f>VLOOKUP(A835,'TV May Monthly Billing Sites'!$A:$L,1,0)</f>
        <v>76162825</v>
      </c>
    </row>
    <row r="836" spans="1:12">
      <c r="A836" t="str">
        <f t="shared" si="13"/>
        <v>76163024</v>
      </c>
      <c r="B836">
        <v>76163024</v>
      </c>
      <c r="C836" t="s">
        <v>965</v>
      </c>
      <c r="D836" t="s">
        <v>966</v>
      </c>
      <c r="E836">
        <v>4508714</v>
      </c>
      <c r="F836" t="s">
        <v>742</v>
      </c>
      <c r="G836" t="s">
        <v>743</v>
      </c>
      <c r="H836" t="s">
        <v>967</v>
      </c>
      <c r="I836" s="12">
        <v>45946</v>
      </c>
      <c r="J836">
        <v>1</v>
      </c>
      <c r="K836" t="e">
        <f>VLOOKUP(A836,'TV May Monthly Billing Sites'!$A:$L,1,0)</f>
        <v>#N/A</v>
      </c>
      <c r="L836" t="e">
        <f>VLOOKUP(D836,'TV May Monthly Billing Sites'!$B:$L,1,0)</f>
        <v>#N/A</v>
      </c>
    </row>
    <row r="837" spans="1:12">
      <c r="A837" t="str">
        <f t="shared" si="13"/>
        <v>76163027</v>
      </c>
      <c r="B837">
        <v>76163027</v>
      </c>
      <c r="C837" t="s">
        <v>6219</v>
      </c>
      <c r="D837" t="s">
        <v>3043</v>
      </c>
      <c r="E837">
        <v>4508714</v>
      </c>
      <c r="F837" t="s">
        <v>742</v>
      </c>
      <c r="G837" t="s">
        <v>743</v>
      </c>
      <c r="H837" t="s">
        <v>967</v>
      </c>
      <c r="I837" s="12">
        <v>45946</v>
      </c>
      <c r="J837">
        <v>1</v>
      </c>
      <c r="K837" t="str">
        <f>VLOOKUP(A837,'TV May Monthly Billing Sites'!$A:$L,1,0)</f>
        <v>76163027</v>
      </c>
    </row>
    <row r="838" spans="1:12">
      <c r="A838" t="str">
        <f t="shared" si="13"/>
        <v>76163363</v>
      </c>
      <c r="B838">
        <v>76163363</v>
      </c>
      <c r="C838" t="s">
        <v>6220</v>
      </c>
      <c r="D838" t="s">
        <v>3045</v>
      </c>
      <c r="E838">
        <v>4508714</v>
      </c>
      <c r="F838" t="s">
        <v>742</v>
      </c>
      <c r="G838" t="s">
        <v>743</v>
      </c>
      <c r="H838" t="s">
        <v>3045</v>
      </c>
      <c r="I838" s="12">
        <v>45628</v>
      </c>
      <c r="J838">
        <v>1</v>
      </c>
      <c r="K838" t="str">
        <f>VLOOKUP(A838,'TV May Monthly Billing Sites'!$A:$L,1,0)</f>
        <v>76163363</v>
      </c>
    </row>
    <row r="839" spans="1:12">
      <c r="A839" t="str">
        <f t="shared" si="13"/>
        <v>76163572</v>
      </c>
      <c r="B839">
        <v>76163572</v>
      </c>
      <c r="C839" t="s">
        <v>6221</v>
      </c>
      <c r="D839" t="s">
        <v>3047</v>
      </c>
      <c r="E839">
        <v>4408592</v>
      </c>
      <c r="F839" t="s">
        <v>742</v>
      </c>
      <c r="G839" t="s">
        <v>823</v>
      </c>
      <c r="H839" t="s">
        <v>4797</v>
      </c>
      <c r="I839" s="12">
        <v>44533</v>
      </c>
      <c r="J839">
        <v>1</v>
      </c>
      <c r="K839" t="str">
        <f>VLOOKUP(A839,'TV May Monthly Billing Sites'!$A:$L,1,0)</f>
        <v>76163572</v>
      </c>
    </row>
    <row r="840" spans="1:12">
      <c r="A840" t="str">
        <f t="shared" si="13"/>
        <v>76164316</v>
      </c>
      <c r="B840">
        <v>76164316</v>
      </c>
      <c r="C840" t="s">
        <v>6222</v>
      </c>
      <c r="D840" t="s">
        <v>6223</v>
      </c>
      <c r="E840">
        <v>4408592</v>
      </c>
      <c r="F840" t="s">
        <v>742</v>
      </c>
      <c r="G840" t="s">
        <v>823</v>
      </c>
      <c r="H840" t="s">
        <v>5257</v>
      </c>
      <c r="I840" s="12">
        <v>45352</v>
      </c>
      <c r="J840">
        <v>1</v>
      </c>
      <c r="K840" t="str">
        <f>VLOOKUP(A840,'TV May Monthly Billing Sites'!$A:$L,1,0)</f>
        <v>76164316</v>
      </c>
    </row>
    <row r="841" spans="1:12">
      <c r="A841" t="str">
        <f t="shared" si="13"/>
        <v>76164325</v>
      </c>
      <c r="B841">
        <v>76164325</v>
      </c>
      <c r="C841" t="s">
        <v>969</v>
      </c>
      <c r="D841" t="s">
        <v>970</v>
      </c>
      <c r="E841">
        <v>4508714</v>
      </c>
      <c r="F841" t="s">
        <v>742</v>
      </c>
      <c r="G841" t="s">
        <v>743</v>
      </c>
      <c r="H841" t="s">
        <v>971</v>
      </c>
      <c r="I841" s="12">
        <v>45659</v>
      </c>
      <c r="J841">
        <v>1</v>
      </c>
      <c r="K841" t="e">
        <f>VLOOKUP(A841,'TV May Monthly Billing Sites'!$A:$L,1,0)</f>
        <v>#N/A</v>
      </c>
      <c r="L841" t="e">
        <f>VLOOKUP(D841,'TV May Monthly Billing Sites'!$B:$L,1,0)</f>
        <v>#N/A</v>
      </c>
    </row>
    <row r="842" spans="1:12">
      <c r="A842" t="str">
        <f t="shared" si="13"/>
        <v>76164461</v>
      </c>
      <c r="B842">
        <v>76164461</v>
      </c>
      <c r="C842" t="s">
        <v>6224</v>
      </c>
      <c r="D842" t="s">
        <v>3051</v>
      </c>
      <c r="E842">
        <v>4408593</v>
      </c>
      <c r="F842" t="s">
        <v>742</v>
      </c>
      <c r="G842" t="s">
        <v>782</v>
      </c>
      <c r="H842" t="s">
        <v>6225</v>
      </c>
      <c r="I842" s="12">
        <v>45783</v>
      </c>
      <c r="J842">
        <v>1</v>
      </c>
      <c r="K842" t="str">
        <f>VLOOKUP(A842,'TV May Monthly Billing Sites'!$A:$L,1,0)</f>
        <v>76164461</v>
      </c>
    </row>
    <row r="843" spans="1:12">
      <c r="A843" t="str">
        <f t="shared" si="13"/>
        <v>76164483</v>
      </c>
      <c r="B843">
        <v>76164483</v>
      </c>
      <c r="C843" t="s">
        <v>6226</v>
      </c>
      <c r="D843" t="s">
        <v>6227</v>
      </c>
      <c r="E843">
        <v>4508685</v>
      </c>
      <c r="F843" t="s">
        <v>742</v>
      </c>
      <c r="G843" t="s">
        <v>904</v>
      </c>
      <c r="H843" t="s">
        <v>975</v>
      </c>
      <c r="I843" s="12">
        <v>46023</v>
      </c>
      <c r="J843">
        <v>1</v>
      </c>
      <c r="K843" t="str">
        <f>VLOOKUP(A843,'TV May Monthly Billing Sites'!$A:$L,1,0)</f>
        <v>76164483</v>
      </c>
    </row>
    <row r="844" spans="1:12">
      <c r="A844" t="str">
        <f t="shared" si="13"/>
        <v>76164485</v>
      </c>
      <c r="B844">
        <v>76164485</v>
      </c>
      <c r="C844" t="s">
        <v>6228</v>
      </c>
      <c r="D844" t="s">
        <v>3055</v>
      </c>
      <c r="E844">
        <v>4508685</v>
      </c>
      <c r="F844" t="s">
        <v>742</v>
      </c>
      <c r="G844" t="s">
        <v>904</v>
      </c>
      <c r="H844" t="s">
        <v>975</v>
      </c>
      <c r="I844" s="12">
        <v>46023</v>
      </c>
      <c r="J844">
        <v>1</v>
      </c>
      <c r="K844" t="str">
        <f>VLOOKUP(A844,'TV May Monthly Billing Sites'!$A:$L,1,0)</f>
        <v>76164485</v>
      </c>
    </row>
    <row r="845" spans="1:12">
      <c r="A845" t="str">
        <f t="shared" si="13"/>
        <v>76164488</v>
      </c>
      <c r="B845">
        <v>76164488</v>
      </c>
      <c r="C845" t="s">
        <v>6229</v>
      </c>
      <c r="D845" t="s">
        <v>6230</v>
      </c>
      <c r="E845">
        <v>4508685</v>
      </c>
      <c r="F845" t="s">
        <v>742</v>
      </c>
      <c r="G845" t="s">
        <v>904</v>
      </c>
      <c r="H845" t="s">
        <v>975</v>
      </c>
      <c r="I845" s="12">
        <v>46023</v>
      </c>
      <c r="J845">
        <v>1</v>
      </c>
      <c r="K845" t="str">
        <f>VLOOKUP(A845,'TV May Monthly Billing Sites'!$A:$L,1,0)</f>
        <v>76164488</v>
      </c>
    </row>
    <row r="846" spans="1:12">
      <c r="A846" t="str">
        <f t="shared" si="13"/>
        <v>76164489</v>
      </c>
      <c r="B846">
        <v>76164489</v>
      </c>
      <c r="C846" t="s">
        <v>6231</v>
      </c>
      <c r="D846" t="s">
        <v>3059</v>
      </c>
      <c r="E846">
        <v>4508685</v>
      </c>
      <c r="F846" t="s">
        <v>742</v>
      </c>
      <c r="G846" t="s">
        <v>904</v>
      </c>
      <c r="H846" t="s">
        <v>975</v>
      </c>
      <c r="I846" s="12">
        <v>46023</v>
      </c>
      <c r="J846">
        <v>1</v>
      </c>
      <c r="K846" t="str">
        <f>VLOOKUP(A846,'TV May Monthly Billing Sites'!$A:$L,1,0)</f>
        <v>76164489</v>
      </c>
    </row>
    <row r="847" spans="1:12">
      <c r="A847" t="str">
        <f t="shared" si="13"/>
        <v>76164493</v>
      </c>
      <c r="B847">
        <v>76164493</v>
      </c>
      <c r="C847" t="s">
        <v>6232</v>
      </c>
      <c r="D847" t="s">
        <v>3061</v>
      </c>
      <c r="E847">
        <v>4508685</v>
      </c>
      <c r="F847" t="s">
        <v>742</v>
      </c>
      <c r="G847" t="s">
        <v>904</v>
      </c>
      <c r="H847" t="s">
        <v>975</v>
      </c>
      <c r="I847" s="12">
        <v>46023</v>
      </c>
      <c r="J847">
        <v>1</v>
      </c>
      <c r="K847" t="str">
        <f>VLOOKUP(A847,'TV May Monthly Billing Sites'!$A:$L,1,0)</f>
        <v>76164493</v>
      </c>
    </row>
    <row r="848" spans="1:12">
      <c r="A848" t="str">
        <f t="shared" si="13"/>
        <v>76164494</v>
      </c>
      <c r="B848">
        <v>76164494</v>
      </c>
      <c r="C848" t="s">
        <v>6233</v>
      </c>
      <c r="D848" t="s">
        <v>6234</v>
      </c>
      <c r="E848">
        <v>4508685</v>
      </c>
      <c r="F848" t="s">
        <v>742</v>
      </c>
      <c r="G848" t="s">
        <v>904</v>
      </c>
      <c r="H848" t="s">
        <v>975</v>
      </c>
      <c r="I848" s="12">
        <v>46023</v>
      </c>
      <c r="J848">
        <v>1</v>
      </c>
      <c r="K848" t="str">
        <f>VLOOKUP(A848,'TV May Monthly Billing Sites'!$A:$L,1,0)</f>
        <v>76164494</v>
      </c>
    </row>
    <row r="849" spans="1:12">
      <c r="A849" t="str">
        <f t="shared" si="13"/>
        <v>76164497</v>
      </c>
      <c r="B849">
        <v>76164497</v>
      </c>
      <c r="C849" t="s">
        <v>973</v>
      </c>
      <c r="D849" t="s">
        <v>974</v>
      </c>
      <c r="E849">
        <v>4508685</v>
      </c>
      <c r="F849" t="s">
        <v>742</v>
      </c>
      <c r="G849" t="s">
        <v>904</v>
      </c>
      <c r="H849" t="s">
        <v>975</v>
      </c>
      <c r="I849" s="12">
        <v>46023</v>
      </c>
      <c r="J849">
        <v>1</v>
      </c>
      <c r="K849" t="e">
        <f>VLOOKUP(A849,'TV May Monthly Billing Sites'!$A:$L,1,0)</f>
        <v>#N/A</v>
      </c>
      <c r="L849" t="e">
        <f>VLOOKUP(D849,'TV May Monthly Billing Sites'!$B:$L,1,0)</f>
        <v>#N/A</v>
      </c>
    </row>
    <row r="850" spans="1:12">
      <c r="A850" t="str">
        <f t="shared" si="13"/>
        <v>76164502</v>
      </c>
      <c r="B850">
        <v>76164502</v>
      </c>
      <c r="C850" t="s">
        <v>6235</v>
      </c>
      <c r="D850" t="s">
        <v>3065</v>
      </c>
      <c r="E850">
        <v>4508685</v>
      </c>
      <c r="F850" t="s">
        <v>742</v>
      </c>
      <c r="G850" t="s">
        <v>904</v>
      </c>
      <c r="H850" t="s">
        <v>975</v>
      </c>
      <c r="I850" s="12">
        <v>46023</v>
      </c>
      <c r="J850">
        <v>1</v>
      </c>
      <c r="K850" t="str">
        <f>VLOOKUP(A850,'TV May Monthly Billing Sites'!$A:$L,1,0)</f>
        <v>76164502</v>
      </c>
    </row>
    <row r="851" spans="1:12">
      <c r="A851" t="str">
        <f t="shared" si="13"/>
        <v>76164503</v>
      </c>
      <c r="B851">
        <v>76164503</v>
      </c>
      <c r="C851" t="s">
        <v>6236</v>
      </c>
      <c r="D851" t="s">
        <v>3067</v>
      </c>
      <c r="E851">
        <v>4508685</v>
      </c>
      <c r="F851" t="s">
        <v>742</v>
      </c>
      <c r="G851" t="s">
        <v>904</v>
      </c>
      <c r="H851" t="s">
        <v>975</v>
      </c>
      <c r="I851" s="12">
        <v>46023</v>
      </c>
      <c r="J851">
        <v>1</v>
      </c>
      <c r="K851" t="str">
        <f>VLOOKUP(A851,'TV May Monthly Billing Sites'!$A:$L,1,0)</f>
        <v>76164503</v>
      </c>
    </row>
    <row r="852" spans="1:12">
      <c r="A852" t="str">
        <f t="shared" si="13"/>
        <v>76164505</v>
      </c>
      <c r="B852">
        <v>76164505</v>
      </c>
      <c r="C852" t="s">
        <v>6237</v>
      </c>
      <c r="D852" t="s">
        <v>6238</v>
      </c>
      <c r="E852">
        <v>4508685</v>
      </c>
      <c r="F852" t="s">
        <v>742</v>
      </c>
      <c r="G852" t="s">
        <v>904</v>
      </c>
      <c r="H852" t="s">
        <v>975</v>
      </c>
      <c r="I852" s="12">
        <v>46023</v>
      </c>
      <c r="J852">
        <v>1</v>
      </c>
      <c r="K852" t="str">
        <f>VLOOKUP(A852,'TV May Monthly Billing Sites'!$A:$L,1,0)</f>
        <v>76164505</v>
      </c>
    </row>
    <row r="853" spans="1:12">
      <c r="A853" t="str">
        <f t="shared" si="13"/>
        <v>76164507</v>
      </c>
      <c r="B853">
        <v>76164507</v>
      </c>
      <c r="C853" t="s">
        <v>6239</v>
      </c>
      <c r="D853" t="s">
        <v>3071</v>
      </c>
      <c r="E853">
        <v>4508685</v>
      </c>
      <c r="F853" t="s">
        <v>742</v>
      </c>
      <c r="G853" t="s">
        <v>904</v>
      </c>
      <c r="H853" t="s">
        <v>975</v>
      </c>
      <c r="I853" s="12">
        <v>46023</v>
      </c>
      <c r="J853">
        <v>1</v>
      </c>
      <c r="K853" t="str">
        <f>VLOOKUP(A853,'TV May Monthly Billing Sites'!$A:$L,1,0)</f>
        <v>76164507</v>
      </c>
    </row>
    <row r="854" spans="1:12">
      <c r="A854" t="str">
        <f t="shared" si="13"/>
        <v>76165246</v>
      </c>
      <c r="B854">
        <v>76165246</v>
      </c>
      <c r="C854" t="s">
        <v>6240</v>
      </c>
      <c r="D854" t="s">
        <v>6241</v>
      </c>
      <c r="E854">
        <v>4508714</v>
      </c>
      <c r="F854" t="s">
        <v>742</v>
      </c>
      <c r="G854" t="s">
        <v>743</v>
      </c>
      <c r="H854" t="s">
        <v>5428</v>
      </c>
      <c r="I854" s="12">
        <v>45659</v>
      </c>
      <c r="J854">
        <v>1</v>
      </c>
      <c r="K854" t="str">
        <f>VLOOKUP(A854,'TV May Monthly Billing Sites'!$A:$L,1,0)</f>
        <v>76165246</v>
      </c>
    </row>
    <row r="855" spans="1:12">
      <c r="A855" t="str">
        <f t="shared" si="13"/>
        <v>76165337</v>
      </c>
      <c r="B855">
        <v>76165337</v>
      </c>
      <c r="C855" t="s">
        <v>6242</v>
      </c>
      <c r="D855" t="s">
        <v>4569</v>
      </c>
      <c r="E855">
        <v>4508714</v>
      </c>
      <c r="F855" t="s">
        <v>742</v>
      </c>
      <c r="G855" t="s">
        <v>743</v>
      </c>
      <c r="H855" t="s">
        <v>5218</v>
      </c>
      <c r="I855" s="12">
        <v>45992</v>
      </c>
      <c r="J855">
        <v>1</v>
      </c>
      <c r="K855" t="str">
        <f>VLOOKUP(A855,'TV May Monthly Billing Sites'!$A:$L,1,0)</f>
        <v>76165337</v>
      </c>
    </row>
    <row r="856" spans="1:12">
      <c r="A856" t="str">
        <f t="shared" si="13"/>
        <v>76165465</v>
      </c>
      <c r="B856">
        <v>76165465</v>
      </c>
      <c r="C856" t="s">
        <v>6243</v>
      </c>
      <c r="D856" t="s">
        <v>3077</v>
      </c>
      <c r="E856">
        <v>4408592</v>
      </c>
      <c r="F856" t="s">
        <v>742</v>
      </c>
      <c r="G856" t="s">
        <v>823</v>
      </c>
      <c r="H856" t="s">
        <v>6244</v>
      </c>
      <c r="I856" s="12">
        <v>45818</v>
      </c>
      <c r="J856">
        <v>1</v>
      </c>
      <c r="K856" t="str">
        <f>VLOOKUP(A856,'TV May Monthly Billing Sites'!$A:$L,1,0)</f>
        <v>76165465</v>
      </c>
    </row>
    <row r="857" spans="1:12">
      <c r="A857" t="str">
        <f t="shared" si="13"/>
        <v>76166150</v>
      </c>
      <c r="B857">
        <v>76166150</v>
      </c>
      <c r="C857" t="s">
        <v>6245</v>
      </c>
      <c r="D857" t="s">
        <v>3079</v>
      </c>
      <c r="E857">
        <v>4508714</v>
      </c>
      <c r="F857" t="s">
        <v>742</v>
      </c>
      <c r="G857" t="s">
        <v>743</v>
      </c>
      <c r="H857" t="s">
        <v>5451</v>
      </c>
      <c r="I857" s="12">
        <v>45441</v>
      </c>
      <c r="J857">
        <v>1</v>
      </c>
      <c r="K857" t="str">
        <f>VLOOKUP(A857,'TV May Monthly Billing Sites'!$A:$L,1,0)</f>
        <v>76166150</v>
      </c>
    </row>
    <row r="858" spans="1:12">
      <c r="A858" t="str">
        <f t="shared" si="13"/>
        <v>76166553</v>
      </c>
      <c r="B858">
        <v>76166553</v>
      </c>
      <c r="C858" t="s">
        <v>6246</v>
      </c>
      <c r="D858" t="s">
        <v>6247</v>
      </c>
      <c r="E858">
        <v>4508714</v>
      </c>
      <c r="F858" t="s">
        <v>742</v>
      </c>
      <c r="G858" t="s">
        <v>743</v>
      </c>
      <c r="H858" t="s">
        <v>5893</v>
      </c>
      <c r="I858" s="12">
        <v>45876</v>
      </c>
      <c r="J858">
        <v>1</v>
      </c>
      <c r="K858" t="str">
        <f>VLOOKUP(A858,'TV May Monthly Billing Sites'!$A:$L,1,0)</f>
        <v>76166553</v>
      </c>
    </row>
    <row r="859" spans="1:12">
      <c r="A859" t="str">
        <f t="shared" si="13"/>
        <v>76166727</v>
      </c>
      <c r="B859">
        <v>76166727</v>
      </c>
      <c r="C859" t="s">
        <v>6248</v>
      </c>
      <c r="D859" t="s">
        <v>6249</v>
      </c>
      <c r="E859">
        <v>4408593</v>
      </c>
      <c r="F859" t="s">
        <v>742</v>
      </c>
      <c r="G859" t="s">
        <v>782</v>
      </c>
      <c r="H859" t="s">
        <v>783</v>
      </c>
      <c r="I859" s="12">
        <v>45721</v>
      </c>
      <c r="J859">
        <v>1</v>
      </c>
      <c r="K859" t="str">
        <f>VLOOKUP(A859,'TV May Monthly Billing Sites'!$A:$L,1,0)</f>
        <v>76166727</v>
      </c>
    </row>
    <row r="860" spans="1:12">
      <c r="A860" t="str">
        <f t="shared" si="13"/>
        <v>76166867</v>
      </c>
      <c r="B860">
        <v>76166867</v>
      </c>
      <c r="C860" t="s">
        <v>6250</v>
      </c>
      <c r="D860" t="s">
        <v>3085</v>
      </c>
      <c r="E860">
        <v>4408593</v>
      </c>
      <c r="F860" t="s">
        <v>742</v>
      </c>
      <c r="G860" t="s">
        <v>782</v>
      </c>
      <c r="H860" t="s">
        <v>5059</v>
      </c>
      <c r="I860" s="12">
        <v>45427</v>
      </c>
      <c r="J860">
        <v>1</v>
      </c>
      <c r="K860" t="str">
        <f>VLOOKUP(A860,'TV May Monthly Billing Sites'!$A:$L,1,0)</f>
        <v>76166867</v>
      </c>
    </row>
    <row r="861" spans="1:12">
      <c r="A861" t="str">
        <f t="shared" si="13"/>
        <v>76167047</v>
      </c>
      <c r="B861">
        <v>76167047</v>
      </c>
      <c r="C861" t="s">
        <v>6251</v>
      </c>
      <c r="D861" t="s">
        <v>6252</v>
      </c>
      <c r="E861">
        <v>4508714</v>
      </c>
      <c r="F861" t="s">
        <v>742</v>
      </c>
      <c r="G861" t="s">
        <v>743</v>
      </c>
      <c r="H861" t="s">
        <v>6253</v>
      </c>
      <c r="I861" s="12">
        <v>46015</v>
      </c>
      <c r="J861">
        <v>1</v>
      </c>
      <c r="K861" t="str">
        <f>VLOOKUP(A861,'TV May Monthly Billing Sites'!$A:$L,1,0)</f>
        <v>76167047</v>
      </c>
    </row>
    <row r="862" spans="1:12">
      <c r="A862" t="str">
        <f t="shared" si="13"/>
        <v>76167113</v>
      </c>
      <c r="B862">
        <v>76167113</v>
      </c>
      <c r="C862" t="s">
        <v>6254</v>
      </c>
      <c r="D862" t="s">
        <v>6255</v>
      </c>
      <c r="E862">
        <v>4408593</v>
      </c>
      <c r="F862" t="s">
        <v>742</v>
      </c>
      <c r="G862" t="s">
        <v>782</v>
      </c>
      <c r="H862" t="s">
        <v>6028</v>
      </c>
      <c r="I862" s="12">
        <v>45642</v>
      </c>
      <c r="J862">
        <v>1</v>
      </c>
      <c r="K862" t="str">
        <f>VLOOKUP(A862,'TV May Monthly Billing Sites'!$A:$L,1,0)</f>
        <v>76167113</v>
      </c>
    </row>
    <row r="863" spans="1:12">
      <c r="A863" t="str">
        <f t="shared" si="13"/>
        <v>76167157</v>
      </c>
      <c r="B863">
        <v>76167157</v>
      </c>
      <c r="C863" t="s">
        <v>6256</v>
      </c>
      <c r="D863" t="s">
        <v>6257</v>
      </c>
      <c r="E863">
        <v>4508714</v>
      </c>
      <c r="F863" t="s">
        <v>742</v>
      </c>
      <c r="G863" t="s">
        <v>743</v>
      </c>
      <c r="H863" t="s">
        <v>6258</v>
      </c>
      <c r="I863" s="12">
        <v>45901</v>
      </c>
      <c r="J863">
        <v>1</v>
      </c>
      <c r="K863" t="str">
        <f>VLOOKUP(A863,'TV May Monthly Billing Sites'!$A:$L,1,0)</f>
        <v>76167157</v>
      </c>
    </row>
    <row r="864" spans="1:12">
      <c r="A864" t="str">
        <f t="shared" si="13"/>
        <v>76167620</v>
      </c>
      <c r="B864">
        <v>76167620</v>
      </c>
      <c r="C864" t="s">
        <v>977</v>
      </c>
      <c r="D864" t="s">
        <v>978</v>
      </c>
      <c r="E864">
        <v>4508714</v>
      </c>
      <c r="F864" t="s">
        <v>742</v>
      </c>
      <c r="G864" t="s">
        <v>743</v>
      </c>
      <c r="H864" t="s">
        <v>762</v>
      </c>
      <c r="I864" s="12">
        <v>45622</v>
      </c>
      <c r="J864">
        <v>1</v>
      </c>
      <c r="K864" t="e">
        <f>VLOOKUP(A864,'TV May Monthly Billing Sites'!$A:$L,1,0)</f>
        <v>#N/A</v>
      </c>
      <c r="L864" t="e">
        <f>VLOOKUP(D864,'TV May Monthly Billing Sites'!$B:$L,1,0)</f>
        <v>#N/A</v>
      </c>
    </row>
    <row r="865" spans="1:12">
      <c r="A865" t="str">
        <f t="shared" si="13"/>
        <v>76167668</v>
      </c>
      <c r="B865">
        <v>76167668</v>
      </c>
      <c r="C865" t="s">
        <v>6259</v>
      </c>
      <c r="D865" t="s">
        <v>3093</v>
      </c>
      <c r="E865">
        <v>4508675</v>
      </c>
      <c r="F865" t="s">
        <v>742</v>
      </c>
      <c r="G865" t="s">
        <v>828</v>
      </c>
      <c r="H865" t="s">
        <v>6260</v>
      </c>
      <c r="I865" s="12">
        <v>46014</v>
      </c>
      <c r="J865">
        <v>1</v>
      </c>
      <c r="K865" t="str">
        <f>VLOOKUP(A865,'TV May Monthly Billing Sites'!$A:$L,1,0)</f>
        <v>76167668</v>
      </c>
    </row>
    <row r="866" spans="1:12">
      <c r="A866" t="str">
        <f t="shared" si="13"/>
        <v>76167742</v>
      </c>
      <c r="B866">
        <v>76167742</v>
      </c>
      <c r="C866" t="s">
        <v>6261</v>
      </c>
      <c r="D866" t="s">
        <v>3095</v>
      </c>
      <c r="E866">
        <v>4408593</v>
      </c>
      <c r="F866" t="s">
        <v>742</v>
      </c>
      <c r="G866" t="s">
        <v>782</v>
      </c>
      <c r="H866" t="s">
        <v>1038</v>
      </c>
      <c r="I866" s="12">
        <v>45597</v>
      </c>
      <c r="J866">
        <v>1</v>
      </c>
      <c r="K866" t="str">
        <f>VLOOKUP(A866,'TV May Monthly Billing Sites'!$A:$L,1,0)</f>
        <v>76167742</v>
      </c>
    </row>
    <row r="867" spans="1:12">
      <c r="A867" t="str">
        <f t="shared" si="13"/>
        <v>76168076</v>
      </c>
      <c r="B867">
        <v>76168076</v>
      </c>
      <c r="C867" t="s">
        <v>6262</v>
      </c>
      <c r="D867" t="s">
        <v>6263</v>
      </c>
      <c r="E867">
        <v>4508685</v>
      </c>
      <c r="F867" t="s">
        <v>742</v>
      </c>
      <c r="G867" t="s">
        <v>904</v>
      </c>
      <c r="H867" t="s">
        <v>975</v>
      </c>
      <c r="I867" s="12">
        <v>46023</v>
      </c>
      <c r="J867">
        <v>1</v>
      </c>
      <c r="K867" t="str">
        <f>VLOOKUP(A867,'TV May Monthly Billing Sites'!$A:$L,1,0)</f>
        <v>76168076</v>
      </c>
    </row>
    <row r="868" spans="1:12">
      <c r="A868" t="str">
        <f t="shared" si="13"/>
        <v>76168735</v>
      </c>
      <c r="B868">
        <v>76168735</v>
      </c>
      <c r="C868" t="s">
        <v>6264</v>
      </c>
      <c r="D868" t="s">
        <v>6265</v>
      </c>
      <c r="E868">
        <v>4508714</v>
      </c>
      <c r="F868" t="s">
        <v>742</v>
      </c>
      <c r="G868" t="s">
        <v>743</v>
      </c>
      <c r="H868" t="s">
        <v>4890</v>
      </c>
      <c r="I868" s="12">
        <v>45719</v>
      </c>
      <c r="J868">
        <v>1</v>
      </c>
      <c r="K868" t="str">
        <f>VLOOKUP(A868,'TV May Monthly Billing Sites'!$A:$L,1,0)</f>
        <v>76168735</v>
      </c>
    </row>
    <row r="869" spans="1:12">
      <c r="A869" t="str">
        <f t="shared" si="13"/>
        <v>76168775</v>
      </c>
      <c r="B869">
        <v>76168775</v>
      </c>
      <c r="C869" t="s">
        <v>6266</v>
      </c>
      <c r="D869" t="s">
        <v>6267</v>
      </c>
      <c r="E869">
        <v>4508714</v>
      </c>
      <c r="F869" t="s">
        <v>742</v>
      </c>
      <c r="G869" t="s">
        <v>743</v>
      </c>
      <c r="H869" t="s">
        <v>6268</v>
      </c>
      <c r="I869" s="12">
        <v>45625</v>
      </c>
      <c r="J869">
        <v>1</v>
      </c>
      <c r="K869" t="str">
        <f>VLOOKUP(A869,'TV May Monthly Billing Sites'!$A:$L,1,0)</f>
        <v>76168775</v>
      </c>
    </row>
    <row r="870" spans="1:12">
      <c r="A870" t="str">
        <f t="shared" si="13"/>
        <v>76168999</v>
      </c>
      <c r="B870">
        <v>76168999</v>
      </c>
      <c r="C870" t="s">
        <v>6269</v>
      </c>
      <c r="D870" t="s">
        <v>3103</v>
      </c>
      <c r="E870">
        <v>4508714</v>
      </c>
      <c r="F870" t="s">
        <v>742</v>
      </c>
      <c r="G870" t="s">
        <v>743</v>
      </c>
      <c r="H870" t="s">
        <v>1175</v>
      </c>
      <c r="I870" s="12">
        <v>45622</v>
      </c>
      <c r="J870">
        <v>1</v>
      </c>
      <c r="K870" t="str">
        <f>VLOOKUP(A870,'TV May Monthly Billing Sites'!$A:$L,1,0)</f>
        <v>76168999</v>
      </c>
    </row>
    <row r="871" spans="1:12">
      <c r="A871" t="str">
        <f t="shared" si="13"/>
        <v>76169007</v>
      </c>
      <c r="B871">
        <v>76169007</v>
      </c>
      <c r="C871" t="s">
        <v>6270</v>
      </c>
      <c r="D871" t="s">
        <v>6271</v>
      </c>
      <c r="E871">
        <v>4508714</v>
      </c>
      <c r="F871" t="s">
        <v>742</v>
      </c>
      <c r="G871" t="s">
        <v>743</v>
      </c>
      <c r="H871" t="s">
        <v>1175</v>
      </c>
      <c r="I871" s="12">
        <v>45622</v>
      </c>
      <c r="J871">
        <v>1</v>
      </c>
      <c r="K871" t="str">
        <f>VLOOKUP(A871,'TV May Monthly Billing Sites'!$A:$L,1,0)</f>
        <v>76169007</v>
      </c>
    </row>
    <row r="872" spans="1:12">
      <c r="A872" t="str">
        <f t="shared" si="13"/>
        <v>76169221</v>
      </c>
      <c r="B872">
        <v>76169221</v>
      </c>
      <c r="C872" t="s">
        <v>6272</v>
      </c>
      <c r="D872" t="s">
        <v>6273</v>
      </c>
      <c r="E872">
        <v>4508714</v>
      </c>
      <c r="F872" t="s">
        <v>742</v>
      </c>
      <c r="G872" t="s">
        <v>743</v>
      </c>
      <c r="H872" t="s">
        <v>6274</v>
      </c>
      <c r="I872" s="12">
        <v>45688</v>
      </c>
      <c r="J872">
        <v>1</v>
      </c>
      <c r="K872" t="str">
        <f>VLOOKUP(A872,'TV May Monthly Billing Sites'!$A:$L,1,0)</f>
        <v>76169221</v>
      </c>
    </row>
    <row r="873" spans="1:12">
      <c r="A873" t="str">
        <f t="shared" si="13"/>
        <v>76169223</v>
      </c>
      <c r="B873">
        <v>76169223</v>
      </c>
      <c r="C873" t="s">
        <v>6275</v>
      </c>
      <c r="D873" t="s">
        <v>6276</v>
      </c>
      <c r="E873">
        <v>4508714</v>
      </c>
      <c r="F873" t="s">
        <v>742</v>
      </c>
      <c r="G873" t="s">
        <v>743</v>
      </c>
      <c r="H873" t="s">
        <v>6274</v>
      </c>
      <c r="I873" s="12">
        <v>45688</v>
      </c>
      <c r="J873">
        <v>1</v>
      </c>
      <c r="K873" t="str">
        <f>VLOOKUP(A873,'TV May Monthly Billing Sites'!$A:$L,1,0)</f>
        <v>76169223</v>
      </c>
    </row>
    <row r="874" spans="1:12">
      <c r="A874" t="str">
        <f t="shared" si="13"/>
        <v>76169336</v>
      </c>
      <c r="B874">
        <v>76169336</v>
      </c>
      <c r="C874" t="s">
        <v>6277</v>
      </c>
      <c r="D874" t="s">
        <v>6278</v>
      </c>
      <c r="E874">
        <v>4508675</v>
      </c>
      <c r="F874" t="s">
        <v>742</v>
      </c>
      <c r="G874" t="s">
        <v>828</v>
      </c>
      <c r="H874" t="s">
        <v>6279</v>
      </c>
      <c r="I874" s="12">
        <v>45659</v>
      </c>
      <c r="J874">
        <v>1</v>
      </c>
      <c r="K874" t="str">
        <f>VLOOKUP(A874,'TV May Monthly Billing Sites'!$A:$L,1,0)</f>
        <v>76169336</v>
      </c>
    </row>
    <row r="875" spans="1:12">
      <c r="A875" t="str">
        <f t="shared" si="13"/>
        <v>76169598</v>
      </c>
      <c r="B875">
        <v>76169598</v>
      </c>
      <c r="C875" t="s">
        <v>980</v>
      </c>
      <c r="D875" t="s">
        <v>981</v>
      </c>
      <c r="E875">
        <v>4408592</v>
      </c>
      <c r="F875" t="s">
        <v>742</v>
      </c>
      <c r="G875" t="s">
        <v>823</v>
      </c>
      <c r="H875" t="s">
        <v>910</v>
      </c>
      <c r="I875" s="12">
        <v>44880</v>
      </c>
      <c r="J875">
        <v>1</v>
      </c>
      <c r="K875" t="e">
        <f>VLOOKUP(A875,'TV May Monthly Billing Sites'!$A:$L,1,0)</f>
        <v>#N/A</v>
      </c>
      <c r="L875" t="e">
        <f>VLOOKUP(D875,'TV May Monthly Billing Sites'!$B:$L,1,0)</f>
        <v>#N/A</v>
      </c>
    </row>
    <row r="876" spans="1:12">
      <c r="A876" t="str">
        <f t="shared" si="13"/>
        <v>76169756</v>
      </c>
      <c r="B876">
        <v>76169756</v>
      </c>
      <c r="C876" t="s">
        <v>6280</v>
      </c>
      <c r="D876" t="s">
        <v>6281</v>
      </c>
      <c r="E876">
        <v>4508714</v>
      </c>
      <c r="F876" t="s">
        <v>742</v>
      </c>
      <c r="G876" t="s">
        <v>743</v>
      </c>
      <c r="H876" t="s">
        <v>1164</v>
      </c>
      <c r="I876" s="12">
        <v>45636</v>
      </c>
      <c r="J876">
        <v>1</v>
      </c>
      <c r="K876" t="str">
        <f>VLOOKUP(A876,'TV May Monthly Billing Sites'!$A:$L,1,0)</f>
        <v>76169756</v>
      </c>
    </row>
    <row r="877" spans="1:12">
      <c r="A877" t="str">
        <f t="shared" si="13"/>
        <v>76170220</v>
      </c>
      <c r="B877">
        <v>76170220</v>
      </c>
      <c r="C877" t="s">
        <v>6282</v>
      </c>
      <c r="D877" t="s">
        <v>3115</v>
      </c>
      <c r="E877">
        <v>4508675</v>
      </c>
      <c r="F877" t="s">
        <v>742</v>
      </c>
      <c r="G877" t="s">
        <v>828</v>
      </c>
      <c r="H877" t="s">
        <v>1179</v>
      </c>
      <c r="I877" s="12">
        <v>45366</v>
      </c>
      <c r="J877">
        <v>1</v>
      </c>
      <c r="K877" t="str">
        <f>VLOOKUP(A877,'TV May Monthly Billing Sites'!$A:$L,1,0)</f>
        <v>76170220</v>
      </c>
    </row>
    <row r="878" spans="1:12">
      <c r="A878" t="str">
        <f t="shared" si="13"/>
        <v>76170343</v>
      </c>
      <c r="B878">
        <v>76170343</v>
      </c>
      <c r="C878" t="s">
        <v>6283</v>
      </c>
      <c r="D878" t="s">
        <v>6284</v>
      </c>
      <c r="E878">
        <v>4408593</v>
      </c>
      <c r="F878" t="s">
        <v>742</v>
      </c>
      <c r="G878" t="s">
        <v>782</v>
      </c>
      <c r="H878" t="s">
        <v>5076</v>
      </c>
      <c r="I878" s="12">
        <v>45638</v>
      </c>
      <c r="J878">
        <v>1</v>
      </c>
      <c r="K878" t="str">
        <f>VLOOKUP(A878,'TV May Monthly Billing Sites'!$A:$L,1,0)</f>
        <v>76170343</v>
      </c>
    </row>
    <row r="879" spans="1:12">
      <c r="A879" t="str">
        <f t="shared" si="13"/>
        <v>76170714</v>
      </c>
      <c r="B879">
        <v>76170714</v>
      </c>
      <c r="C879" t="s">
        <v>6285</v>
      </c>
      <c r="D879" t="s">
        <v>6286</v>
      </c>
      <c r="E879">
        <v>4508685</v>
      </c>
      <c r="F879" t="s">
        <v>742</v>
      </c>
      <c r="G879" t="s">
        <v>904</v>
      </c>
      <c r="H879" t="s">
        <v>975</v>
      </c>
      <c r="I879" s="12">
        <v>46023</v>
      </c>
      <c r="J879">
        <v>1</v>
      </c>
      <c r="K879" t="str">
        <f>VLOOKUP(A879,'TV May Monthly Billing Sites'!$A:$L,1,0)</f>
        <v>76170714</v>
      </c>
    </row>
    <row r="880" spans="1:12">
      <c r="A880" t="str">
        <f t="shared" si="13"/>
        <v>76170737</v>
      </c>
      <c r="B880">
        <v>76170737</v>
      </c>
      <c r="C880" t="s">
        <v>6287</v>
      </c>
      <c r="D880" t="s">
        <v>3121</v>
      </c>
      <c r="E880">
        <v>4408593</v>
      </c>
      <c r="F880" t="s">
        <v>742</v>
      </c>
      <c r="G880" t="s">
        <v>782</v>
      </c>
      <c r="H880" t="s">
        <v>5252</v>
      </c>
      <c r="I880" s="12">
        <v>45646</v>
      </c>
      <c r="J880">
        <v>1</v>
      </c>
      <c r="K880" t="str">
        <f>VLOOKUP(A880,'TV May Monthly Billing Sites'!$A:$L,1,0)</f>
        <v>76170737</v>
      </c>
    </row>
    <row r="881" spans="1:12">
      <c r="A881" t="str">
        <f t="shared" si="13"/>
        <v>76171023</v>
      </c>
      <c r="B881">
        <v>76171023</v>
      </c>
      <c r="C881" t="s">
        <v>6288</v>
      </c>
      <c r="D881" t="s">
        <v>3123</v>
      </c>
      <c r="E881">
        <v>4408593</v>
      </c>
      <c r="F881" t="s">
        <v>742</v>
      </c>
      <c r="G881" t="s">
        <v>782</v>
      </c>
      <c r="H881" t="s">
        <v>6289</v>
      </c>
      <c r="I881" s="12">
        <v>45442</v>
      </c>
      <c r="J881">
        <v>1</v>
      </c>
      <c r="K881" t="str">
        <f>VLOOKUP(A881,'TV May Monthly Billing Sites'!$A:$L,1,0)</f>
        <v>76171023</v>
      </c>
    </row>
    <row r="882" spans="1:12">
      <c r="A882" t="str">
        <f t="shared" si="13"/>
        <v>76171174</v>
      </c>
      <c r="B882">
        <v>76171174</v>
      </c>
      <c r="C882" t="s">
        <v>6290</v>
      </c>
      <c r="D882" t="s">
        <v>6291</v>
      </c>
      <c r="E882">
        <v>4508675</v>
      </c>
      <c r="F882" t="s">
        <v>742</v>
      </c>
      <c r="G882" t="s">
        <v>828</v>
      </c>
      <c r="H882" t="s">
        <v>6292</v>
      </c>
      <c r="I882" s="12">
        <v>46058</v>
      </c>
      <c r="J882">
        <v>1</v>
      </c>
      <c r="K882" t="str">
        <f>VLOOKUP(A882,'TV May Monthly Billing Sites'!$A:$L,1,0)</f>
        <v>76171174</v>
      </c>
    </row>
    <row r="883" spans="1:12">
      <c r="A883" t="str">
        <f t="shared" si="13"/>
        <v>76171302</v>
      </c>
      <c r="B883">
        <v>76171302</v>
      </c>
      <c r="C883" t="s">
        <v>983</v>
      </c>
      <c r="D883" t="s">
        <v>984</v>
      </c>
      <c r="E883">
        <v>4508714</v>
      </c>
      <c r="F883" t="s">
        <v>742</v>
      </c>
      <c r="G883" t="s">
        <v>743</v>
      </c>
      <c r="H883" t="s">
        <v>985</v>
      </c>
      <c r="I883" s="12">
        <v>45776</v>
      </c>
      <c r="J883">
        <v>1</v>
      </c>
      <c r="K883" t="e">
        <f>VLOOKUP(A883,'TV May Monthly Billing Sites'!$A:$L,1,0)</f>
        <v>#N/A</v>
      </c>
      <c r="L883" t="e">
        <f>VLOOKUP(D883,'TV May Monthly Billing Sites'!$B:$L,1,0)</f>
        <v>#N/A</v>
      </c>
    </row>
    <row r="884" spans="1:12">
      <c r="A884" t="str">
        <f t="shared" si="13"/>
        <v>76171550</v>
      </c>
      <c r="B884">
        <v>76171550</v>
      </c>
      <c r="C884" t="s">
        <v>6293</v>
      </c>
      <c r="D884" t="s">
        <v>3127</v>
      </c>
      <c r="E884">
        <v>4508714</v>
      </c>
      <c r="F884" t="s">
        <v>742</v>
      </c>
      <c r="G884" t="s">
        <v>743</v>
      </c>
      <c r="H884" t="s">
        <v>6294</v>
      </c>
      <c r="I884" s="12">
        <v>45623</v>
      </c>
      <c r="J884">
        <v>1</v>
      </c>
      <c r="K884" t="str">
        <f>VLOOKUP(A884,'TV May Monthly Billing Sites'!$A:$L,1,0)</f>
        <v>76171550</v>
      </c>
    </row>
    <row r="885" spans="1:12">
      <c r="A885" t="str">
        <f t="shared" si="13"/>
        <v>76171624</v>
      </c>
      <c r="B885">
        <v>76171624</v>
      </c>
      <c r="C885" t="s">
        <v>6295</v>
      </c>
      <c r="D885" t="s">
        <v>3129</v>
      </c>
      <c r="E885">
        <v>4408593</v>
      </c>
      <c r="F885" t="s">
        <v>742</v>
      </c>
      <c r="G885" t="s">
        <v>782</v>
      </c>
      <c r="H885" t="s">
        <v>6296</v>
      </c>
      <c r="I885" s="12">
        <v>45904</v>
      </c>
      <c r="J885">
        <v>1</v>
      </c>
      <c r="K885" t="str">
        <f>VLOOKUP(A885,'TV May Monthly Billing Sites'!$A:$L,1,0)</f>
        <v>76171624</v>
      </c>
    </row>
    <row r="886" spans="1:12">
      <c r="A886" t="str">
        <f t="shared" si="13"/>
        <v>76171629</v>
      </c>
      <c r="B886">
        <v>76171629</v>
      </c>
      <c r="C886" t="s">
        <v>6297</v>
      </c>
      <c r="D886" t="s">
        <v>3131</v>
      </c>
      <c r="E886">
        <v>4508714</v>
      </c>
      <c r="F886" t="s">
        <v>742</v>
      </c>
      <c r="G886" t="s">
        <v>743</v>
      </c>
      <c r="H886" t="s">
        <v>6296</v>
      </c>
      <c r="I886" s="12">
        <v>45653</v>
      </c>
      <c r="J886">
        <v>1</v>
      </c>
      <c r="K886" t="str">
        <f>VLOOKUP(A886,'TV May Monthly Billing Sites'!$A:$L,1,0)</f>
        <v>76171629</v>
      </c>
    </row>
    <row r="887" spans="1:12">
      <c r="A887" t="str">
        <f t="shared" si="13"/>
        <v>76171630</v>
      </c>
      <c r="B887">
        <v>76171630</v>
      </c>
      <c r="C887" t="s">
        <v>6298</v>
      </c>
      <c r="D887" t="s">
        <v>3133</v>
      </c>
      <c r="E887">
        <v>4508714</v>
      </c>
      <c r="F887" t="s">
        <v>742</v>
      </c>
      <c r="G887" t="s">
        <v>743</v>
      </c>
      <c r="H887" t="s">
        <v>6296</v>
      </c>
      <c r="I887" s="12">
        <v>45653</v>
      </c>
      <c r="J887">
        <v>1</v>
      </c>
      <c r="K887" t="str">
        <f>VLOOKUP(A887,'TV May Monthly Billing Sites'!$A:$L,1,0)</f>
        <v>76171630</v>
      </c>
    </row>
    <row r="888" spans="1:12">
      <c r="A888" t="str">
        <f t="shared" si="13"/>
        <v>76171631</v>
      </c>
      <c r="B888">
        <v>76171631</v>
      </c>
      <c r="C888" t="s">
        <v>6299</v>
      </c>
      <c r="D888" t="s">
        <v>3135</v>
      </c>
      <c r="E888">
        <v>4508714</v>
      </c>
      <c r="F888" t="s">
        <v>742</v>
      </c>
      <c r="G888" t="s">
        <v>743</v>
      </c>
      <c r="H888" t="s">
        <v>6296</v>
      </c>
      <c r="I888" s="12">
        <v>45653</v>
      </c>
      <c r="J888">
        <v>1</v>
      </c>
      <c r="K888" t="str">
        <f>VLOOKUP(A888,'TV May Monthly Billing Sites'!$A:$L,1,0)</f>
        <v>76171631</v>
      </c>
    </row>
    <row r="889" spans="1:12">
      <c r="A889" t="str">
        <f t="shared" si="13"/>
        <v>76171651</v>
      </c>
      <c r="B889">
        <v>76171651</v>
      </c>
      <c r="C889" t="s">
        <v>6300</v>
      </c>
      <c r="D889" t="s">
        <v>3137</v>
      </c>
      <c r="E889">
        <v>4508714</v>
      </c>
      <c r="F889" t="s">
        <v>742</v>
      </c>
      <c r="G889" t="s">
        <v>743</v>
      </c>
      <c r="H889" t="s">
        <v>751</v>
      </c>
      <c r="I889" s="12">
        <v>45747</v>
      </c>
      <c r="J889">
        <v>1</v>
      </c>
      <c r="K889" t="str">
        <f>VLOOKUP(A889,'TV May Monthly Billing Sites'!$A:$L,1,0)</f>
        <v>76171651</v>
      </c>
    </row>
    <row r="890" spans="1:12">
      <c r="A890" t="str">
        <f t="shared" si="13"/>
        <v>76171983</v>
      </c>
      <c r="B890">
        <v>76171983</v>
      </c>
      <c r="C890" t="s">
        <v>6301</v>
      </c>
      <c r="D890" t="s">
        <v>6302</v>
      </c>
      <c r="E890">
        <v>4508714</v>
      </c>
      <c r="F890" t="s">
        <v>742</v>
      </c>
      <c r="G890" t="s">
        <v>743</v>
      </c>
      <c r="H890" t="s">
        <v>6049</v>
      </c>
      <c r="I890" s="12">
        <v>45971</v>
      </c>
      <c r="J890">
        <v>1</v>
      </c>
      <c r="K890" t="str">
        <f>VLOOKUP(A890,'TV May Monthly Billing Sites'!$A:$L,1,0)</f>
        <v>76171983</v>
      </c>
    </row>
    <row r="891" spans="1:12">
      <c r="A891" t="str">
        <f t="shared" si="13"/>
        <v>76172218</v>
      </c>
      <c r="B891">
        <v>76172218</v>
      </c>
      <c r="C891" t="s">
        <v>6303</v>
      </c>
      <c r="D891" t="s">
        <v>6304</v>
      </c>
      <c r="E891">
        <v>4508714</v>
      </c>
      <c r="F891" t="s">
        <v>742</v>
      </c>
      <c r="G891" t="s">
        <v>743</v>
      </c>
      <c r="H891" t="s">
        <v>998</v>
      </c>
      <c r="I891" s="12">
        <v>45814</v>
      </c>
      <c r="J891">
        <v>1</v>
      </c>
      <c r="K891" t="str">
        <f>VLOOKUP(A891,'TV May Monthly Billing Sites'!$A:$L,1,0)</f>
        <v>76172218</v>
      </c>
    </row>
    <row r="892" spans="1:12">
      <c r="A892" t="str">
        <f t="shared" si="13"/>
        <v>76172296</v>
      </c>
      <c r="B892">
        <v>76172296</v>
      </c>
      <c r="C892" t="s">
        <v>6305</v>
      </c>
      <c r="D892" t="s">
        <v>6306</v>
      </c>
      <c r="E892">
        <v>4508714</v>
      </c>
      <c r="F892" t="s">
        <v>742</v>
      </c>
      <c r="G892" t="s">
        <v>743</v>
      </c>
      <c r="H892" t="s">
        <v>998</v>
      </c>
      <c r="I892" s="12">
        <v>45814</v>
      </c>
      <c r="J892">
        <v>1</v>
      </c>
      <c r="K892" t="str">
        <f>VLOOKUP(A892,'TV May Monthly Billing Sites'!$A:$L,1,0)</f>
        <v>76172296</v>
      </c>
    </row>
    <row r="893" spans="1:12">
      <c r="A893" t="str">
        <f t="shared" si="13"/>
        <v>76172298</v>
      </c>
      <c r="B893">
        <v>76172298</v>
      </c>
      <c r="C893" t="s">
        <v>6307</v>
      </c>
      <c r="D893" t="s">
        <v>3145</v>
      </c>
      <c r="E893">
        <v>4508714</v>
      </c>
      <c r="F893" t="s">
        <v>742</v>
      </c>
      <c r="G893" t="s">
        <v>743</v>
      </c>
      <c r="H893" t="s">
        <v>998</v>
      </c>
      <c r="I893" s="12">
        <v>45814</v>
      </c>
      <c r="J893">
        <v>1</v>
      </c>
      <c r="K893" t="str">
        <f>VLOOKUP(A893,'TV May Monthly Billing Sites'!$A:$L,1,0)</f>
        <v>76172298</v>
      </c>
    </row>
    <row r="894" spans="1:12">
      <c r="A894" t="str">
        <f t="shared" si="13"/>
        <v>76172299</v>
      </c>
      <c r="B894">
        <v>76172299</v>
      </c>
      <c r="C894" t="s">
        <v>6308</v>
      </c>
      <c r="D894" t="s">
        <v>6309</v>
      </c>
      <c r="E894">
        <v>4508714</v>
      </c>
      <c r="F894" t="s">
        <v>742</v>
      </c>
      <c r="G894" t="s">
        <v>743</v>
      </c>
      <c r="H894" t="s">
        <v>998</v>
      </c>
      <c r="I894" s="12">
        <v>45814</v>
      </c>
      <c r="J894">
        <v>1</v>
      </c>
      <c r="K894" t="str">
        <f>VLOOKUP(A894,'TV May Monthly Billing Sites'!$A:$L,1,0)</f>
        <v>76172299</v>
      </c>
    </row>
    <row r="895" spans="1:12">
      <c r="A895" t="str">
        <f t="shared" si="13"/>
        <v>76172449</v>
      </c>
      <c r="B895">
        <v>76172449</v>
      </c>
      <c r="C895" t="s">
        <v>6310</v>
      </c>
      <c r="D895" t="s">
        <v>6311</v>
      </c>
      <c r="E895">
        <v>4508714</v>
      </c>
      <c r="F895" t="s">
        <v>742</v>
      </c>
      <c r="G895" t="s">
        <v>743</v>
      </c>
      <c r="H895" t="s">
        <v>5306</v>
      </c>
      <c r="I895" s="12">
        <v>45765</v>
      </c>
      <c r="J895">
        <v>1</v>
      </c>
      <c r="K895" t="str">
        <f>VLOOKUP(A895,'TV May Monthly Billing Sites'!$A:$L,1,0)</f>
        <v>76172449</v>
      </c>
    </row>
    <row r="896" spans="1:12">
      <c r="A896" t="str">
        <f t="shared" si="13"/>
        <v>76172751</v>
      </c>
      <c r="B896">
        <v>76172751</v>
      </c>
      <c r="C896" t="s">
        <v>6312</v>
      </c>
      <c r="D896" t="s">
        <v>3151</v>
      </c>
      <c r="E896">
        <v>4508714</v>
      </c>
      <c r="F896" t="s">
        <v>742</v>
      </c>
      <c r="G896" t="s">
        <v>743</v>
      </c>
      <c r="H896" t="s">
        <v>3151</v>
      </c>
      <c r="I896" s="12">
        <v>46108</v>
      </c>
      <c r="J896">
        <v>1</v>
      </c>
      <c r="K896" t="str">
        <f>VLOOKUP(A896,'TV May Monthly Billing Sites'!$A:$L,1,0)</f>
        <v>76172751</v>
      </c>
    </row>
    <row r="897" spans="1:12">
      <c r="A897" t="str">
        <f t="shared" si="13"/>
        <v>76173070</v>
      </c>
      <c r="B897">
        <v>76173070</v>
      </c>
      <c r="C897" t="s">
        <v>987</v>
      </c>
      <c r="D897" t="s">
        <v>988</v>
      </c>
      <c r="E897">
        <v>4508714</v>
      </c>
      <c r="F897" t="s">
        <v>742</v>
      </c>
      <c r="G897" t="s">
        <v>743</v>
      </c>
      <c r="H897" t="s">
        <v>812</v>
      </c>
      <c r="I897" s="12">
        <v>45931</v>
      </c>
      <c r="J897">
        <v>1</v>
      </c>
      <c r="K897" t="e">
        <f>VLOOKUP(A897,'TV May Monthly Billing Sites'!$A:$L,1,0)</f>
        <v>#N/A</v>
      </c>
      <c r="L897" t="e">
        <f>VLOOKUP(D897,'TV May Monthly Billing Sites'!$B:$L,1,0)</f>
        <v>#N/A</v>
      </c>
    </row>
    <row r="898" spans="1:12">
      <c r="A898" t="str">
        <f t="shared" ref="A898:A961" si="14">TRIM(B898)</f>
        <v>76173078</v>
      </c>
      <c r="B898">
        <v>76173078</v>
      </c>
      <c r="C898" t="s">
        <v>990</v>
      </c>
      <c r="D898" t="s">
        <v>991</v>
      </c>
      <c r="E898">
        <v>4508714</v>
      </c>
      <c r="F898" t="s">
        <v>742</v>
      </c>
      <c r="G898" t="s">
        <v>743</v>
      </c>
      <c r="H898" t="s">
        <v>812</v>
      </c>
      <c r="I898" s="12">
        <v>45931</v>
      </c>
      <c r="J898">
        <v>1</v>
      </c>
      <c r="K898" t="e">
        <f>VLOOKUP(A898,'TV May Monthly Billing Sites'!$A:$L,1,0)</f>
        <v>#N/A</v>
      </c>
      <c r="L898" t="e">
        <f>VLOOKUP(D898,'TV May Monthly Billing Sites'!$B:$L,1,0)</f>
        <v>#N/A</v>
      </c>
    </row>
    <row r="899" spans="1:12">
      <c r="A899" t="str">
        <f t="shared" si="14"/>
        <v>76174026</v>
      </c>
      <c r="B899">
        <v>76174026</v>
      </c>
      <c r="C899" t="s">
        <v>6313</v>
      </c>
      <c r="D899" t="s">
        <v>3153</v>
      </c>
      <c r="E899">
        <v>4508714</v>
      </c>
      <c r="F899" t="s">
        <v>742</v>
      </c>
      <c r="G899" t="s">
        <v>743</v>
      </c>
      <c r="H899" t="s">
        <v>5629</v>
      </c>
      <c r="I899" s="12">
        <v>45748</v>
      </c>
      <c r="J899">
        <v>1</v>
      </c>
      <c r="K899" t="str">
        <f>VLOOKUP(A899,'TV May Monthly Billing Sites'!$A:$L,1,0)</f>
        <v>76174026</v>
      </c>
    </row>
    <row r="900" spans="1:12">
      <c r="A900" t="str">
        <f t="shared" si="14"/>
        <v>76174241</v>
      </c>
      <c r="B900">
        <v>76174241</v>
      </c>
      <c r="C900" t="s">
        <v>6314</v>
      </c>
      <c r="D900" t="s">
        <v>3155</v>
      </c>
      <c r="E900">
        <v>4408593</v>
      </c>
      <c r="F900" t="s">
        <v>742</v>
      </c>
      <c r="G900" t="s">
        <v>782</v>
      </c>
      <c r="H900" t="s">
        <v>5298</v>
      </c>
      <c r="I900" s="12">
        <v>45875</v>
      </c>
      <c r="J900">
        <v>1</v>
      </c>
      <c r="K900" t="str">
        <f>VLOOKUP(A900,'TV May Monthly Billing Sites'!$A:$L,1,0)</f>
        <v>76174241</v>
      </c>
    </row>
    <row r="901" spans="1:12">
      <c r="A901" t="str">
        <f t="shared" si="14"/>
        <v>76174833</v>
      </c>
      <c r="B901">
        <v>76174833</v>
      </c>
      <c r="C901" t="s">
        <v>6315</v>
      </c>
      <c r="D901" t="s">
        <v>3157</v>
      </c>
      <c r="E901">
        <v>4508714</v>
      </c>
      <c r="F901" t="s">
        <v>742</v>
      </c>
      <c r="G901" t="s">
        <v>743</v>
      </c>
      <c r="H901" t="s">
        <v>5595</v>
      </c>
      <c r="I901" s="12">
        <v>45411</v>
      </c>
      <c r="J901">
        <v>1</v>
      </c>
      <c r="K901" t="str">
        <f>VLOOKUP(A901,'TV May Monthly Billing Sites'!$A:$L,1,0)</f>
        <v>76174833</v>
      </c>
    </row>
    <row r="902" spans="1:12">
      <c r="A902" t="str">
        <f t="shared" si="14"/>
        <v>76176208</v>
      </c>
      <c r="B902">
        <v>76176208</v>
      </c>
      <c r="C902" t="s">
        <v>6316</v>
      </c>
      <c r="D902" t="s">
        <v>6317</v>
      </c>
      <c r="E902">
        <v>4408593</v>
      </c>
      <c r="F902" t="s">
        <v>742</v>
      </c>
      <c r="G902" t="s">
        <v>782</v>
      </c>
      <c r="H902" t="s">
        <v>6318</v>
      </c>
      <c r="I902" s="12">
        <v>45547</v>
      </c>
      <c r="J902">
        <v>1</v>
      </c>
      <c r="K902" t="str">
        <f>VLOOKUP(A902,'TV May Monthly Billing Sites'!$A:$L,1,0)</f>
        <v>76176208</v>
      </c>
    </row>
    <row r="903" spans="1:12">
      <c r="A903" t="str">
        <f t="shared" si="14"/>
        <v>76176376</v>
      </c>
      <c r="B903">
        <v>76176376</v>
      </c>
      <c r="C903" t="s">
        <v>6319</v>
      </c>
      <c r="D903" t="s">
        <v>3161</v>
      </c>
      <c r="E903">
        <v>4408593</v>
      </c>
      <c r="F903" t="s">
        <v>742</v>
      </c>
      <c r="G903" t="s">
        <v>782</v>
      </c>
      <c r="H903" t="s">
        <v>6062</v>
      </c>
      <c r="I903" s="12">
        <v>45626</v>
      </c>
      <c r="J903">
        <v>1</v>
      </c>
      <c r="K903" t="str">
        <f>VLOOKUP(A903,'TV May Monthly Billing Sites'!$A:$L,1,0)</f>
        <v>76176376</v>
      </c>
    </row>
    <row r="904" spans="1:12">
      <c r="A904" t="str">
        <f t="shared" si="14"/>
        <v>76176478</v>
      </c>
      <c r="B904">
        <v>76176478</v>
      </c>
      <c r="C904" t="s">
        <v>6320</v>
      </c>
      <c r="D904" t="s">
        <v>6321</v>
      </c>
      <c r="E904">
        <v>4508714</v>
      </c>
      <c r="F904" t="s">
        <v>742</v>
      </c>
      <c r="G904" t="s">
        <v>743</v>
      </c>
      <c r="H904" t="s">
        <v>4974</v>
      </c>
      <c r="I904" s="12">
        <v>45636</v>
      </c>
      <c r="J904">
        <v>1</v>
      </c>
      <c r="K904" t="str">
        <f>VLOOKUP(A904,'TV May Monthly Billing Sites'!$A:$L,1,0)</f>
        <v>76176478</v>
      </c>
    </row>
    <row r="905" spans="1:12">
      <c r="A905" t="str">
        <f t="shared" si="14"/>
        <v>76176659</v>
      </c>
      <c r="B905">
        <v>76176659</v>
      </c>
      <c r="C905" t="s">
        <v>6322</v>
      </c>
      <c r="D905" t="s">
        <v>6323</v>
      </c>
      <c r="E905">
        <v>4508675</v>
      </c>
      <c r="F905" t="s">
        <v>742</v>
      </c>
      <c r="G905" t="s">
        <v>828</v>
      </c>
      <c r="H905" t="s">
        <v>6323</v>
      </c>
      <c r="I905" s="12">
        <v>45009</v>
      </c>
      <c r="J905">
        <v>1</v>
      </c>
      <c r="K905" t="str">
        <f>VLOOKUP(A905,'TV May Monthly Billing Sites'!$A:$L,1,0)</f>
        <v>76176659</v>
      </c>
    </row>
    <row r="906" spans="1:12">
      <c r="A906" t="str">
        <f t="shared" si="14"/>
        <v>76177532</v>
      </c>
      <c r="B906">
        <v>76177532</v>
      </c>
      <c r="C906" t="s">
        <v>6324</v>
      </c>
      <c r="D906" t="s">
        <v>3167</v>
      </c>
      <c r="E906">
        <v>4508714</v>
      </c>
      <c r="F906" t="s">
        <v>742</v>
      </c>
      <c r="G906" t="s">
        <v>743</v>
      </c>
      <c r="H906" t="s">
        <v>4734</v>
      </c>
      <c r="I906" s="12">
        <v>45833</v>
      </c>
      <c r="J906">
        <v>1</v>
      </c>
      <c r="K906" t="str">
        <f>VLOOKUP(A906,'TV May Monthly Billing Sites'!$A:$L,1,0)</f>
        <v>76177532</v>
      </c>
    </row>
    <row r="907" spans="1:12">
      <c r="A907" t="str">
        <f t="shared" si="14"/>
        <v>76177578</v>
      </c>
      <c r="B907">
        <v>76177578</v>
      </c>
      <c r="C907" t="s">
        <v>6325</v>
      </c>
      <c r="D907" t="s">
        <v>6326</v>
      </c>
      <c r="E907">
        <v>4508714</v>
      </c>
      <c r="F907" t="s">
        <v>742</v>
      </c>
      <c r="G907" t="s">
        <v>743</v>
      </c>
      <c r="H907" t="s">
        <v>4883</v>
      </c>
      <c r="I907" s="12">
        <v>46045</v>
      </c>
      <c r="J907">
        <v>1</v>
      </c>
      <c r="K907" t="str">
        <f>VLOOKUP(A907,'TV May Monthly Billing Sites'!$A:$L,1,0)</f>
        <v>76177578</v>
      </c>
    </row>
    <row r="908" spans="1:12">
      <c r="A908" t="str">
        <f t="shared" si="14"/>
        <v>76177663</v>
      </c>
      <c r="B908">
        <v>76177663</v>
      </c>
      <c r="C908" t="s">
        <v>6327</v>
      </c>
      <c r="D908" t="s">
        <v>3171</v>
      </c>
      <c r="E908">
        <v>4408592</v>
      </c>
      <c r="F908" t="s">
        <v>742</v>
      </c>
      <c r="G908" t="s">
        <v>823</v>
      </c>
      <c r="H908" t="s">
        <v>5084</v>
      </c>
      <c r="I908" s="12">
        <v>45590</v>
      </c>
      <c r="J908">
        <v>1</v>
      </c>
      <c r="K908" t="str">
        <f>VLOOKUP(A908,'TV May Monthly Billing Sites'!$A:$L,1,0)</f>
        <v>76177663</v>
      </c>
    </row>
    <row r="909" spans="1:12">
      <c r="A909" t="str">
        <f t="shared" si="14"/>
        <v>76177688</v>
      </c>
      <c r="B909">
        <v>76177688</v>
      </c>
      <c r="C909" t="s">
        <v>6328</v>
      </c>
      <c r="D909" t="s">
        <v>3173</v>
      </c>
      <c r="E909">
        <v>4408593</v>
      </c>
      <c r="F909" t="s">
        <v>742</v>
      </c>
      <c r="G909" t="s">
        <v>782</v>
      </c>
      <c r="H909" t="s">
        <v>816</v>
      </c>
      <c r="I909" s="12">
        <v>45597</v>
      </c>
      <c r="J909">
        <v>1</v>
      </c>
      <c r="K909" t="str">
        <f>VLOOKUP(A909,'TV May Monthly Billing Sites'!$A:$L,1,0)</f>
        <v>76177688</v>
      </c>
    </row>
    <row r="910" spans="1:12">
      <c r="A910" t="str">
        <f t="shared" si="14"/>
        <v>76177895</v>
      </c>
      <c r="B910">
        <v>76177895</v>
      </c>
      <c r="C910" t="s">
        <v>6329</v>
      </c>
      <c r="D910" t="s">
        <v>6330</v>
      </c>
      <c r="E910">
        <v>4508714</v>
      </c>
      <c r="F910" t="s">
        <v>742</v>
      </c>
      <c r="G910" t="s">
        <v>743</v>
      </c>
      <c r="H910" t="s">
        <v>6331</v>
      </c>
      <c r="I910" s="12">
        <v>45561</v>
      </c>
      <c r="J910">
        <v>1</v>
      </c>
      <c r="K910" t="str">
        <f>VLOOKUP(A910,'TV May Monthly Billing Sites'!$A:$L,1,0)</f>
        <v>76177895</v>
      </c>
    </row>
    <row r="911" spans="1:12">
      <c r="A911" t="str">
        <f t="shared" si="14"/>
        <v>76177905</v>
      </c>
      <c r="B911">
        <v>76177905</v>
      </c>
      <c r="C911" t="s">
        <v>6332</v>
      </c>
      <c r="D911" t="s">
        <v>6333</v>
      </c>
      <c r="E911">
        <v>4508714</v>
      </c>
      <c r="F911" t="s">
        <v>742</v>
      </c>
      <c r="G911" t="s">
        <v>743</v>
      </c>
      <c r="H911" t="s">
        <v>6331</v>
      </c>
      <c r="I911" s="12">
        <v>45561</v>
      </c>
      <c r="J911">
        <v>1</v>
      </c>
      <c r="K911" t="str">
        <f>VLOOKUP(A911,'TV May Monthly Billing Sites'!$A:$L,1,0)</f>
        <v>76177905</v>
      </c>
    </row>
    <row r="912" spans="1:12">
      <c r="A912" t="str">
        <f t="shared" si="14"/>
        <v>76178011</v>
      </c>
      <c r="B912">
        <v>76178011</v>
      </c>
      <c r="C912" t="s">
        <v>6334</v>
      </c>
      <c r="D912" t="s">
        <v>3179</v>
      </c>
      <c r="E912">
        <v>4408593</v>
      </c>
      <c r="F912" t="s">
        <v>742</v>
      </c>
      <c r="G912" t="s">
        <v>782</v>
      </c>
      <c r="H912" t="s">
        <v>5066</v>
      </c>
      <c r="I912" s="12">
        <v>45637</v>
      </c>
      <c r="J912">
        <v>1</v>
      </c>
      <c r="K912" t="str">
        <f>VLOOKUP(A912,'TV May Monthly Billing Sites'!$A:$L,1,0)</f>
        <v>76178011</v>
      </c>
    </row>
    <row r="913" spans="1:12">
      <c r="A913" t="str">
        <f t="shared" si="14"/>
        <v>76178530</v>
      </c>
      <c r="B913">
        <v>76178530</v>
      </c>
      <c r="C913" t="s">
        <v>6335</v>
      </c>
      <c r="D913" t="s">
        <v>6336</v>
      </c>
      <c r="E913">
        <v>4408593</v>
      </c>
      <c r="F913" t="s">
        <v>742</v>
      </c>
      <c r="G913" t="s">
        <v>782</v>
      </c>
      <c r="H913" t="s">
        <v>6072</v>
      </c>
      <c r="I913" s="12">
        <v>45897</v>
      </c>
      <c r="J913">
        <v>1</v>
      </c>
      <c r="K913" t="str">
        <f>VLOOKUP(A913,'TV May Monthly Billing Sites'!$A:$L,1,0)</f>
        <v>76178530</v>
      </c>
    </row>
    <row r="914" spans="1:12">
      <c r="A914" t="str">
        <f t="shared" si="14"/>
        <v>76178687</v>
      </c>
      <c r="B914">
        <v>76178687</v>
      </c>
      <c r="C914" t="s">
        <v>6337</v>
      </c>
      <c r="D914" t="s">
        <v>3039</v>
      </c>
      <c r="E914">
        <v>4508714</v>
      </c>
      <c r="F914" t="s">
        <v>742</v>
      </c>
      <c r="G914" t="s">
        <v>743</v>
      </c>
      <c r="H914" t="s">
        <v>5327</v>
      </c>
      <c r="I914" s="12">
        <v>46029</v>
      </c>
      <c r="J914">
        <v>1</v>
      </c>
      <c r="K914" t="e">
        <f>VLOOKUP(A914,'TV May Monthly Billing Sites'!$A:$L,1,0)</f>
        <v>#N/A</v>
      </c>
      <c r="L914" t="str">
        <f>VLOOKUP(D914,'TV May Monthly Billing Sites'!$B:$L,1,0)</f>
        <v>MODERN SUBARU OF BOONE</v>
      </c>
    </row>
    <row r="915" spans="1:12">
      <c r="A915" t="str">
        <f t="shared" si="14"/>
        <v>76179273</v>
      </c>
      <c r="B915">
        <v>76179273</v>
      </c>
      <c r="C915" t="s">
        <v>6338</v>
      </c>
      <c r="D915" t="s">
        <v>3183</v>
      </c>
      <c r="E915">
        <v>4508685</v>
      </c>
      <c r="F915" t="s">
        <v>742</v>
      </c>
      <c r="G915" t="s">
        <v>904</v>
      </c>
      <c r="H915" t="s">
        <v>975</v>
      </c>
      <c r="I915" s="12">
        <v>46023</v>
      </c>
      <c r="J915">
        <v>1</v>
      </c>
      <c r="K915" t="str">
        <f>VLOOKUP(A915,'TV May Monthly Billing Sites'!$A:$L,1,0)</f>
        <v>76179273</v>
      </c>
    </row>
    <row r="916" spans="1:12">
      <c r="A916" t="str">
        <f t="shared" si="14"/>
        <v>76179355</v>
      </c>
      <c r="B916">
        <v>76179355</v>
      </c>
      <c r="C916" t="s">
        <v>6339</v>
      </c>
      <c r="D916" t="s">
        <v>3185</v>
      </c>
      <c r="E916">
        <v>4508714</v>
      </c>
      <c r="F916" t="s">
        <v>742</v>
      </c>
      <c r="G916" t="s">
        <v>743</v>
      </c>
      <c r="H916" t="s">
        <v>2420</v>
      </c>
      <c r="I916" s="12">
        <v>45833</v>
      </c>
      <c r="J916">
        <v>1</v>
      </c>
      <c r="K916" t="str">
        <f>VLOOKUP(A916,'TV May Monthly Billing Sites'!$A:$L,1,0)</f>
        <v>76179355</v>
      </c>
    </row>
    <row r="917" spans="1:12">
      <c r="A917" t="str">
        <f t="shared" si="14"/>
        <v>76179491</v>
      </c>
      <c r="B917">
        <v>76179491</v>
      </c>
      <c r="C917" t="s">
        <v>6340</v>
      </c>
      <c r="D917" t="s">
        <v>6341</v>
      </c>
      <c r="E917">
        <v>4508714</v>
      </c>
      <c r="F917" t="s">
        <v>742</v>
      </c>
      <c r="G917" t="s">
        <v>743</v>
      </c>
      <c r="H917" t="s">
        <v>4714</v>
      </c>
      <c r="I917" s="12">
        <v>45622</v>
      </c>
      <c r="J917">
        <v>1</v>
      </c>
      <c r="K917" t="str">
        <f>VLOOKUP(A917,'TV May Monthly Billing Sites'!$A:$L,1,0)</f>
        <v>76179491</v>
      </c>
    </row>
    <row r="918" spans="1:12">
      <c r="A918" t="str">
        <f t="shared" si="14"/>
        <v>76179594</v>
      </c>
      <c r="B918">
        <v>76179594</v>
      </c>
      <c r="C918" t="s">
        <v>6342</v>
      </c>
      <c r="D918" t="s">
        <v>3189</v>
      </c>
      <c r="E918">
        <v>4508714</v>
      </c>
      <c r="F918" t="s">
        <v>742</v>
      </c>
      <c r="G918" t="s">
        <v>743</v>
      </c>
      <c r="H918" t="s">
        <v>797</v>
      </c>
      <c r="I918" s="12">
        <v>45446</v>
      </c>
      <c r="J918">
        <v>1</v>
      </c>
      <c r="K918" t="str">
        <f>VLOOKUP(A918,'TV May Monthly Billing Sites'!$A:$L,1,0)</f>
        <v>76179594</v>
      </c>
    </row>
    <row r="919" spans="1:12">
      <c r="A919" t="str">
        <f t="shared" si="14"/>
        <v>76179599</v>
      </c>
      <c r="B919">
        <v>76179599</v>
      </c>
      <c r="C919" t="s">
        <v>6343</v>
      </c>
      <c r="D919" t="s">
        <v>3191</v>
      </c>
      <c r="E919">
        <v>4508714</v>
      </c>
      <c r="F919" t="s">
        <v>742</v>
      </c>
      <c r="G919" t="s">
        <v>743</v>
      </c>
      <c r="H919" t="s">
        <v>797</v>
      </c>
      <c r="I919" s="12">
        <v>45446</v>
      </c>
      <c r="J919">
        <v>1</v>
      </c>
      <c r="K919" t="str">
        <f>VLOOKUP(A919,'TV May Monthly Billing Sites'!$A:$L,1,0)</f>
        <v>76179599</v>
      </c>
    </row>
    <row r="920" spans="1:12">
      <c r="A920" t="str">
        <f t="shared" si="14"/>
        <v>76179746</v>
      </c>
      <c r="B920">
        <v>76179746</v>
      </c>
      <c r="C920" t="s">
        <v>6344</v>
      </c>
      <c r="D920" t="s">
        <v>6345</v>
      </c>
      <c r="E920">
        <v>4508714</v>
      </c>
      <c r="F920" t="s">
        <v>742</v>
      </c>
      <c r="G920" t="s">
        <v>743</v>
      </c>
      <c r="H920" t="s">
        <v>5803</v>
      </c>
      <c r="I920" s="12">
        <v>45833</v>
      </c>
      <c r="J920">
        <v>1</v>
      </c>
      <c r="K920" t="str">
        <f>VLOOKUP(A920,'TV May Monthly Billing Sites'!$A:$L,1,0)</f>
        <v>76179746</v>
      </c>
    </row>
    <row r="921" spans="1:12">
      <c r="A921" t="str">
        <f t="shared" si="14"/>
        <v>76179851</v>
      </c>
      <c r="B921">
        <v>76179851</v>
      </c>
      <c r="C921" t="s">
        <v>6346</v>
      </c>
      <c r="D921" t="s">
        <v>3195</v>
      </c>
      <c r="E921">
        <v>4508692</v>
      </c>
      <c r="F921" t="s">
        <v>742</v>
      </c>
      <c r="G921" t="s">
        <v>5338</v>
      </c>
      <c r="H921" t="s">
        <v>5134</v>
      </c>
      <c r="I921" s="12">
        <v>45659</v>
      </c>
      <c r="J921">
        <v>1</v>
      </c>
      <c r="K921" t="str">
        <f>VLOOKUP(A921,'TV May Monthly Billing Sites'!$A:$L,1,0)</f>
        <v>76179851</v>
      </c>
    </row>
    <row r="922" spans="1:12">
      <c r="A922" t="str">
        <f t="shared" si="14"/>
        <v>76179995</v>
      </c>
      <c r="B922">
        <v>76179995</v>
      </c>
      <c r="C922" t="s">
        <v>6347</v>
      </c>
      <c r="D922" t="s">
        <v>3197</v>
      </c>
      <c r="E922">
        <v>4508714</v>
      </c>
      <c r="F922" t="s">
        <v>742</v>
      </c>
      <c r="G922" t="s">
        <v>743</v>
      </c>
      <c r="H922" t="s">
        <v>5327</v>
      </c>
      <c r="I922" s="12">
        <v>45295</v>
      </c>
      <c r="J922">
        <v>1</v>
      </c>
      <c r="K922" t="str">
        <f>VLOOKUP(A922,'TV May Monthly Billing Sites'!$A:$L,1,0)</f>
        <v>76179995</v>
      </c>
    </row>
    <row r="923" spans="1:12">
      <c r="A923" t="str">
        <f t="shared" si="14"/>
        <v>76180057</v>
      </c>
      <c r="B923">
        <v>76180057</v>
      </c>
      <c r="C923" t="s">
        <v>6348</v>
      </c>
      <c r="D923" t="s">
        <v>6349</v>
      </c>
      <c r="E923">
        <v>4408592</v>
      </c>
      <c r="F923" t="s">
        <v>742</v>
      </c>
      <c r="G923" t="s">
        <v>823</v>
      </c>
      <c r="H923" t="s">
        <v>6350</v>
      </c>
      <c r="I923" s="12">
        <v>45720</v>
      </c>
      <c r="J923">
        <v>1</v>
      </c>
      <c r="K923" t="str">
        <f>VLOOKUP(A923,'TV May Monthly Billing Sites'!$A:$L,1,0)</f>
        <v>76180057</v>
      </c>
    </row>
    <row r="924" spans="1:12">
      <c r="A924" t="str">
        <f t="shared" si="14"/>
        <v>76180284</v>
      </c>
      <c r="B924">
        <v>76180284</v>
      </c>
      <c r="C924" t="s">
        <v>6351</v>
      </c>
      <c r="D924" t="s">
        <v>6352</v>
      </c>
      <c r="E924">
        <v>4508675</v>
      </c>
      <c r="F924" t="s">
        <v>742</v>
      </c>
      <c r="G924" t="s">
        <v>828</v>
      </c>
      <c r="H924" t="s">
        <v>5874</v>
      </c>
      <c r="I924" s="12">
        <v>45937</v>
      </c>
      <c r="J924">
        <v>1</v>
      </c>
      <c r="K924" t="str">
        <f>VLOOKUP(A924,'TV May Monthly Billing Sites'!$A:$L,1,0)</f>
        <v>76180284</v>
      </c>
    </row>
    <row r="925" spans="1:12">
      <c r="A925" t="str">
        <f t="shared" si="14"/>
        <v>76180485</v>
      </c>
      <c r="B925">
        <v>76180485</v>
      </c>
      <c r="C925" t="s">
        <v>993</v>
      </c>
      <c r="D925" t="s">
        <v>994</v>
      </c>
      <c r="E925">
        <v>4508714</v>
      </c>
      <c r="F925" t="s">
        <v>742</v>
      </c>
      <c r="G925" t="s">
        <v>743</v>
      </c>
      <c r="H925" t="s">
        <v>762</v>
      </c>
      <c r="I925" s="12">
        <v>45622</v>
      </c>
      <c r="J925">
        <v>1</v>
      </c>
      <c r="K925" t="e">
        <f>VLOOKUP(A925,'TV May Monthly Billing Sites'!$A:$L,1,0)</f>
        <v>#N/A</v>
      </c>
      <c r="L925" t="e">
        <f>VLOOKUP(D925,'TV May Monthly Billing Sites'!$B:$L,1,0)</f>
        <v>#N/A</v>
      </c>
    </row>
    <row r="926" spans="1:12">
      <c r="A926" t="str">
        <f t="shared" si="14"/>
        <v>76180535</v>
      </c>
      <c r="B926">
        <v>76180535</v>
      </c>
      <c r="C926" t="s">
        <v>6353</v>
      </c>
      <c r="D926" t="s">
        <v>3203</v>
      </c>
      <c r="E926">
        <v>4508714</v>
      </c>
      <c r="F926" t="s">
        <v>742</v>
      </c>
      <c r="G926" t="s">
        <v>743</v>
      </c>
      <c r="H926" t="s">
        <v>4082</v>
      </c>
      <c r="I926" s="12">
        <v>45755</v>
      </c>
      <c r="J926">
        <v>1</v>
      </c>
      <c r="K926" t="str">
        <f>VLOOKUP(A926,'TV May Monthly Billing Sites'!$A:$L,1,0)</f>
        <v>76180535</v>
      </c>
    </row>
    <row r="927" spans="1:12">
      <c r="A927" t="str">
        <f t="shared" si="14"/>
        <v>76180714</v>
      </c>
      <c r="B927">
        <v>76180714</v>
      </c>
      <c r="C927" t="s">
        <v>996</v>
      </c>
      <c r="D927" t="s">
        <v>997</v>
      </c>
      <c r="E927">
        <v>4508714</v>
      </c>
      <c r="F927" t="s">
        <v>742</v>
      </c>
      <c r="G927" t="s">
        <v>743</v>
      </c>
      <c r="H927" t="s">
        <v>998</v>
      </c>
      <c r="I927" s="12">
        <v>45966</v>
      </c>
      <c r="J927">
        <v>1</v>
      </c>
      <c r="K927" t="e">
        <f>VLOOKUP(A927,'TV May Monthly Billing Sites'!$A:$L,1,0)</f>
        <v>#N/A</v>
      </c>
      <c r="L927" t="e">
        <f>VLOOKUP(D927,'TV May Monthly Billing Sites'!$B:$L,1,0)</f>
        <v>#N/A</v>
      </c>
    </row>
    <row r="928" spans="1:12">
      <c r="A928" t="str">
        <f t="shared" si="14"/>
        <v>76180734</v>
      </c>
      <c r="B928">
        <v>76180734</v>
      </c>
      <c r="C928" t="s">
        <v>1000</v>
      </c>
      <c r="D928" t="s">
        <v>1001</v>
      </c>
      <c r="E928">
        <v>4508714</v>
      </c>
      <c r="F928" t="s">
        <v>742</v>
      </c>
      <c r="G928" t="s">
        <v>743</v>
      </c>
      <c r="H928" t="s">
        <v>998</v>
      </c>
      <c r="I928" s="12">
        <v>45814</v>
      </c>
      <c r="J928">
        <v>1</v>
      </c>
      <c r="K928" t="e">
        <f>VLOOKUP(A928,'TV May Monthly Billing Sites'!$A:$L,1,0)</f>
        <v>#N/A</v>
      </c>
      <c r="L928" t="e">
        <f>VLOOKUP(D928,'TV May Monthly Billing Sites'!$B:$L,1,0)</f>
        <v>#N/A</v>
      </c>
    </row>
    <row r="929" spans="1:12">
      <c r="A929" t="str">
        <f t="shared" si="14"/>
        <v>76180931</v>
      </c>
      <c r="B929">
        <v>76180931</v>
      </c>
      <c r="C929" t="s">
        <v>6354</v>
      </c>
      <c r="D929" t="s">
        <v>6355</v>
      </c>
      <c r="E929">
        <v>4408593</v>
      </c>
      <c r="F929" t="s">
        <v>742</v>
      </c>
      <c r="G929" t="s">
        <v>782</v>
      </c>
      <c r="H929" t="s">
        <v>5076</v>
      </c>
      <c r="I929" s="12">
        <v>45638</v>
      </c>
      <c r="J929">
        <v>1</v>
      </c>
      <c r="K929" t="str">
        <f>VLOOKUP(A929,'TV May Monthly Billing Sites'!$A:$L,1,0)</f>
        <v>76180931</v>
      </c>
    </row>
    <row r="930" spans="1:12">
      <c r="A930" t="str">
        <f t="shared" si="14"/>
        <v>76181307</v>
      </c>
      <c r="B930">
        <v>76181307</v>
      </c>
      <c r="C930" t="s">
        <v>6356</v>
      </c>
      <c r="D930" t="s">
        <v>3207</v>
      </c>
      <c r="E930">
        <v>4408593</v>
      </c>
      <c r="F930" t="s">
        <v>742</v>
      </c>
      <c r="G930" t="s">
        <v>782</v>
      </c>
      <c r="H930" t="s">
        <v>5383</v>
      </c>
      <c r="I930" s="12">
        <v>45735</v>
      </c>
      <c r="J930">
        <v>1</v>
      </c>
      <c r="K930" t="str">
        <f>VLOOKUP(A930,'TV May Monthly Billing Sites'!$A:$L,1,0)</f>
        <v>76181307</v>
      </c>
    </row>
    <row r="931" spans="1:12">
      <c r="A931" t="str">
        <f t="shared" si="14"/>
        <v>76181308</v>
      </c>
      <c r="B931">
        <v>76181308</v>
      </c>
      <c r="C931" t="s">
        <v>6357</v>
      </c>
      <c r="D931" t="s">
        <v>3209</v>
      </c>
      <c r="E931">
        <v>4408593</v>
      </c>
      <c r="F931" t="s">
        <v>742</v>
      </c>
      <c r="G931" t="s">
        <v>782</v>
      </c>
      <c r="H931" t="s">
        <v>5383</v>
      </c>
      <c r="I931" s="12">
        <v>45735</v>
      </c>
      <c r="J931">
        <v>1</v>
      </c>
      <c r="K931" t="str">
        <f>VLOOKUP(A931,'TV May Monthly Billing Sites'!$A:$L,1,0)</f>
        <v>76181308</v>
      </c>
    </row>
    <row r="932" spans="1:12">
      <c r="A932" t="str">
        <f t="shared" si="14"/>
        <v>76181603</v>
      </c>
      <c r="B932">
        <v>76181603</v>
      </c>
      <c r="C932" t="s">
        <v>6358</v>
      </c>
      <c r="D932" t="s">
        <v>3211</v>
      </c>
      <c r="E932">
        <v>4508714</v>
      </c>
      <c r="F932" t="s">
        <v>742</v>
      </c>
      <c r="G932" t="s">
        <v>743</v>
      </c>
      <c r="H932" t="s">
        <v>3211</v>
      </c>
      <c r="I932" s="12">
        <v>45750</v>
      </c>
      <c r="J932">
        <v>1</v>
      </c>
      <c r="K932" t="str">
        <f>VLOOKUP(A932,'TV May Monthly Billing Sites'!$A:$L,1,0)</f>
        <v>76181603</v>
      </c>
    </row>
    <row r="933" spans="1:12">
      <c r="A933" t="str">
        <f t="shared" si="14"/>
        <v>76181608</v>
      </c>
      <c r="B933">
        <v>76181608</v>
      </c>
      <c r="C933" t="s">
        <v>6359</v>
      </c>
      <c r="D933" t="s">
        <v>6360</v>
      </c>
      <c r="E933">
        <v>4508714</v>
      </c>
      <c r="F933" t="s">
        <v>742</v>
      </c>
      <c r="G933" t="s">
        <v>743</v>
      </c>
      <c r="H933" t="s">
        <v>1096</v>
      </c>
      <c r="I933" s="12">
        <v>45961</v>
      </c>
      <c r="J933">
        <v>1</v>
      </c>
      <c r="K933" t="str">
        <f>VLOOKUP(A933,'TV May Monthly Billing Sites'!$A:$L,1,0)</f>
        <v>76181608</v>
      </c>
    </row>
    <row r="934" spans="1:12">
      <c r="A934" t="str">
        <f t="shared" si="14"/>
        <v>76184710</v>
      </c>
      <c r="B934">
        <v>76184710</v>
      </c>
      <c r="C934" t="s">
        <v>1003</v>
      </c>
      <c r="D934" t="s">
        <v>1004</v>
      </c>
      <c r="E934">
        <v>4508714</v>
      </c>
      <c r="F934" t="s">
        <v>742</v>
      </c>
      <c r="G934" t="s">
        <v>743</v>
      </c>
      <c r="H934" t="s">
        <v>762</v>
      </c>
      <c r="I934" s="12">
        <v>45622</v>
      </c>
      <c r="J934">
        <v>1</v>
      </c>
      <c r="K934" t="e">
        <f>VLOOKUP(A934,'TV May Monthly Billing Sites'!$A:$L,1,0)</f>
        <v>#N/A</v>
      </c>
      <c r="L934" t="e">
        <f>VLOOKUP(D934,'TV May Monthly Billing Sites'!$B:$L,1,0)</f>
        <v>#N/A</v>
      </c>
    </row>
    <row r="935" spans="1:12">
      <c r="A935" t="str">
        <f t="shared" si="14"/>
        <v>76184827</v>
      </c>
      <c r="B935">
        <v>76184827</v>
      </c>
      <c r="C935" t="s">
        <v>6361</v>
      </c>
      <c r="D935" t="s">
        <v>3215</v>
      </c>
      <c r="E935">
        <v>4508714</v>
      </c>
      <c r="F935" t="s">
        <v>742</v>
      </c>
      <c r="G935" t="s">
        <v>743</v>
      </c>
      <c r="H935" t="s">
        <v>5186</v>
      </c>
      <c r="I935" s="12">
        <v>45839</v>
      </c>
      <c r="J935">
        <v>1</v>
      </c>
      <c r="K935" t="str">
        <f>VLOOKUP(A935,'TV May Monthly Billing Sites'!$A:$L,1,0)</f>
        <v>76184827</v>
      </c>
    </row>
    <row r="936" spans="1:12">
      <c r="A936" t="str">
        <f t="shared" si="14"/>
        <v>76184910</v>
      </c>
      <c r="B936">
        <v>76184910</v>
      </c>
      <c r="C936" t="s">
        <v>6362</v>
      </c>
      <c r="D936" t="s">
        <v>6363</v>
      </c>
      <c r="E936">
        <v>4408592</v>
      </c>
      <c r="F936" t="s">
        <v>742</v>
      </c>
      <c r="G936" t="s">
        <v>823</v>
      </c>
      <c r="H936" t="s">
        <v>6364</v>
      </c>
      <c r="I936" s="12">
        <v>45566</v>
      </c>
      <c r="J936">
        <v>1</v>
      </c>
      <c r="K936" t="str">
        <f>VLOOKUP(A936,'TV May Monthly Billing Sites'!$A:$L,1,0)</f>
        <v>76184910</v>
      </c>
    </row>
    <row r="937" spans="1:12">
      <c r="A937" t="str">
        <f t="shared" si="14"/>
        <v>76184940</v>
      </c>
      <c r="B937">
        <v>76184940</v>
      </c>
      <c r="C937" t="s">
        <v>6365</v>
      </c>
      <c r="D937" t="s">
        <v>3219</v>
      </c>
      <c r="E937">
        <v>4508675</v>
      </c>
      <c r="F937" t="s">
        <v>742</v>
      </c>
      <c r="G937" t="s">
        <v>828</v>
      </c>
      <c r="H937" t="s">
        <v>5864</v>
      </c>
      <c r="I937" s="12">
        <v>45293</v>
      </c>
      <c r="J937">
        <v>1</v>
      </c>
      <c r="K937" t="str">
        <f>VLOOKUP(A937,'TV May Monthly Billing Sites'!$A:$L,1,0)</f>
        <v>76184940</v>
      </c>
    </row>
    <row r="938" spans="1:12">
      <c r="A938" t="str">
        <f t="shared" si="14"/>
        <v>76184940</v>
      </c>
      <c r="B938">
        <v>76184940</v>
      </c>
      <c r="C938" t="s">
        <v>6366</v>
      </c>
      <c r="D938" t="s">
        <v>3219</v>
      </c>
      <c r="E938">
        <v>4508675</v>
      </c>
      <c r="F938" t="s">
        <v>742</v>
      </c>
      <c r="G938" t="s">
        <v>828</v>
      </c>
      <c r="H938" t="s">
        <v>5864</v>
      </c>
      <c r="I938" s="12">
        <v>45680</v>
      </c>
      <c r="J938">
        <v>1</v>
      </c>
      <c r="K938" t="str">
        <f>VLOOKUP(A938,'TV May Monthly Billing Sites'!$A:$L,1,0)</f>
        <v>76184940</v>
      </c>
    </row>
    <row r="939" spans="1:12">
      <c r="A939" t="str">
        <f t="shared" si="14"/>
        <v>76185026</v>
      </c>
      <c r="B939">
        <v>76185026</v>
      </c>
      <c r="C939" t="s">
        <v>6367</v>
      </c>
      <c r="D939" t="s">
        <v>6368</v>
      </c>
      <c r="E939">
        <v>4508714</v>
      </c>
      <c r="F939" t="s">
        <v>742</v>
      </c>
      <c r="G939" t="s">
        <v>743</v>
      </c>
      <c r="H939" t="s">
        <v>5183</v>
      </c>
      <c r="I939" s="12">
        <v>45628</v>
      </c>
      <c r="J939">
        <v>1</v>
      </c>
      <c r="K939" t="str">
        <f>VLOOKUP(A939,'TV May Monthly Billing Sites'!$A:$L,1,0)</f>
        <v>76185026</v>
      </c>
    </row>
    <row r="940" spans="1:12">
      <c r="A940" t="str">
        <f t="shared" si="14"/>
        <v>76186840</v>
      </c>
      <c r="B940">
        <v>76186840</v>
      </c>
      <c r="C940" t="s">
        <v>6369</v>
      </c>
      <c r="D940" t="s">
        <v>3225</v>
      </c>
      <c r="E940">
        <v>4508714</v>
      </c>
      <c r="F940" t="s">
        <v>742</v>
      </c>
      <c r="G940" t="s">
        <v>743</v>
      </c>
      <c r="H940" t="s">
        <v>5439</v>
      </c>
      <c r="I940" s="12">
        <v>45933</v>
      </c>
      <c r="J940">
        <v>1</v>
      </c>
      <c r="K940" t="str">
        <f>VLOOKUP(A940,'TV May Monthly Billing Sites'!$A:$L,1,0)</f>
        <v>76186840</v>
      </c>
    </row>
    <row r="941" spans="1:12">
      <c r="A941" t="str">
        <f t="shared" si="14"/>
        <v>76186876</v>
      </c>
      <c r="B941">
        <v>76186876</v>
      </c>
      <c r="C941" t="s">
        <v>6370</v>
      </c>
      <c r="D941" t="s">
        <v>6371</v>
      </c>
      <c r="E941">
        <v>4508714</v>
      </c>
      <c r="F941" t="s">
        <v>742</v>
      </c>
      <c r="G941" t="s">
        <v>743</v>
      </c>
      <c r="H941" t="s">
        <v>5174</v>
      </c>
      <c r="I941" s="12">
        <v>45967</v>
      </c>
      <c r="J941">
        <v>1</v>
      </c>
      <c r="K941" t="str">
        <f>VLOOKUP(A941,'TV May Monthly Billing Sites'!$A:$L,1,0)</f>
        <v>76186876</v>
      </c>
    </row>
    <row r="942" spans="1:12">
      <c r="A942" t="str">
        <f t="shared" si="14"/>
        <v>76186877</v>
      </c>
      <c r="B942">
        <v>76186877</v>
      </c>
      <c r="C942" t="s">
        <v>6372</v>
      </c>
      <c r="D942" t="s">
        <v>3231</v>
      </c>
      <c r="E942">
        <v>4508714</v>
      </c>
      <c r="F942" t="s">
        <v>742</v>
      </c>
      <c r="G942" t="s">
        <v>743</v>
      </c>
      <c r="H942" t="s">
        <v>5174</v>
      </c>
      <c r="I942" s="12">
        <v>45967</v>
      </c>
      <c r="J942">
        <v>1</v>
      </c>
      <c r="K942" t="str">
        <f>VLOOKUP(A942,'TV May Monthly Billing Sites'!$A:$L,1,0)</f>
        <v>76186877</v>
      </c>
    </row>
    <row r="943" spans="1:12">
      <c r="A943" t="str">
        <f t="shared" si="14"/>
        <v>76186951</v>
      </c>
      <c r="B943">
        <v>76186951</v>
      </c>
      <c r="C943" t="s">
        <v>6373</v>
      </c>
      <c r="D943" t="s">
        <v>6374</v>
      </c>
      <c r="E943">
        <v>4508714</v>
      </c>
      <c r="F943" t="s">
        <v>742</v>
      </c>
      <c r="G943" t="s">
        <v>743</v>
      </c>
      <c r="H943" t="s">
        <v>6375</v>
      </c>
      <c r="I943" s="12">
        <v>45754</v>
      </c>
      <c r="J943">
        <v>1</v>
      </c>
      <c r="K943" t="str">
        <f>VLOOKUP(A943,'TV May Monthly Billing Sites'!$A:$L,1,0)</f>
        <v>76186951</v>
      </c>
    </row>
    <row r="944" spans="1:12">
      <c r="A944" t="str">
        <f t="shared" si="14"/>
        <v>76187406</v>
      </c>
      <c r="B944">
        <v>76187406</v>
      </c>
      <c r="C944" t="s">
        <v>6376</v>
      </c>
      <c r="D944" t="s">
        <v>3235</v>
      </c>
      <c r="E944">
        <v>4508685</v>
      </c>
      <c r="F944" t="s">
        <v>742</v>
      </c>
      <c r="G944" t="s">
        <v>904</v>
      </c>
      <c r="H944" t="s">
        <v>975</v>
      </c>
      <c r="I944" s="12">
        <v>46023</v>
      </c>
      <c r="J944">
        <v>1</v>
      </c>
      <c r="K944" t="str">
        <f>VLOOKUP(A944,'TV May Monthly Billing Sites'!$A:$L,1,0)</f>
        <v>76187406</v>
      </c>
    </row>
    <row r="945" spans="1:11">
      <c r="A945" t="str">
        <f t="shared" si="14"/>
        <v>76187407</v>
      </c>
      <c r="B945">
        <v>76187407</v>
      </c>
      <c r="C945" t="s">
        <v>6377</v>
      </c>
      <c r="D945" t="s">
        <v>6378</v>
      </c>
      <c r="E945">
        <v>4508685</v>
      </c>
      <c r="F945" t="s">
        <v>742</v>
      </c>
      <c r="G945" t="s">
        <v>904</v>
      </c>
      <c r="H945" t="s">
        <v>975</v>
      </c>
      <c r="I945" s="12">
        <v>46023</v>
      </c>
      <c r="J945">
        <v>1</v>
      </c>
      <c r="K945" t="str">
        <f>VLOOKUP(A945,'TV May Monthly Billing Sites'!$A:$L,1,0)</f>
        <v>76187407</v>
      </c>
    </row>
    <row r="946" spans="1:11">
      <c r="A946" t="str">
        <f t="shared" si="14"/>
        <v>76187412</v>
      </c>
      <c r="B946">
        <v>76187412</v>
      </c>
      <c r="C946" t="s">
        <v>6379</v>
      </c>
      <c r="D946" t="s">
        <v>3239</v>
      </c>
      <c r="E946">
        <v>4508685</v>
      </c>
      <c r="F946" t="s">
        <v>742</v>
      </c>
      <c r="G946" t="s">
        <v>904</v>
      </c>
      <c r="H946" t="s">
        <v>975</v>
      </c>
      <c r="I946" s="12">
        <v>46023</v>
      </c>
      <c r="J946">
        <v>1</v>
      </c>
      <c r="K946" t="str">
        <f>VLOOKUP(A946,'TV May Monthly Billing Sites'!$A:$L,1,0)</f>
        <v>76187412</v>
      </c>
    </row>
    <row r="947" spans="1:11">
      <c r="A947" t="str">
        <f t="shared" si="14"/>
        <v>76188034</v>
      </c>
      <c r="B947">
        <v>76188034</v>
      </c>
      <c r="C947" t="s">
        <v>6380</v>
      </c>
      <c r="D947" t="s">
        <v>3241</v>
      </c>
      <c r="E947">
        <v>4508675</v>
      </c>
      <c r="F947" t="s">
        <v>742</v>
      </c>
      <c r="G947" t="s">
        <v>828</v>
      </c>
      <c r="H947" t="s">
        <v>5864</v>
      </c>
      <c r="I947" s="12">
        <v>45393</v>
      </c>
      <c r="J947">
        <v>1</v>
      </c>
      <c r="K947" t="str">
        <f>VLOOKUP(A947,'TV May Monthly Billing Sites'!$A:$L,1,0)</f>
        <v>76188034</v>
      </c>
    </row>
    <row r="948" spans="1:11">
      <c r="A948" t="str">
        <f t="shared" si="14"/>
        <v>76188207</v>
      </c>
      <c r="B948">
        <v>76188207</v>
      </c>
      <c r="C948" t="s">
        <v>6381</v>
      </c>
      <c r="D948" t="s">
        <v>3243</v>
      </c>
      <c r="E948">
        <v>4508714</v>
      </c>
      <c r="F948" t="s">
        <v>742</v>
      </c>
      <c r="G948" t="s">
        <v>743</v>
      </c>
      <c r="H948" t="s">
        <v>774</v>
      </c>
      <c r="I948" s="12">
        <v>45930</v>
      </c>
      <c r="J948">
        <v>1</v>
      </c>
      <c r="K948" t="str">
        <f>VLOOKUP(A948,'TV May Monthly Billing Sites'!$A:$L,1,0)</f>
        <v>76188207</v>
      </c>
    </row>
    <row r="949" spans="1:11">
      <c r="A949" t="str">
        <f t="shared" si="14"/>
        <v>76188331</v>
      </c>
      <c r="B949">
        <v>76188331</v>
      </c>
      <c r="C949" t="s">
        <v>6382</v>
      </c>
      <c r="D949" t="s">
        <v>3245</v>
      </c>
      <c r="E949">
        <v>4508714</v>
      </c>
      <c r="F949" t="s">
        <v>742</v>
      </c>
      <c r="G949" t="s">
        <v>743</v>
      </c>
      <c r="H949" t="s">
        <v>5336</v>
      </c>
      <c r="I949" s="12">
        <v>45762</v>
      </c>
      <c r="J949">
        <v>1</v>
      </c>
      <c r="K949" t="str">
        <f>VLOOKUP(A949,'TV May Monthly Billing Sites'!$A:$L,1,0)</f>
        <v>76188331</v>
      </c>
    </row>
    <row r="950" spans="1:11">
      <c r="A950" t="str">
        <f t="shared" si="14"/>
        <v>76188429</v>
      </c>
      <c r="B950">
        <v>76188429</v>
      </c>
      <c r="C950" t="s">
        <v>6383</v>
      </c>
      <c r="D950" t="s">
        <v>6384</v>
      </c>
      <c r="E950">
        <v>4408592</v>
      </c>
      <c r="F950" t="s">
        <v>742</v>
      </c>
      <c r="G950" t="s">
        <v>823</v>
      </c>
      <c r="H950" t="s">
        <v>4974</v>
      </c>
      <c r="I950" s="12">
        <v>45146</v>
      </c>
      <c r="J950">
        <v>1</v>
      </c>
      <c r="K950" t="str">
        <f>VLOOKUP(A950,'TV May Monthly Billing Sites'!$A:$L,1,0)</f>
        <v>76188429</v>
      </c>
    </row>
    <row r="951" spans="1:11">
      <c r="A951" t="str">
        <f t="shared" si="14"/>
        <v>76189065</v>
      </c>
      <c r="B951">
        <v>76189065</v>
      </c>
      <c r="C951" t="s">
        <v>6385</v>
      </c>
      <c r="D951" t="s">
        <v>6386</v>
      </c>
      <c r="E951">
        <v>4508714</v>
      </c>
      <c r="F951" t="s">
        <v>742</v>
      </c>
      <c r="G951" t="s">
        <v>743</v>
      </c>
      <c r="H951" t="s">
        <v>1175</v>
      </c>
      <c r="I951" s="12">
        <v>45622</v>
      </c>
      <c r="J951">
        <v>1</v>
      </c>
      <c r="K951" t="str">
        <f>VLOOKUP(A951,'TV May Monthly Billing Sites'!$A:$L,1,0)</f>
        <v>76189065</v>
      </c>
    </row>
    <row r="952" spans="1:11">
      <c r="A952" t="str">
        <f t="shared" si="14"/>
        <v>76189066</v>
      </c>
      <c r="B952">
        <v>76189066</v>
      </c>
      <c r="C952" t="s">
        <v>6387</v>
      </c>
      <c r="D952" t="s">
        <v>3251</v>
      </c>
      <c r="E952">
        <v>4508714</v>
      </c>
      <c r="F952" t="s">
        <v>742</v>
      </c>
      <c r="G952" t="s">
        <v>743</v>
      </c>
      <c r="H952" t="s">
        <v>1175</v>
      </c>
      <c r="I952" s="12">
        <v>45622</v>
      </c>
      <c r="J952">
        <v>1</v>
      </c>
      <c r="K952" t="str">
        <f>VLOOKUP(A952,'TV May Monthly Billing Sites'!$A:$L,1,0)</f>
        <v>76189066</v>
      </c>
    </row>
    <row r="953" spans="1:11">
      <c r="A953" t="str">
        <f t="shared" si="14"/>
        <v>76189122</v>
      </c>
      <c r="B953">
        <v>76189122</v>
      </c>
      <c r="C953" t="s">
        <v>6388</v>
      </c>
      <c r="D953" t="s">
        <v>6389</v>
      </c>
      <c r="E953">
        <v>4508714</v>
      </c>
      <c r="F953" t="s">
        <v>742</v>
      </c>
      <c r="G953" t="s">
        <v>743</v>
      </c>
      <c r="H953" t="s">
        <v>6049</v>
      </c>
      <c r="I953" s="12">
        <v>45971</v>
      </c>
      <c r="J953">
        <v>1</v>
      </c>
      <c r="K953" t="str">
        <f>VLOOKUP(A953,'TV May Monthly Billing Sites'!$A:$L,1,0)</f>
        <v>76189122</v>
      </c>
    </row>
    <row r="954" spans="1:11">
      <c r="A954" t="str">
        <f t="shared" si="14"/>
        <v>76189179</v>
      </c>
      <c r="B954">
        <v>76189179</v>
      </c>
      <c r="C954" t="s">
        <v>6390</v>
      </c>
      <c r="D954" t="s">
        <v>3255</v>
      </c>
      <c r="E954">
        <v>4508685</v>
      </c>
      <c r="F954" t="s">
        <v>742</v>
      </c>
      <c r="G954" t="s">
        <v>904</v>
      </c>
      <c r="H954" t="s">
        <v>975</v>
      </c>
      <c r="I954" s="12">
        <v>46023</v>
      </c>
      <c r="J954">
        <v>1</v>
      </c>
      <c r="K954" t="str">
        <f>VLOOKUP(A954,'TV May Monthly Billing Sites'!$A:$L,1,0)</f>
        <v>76189179</v>
      </c>
    </row>
    <row r="955" spans="1:11">
      <c r="A955" t="str">
        <f t="shared" si="14"/>
        <v>76189267</v>
      </c>
      <c r="B955">
        <v>76189267</v>
      </c>
      <c r="C955" t="s">
        <v>6391</v>
      </c>
      <c r="D955" t="s">
        <v>6392</v>
      </c>
      <c r="E955">
        <v>4408593</v>
      </c>
      <c r="F955" t="s">
        <v>742</v>
      </c>
      <c r="G955" t="s">
        <v>782</v>
      </c>
      <c r="H955" t="s">
        <v>751</v>
      </c>
      <c r="I955" s="12">
        <v>45747</v>
      </c>
      <c r="J955">
        <v>1</v>
      </c>
      <c r="K955" t="str">
        <f>VLOOKUP(A955,'TV May Monthly Billing Sites'!$A:$L,1,0)</f>
        <v>76189267</v>
      </c>
    </row>
    <row r="956" spans="1:11">
      <c r="A956" t="str">
        <f t="shared" si="14"/>
        <v>76189422</v>
      </c>
      <c r="B956">
        <v>76189422</v>
      </c>
      <c r="C956" t="s">
        <v>6393</v>
      </c>
      <c r="D956" t="s">
        <v>6394</v>
      </c>
      <c r="E956">
        <v>4508675</v>
      </c>
      <c r="F956" t="s">
        <v>742</v>
      </c>
      <c r="G956" t="s">
        <v>828</v>
      </c>
      <c r="H956" t="s">
        <v>5294</v>
      </c>
      <c r="I956" s="12">
        <v>46048</v>
      </c>
      <c r="J956">
        <v>1</v>
      </c>
      <c r="K956" t="str">
        <f>VLOOKUP(A956,'TV May Monthly Billing Sites'!$A:$L,1,0)</f>
        <v>76189422</v>
      </c>
    </row>
    <row r="957" spans="1:11">
      <c r="A957" t="str">
        <f t="shared" si="14"/>
        <v>76189684</v>
      </c>
      <c r="B957">
        <v>76189684</v>
      </c>
      <c r="C957" t="s">
        <v>6395</v>
      </c>
      <c r="D957" t="s">
        <v>3261</v>
      </c>
      <c r="E957">
        <v>4508714</v>
      </c>
      <c r="F957" t="s">
        <v>742</v>
      </c>
      <c r="G957" t="s">
        <v>743</v>
      </c>
      <c r="H957" t="s">
        <v>6396</v>
      </c>
      <c r="I957" s="12">
        <v>45436</v>
      </c>
      <c r="J957">
        <v>1</v>
      </c>
      <c r="K957" t="str">
        <f>VLOOKUP(A957,'TV May Monthly Billing Sites'!$A:$L,1,0)</f>
        <v>76189684</v>
      </c>
    </row>
    <row r="958" spans="1:11">
      <c r="A958" t="str">
        <f t="shared" si="14"/>
        <v>76189730</v>
      </c>
      <c r="B958">
        <v>76189730</v>
      </c>
      <c r="C958" t="s">
        <v>6397</v>
      </c>
      <c r="D958" t="s">
        <v>6398</v>
      </c>
      <c r="E958">
        <v>4508714</v>
      </c>
      <c r="F958" t="s">
        <v>742</v>
      </c>
      <c r="G958" t="s">
        <v>743</v>
      </c>
      <c r="H958" t="s">
        <v>6399</v>
      </c>
      <c r="I958" s="12">
        <v>45945</v>
      </c>
      <c r="J958">
        <v>1</v>
      </c>
      <c r="K958" t="str">
        <f>VLOOKUP(A958,'TV May Monthly Billing Sites'!$A:$L,1,0)</f>
        <v>76189730</v>
      </c>
    </row>
    <row r="959" spans="1:11">
      <c r="A959" t="str">
        <f t="shared" si="14"/>
        <v>76190156</v>
      </c>
      <c r="B959">
        <v>76190156</v>
      </c>
      <c r="C959" t="s">
        <v>6400</v>
      </c>
      <c r="D959" t="s">
        <v>3265</v>
      </c>
      <c r="E959">
        <v>4508714</v>
      </c>
      <c r="F959" t="s">
        <v>742</v>
      </c>
      <c r="G959" t="s">
        <v>743</v>
      </c>
      <c r="H959" t="s">
        <v>5520</v>
      </c>
      <c r="I959" s="12">
        <v>45910</v>
      </c>
      <c r="J959">
        <v>1</v>
      </c>
      <c r="K959" t="str">
        <f>VLOOKUP(A959,'TV May Monthly Billing Sites'!$A:$L,1,0)</f>
        <v>76190156</v>
      </c>
    </row>
    <row r="960" spans="1:11">
      <c r="A960" t="str">
        <f t="shared" si="14"/>
        <v>76190193</v>
      </c>
      <c r="B960">
        <v>76190193</v>
      </c>
      <c r="C960" t="s">
        <v>6401</v>
      </c>
      <c r="D960" t="s">
        <v>6402</v>
      </c>
      <c r="E960">
        <v>4508675</v>
      </c>
      <c r="F960" t="s">
        <v>742</v>
      </c>
      <c r="G960" t="s">
        <v>828</v>
      </c>
      <c r="H960" t="s">
        <v>5327</v>
      </c>
      <c r="I960" s="12">
        <v>45295</v>
      </c>
      <c r="J960">
        <v>1</v>
      </c>
      <c r="K960" t="str">
        <f>VLOOKUP(A960,'TV May Monthly Billing Sites'!$A:$L,1,0)</f>
        <v>76190193</v>
      </c>
    </row>
    <row r="961" spans="1:12">
      <c r="A961" t="str">
        <f t="shared" si="14"/>
        <v>76190212</v>
      </c>
      <c r="B961">
        <v>76190212</v>
      </c>
      <c r="C961" t="s">
        <v>6403</v>
      </c>
      <c r="D961" t="s">
        <v>3269</v>
      </c>
      <c r="E961">
        <v>4408592</v>
      </c>
      <c r="F961" t="s">
        <v>742</v>
      </c>
      <c r="G961" t="s">
        <v>823</v>
      </c>
      <c r="H961" t="s">
        <v>6404</v>
      </c>
      <c r="I961" s="12">
        <v>45113</v>
      </c>
      <c r="J961">
        <v>1</v>
      </c>
      <c r="K961" t="str">
        <f>VLOOKUP(A961,'TV May Monthly Billing Sites'!$A:$L,1,0)</f>
        <v>76190212</v>
      </c>
    </row>
    <row r="962" spans="1:12">
      <c r="A962" t="str">
        <f t="shared" ref="A962:A1025" si="15">TRIM(B962)</f>
        <v>76190250</v>
      </c>
      <c r="B962">
        <v>76190250</v>
      </c>
      <c r="C962" t="s">
        <v>6405</v>
      </c>
      <c r="D962" t="s">
        <v>3271</v>
      </c>
      <c r="E962">
        <v>4508675</v>
      </c>
      <c r="F962" t="s">
        <v>742</v>
      </c>
      <c r="G962" t="s">
        <v>828</v>
      </c>
      <c r="H962" t="s">
        <v>6185</v>
      </c>
      <c r="I962" s="12">
        <v>45881</v>
      </c>
      <c r="J962">
        <v>1</v>
      </c>
      <c r="K962" t="str">
        <f>VLOOKUP(A962,'TV May Monthly Billing Sites'!$A:$L,1,0)</f>
        <v>76190250</v>
      </c>
    </row>
    <row r="963" spans="1:12">
      <c r="A963" t="str">
        <f t="shared" si="15"/>
        <v>76190341</v>
      </c>
      <c r="B963">
        <v>76190341</v>
      </c>
      <c r="C963" t="s">
        <v>6406</v>
      </c>
      <c r="D963" t="s">
        <v>3273</v>
      </c>
      <c r="E963">
        <v>4508714</v>
      </c>
      <c r="F963" t="s">
        <v>742</v>
      </c>
      <c r="G963" t="s">
        <v>743</v>
      </c>
      <c r="H963" t="s">
        <v>4734</v>
      </c>
      <c r="I963" s="12">
        <v>45833</v>
      </c>
      <c r="J963">
        <v>1</v>
      </c>
      <c r="K963" t="str">
        <f>VLOOKUP(A963,'TV May Monthly Billing Sites'!$A:$L,1,0)</f>
        <v>76190341</v>
      </c>
    </row>
    <row r="964" spans="1:12">
      <c r="A964" t="str">
        <f t="shared" si="15"/>
        <v>76190434</v>
      </c>
      <c r="B964">
        <v>76190434</v>
      </c>
      <c r="C964" t="s">
        <v>6407</v>
      </c>
      <c r="D964" t="s">
        <v>3693</v>
      </c>
      <c r="E964">
        <v>4508714</v>
      </c>
      <c r="F964" t="s">
        <v>742</v>
      </c>
      <c r="G964" t="s">
        <v>743</v>
      </c>
      <c r="H964" t="s">
        <v>805</v>
      </c>
      <c r="I964" s="12">
        <v>45772</v>
      </c>
      <c r="J964">
        <v>1</v>
      </c>
      <c r="K964" t="str">
        <f>VLOOKUP(A964,'TV May Monthly Billing Sites'!$A:$L,1,0)</f>
        <v>76190434</v>
      </c>
    </row>
    <row r="965" spans="1:12">
      <c r="A965" t="str">
        <f t="shared" si="15"/>
        <v>76190518</v>
      </c>
      <c r="B965">
        <v>76190518</v>
      </c>
      <c r="C965" t="s">
        <v>6408</v>
      </c>
      <c r="D965" t="s">
        <v>3277</v>
      </c>
      <c r="E965">
        <v>4408592</v>
      </c>
      <c r="F965" t="s">
        <v>742</v>
      </c>
      <c r="G965" t="s">
        <v>823</v>
      </c>
      <c r="H965" t="s">
        <v>4785</v>
      </c>
      <c r="I965" s="12">
        <v>44712</v>
      </c>
      <c r="J965">
        <v>1</v>
      </c>
      <c r="K965" t="str">
        <f>VLOOKUP(A965,'TV May Monthly Billing Sites'!$A:$L,1,0)</f>
        <v>76190518</v>
      </c>
    </row>
    <row r="966" spans="1:12">
      <c r="A966" t="str">
        <f t="shared" si="15"/>
        <v>76191269</v>
      </c>
      <c r="B966">
        <v>76191269</v>
      </c>
      <c r="C966" t="s">
        <v>1006</v>
      </c>
      <c r="D966" t="s">
        <v>1007</v>
      </c>
      <c r="E966">
        <v>4508714</v>
      </c>
      <c r="F966" t="s">
        <v>742</v>
      </c>
      <c r="G966" t="s">
        <v>743</v>
      </c>
      <c r="H966" t="s">
        <v>900</v>
      </c>
      <c r="I966" s="12">
        <v>45726</v>
      </c>
      <c r="J966">
        <v>1</v>
      </c>
      <c r="K966" t="e">
        <f>VLOOKUP(A966,'TV May Monthly Billing Sites'!$A:$L,1,0)</f>
        <v>#N/A</v>
      </c>
      <c r="L966" t="e">
        <f>VLOOKUP(D966,'TV May Monthly Billing Sites'!$B:$L,1,0)</f>
        <v>#N/A</v>
      </c>
    </row>
    <row r="967" spans="1:12">
      <c r="A967" t="str">
        <f t="shared" si="15"/>
        <v>76191357</v>
      </c>
      <c r="B967">
        <v>76191357</v>
      </c>
      <c r="C967" t="s">
        <v>6409</v>
      </c>
      <c r="D967" t="s">
        <v>6410</v>
      </c>
      <c r="E967">
        <v>4508714</v>
      </c>
      <c r="F967" t="s">
        <v>742</v>
      </c>
      <c r="G967" t="s">
        <v>743</v>
      </c>
      <c r="H967" t="s">
        <v>816</v>
      </c>
      <c r="I967" s="12">
        <v>45597</v>
      </c>
      <c r="J967">
        <v>1</v>
      </c>
      <c r="K967" t="str">
        <f>VLOOKUP(A967,'TV May Monthly Billing Sites'!$A:$L,1,0)</f>
        <v>76191357</v>
      </c>
    </row>
    <row r="968" spans="1:12">
      <c r="A968" t="str">
        <f t="shared" si="15"/>
        <v>76191357</v>
      </c>
      <c r="B968">
        <v>76191357</v>
      </c>
      <c r="C968" t="s">
        <v>6411</v>
      </c>
      <c r="D968" t="s">
        <v>6410</v>
      </c>
      <c r="E968">
        <v>4508714</v>
      </c>
      <c r="F968" t="s">
        <v>742</v>
      </c>
      <c r="G968" t="s">
        <v>743</v>
      </c>
      <c r="H968" t="s">
        <v>816</v>
      </c>
      <c r="I968" s="12">
        <v>45597</v>
      </c>
      <c r="J968">
        <v>1</v>
      </c>
      <c r="K968" t="str">
        <f>VLOOKUP(A968,'TV May Monthly Billing Sites'!$A:$L,1,0)</f>
        <v>76191357</v>
      </c>
    </row>
    <row r="969" spans="1:12">
      <c r="A969" t="str">
        <f t="shared" si="15"/>
        <v>76191358</v>
      </c>
      <c r="B969">
        <v>76191358</v>
      </c>
      <c r="C969" t="s">
        <v>6412</v>
      </c>
      <c r="D969" t="s">
        <v>3281</v>
      </c>
      <c r="E969">
        <v>4508714</v>
      </c>
      <c r="F969" t="s">
        <v>742</v>
      </c>
      <c r="G969" t="s">
        <v>743</v>
      </c>
      <c r="H969" t="s">
        <v>816</v>
      </c>
      <c r="I969" s="12">
        <v>45597</v>
      </c>
      <c r="J969">
        <v>1</v>
      </c>
      <c r="K969" t="str">
        <f>VLOOKUP(A969,'TV May Monthly Billing Sites'!$A:$L,1,0)</f>
        <v>76191358</v>
      </c>
    </row>
    <row r="970" spans="1:12">
      <c r="A970" t="str">
        <f t="shared" si="15"/>
        <v>76191838</v>
      </c>
      <c r="B970">
        <v>76191838</v>
      </c>
      <c r="C970" t="s">
        <v>6413</v>
      </c>
      <c r="D970" t="s">
        <v>3283</v>
      </c>
      <c r="E970">
        <v>4508675</v>
      </c>
      <c r="F970" t="s">
        <v>742</v>
      </c>
      <c r="G970" t="s">
        <v>828</v>
      </c>
      <c r="H970" t="s">
        <v>816</v>
      </c>
      <c r="I970" s="12">
        <v>45597</v>
      </c>
      <c r="J970">
        <v>1</v>
      </c>
      <c r="K970" t="str">
        <f>VLOOKUP(A970,'TV May Monthly Billing Sites'!$A:$L,1,0)</f>
        <v>76191838</v>
      </c>
    </row>
    <row r="971" spans="1:12">
      <c r="A971" t="str">
        <f t="shared" si="15"/>
        <v>76192281</v>
      </c>
      <c r="B971">
        <v>76192281</v>
      </c>
      <c r="C971" t="s">
        <v>6414</v>
      </c>
      <c r="D971" t="s">
        <v>3285</v>
      </c>
      <c r="E971">
        <v>4508714</v>
      </c>
      <c r="F971" t="s">
        <v>742</v>
      </c>
      <c r="G971" t="s">
        <v>743</v>
      </c>
      <c r="H971" t="s">
        <v>1179</v>
      </c>
      <c r="I971" s="12">
        <v>45635</v>
      </c>
      <c r="J971">
        <v>1</v>
      </c>
      <c r="K971" t="str">
        <f>VLOOKUP(A971,'TV May Monthly Billing Sites'!$A:$L,1,0)</f>
        <v>76192281</v>
      </c>
    </row>
    <row r="972" spans="1:12">
      <c r="A972" t="str">
        <f t="shared" si="15"/>
        <v>76192284</v>
      </c>
      <c r="B972">
        <v>76192284</v>
      </c>
      <c r="C972" t="s">
        <v>6415</v>
      </c>
      <c r="D972" t="s">
        <v>6416</v>
      </c>
      <c r="E972">
        <v>4508714</v>
      </c>
      <c r="F972" t="s">
        <v>742</v>
      </c>
      <c r="G972" t="s">
        <v>743</v>
      </c>
      <c r="H972" t="s">
        <v>1179</v>
      </c>
      <c r="I972" s="12">
        <v>45646</v>
      </c>
      <c r="J972">
        <v>1</v>
      </c>
      <c r="K972" t="str">
        <f>VLOOKUP(A972,'TV May Monthly Billing Sites'!$A:$L,1,0)</f>
        <v>76192284</v>
      </c>
    </row>
    <row r="973" spans="1:12">
      <c r="A973" t="str">
        <f t="shared" si="15"/>
        <v>76193004</v>
      </c>
      <c r="B973">
        <v>76193004</v>
      </c>
      <c r="C973" t="s">
        <v>6417</v>
      </c>
      <c r="D973" t="s">
        <v>3289</v>
      </c>
      <c r="E973">
        <v>4508714</v>
      </c>
      <c r="F973" t="s">
        <v>742</v>
      </c>
      <c r="G973" t="s">
        <v>743</v>
      </c>
      <c r="H973" t="s">
        <v>6176</v>
      </c>
      <c r="I973" s="12">
        <v>46105</v>
      </c>
      <c r="J973">
        <v>1</v>
      </c>
      <c r="K973" t="e">
        <f>VLOOKUP(A973,'TV May Monthly Billing Sites'!$A:$L,1,0)</f>
        <v>#N/A</v>
      </c>
      <c r="L973" t="str">
        <f>VLOOKUP(D973,'TV May Monthly Billing Sites'!$B:$L,1,0)</f>
        <v>NATIONWIDE NISSAN</v>
      </c>
    </row>
    <row r="974" spans="1:12">
      <c r="A974" t="str">
        <f t="shared" si="15"/>
        <v>76193007</v>
      </c>
      <c r="B974">
        <v>76193007</v>
      </c>
      <c r="C974" t="s">
        <v>6418</v>
      </c>
      <c r="D974" t="s">
        <v>2983</v>
      </c>
      <c r="E974">
        <v>4508714</v>
      </c>
      <c r="F974" t="s">
        <v>742</v>
      </c>
      <c r="G974" t="s">
        <v>743</v>
      </c>
      <c r="H974" t="s">
        <v>6176</v>
      </c>
      <c r="I974" s="12">
        <v>46105</v>
      </c>
      <c r="J974">
        <v>1</v>
      </c>
      <c r="K974" t="e">
        <f>VLOOKUP(A974,'TV May Monthly Billing Sites'!$A:$L,1,0)</f>
        <v>#N/A</v>
      </c>
      <c r="L974" t="str">
        <f>VLOOKUP(D974,'TV May Monthly Billing Sites'!$B:$L,1,0)</f>
        <v>NATIONWIDE INFINITI</v>
      </c>
    </row>
    <row r="975" spans="1:12">
      <c r="A975" t="str">
        <f t="shared" si="15"/>
        <v>76193444</v>
      </c>
      <c r="B975">
        <v>76193444</v>
      </c>
      <c r="C975" t="s">
        <v>6419</v>
      </c>
      <c r="D975" t="s">
        <v>6420</v>
      </c>
      <c r="E975">
        <v>4408593</v>
      </c>
      <c r="F975" t="s">
        <v>742</v>
      </c>
      <c r="G975" t="s">
        <v>782</v>
      </c>
      <c r="H975" t="s">
        <v>6318</v>
      </c>
      <c r="I975" s="12">
        <v>45622</v>
      </c>
      <c r="J975">
        <v>1</v>
      </c>
      <c r="K975" t="str">
        <f>VLOOKUP(A975,'TV May Monthly Billing Sites'!$A:$L,1,0)</f>
        <v>76193444</v>
      </c>
    </row>
    <row r="976" spans="1:12">
      <c r="A976" t="str">
        <f t="shared" si="15"/>
        <v>76193713</v>
      </c>
      <c r="B976">
        <v>76193713</v>
      </c>
      <c r="C976" t="s">
        <v>6421</v>
      </c>
      <c r="D976" t="s">
        <v>3293</v>
      </c>
      <c r="E976">
        <v>4408592</v>
      </c>
      <c r="F976" t="s">
        <v>742</v>
      </c>
      <c r="G976" t="s">
        <v>823</v>
      </c>
      <c r="H976" t="s">
        <v>6260</v>
      </c>
      <c r="I976" s="12">
        <v>46015</v>
      </c>
      <c r="J976">
        <v>1</v>
      </c>
      <c r="K976" t="str">
        <f>VLOOKUP(A976,'TV May Monthly Billing Sites'!$A:$L,1,0)</f>
        <v>76193713</v>
      </c>
    </row>
    <row r="977" spans="1:12">
      <c r="A977" t="str">
        <f t="shared" si="15"/>
        <v>76193780</v>
      </c>
      <c r="B977">
        <v>76193780</v>
      </c>
      <c r="C977" t="s">
        <v>6422</v>
      </c>
      <c r="D977" t="s">
        <v>6423</v>
      </c>
      <c r="E977">
        <v>4408592</v>
      </c>
      <c r="F977" t="s">
        <v>742</v>
      </c>
      <c r="G977" t="s">
        <v>823</v>
      </c>
      <c r="H977" t="s">
        <v>6424</v>
      </c>
      <c r="I977" s="12">
        <v>45097</v>
      </c>
      <c r="J977">
        <v>1</v>
      </c>
      <c r="K977" t="str">
        <f>VLOOKUP(A977,'TV May Monthly Billing Sites'!$A:$L,1,0)</f>
        <v>76193780</v>
      </c>
    </row>
    <row r="978" spans="1:12">
      <c r="A978" t="str">
        <f t="shared" si="15"/>
        <v>76194213</v>
      </c>
      <c r="B978">
        <v>76194213</v>
      </c>
      <c r="C978" t="s">
        <v>6425</v>
      </c>
      <c r="D978" t="s">
        <v>3297</v>
      </c>
      <c r="E978">
        <v>4508714</v>
      </c>
      <c r="F978" t="s">
        <v>742</v>
      </c>
      <c r="G978" t="s">
        <v>743</v>
      </c>
      <c r="H978" t="s">
        <v>5870</v>
      </c>
      <c r="I978" s="12">
        <v>45901</v>
      </c>
      <c r="J978">
        <v>1</v>
      </c>
      <c r="K978" t="str">
        <f>VLOOKUP(A978,'TV May Monthly Billing Sites'!$A:$L,1,0)</f>
        <v>76194213</v>
      </c>
    </row>
    <row r="979" spans="1:12">
      <c r="A979" t="str">
        <f t="shared" si="15"/>
        <v>76194352</v>
      </c>
      <c r="B979">
        <v>76194352</v>
      </c>
      <c r="C979" t="s">
        <v>6426</v>
      </c>
      <c r="D979" t="s">
        <v>3299</v>
      </c>
      <c r="E979">
        <v>4508714</v>
      </c>
      <c r="F979" t="s">
        <v>742</v>
      </c>
      <c r="G979" t="s">
        <v>743</v>
      </c>
      <c r="H979" t="s">
        <v>6427</v>
      </c>
      <c r="I979" s="12">
        <v>45625</v>
      </c>
      <c r="J979">
        <v>1</v>
      </c>
      <c r="K979" t="str">
        <f>VLOOKUP(A979,'TV May Monthly Billing Sites'!$A:$L,1,0)</f>
        <v>76194352</v>
      </c>
    </row>
    <row r="980" spans="1:12">
      <c r="A980" t="str">
        <f t="shared" si="15"/>
        <v>76194724</v>
      </c>
      <c r="B980">
        <v>76194724</v>
      </c>
      <c r="C980" t="s">
        <v>6428</v>
      </c>
      <c r="D980" t="s">
        <v>6429</v>
      </c>
      <c r="E980">
        <v>4508684</v>
      </c>
      <c r="F980" t="s">
        <v>742</v>
      </c>
      <c r="G980" t="s">
        <v>4760</v>
      </c>
      <c r="H980" t="s">
        <v>5870</v>
      </c>
      <c r="I980" s="12">
        <v>45901</v>
      </c>
      <c r="J980">
        <v>1</v>
      </c>
      <c r="K980" t="str">
        <f>VLOOKUP(A980,'TV May Monthly Billing Sites'!$A:$L,1,0)</f>
        <v>76194724</v>
      </c>
    </row>
    <row r="981" spans="1:12">
      <c r="A981" t="str">
        <f t="shared" si="15"/>
        <v>76195161</v>
      </c>
      <c r="B981">
        <v>76195161</v>
      </c>
      <c r="C981" t="s">
        <v>6430</v>
      </c>
      <c r="D981" t="s">
        <v>3303</v>
      </c>
      <c r="E981">
        <v>4508714</v>
      </c>
      <c r="F981" t="s">
        <v>742</v>
      </c>
      <c r="G981" t="s">
        <v>743</v>
      </c>
      <c r="H981" t="s">
        <v>1096</v>
      </c>
      <c r="I981" s="12">
        <v>45961</v>
      </c>
      <c r="J981">
        <v>1</v>
      </c>
      <c r="K981" t="str">
        <f>VLOOKUP(A981,'TV May Monthly Billing Sites'!$A:$L,1,0)</f>
        <v>76195161</v>
      </c>
    </row>
    <row r="982" spans="1:12">
      <c r="A982" t="str">
        <f t="shared" si="15"/>
        <v>76195162</v>
      </c>
      <c r="B982">
        <v>76195162</v>
      </c>
      <c r="C982" t="s">
        <v>6431</v>
      </c>
      <c r="D982" t="s">
        <v>6432</v>
      </c>
      <c r="E982">
        <v>4408592</v>
      </c>
      <c r="F982" t="s">
        <v>742</v>
      </c>
      <c r="G982" t="s">
        <v>823</v>
      </c>
      <c r="H982" t="s">
        <v>6433</v>
      </c>
      <c r="I982" s="12">
        <v>45898</v>
      </c>
      <c r="J982">
        <v>1</v>
      </c>
      <c r="K982" t="str">
        <f>VLOOKUP(A982,'TV May Monthly Billing Sites'!$A:$L,1,0)</f>
        <v>76195162</v>
      </c>
    </row>
    <row r="983" spans="1:12">
      <c r="A983" t="str">
        <f t="shared" si="15"/>
        <v>76195231</v>
      </c>
      <c r="B983">
        <v>76195231</v>
      </c>
      <c r="C983" t="s">
        <v>6434</v>
      </c>
      <c r="D983" t="s">
        <v>6435</v>
      </c>
      <c r="E983">
        <v>4508684</v>
      </c>
      <c r="F983" t="s">
        <v>742</v>
      </c>
      <c r="G983" t="s">
        <v>4760</v>
      </c>
      <c r="H983" t="s">
        <v>4945</v>
      </c>
      <c r="I983" s="12">
        <v>45891</v>
      </c>
      <c r="J983">
        <v>1</v>
      </c>
      <c r="K983" t="str">
        <f>VLOOKUP(A983,'TV May Monthly Billing Sites'!$A:$L,1,0)</f>
        <v>76195231</v>
      </c>
    </row>
    <row r="984" spans="1:12">
      <c r="A984" t="str">
        <f t="shared" si="15"/>
        <v>76195237</v>
      </c>
      <c r="B984">
        <v>76195237</v>
      </c>
      <c r="C984" t="s">
        <v>6436</v>
      </c>
      <c r="D984" t="s">
        <v>3309</v>
      </c>
      <c r="E984">
        <v>4508684</v>
      </c>
      <c r="F984" t="s">
        <v>742</v>
      </c>
      <c r="G984" t="s">
        <v>4760</v>
      </c>
      <c r="H984" t="s">
        <v>4945</v>
      </c>
      <c r="I984" s="12">
        <v>45891</v>
      </c>
      <c r="J984">
        <v>1</v>
      </c>
      <c r="K984" t="str">
        <f>VLOOKUP(A984,'TV May Monthly Billing Sites'!$A:$L,1,0)</f>
        <v>76195237</v>
      </c>
    </row>
    <row r="985" spans="1:12">
      <c r="A985" t="str">
        <f t="shared" si="15"/>
        <v>76195274</v>
      </c>
      <c r="B985">
        <v>76195274</v>
      </c>
      <c r="C985" t="s">
        <v>6437</v>
      </c>
      <c r="D985" t="s">
        <v>3311</v>
      </c>
      <c r="E985">
        <v>4508675</v>
      </c>
      <c r="F985" t="s">
        <v>742</v>
      </c>
      <c r="G985" t="s">
        <v>828</v>
      </c>
      <c r="H985" t="s">
        <v>6185</v>
      </c>
      <c r="I985" s="12">
        <v>45881</v>
      </c>
      <c r="J985">
        <v>1</v>
      </c>
      <c r="K985" t="str">
        <f>VLOOKUP(A985,'TV May Monthly Billing Sites'!$A:$L,1,0)</f>
        <v>76195274</v>
      </c>
    </row>
    <row r="986" spans="1:12">
      <c r="A986" t="str">
        <f t="shared" si="15"/>
        <v>76195519</v>
      </c>
      <c r="B986">
        <v>76195519</v>
      </c>
      <c r="C986" t="s">
        <v>6438</v>
      </c>
      <c r="D986" t="s">
        <v>3313</v>
      </c>
      <c r="E986">
        <v>4508714</v>
      </c>
      <c r="F986" t="s">
        <v>742</v>
      </c>
      <c r="G986" t="s">
        <v>743</v>
      </c>
      <c r="H986" t="s">
        <v>4734</v>
      </c>
      <c r="I986" s="12">
        <v>45833</v>
      </c>
      <c r="J986">
        <v>1</v>
      </c>
      <c r="K986" t="str">
        <f>VLOOKUP(A986,'TV May Monthly Billing Sites'!$A:$L,1,0)</f>
        <v>76195519</v>
      </c>
    </row>
    <row r="987" spans="1:12">
      <c r="A987" t="str">
        <f t="shared" si="15"/>
        <v>76195573</v>
      </c>
      <c r="B987">
        <v>76195573</v>
      </c>
      <c r="C987" t="s">
        <v>6439</v>
      </c>
      <c r="D987" t="s">
        <v>3315</v>
      </c>
      <c r="E987">
        <v>4508714</v>
      </c>
      <c r="F987" t="s">
        <v>742</v>
      </c>
      <c r="G987" t="s">
        <v>743</v>
      </c>
      <c r="H987" t="s">
        <v>5897</v>
      </c>
      <c r="I987" s="12">
        <v>45839</v>
      </c>
      <c r="J987">
        <v>1</v>
      </c>
      <c r="K987" t="str">
        <f>VLOOKUP(A987,'TV May Monthly Billing Sites'!$A:$L,1,0)</f>
        <v>76195573</v>
      </c>
    </row>
    <row r="988" spans="1:12">
      <c r="A988" t="str">
        <f t="shared" si="15"/>
        <v>76195599</v>
      </c>
      <c r="B988">
        <v>76195599</v>
      </c>
      <c r="C988" t="s">
        <v>6440</v>
      </c>
      <c r="D988" t="s">
        <v>3317</v>
      </c>
      <c r="E988">
        <v>4508684</v>
      </c>
      <c r="F988" t="s">
        <v>742</v>
      </c>
      <c r="G988" t="s">
        <v>4760</v>
      </c>
      <c r="H988" t="s">
        <v>4945</v>
      </c>
      <c r="I988" s="12">
        <v>45891</v>
      </c>
      <c r="J988">
        <v>1</v>
      </c>
      <c r="K988" t="str">
        <f>VLOOKUP(A988,'TV May Monthly Billing Sites'!$A:$L,1,0)</f>
        <v>76195599</v>
      </c>
    </row>
    <row r="989" spans="1:12">
      <c r="A989" t="str">
        <f t="shared" si="15"/>
        <v>76195666</v>
      </c>
      <c r="B989">
        <v>76195666</v>
      </c>
      <c r="C989" t="s">
        <v>1009</v>
      </c>
      <c r="D989" t="s">
        <v>1010</v>
      </c>
      <c r="E989">
        <v>4408593</v>
      </c>
      <c r="F989" t="s">
        <v>742</v>
      </c>
      <c r="G989" t="s">
        <v>782</v>
      </c>
      <c r="H989" t="s">
        <v>1011</v>
      </c>
      <c r="I989" s="12">
        <v>45656</v>
      </c>
      <c r="J989">
        <v>1</v>
      </c>
      <c r="K989" t="e">
        <f>VLOOKUP(A989,'TV May Monthly Billing Sites'!$A:$L,1,0)</f>
        <v>#N/A</v>
      </c>
      <c r="L989" t="e">
        <f>VLOOKUP(D989,'TV May Monthly Billing Sites'!$B:$L,1,0)</f>
        <v>#N/A</v>
      </c>
    </row>
    <row r="990" spans="1:12">
      <c r="A990" t="str">
        <f t="shared" si="15"/>
        <v>76195982</v>
      </c>
      <c r="B990">
        <v>76195982</v>
      </c>
      <c r="C990" t="s">
        <v>6441</v>
      </c>
      <c r="D990" t="s">
        <v>3319</v>
      </c>
      <c r="E990">
        <v>4408593</v>
      </c>
      <c r="F990" t="s">
        <v>742</v>
      </c>
      <c r="G990" t="s">
        <v>782</v>
      </c>
      <c r="H990" t="s">
        <v>6260</v>
      </c>
      <c r="I990" s="12">
        <v>46014</v>
      </c>
      <c r="J990">
        <v>1</v>
      </c>
      <c r="K990" t="str">
        <f>VLOOKUP(A990,'TV May Monthly Billing Sites'!$A:$L,1,0)</f>
        <v>76195982</v>
      </c>
    </row>
    <row r="991" spans="1:12">
      <c r="A991" t="str">
        <f t="shared" si="15"/>
        <v>76196475</v>
      </c>
      <c r="B991">
        <v>76196475</v>
      </c>
      <c r="C991" t="s">
        <v>6442</v>
      </c>
      <c r="D991" t="s">
        <v>3321</v>
      </c>
      <c r="E991">
        <v>4508714</v>
      </c>
      <c r="F991" t="s">
        <v>742</v>
      </c>
      <c r="G991" t="s">
        <v>743</v>
      </c>
      <c r="H991" t="s">
        <v>5742</v>
      </c>
      <c r="I991" s="12">
        <v>45628</v>
      </c>
      <c r="J991">
        <v>1</v>
      </c>
      <c r="K991" t="str">
        <f>VLOOKUP(A991,'TV May Monthly Billing Sites'!$A:$L,1,0)</f>
        <v>76196475</v>
      </c>
    </row>
    <row r="992" spans="1:12">
      <c r="A992" t="str">
        <f t="shared" si="15"/>
        <v>76196537</v>
      </c>
      <c r="B992">
        <v>76196537</v>
      </c>
      <c r="C992" t="s">
        <v>6443</v>
      </c>
      <c r="D992" t="s">
        <v>3323</v>
      </c>
      <c r="E992">
        <v>4508714</v>
      </c>
      <c r="F992" t="s">
        <v>742</v>
      </c>
      <c r="G992" t="s">
        <v>743</v>
      </c>
      <c r="H992" t="s">
        <v>998</v>
      </c>
      <c r="I992" s="12">
        <v>45814</v>
      </c>
      <c r="J992">
        <v>1</v>
      </c>
      <c r="K992" t="str">
        <f>VLOOKUP(A992,'TV May Monthly Billing Sites'!$A:$L,1,0)</f>
        <v>76196537</v>
      </c>
    </row>
    <row r="993" spans="1:12">
      <c r="A993" t="str">
        <f t="shared" si="15"/>
        <v>76197076</v>
      </c>
      <c r="B993">
        <v>76197076</v>
      </c>
      <c r="C993" t="s">
        <v>6444</v>
      </c>
      <c r="D993" t="s">
        <v>3325</v>
      </c>
      <c r="E993">
        <v>4408592</v>
      </c>
      <c r="F993" t="s">
        <v>742</v>
      </c>
      <c r="G993" t="s">
        <v>823</v>
      </c>
      <c r="H993" t="s">
        <v>4764</v>
      </c>
      <c r="I993" s="12">
        <v>44476</v>
      </c>
      <c r="J993">
        <v>1</v>
      </c>
      <c r="K993" t="str">
        <f>VLOOKUP(A993,'TV May Monthly Billing Sites'!$A:$L,1,0)</f>
        <v>76197076</v>
      </c>
    </row>
    <row r="994" spans="1:12">
      <c r="A994" t="str">
        <f t="shared" si="15"/>
        <v>76197237</v>
      </c>
      <c r="B994">
        <v>76197237</v>
      </c>
      <c r="C994" t="s">
        <v>6445</v>
      </c>
      <c r="D994" t="s">
        <v>6446</v>
      </c>
      <c r="E994">
        <v>4508675</v>
      </c>
      <c r="F994" t="s">
        <v>742</v>
      </c>
      <c r="G994" t="s">
        <v>828</v>
      </c>
      <c r="H994" t="s">
        <v>1164</v>
      </c>
      <c r="I994" s="12">
        <v>45198</v>
      </c>
      <c r="J994">
        <v>1</v>
      </c>
      <c r="K994" t="str">
        <f>VLOOKUP(A994,'TV May Monthly Billing Sites'!$A:$L,1,0)</f>
        <v>76197237</v>
      </c>
    </row>
    <row r="995" spans="1:12">
      <c r="A995" t="str">
        <f t="shared" si="15"/>
        <v>76199198</v>
      </c>
      <c r="B995">
        <v>76199198</v>
      </c>
      <c r="C995" t="s">
        <v>6447</v>
      </c>
      <c r="D995" t="s">
        <v>6448</v>
      </c>
      <c r="E995">
        <v>4508714</v>
      </c>
      <c r="F995" t="s">
        <v>742</v>
      </c>
      <c r="G995" t="s">
        <v>743</v>
      </c>
      <c r="H995" t="s">
        <v>5115</v>
      </c>
      <c r="I995" s="12">
        <v>45540</v>
      </c>
      <c r="J995">
        <v>1</v>
      </c>
      <c r="K995" t="str">
        <f>VLOOKUP(A995,'TV May Monthly Billing Sites'!$A:$L,1,0)</f>
        <v>76199198</v>
      </c>
    </row>
    <row r="996" spans="1:12">
      <c r="A996" t="str">
        <f t="shared" si="15"/>
        <v>76199824</v>
      </c>
      <c r="B996">
        <v>76199824</v>
      </c>
      <c r="C996" t="s">
        <v>6449</v>
      </c>
      <c r="D996" t="s">
        <v>3333</v>
      </c>
      <c r="E996">
        <v>4508714</v>
      </c>
      <c r="F996" t="s">
        <v>742</v>
      </c>
      <c r="G996" t="s">
        <v>743</v>
      </c>
      <c r="H996" t="s">
        <v>5956</v>
      </c>
      <c r="I996" s="12">
        <v>45887</v>
      </c>
      <c r="J996">
        <v>1</v>
      </c>
      <c r="K996" t="str">
        <f>VLOOKUP(A996,'TV May Monthly Billing Sites'!$A:$L,1,0)</f>
        <v>76199824</v>
      </c>
    </row>
    <row r="997" spans="1:12">
      <c r="A997" t="str">
        <f t="shared" si="15"/>
        <v>76199969</v>
      </c>
      <c r="B997">
        <v>76199969</v>
      </c>
      <c r="C997" t="s">
        <v>6450</v>
      </c>
      <c r="D997" t="s">
        <v>3331</v>
      </c>
      <c r="E997">
        <v>4508714</v>
      </c>
      <c r="F997" t="s">
        <v>742</v>
      </c>
      <c r="G997" t="s">
        <v>743</v>
      </c>
      <c r="H997" t="s">
        <v>5870</v>
      </c>
      <c r="I997" s="12">
        <v>45901</v>
      </c>
      <c r="J997">
        <v>1</v>
      </c>
      <c r="K997" t="e">
        <f>VLOOKUP(A997,'TV May Monthly Billing Sites'!$A:$L,1,0)</f>
        <v>#N/A</v>
      </c>
      <c r="L997" t="str">
        <f>VLOOKUP(D997,'TV May Monthly Billing Sites'!$B:$L,1,0)</f>
        <v>JAGUAR LAND ROVER WILLOW GROVE</v>
      </c>
    </row>
    <row r="998" spans="1:12">
      <c r="A998" t="str">
        <f t="shared" si="15"/>
        <v>76200172</v>
      </c>
      <c r="B998">
        <v>76200172</v>
      </c>
      <c r="C998" t="s">
        <v>6451</v>
      </c>
      <c r="D998" t="s">
        <v>6452</v>
      </c>
      <c r="E998">
        <v>4508714</v>
      </c>
      <c r="F998" t="s">
        <v>742</v>
      </c>
      <c r="G998" t="s">
        <v>743</v>
      </c>
      <c r="H998" t="s">
        <v>5115</v>
      </c>
      <c r="I998" s="12">
        <v>45540</v>
      </c>
      <c r="J998">
        <v>1</v>
      </c>
      <c r="K998" t="str">
        <f>VLOOKUP(A998,'TV May Monthly Billing Sites'!$A:$L,1,0)</f>
        <v>76200172</v>
      </c>
    </row>
    <row r="999" spans="1:12">
      <c r="A999" t="str">
        <f t="shared" si="15"/>
        <v>76200454</v>
      </c>
      <c r="B999">
        <v>76200454</v>
      </c>
      <c r="C999" t="s">
        <v>6453</v>
      </c>
      <c r="D999" t="s">
        <v>3337</v>
      </c>
      <c r="E999">
        <v>4508714</v>
      </c>
      <c r="F999" t="s">
        <v>742</v>
      </c>
      <c r="G999" t="s">
        <v>743</v>
      </c>
      <c r="H999" t="s">
        <v>4691</v>
      </c>
      <c r="I999" s="12">
        <v>45597</v>
      </c>
      <c r="J999">
        <v>1</v>
      </c>
      <c r="K999" t="str">
        <f>VLOOKUP(A999,'TV May Monthly Billing Sites'!$A:$L,1,0)</f>
        <v>76200454</v>
      </c>
    </row>
    <row r="1000" spans="1:12">
      <c r="A1000" t="str">
        <f t="shared" si="15"/>
        <v>76200704</v>
      </c>
      <c r="B1000">
        <v>76200704</v>
      </c>
      <c r="C1000" t="s">
        <v>6454</v>
      </c>
      <c r="D1000" t="s">
        <v>6455</v>
      </c>
      <c r="E1000">
        <v>4508714</v>
      </c>
      <c r="F1000" t="s">
        <v>742</v>
      </c>
      <c r="G1000" t="s">
        <v>743</v>
      </c>
      <c r="H1000" t="s">
        <v>6399</v>
      </c>
      <c r="I1000" s="12">
        <v>45912</v>
      </c>
      <c r="J1000">
        <v>1</v>
      </c>
      <c r="K1000" t="str">
        <f>VLOOKUP(A1000,'TV May Monthly Billing Sites'!$A:$L,1,0)</f>
        <v>76200704</v>
      </c>
    </row>
    <row r="1001" spans="1:12">
      <c r="A1001" t="str">
        <f t="shared" si="15"/>
        <v>76200805</v>
      </c>
      <c r="B1001">
        <v>76200805</v>
      </c>
      <c r="C1001" t="s">
        <v>6456</v>
      </c>
      <c r="D1001" t="s">
        <v>6457</v>
      </c>
      <c r="E1001">
        <v>4508714</v>
      </c>
      <c r="F1001" t="s">
        <v>742</v>
      </c>
      <c r="G1001" t="s">
        <v>743</v>
      </c>
      <c r="H1001" t="s">
        <v>5292</v>
      </c>
      <c r="I1001" s="12">
        <v>45635</v>
      </c>
      <c r="J1001">
        <v>1</v>
      </c>
      <c r="K1001" t="str">
        <f>VLOOKUP(A1001,'TV May Monthly Billing Sites'!$A:$L,1,0)</f>
        <v>76200805</v>
      </c>
    </row>
    <row r="1002" spans="1:12">
      <c r="A1002" t="str">
        <f t="shared" si="15"/>
        <v>76200918</v>
      </c>
      <c r="B1002">
        <v>76200918</v>
      </c>
      <c r="C1002" t="s">
        <v>6458</v>
      </c>
      <c r="D1002" t="s">
        <v>6459</v>
      </c>
      <c r="E1002">
        <v>4508675</v>
      </c>
      <c r="F1002" t="s">
        <v>742</v>
      </c>
      <c r="G1002" t="s">
        <v>828</v>
      </c>
      <c r="H1002" t="s">
        <v>816</v>
      </c>
      <c r="I1002" s="12">
        <v>45597</v>
      </c>
      <c r="J1002">
        <v>1</v>
      </c>
      <c r="K1002" t="str">
        <f>VLOOKUP(A1002,'TV May Monthly Billing Sites'!$A:$L,1,0)</f>
        <v>76200918</v>
      </c>
    </row>
    <row r="1003" spans="1:12">
      <c r="A1003" t="str">
        <f t="shared" si="15"/>
        <v>76200980</v>
      </c>
      <c r="B1003">
        <v>76200980</v>
      </c>
      <c r="C1003" t="s">
        <v>6460</v>
      </c>
      <c r="D1003" t="s">
        <v>3345</v>
      </c>
      <c r="E1003">
        <v>4508714</v>
      </c>
      <c r="F1003" t="s">
        <v>742</v>
      </c>
      <c r="G1003" t="s">
        <v>743</v>
      </c>
      <c r="H1003" t="s">
        <v>6105</v>
      </c>
      <c r="I1003" s="12">
        <v>46127</v>
      </c>
      <c r="J1003">
        <v>1</v>
      </c>
      <c r="K1003" t="str">
        <f>VLOOKUP(A1003,'TV May Monthly Billing Sites'!$A:$L,1,0)</f>
        <v>76200980</v>
      </c>
    </row>
    <row r="1004" spans="1:12">
      <c r="A1004" t="str">
        <f t="shared" si="15"/>
        <v>76201294</v>
      </c>
      <c r="B1004">
        <v>76201294</v>
      </c>
      <c r="C1004" t="s">
        <v>6461</v>
      </c>
      <c r="D1004" t="s">
        <v>3347</v>
      </c>
      <c r="E1004">
        <v>4508714</v>
      </c>
      <c r="F1004" t="s">
        <v>742</v>
      </c>
      <c r="G1004" t="s">
        <v>743</v>
      </c>
      <c r="H1004" t="s">
        <v>860</v>
      </c>
      <c r="I1004" s="12">
        <v>45604</v>
      </c>
      <c r="J1004">
        <v>1</v>
      </c>
      <c r="K1004" t="str">
        <f>VLOOKUP(A1004,'TV May Monthly Billing Sites'!$A:$L,1,0)</f>
        <v>76201294</v>
      </c>
    </row>
    <row r="1005" spans="1:12">
      <c r="A1005" t="str">
        <f t="shared" si="15"/>
        <v>76201479</v>
      </c>
      <c r="B1005">
        <v>76201479</v>
      </c>
      <c r="C1005" t="s">
        <v>6462</v>
      </c>
      <c r="D1005" t="s">
        <v>6463</v>
      </c>
      <c r="E1005">
        <v>4508714</v>
      </c>
      <c r="F1005" t="s">
        <v>742</v>
      </c>
      <c r="G1005" t="s">
        <v>743</v>
      </c>
      <c r="H1005" t="s">
        <v>4903</v>
      </c>
      <c r="I1005" s="12">
        <v>45961</v>
      </c>
      <c r="J1005">
        <v>1</v>
      </c>
      <c r="K1005" t="str">
        <f>VLOOKUP(A1005,'TV May Monthly Billing Sites'!$A:$L,1,0)</f>
        <v>76201479</v>
      </c>
    </row>
    <row r="1006" spans="1:12">
      <c r="A1006" t="str">
        <f t="shared" si="15"/>
        <v>76201530</v>
      </c>
      <c r="B1006">
        <v>76201530</v>
      </c>
      <c r="C1006" t="s">
        <v>6464</v>
      </c>
      <c r="D1006" t="s">
        <v>3351</v>
      </c>
      <c r="E1006">
        <v>4408592</v>
      </c>
      <c r="F1006" t="s">
        <v>742</v>
      </c>
      <c r="G1006" t="s">
        <v>823</v>
      </c>
      <c r="H1006" t="s">
        <v>1030</v>
      </c>
      <c r="I1006" s="12">
        <v>45408</v>
      </c>
      <c r="J1006">
        <v>1</v>
      </c>
      <c r="K1006" t="str">
        <f>VLOOKUP(A1006,'TV May Monthly Billing Sites'!$A:$L,1,0)</f>
        <v>76201530</v>
      </c>
    </row>
    <row r="1007" spans="1:12">
      <c r="A1007" t="str">
        <f t="shared" si="15"/>
        <v>76201530</v>
      </c>
      <c r="B1007">
        <v>76201530</v>
      </c>
      <c r="C1007" t="s">
        <v>6465</v>
      </c>
      <c r="D1007" t="s">
        <v>3351</v>
      </c>
      <c r="E1007">
        <v>4408593</v>
      </c>
      <c r="F1007" t="s">
        <v>742</v>
      </c>
      <c r="G1007" t="s">
        <v>782</v>
      </c>
      <c r="H1007" t="s">
        <v>1030</v>
      </c>
      <c r="I1007" s="12">
        <v>45821</v>
      </c>
      <c r="J1007">
        <v>1</v>
      </c>
      <c r="K1007" t="str">
        <f>VLOOKUP(A1007,'TV May Monthly Billing Sites'!$A:$L,1,0)</f>
        <v>76201530</v>
      </c>
    </row>
    <row r="1008" spans="1:12">
      <c r="A1008" t="str">
        <f t="shared" si="15"/>
        <v>76201531</v>
      </c>
      <c r="B1008">
        <v>76201531</v>
      </c>
      <c r="C1008" t="s">
        <v>6466</v>
      </c>
      <c r="D1008" t="s">
        <v>6467</v>
      </c>
      <c r="E1008">
        <v>4408592</v>
      </c>
      <c r="F1008" t="s">
        <v>742</v>
      </c>
      <c r="G1008" t="s">
        <v>823</v>
      </c>
      <c r="H1008" t="s">
        <v>1030</v>
      </c>
      <c r="I1008" s="12">
        <v>45408</v>
      </c>
      <c r="J1008">
        <v>1</v>
      </c>
      <c r="K1008" t="str">
        <f>VLOOKUP(A1008,'TV May Monthly Billing Sites'!$A:$L,1,0)</f>
        <v>76201531</v>
      </c>
    </row>
    <row r="1009" spans="1:11">
      <c r="A1009" t="str">
        <f t="shared" si="15"/>
        <v>76201531</v>
      </c>
      <c r="B1009">
        <v>76201531</v>
      </c>
      <c r="C1009" t="s">
        <v>6468</v>
      </c>
      <c r="D1009" t="s">
        <v>6467</v>
      </c>
      <c r="E1009">
        <v>4408593</v>
      </c>
      <c r="F1009" t="s">
        <v>742</v>
      </c>
      <c r="G1009" t="s">
        <v>782</v>
      </c>
      <c r="H1009" t="s">
        <v>1030</v>
      </c>
      <c r="I1009" s="12">
        <v>45821</v>
      </c>
      <c r="J1009">
        <v>1</v>
      </c>
      <c r="K1009" t="str">
        <f>VLOOKUP(A1009,'TV May Monthly Billing Sites'!$A:$L,1,0)</f>
        <v>76201531</v>
      </c>
    </row>
    <row r="1010" spans="1:11">
      <c r="A1010" t="str">
        <f t="shared" si="15"/>
        <v>76201829</v>
      </c>
      <c r="B1010">
        <v>76201829</v>
      </c>
      <c r="C1010" t="s">
        <v>6469</v>
      </c>
      <c r="D1010" t="s">
        <v>6470</v>
      </c>
      <c r="E1010">
        <v>4408593</v>
      </c>
      <c r="F1010" t="s">
        <v>742</v>
      </c>
      <c r="G1010" t="s">
        <v>782</v>
      </c>
      <c r="H1010" t="s">
        <v>6028</v>
      </c>
      <c r="I1010" s="12">
        <v>45565</v>
      </c>
      <c r="J1010">
        <v>1</v>
      </c>
      <c r="K1010" t="str">
        <f>VLOOKUP(A1010,'TV May Monthly Billing Sites'!$A:$L,1,0)</f>
        <v>76201829</v>
      </c>
    </row>
    <row r="1011" spans="1:11">
      <c r="A1011" t="str">
        <f t="shared" si="15"/>
        <v>76201835</v>
      </c>
      <c r="B1011">
        <v>76201835</v>
      </c>
      <c r="C1011" t="s">
        <v>6471</v>
      </c>
      <c r="D1011" t="s">
        <v>6472</v>
      </c>
      <c r="E1011">
        <v>4508714</v>
      </c>
      <c r="F1011" t="s">
        <v>742</v>
      </c>
      <c r="G1011" t="s">
        <v>743</v>
      </c>
      <c r="H1011" t="s">
        <v>6145</v>
      </c>
      <c r="I1011" s="12">
        <v>45964</v>
      </c>
      <c r="J1011">
        <v>1</v>
      </c>
      <c r="K1011" t="str">
        <f>VLOOKUP(A1011,'TV May Monthly Billing Sites'!$A:$L,1,0)</f>
        <v>76201835</v>
      </c>
    </row>
    <row r="1012" spans="1:11">
      <c r="A1012" t="str">
        <f t="shared" si="15"/>
        <v>76202036</v>
      </c>
      <c r="B1012">
        <v>76202036</v>
      </c>
      <c r="C1012" t="s">
        <v>6473</v>
      </c>
      <c r="D1012" t="s">
        <v>6474</v>
      </c>
      <c r="E1012">
        <v>4508714</v>
      </c>
      <c r="F1012" t="s">
        <v>742</v>
      </c>
      <c r="G1012" t="s">
        <v>743</v>
      </c>
      <c r="H1012" t="s">
        <v>5216</v>
      </c>
      <c r="I1012" s="12">
        <v>45776</v>
      </c>
      <c r="J1012">
        <v>1</v>
      </c>
      <c r="K1012" t="str">
        <f>VLOOKUP(A1012,'TV May Monthly Billing Sites'!$A:$L,1,0)</f>
        <v>76202036</v>
      </c>
    </row>
    <row r="1013" spans="1:11">
      <c r="A1013" t="str">
        <f t="shared" si="15"/>
        <v>76202162</v>
      </c>
      <c r="B1013">
        <v>76202162</v>
      </c>
      <c r="C1013" t="s">
        <v>6475</v>
      </c>
      <c r="D1013" t="s">
        <v>3361</v>
      </c>
      <c r="E1013">
        <v>4408593</v>
      </c>
      <c r="F1013" t="s">
        <v>742</v>
      </c>
      <c r="G1013" t="s">
        <v>782</v>
      </c>
      <c r="H1013" t="s">
        <v>6260</v>
      </c>
      <c r="I1013" s="12">
        <v>46015</v>
      </c>
      <c r="J1013">
        <v>1</v>
      </c>
      <c r="K1013" t="str">
        <f>VLOOKUP(A1013,'TV May Monthly Billing Sites'!$A:$L,1,0)</f>
        <v>76202162</v>
      </c>
    </row>
    <row r="1014" spans="1:11">
      <c r="A1014" t="str">
        <f t="shared" si="15"/>
        <v>76202167</v>
      </c>
      <c r="B1014">
        <v>76202167</v>
      </c>
      <c r="C1014" t="s">
        <v>6476</v>
      </c>
      <c r="D1014" t="s">
        <v>3363</v>
      </c>
      <c r="E1014">
        <v>4408593</v>
      </c>
      <c r="F1014" t="s">
        <v>742</v>
      </c>
      <c r="G1014" t="s">
        <v>782</v>
      </c>
      <c r="H1014" t="s">
        <v>6260</v>
      </c>
      <c r="I1014" s="12">
        <v>46015</v>
      </c>
      <c r="J1014">
        <v>1</v>
      </c>
      <c r="K1014" t="str">
        <f>VLOOKUP(A1014,'TV May Monthly Billing Sites'!$A:$L,1,0)</f>
        <v>76202167</v>
      </c>
    </row>
    <row r="1015" spans="1:11">
      <c r="A1015" t="str">
        <f t="shared" si="15"/>
        <v>76202585</v>
      </c>
      <c r="B1015">
        <v>76202585</v>
      </c>
      <c r="C1015" t="s">
        <v>6477</v>
      </c>
      <c r="D1015" t="s">
        <v>3365</v>
      </c>
      <c r="E1015">
        <v>4408593</v>
      </c>
      <c r="F1015" t="s">
        <v>742</v>
      </c>
      <c r="G1015" t="s">
        <v>782</v>
      </c>
      <c r="H1015" t="s">
        <v>6478</v>
      </c>
      <c r="I1015" s="12">
        <v>45791</v>
      </c>
      <c r="J1015">
        <v>1</v>
      </c>
      <c r="K1015" t="str">
        <f>VLOOKUP(A1015,'TV May Monthly Billing Sites'!$A:$L,1,0)</f>
        <v>76202585</v>
      </c>
    </row>
    <row r="1016" spans="1:11">
      <c r="A1016" t="str">
        <f t="shared" si="15"/>
        <v>76202773</v>
      </c>
      <c r="B1016">
        <v>76202773</v>
      </c>
      <c r="C1016" t="s">
        <v>6479</v>
      </c>
      <c r="D1016" t="s">
        <v>6480</v>
      </c>
      <c r="E1016">
        <v>4508714</v>
      </c>
      <c r="F1016" t="s">
        <v>742</v>
      </c>
      <c r="G1016" t="s">
        <v>743</v>
      </c>
      <c r="H1016" t="s">
        <v>6331</v>
      </c>
      <c r="I1016" s="12">
        <v>45561</v>
      </c>
      <c r="J1016">
        <v>1</v>
      </c>
      <c r="K1016" t="str">
        <f>VLOOKUP(A1016,'TV May Monthly Billing Sites'!$A:$L,1,0)</f>
        <v>76202773</v>
      </c>
    </row>
    <row r="1017" spans="1:11">
      <c r="A1017" t="str">
        <f t="shared" si="15"/>
        <v>76202969</v>
      </c>
      <c r="B1017">
        <v>76202969</v>
      </c>
      <c r="C1017" t="s">
        <v>6481</v>
      </c>
      <c r="D1017" t="s">
        <v>6482</v>
      </c>
      <c r="E1017">
        <v>4508714</v>
      </c>
      <c r="F1017" t="s">
        <v>742</v>
      </c>
      <c r="G1017" t="s">
        <v>743</v>
      </c>
      <c r="H1017" t="s">
        <v>6141</v>
      </c>
      <c r="I1017" s="12">
        <v>45747</v>
      </c>
      <c r="J1017">
        <v>1</v>
      </c>
      <c r="K1017" t="str">
        <f>VLOOKUP(A1017,'TV May Monthly Billing Sites'!$A:$L,1,0)</f>
        <v>76202969</v>
      </c>
    </row>
    <row r="1018" spans="1:11">
      <c r="A1018" t="str">
        <f t="shared" si="15"/>
        <v>76203096</v>
      </c>
      <c r="B1018">
        <v>76203096</v>
      </c>
      <c r="C1018" t="s">
        <v>6483</v>
      </c>
      <c r="D1018" t="s">
        <v>6484</v>
      </c>
      <c r="E1018">
        <v>4508675</v>
      </c>
      <c r="F1018" t="s">
        <v>742</v>
      </c>
      <c r="G1018" t="s">
        <v>828</v>
      </c>
      <c r="H1018" t="s">
        <v>1171</v>
      </c>
      <c r="I1018" s="12">
        <v>45113</v>
      </c>
      <c r="J1018">
        <v>1</v>
      </c>
      <c r="K1018" t="str">
        <f>VLOOKUP(A1018,'TV May Monthly Billing Sites'!$A:$L,1,0)</f>
        <v>76203096</v>
      </c>
    </row>
    <row r="1019" spans="1:11">
      <c r="A1019" t="str">
        <f t="shared" si="15"/>
        <v>76203101</v>
      </c>
      <c r="B1019">
        <v>76203101</v>
      </c>
      <c r="C1019" t="s">
        <v>6485</v>
      </c>
      <c r="D1019" t="s">
        <v>3373</v>
      </c>
      <c r="E1019">
        <v>4508714</v>
      </c>
      <c r="F1019" t="s">
        <v>742</v>
      </c>
      <c r="G1019" t="s">
        <v>743</v>
      </c>
      <c r="H1019" t="s">
        <v>5597</v>
      </c>
      <c r="I1019" s="12">
        <v>45715</v>
      </c>
      <c r="J1019">
        <v>1</v>
      </c>
      <c r="K1019" t="str">
        <f>VLOOKUP(A1019,'TV May Monthly Billing Sites'!$A:$L,1,0)</f>
        <v>76203101</v>
      </c>
    </row>
    <row r="1020" spans="1:11">
      <c r="A1020" t="str">
        <f t="shared" si="15"/>
        <v>76203379</v>
      </c>
      <c r="B1020">
        <v>76203379</v>
      </c>
      <c r="C1020" t="s">
        <v>6486</v>
      </c>
      <c r="D1020" t="s">
        <v>6487</v>
      </c>
      <c r="E1020">
        <v>4408593</v>
      </c>
      <c r="F1020" t="s">
        <v>742</v>
      </c>
      <c r="G1020" t="s">
        <v>782</v>
      </c>
      <c r="H1020" t="s">
        <v>6260</v>
      </c>
      <c r="I1020" s="12">
        <v>46015</v>
      </c>
      <c r="J1020">
        <v>1</v>
      </c>
      <c r="K1020" t="str">
        <f>VLOOKUP(A1020,'TV May Monthly Billing Sites'!$A:$L,1,0)</f>
        <v>76203379</v>
      </c>
    </row>
    <row r="1021" spans="1:11">
      <c r="A1021" t="str">
        <f t="shared" si="15"/>
        <v>76203392</v>
      </c>
      <c r="B1021">
        <v>76203392</v>
      </c>
      <c r="C1021" t="s">
        <v>6488</v>
      </c>
      <c r="D1021" t="s">
        <v>3377</v>
      </c>
      <c r="E1021">
        <v>4508714</v>
      </c>
      <c r="F1021" t="s">
        <v>742</v>
      </c>
      <c r="G1021" t="s">
        <v>743</v>
      </c>
      <c r="H1021" t="s">
        <v>6427</v>
      </c>
      <c r="I1021" s="12">
        <v>45625</v>
      </c>
      <c r="J1021">
        <v>1</v>
      </c>
      <c r="K1021" t="str">
        <f>VLOOKUP(A1021,'TV May Monthly Billing Sites'!$A:$L,1,0)</f>
        <v>76203392</v>
      </c>
    </row>
    <row r="1022" spans="1:11">
      <c r="A1022" t="str">
        <f t="shared" si="15"/>
        <v>76203700</v>
      </c>
      <c r="B1022">
        <v>76203700</v>
      </c>
      <c r="C1022" t="s">
        <v>6489</v>
      </c>
      <c r="D1022" t="s">
        <v>3379</v>
      </c>
      <c r="E1022">
        <v>4508714</v>
      </c>
      <c r="F1022" t="s">
        <v>742</v>
      </c>
      <c r="G1022" t="s">
        <v>743</v>
      </c>
      <c r="H1022" t="s">
        <v>5327</v>
      </c>
      <c r="I1022" s="12">
        <v>45295</v>
      </c>
      <c r="J1022">
        <v>1</v>
      </c>
      <c r="K1022" t="str">
        <f>VLOOKUP(A1022,'TV May Monthly Billing Sites'!$A:$L,1,0)</f>
        <v>76203700</v>
      </c>
    </row>
    <row r="1023" spans="1:11">
      <c r="A1023" t="str">
        <f t="shared" si="15"/>
        <v>76203742</v>
      </c>
      <c r="B1023">
        <v>76203742</v>
      </c>
      <c r="C1023" t="s">
        <v>6490</v>
      </c>
      <c r="D1023" t="s">
        <v>3381</v>
      </c>
      <c r="E1023">
        <v>4508714</v>
      </c>
      <c r="F1023" t="s">
        <v>742</v>
      </c>
      <c r="G1023" t="s">
        <v>743</v>
      </c>
      <c r="H1023" t="s">
        <v>5327</v>
      </c>
      <c r="I1023" s="12">
        <v>45295</v>
      </c>
      <c r="J1023">
        <v>1</v>
      </c>
      <c r="K1023" t="str">
        <f>VLOOKUP(A1023,'TV May Monthly Billing Sites'!$A:$L,1,0)</f>
        <v>76203742</v>
      </c>
    </row>
    <row r="1024" spans="1:11">
      <c r="A1024" t="str">
        <f t="shared" si="15"/>
        <v>76203763</v>
      </c>
      <c r="B1024">
        <v>76203763</v>
      </c>
      <c r="C1024" t="s">
        <v>6491</v>
      </c>
      <c r="D1024" t="s">
        <v>3383</v>
      </c>
      <c r="E1024">
        <v>4408592</v>
      </c>
      <c r="F1024" t="s">
        <v>742</v>
      </c>
      <c r="G1024" t="s">
        <v>823</v>
      </c>
      <c r="H1024" t="s">
        <v>6492</v>
      </c>
      <c r="I1024" s="12">
        <v>45618</v>
      </c>
      <c r="J1024">
        <v>1</v>
      </c>
      <c r="K1024" t="str">
        <f>VLOOKUP(A1024,'TV May Monthly Billing Sites'!$A:$L,1,0)</f>
        <v>76203763</v>
      </c>
    </row>
    <row r="1025" spans="1:12">
      <c r="A1025" t="str">
        <f t="shared" si="15"/>
        <v>76203889</v>
      </c>
      <c r="B1025">
        <v>76203889</v>
      </c>
      <c r="C1025" t="s">
        <v>6493</v>
      </c>
      <c r="D1025" t="s">
        <v>6494</v>
      </c>
      <c r="E1025">
        <v>4508692</v>
      </c>
      <c r="F1025" t="s">
        <v>742</v>
      </c>
      <c r="G1025" t="s">
        <v>5338</v>
      </c>
      <c r="H1025" t="s">
        <v>5810</v>
      </c>
      <c r="I1025" s="12">
        <v>45679</v>
      </c>
      <c r="J1025">
        <v>1</v>
      </c>
      <c r="K1025" t="str">
        <f>VLOOKUP(A1025,'TV May Monthly Billing Sites'!$A:$L,1,0)</f>
        <v>76203889</v>
      </c>
    </row>
    <row r="1026" spans="1:12">
      <c r="A1026" t="str">
        <f t="shared" ref="A1026:A1089" si="16">TRIM(B1026)</f>
        <v>76204147</v>
      </c>
      <c r="B1026">
        <v>76204147</v>
      </c>
      <c r="C1026" t="s">
        <v>6495</v>
      </c>
      <c r="D1026" t="s">
        <v>3387</v>
      </c>
      <c r="E1026">
        <v>4508714</v>
      </c>
      <c r="F1026" t="s">
        <v>742</v>
      </c>
      <c r="G1026" t="s">
        <v>743</v>
      </c>
      <c r="H1026" t="s">
        <v>1096</v>
      </c>
      <c r="I1026" s="12">
        <v>45961</v>
      </c>
      <c r="J1026">
        <v>1</v>
      </c>
      <c r="K1026" t="str">
        <f>VLOOKUP(A1026,'TV May Monthly Billing Sites'!$A:$L,1,0)</f>
        <v>76204147</v>
      </c>
    </row>
    <row r="1027" spans="1:12">
      <c r="A1027" t="str">
        <f t="shared" si="16"/>
        <v>76204178</v>
      </c>
      <c r="B1027">
        <v>76204178</v>
      </c>
      <c r="C1027" t="s">
        <v>6496</v>
      </c>
      <c r="D1027" t="s">
        <v>6497</v>
      </c>
      <c r="E1027">
        <v>4508714</v>
      </c>
      <c r="F1027" t="s">
        <v>742</v>
      </c>
      <c r="G1027" t="s">
        <v>743</v>
      </c>
      <c r="H1027" t="s">
        <v>5150</v>
      </c>
      <c r="I1027" s="12">
        <v>45653</v>
      </c>
      <c r="J1027">
        <v>1</v>
      </c>
      <c r="K1027" t="str">
        <f>VLOOKUP(A1027,'TV May Monthly Billing Sites'!$A:$L,1,0)</f>
        <v>76204178</v>
      </c>
    </row>
    <row r="1028" spans="1:12">
      <c r="A1028" t="str">
        <f t="shared" si="16"/>
        <v>76204179</v>
      </c>
      <c r="B1028">
        <v>76204179</v>
      </c>
      <c r="C1028" t="s">
        <v>6498</v>
      </c>
      <c r="D1028" t="s">
        <v>6499</v>
      </c>
      <c r="E1028">
        <v>4508714</v>
      </c>
      <c r="F1028" t="s">
        <v>742</v>
      </c>
      <c r="G1028" t="s">
        <v>743</v>
      </c>
      <c r="H1028" t="s">
        <v>5150</v>
      </c>
      <c r="I1028" s="12">
        <v>45653</v>
      </c>
      <c r="J1028">
        <v>1</v>
      </c>
      <c r="K1028" t="str">
        <f>VLOOKUP(A1028,'TV May Monthly Billing Sites'!$A:$L,1,0)</f>
        <v>76204179</v>
      </c>
    </row>
    <row r="1029" spans="1:12">
      <c r="A1029" t="str">
        <f t="shared" si="16"/>
        <v>76204181</v>
      </c>
      <c r="B1029">
        <v>76204181</v>
      </c>
      <c r="C1029" t="s">
        <v>6500</v>
      </c>
      <c r="D1029" t="s">
        <v>6501</v>
      </c>
      <c r="E1029">
        <v>4508714</v>
      </c>
      <c r="F1029" t="s">
        <v>742</v>
      </c>
      <c r="G1029" t="s">
        <v>743</v>
      </c>
      <c r="H1029" t="s">
        <v>5150</v>
      </c>
      <c r="I1029" s="12">
        <v>46133</v>
      </c>
      <c r="J1029">
        <v>1</v>
      </c>
      <c r="K1029" t="str">
        <f>VLOOKUP(A1029,'TV May Monthly Billing Sites'!$A:$L,1,0)</f>
        <v>76204181</v>
      </c>
    </row>
    <row r="1030" spans="1:12">
      <c r="A1030" t="str">
        <f t="shared" si="16"/>
        <v>76204183</v>
      </c>
      <c r="B1030">
        <v>76204183</v>
      </c>
      <c r="C1030" t="s">
        <v>6502</v>
      </c>
      <c r="D1030" t="s">
        <v>6503</v>
      </c>
      <c r="E1030">
        <v>4508714</v>
      </c>
      <c r="F1030" t="s">
        <v>742</v>
      </c>
      <c r="G1030" t="s">
        <v>743</v>
      </c>
      <c r="H1030" t="s">
        <v>5150</v>
      </c>
      <c r="I1030" s="12">
        <v>45653</v>
      </c>
      <c r="J1030">
        <v>1</v>
      </c>
      <c r="K1030" t="str">
        <f>VLOOKUP(A1030,'TV May Monthly Billing Sites'!$A:$L,1,0)</f>
        <v>76204183</v>
      </c>
    </row>
    <row r="1031" spans="1:12">
      <c r="A1031" t="str">
        <f t="shared" si="16"/>
        <v>76204189</v>
      </c>
      <c r="B1031">
        <v>76204189</v>
      </c>
      <c r="C1031" t="s">
        <v>6504</v>
      </c>
      <c r="D1031" t="s">
        <v>6505</v>
      </c>
      <c r="E1031">
        <v>4508714</v>
      </c>
      <c r="F1031" t="s">
        <v>742</v>
      </c>
      <c r="G1031" t="s">
        <v>743</v>
      </c>
      <c r="H1031" t="s">
        <v>5150</v>
      </c>
      <c r="I1031" s="12">
        <v>45653</v>
      </c>
      <c r="J1031">
        <v>1</v>
      </c>
      <c r="K1031" t="str">
        <f>VLOOKUP(A1031,'TV May Monthly Billing Sites'!$A:$L,1,0)</f>
        <v>76204189</v>
      </c>
    </row>
    <row r="1032" spans="1:12">
      <c r="A1032" t="str">
        <f t="shared" si="16"/>
        <v>76204278</v>
      </c>
      <c r="B1032">
        <v>76204278</v>
      </c>
      <c r="C1032" t="s">
        <v>6506</v>
      </c>
      <c r="D1032" t="s">
        <v>6507</v>
      </c>
      <c r="E1032">
        <v>4508714</v>
      </c>
      <c r="F1032" t="s">
        <v>742</v>
      </c>
      <c r="G1032" t="s">
        <v>743</v>
      </c>
      <c r="H1032" t="s">
        <v>4890</v>
      </c>
      <c r="I1032" s="12">
        <v>45719</v>
      </c>
      <c r="J1032">
        <v>1</v>
      </c>
      <c r="K1032" t="str">
        <f>VLOOKUP(A1032,'TV May Monthly Billing Sites'!$A:$L,1,0)</f>
        <v>76204278</v>
      </c>
    </row>
    <row r="1033" spans="1:12">
      <c r="A1033" t="str">
        <f t="shared" si="16"/>
        <v>76204642</v>
      </c>
      <c r="B1033">
        <v>76204642</v>
      </c>
      <c r="C1033" t="s">
        <v>1013</v>
      </c>
      <c r="D1033" t="s">
        <v>1014</v>
      </c>
      <c r="E1033">
        <v>4508714</v>
      </c>
      <c r="F1033" t="s">
        <v>742</v>
      </c>
      <c r="G1033" t="s">
        <v>743</v>
      </c>
      <c r="H1033" t="s">
        <v>762</v>
      </c>
      <c r="I1033" s="12">
        <v>45622</v>
      </c>
      <c r="J1033">
        <v>1</v>
      </c>
      <c r="K1033" t="e">
        <f>VLOOKUP(A1033,'TV May Monthly Billing Sites'!$A:$L,1,0)</f>
        <v>#N/A</v>
      </c>
      <c r="L1033" t="e">
        <f>VLOOKUP(D1033,'TV May Monthly Billing Sites'!$B:$L,1,0)</f>
        <v>#N/A</v>
      </c>
    </row>
    <row r="1034" spans="1:12">
      <c r="A1034" t="str">
        <f t="shared" si="16"/>
        <v>76204679</v>
      </c>
      <c r="B1034">
        <v>76204679</v>
      </c>
      <c r="C1034" t="s">
        <v>6508</v>
      </c>
      <c r="D1034" t="s">
        <v>3399</v>
      </c>
      <c r="E1034">
        <v>4508714</v>
      </c>
      <c r="F1034" t="s">
        <v>742</v>
      </c>
      <c r="G1034" t="s">
        <v>743</v>
      </c>
      <c r="H1034" t="s">
        <v>5278</v>
      </c>
      <c r="I1034" s="12">
        <v>45656</v>
      </c>
      <c r="J1034">
        <v>1</v>
      </c>
      <c r="K1034" t="str">
        <f>VLOOKUP(A1034,'TV May Monthly Billing Sites'!$A:$L,1,0)</f>
        <v>76204679</v>
      </c>
    </row>
    <row r="1035" spans="1:12">
      <c r="A1035" t="str">
        <f t="shared" si="16"/>
        <v>76204818</v>
      </c>
      <c r="B1035">
        <v>76204818</v>
      </c>
      <c r="C1035" t="s">
        <v>6509</v>
      </c>
      <c r="D1035" t="s">
        <v>3401</v>
      </c>
      <c r="E1035">
        <v>4508714</v>
      </c>
      <c r="F1035" t="s">
        <v>742</v>
      </c>
      <c r="G1035" t="s">
        <v>743</v>
      </c>
      <c r="H1035" t="s">
        <v>5605</v>
      </c>
      <c r="I1035" s="12">
        <v>45581</v>
      </c>
      <c r="J1035">
        <v>1</v>
      </c>
      <c r="K1035" t="str">
        <f>VLOOKUP(A1035,'TV May Monthly Billing Sites'!$A:$L,1,0)</f>
        <v>76204818</v>
      </c>
    </row>
    <row r="1036" spans="1:12">
      <c r="A1036" t="str">
        <f t="shared" si="16"/>
        <v>76205075</v>
      </c>
      <c r="B1036">
        <v>76205075</v>
      </c>
      <c r="C1036" t="s">
        <v>6510</v>
      </c>
      <c r="D1036" t="s">
        <v>6511</v>
      </c>
      <c r="E1036">
        <v>4508714</v>
      </c>
      <c r="F1036" t="s">
        <v>742</v>
      </c>
      <c r="G1036" t="s">
        <v>743</v>
      </c>
      <c r="H1036" t="s">
        <v>6049</v>
      </c>
      <c r="I1036" s="12">
        <v>45971</v>
      </c>
      <c r="J1036">
        <v>1</v>
      </c>
      <c r="K1036" t="str">
        <f>VLOOKUP(A1036,'TV May Monthly Billing Sites'!$A:$L,1,0)</f>
        <v>76205075</v>
      </c>
    </row>
    <row r="1037" spans="1:12">
      <c r="A1037" t="str">
        <f t="shared" si="16"/>
        <v>76205076</v>
      </c>
      <c r="B1037">
        <v>76205076</v>
      </c>
      <c r="C1037" t="s">
        <v>6512</v>
      </c>
      <c r="D1037" t="s">
        <v>3405</v>
      </c>
      <c r="E1037">
        <v>4408593</v>
      </c>
      <c r="F1037" t="s">
        <v>742</v>
      </c>
      <c r="G1037" t="s">
        <v>782</v>
      </c>
      <c r="H1037" t="s">
        <v>5252</v>
      </c>
      <c r="I1037" s="12">
        <v>45646</v>
      </c>
      <c r="J1037">
        <v>1</v>
      </c>
      <c r="K1037" t="str">
        <f>VLOOKUP(A1037,'TV May Monthly Billing Sites'!$A:$L,1,0)</f>
        <v>76205076</v>
      </c>
    </row>
    <row r="1038" spans="1:12">
      <c r="A1038" t="str">
        <f t="shared" si="16"/>
        <v>76205095</v>
      </c>
      <c r="B1038">
        <v>76205095</v>
      </c>
      <c r="C1038" t="s">
        <v>6513</v>
      </c>
      <c r="D1038" t="s">
        <v>6514</v>
      </c>
      <c r="E1038">
        <v>4508714</v>
      </c>
      <c r="F1038" t="s">
        <v>742</v>
      </c>
      <c r="G1038" t="s">
        <v>743</v>
      </c>
      <c r="H1038" t="s">
        <v>6515</v>
      </c>
      <c r="I1038" s="12">
        <v>45685</v>
      </c>
      <c r="J1038">
        <v>1</v>
      </c>
      <c r="K1038" t="str">
        <f>VLOOKUP(A1038,'TV May Monthly Billing Sites'!$A:$L,1,0)</f>
        <v>76205095</v>
      </c>
    </row>
    <row r="1039" spans="1:12">
      <c r="A1039" t="str">
        <f t="shared" si="16"/>
        <v>76205123</v>
      </c>
      <c r="B1039">
        <v>76205123</v>
      </c>
      <c r="C1039" t="s">
        <v>1016</v>
      </c>
      <c r="D1039" t="s">
        <v>1017</v>
      </c>
      <c r="E1039">
        <v>4508714</v>
      </c>
      <c r="F1039" t="s">
        <v>742</v>
      </c>
      <c r="G1039" t="s">
        <v>743</v>
      </c>
      <c r="H1039" t="s">
        <v>762</v>
      </c>
      <c r="I1039" s="12">
        <v>45622</v>
      </c>
      <c r="J1039">
        <v>1</v>
      </c>
      <c r="K1039" t="e">
        <f>VLOOKUP(A1039,'TV May Monthly Billing Sites'!$A:$L,1,0)</f>
        <v>#N/A</v>
      </c>
      <c r="L1039" t="e">
        <f>VLOOKUP(D1039,'TV May Monthly Billing Sites'!$B:$L,1,0)</f>
        <v>#N/A</v>
      </c>
    </row>
    <row r="1040" spans="1:12">
      <c r="A1040" t="str">
        <f t="shared" si="16"/>
        <v>76205154</v>
      </c>
      <c r="B1040">
        <v>76205154</v>
      </c>
      <c r="C1040" t="s">
        <v>6516</v>
      </c>
      <c r="D1040" t="s">
        <v>3409</v>
      </c>
      <c r="E1040">
        <v>4508675</v>
      </c>
      <c r="F1040" t="s">
        <v>742</v>
      </c>
      <c r="G1040" t="s">
        <v>828</v>
      </c>
      <c r="H1040" t="s">
        <v>5109</v>
      </c>
      <c r="I1040" s="12">
        <v>46071</v>
      </c>
      <c r="J1040">
        <v>1</v>
      </c>
      <c r="K1040" t="str">
        <f>VLOOKUP(A1040,'TV May Monthly Billing Sites'!$A:$L,1,0)</f>
        <v>76205154</v>
      </c>
    </row>
    <row r="1041" spans="1:11">
      <c r="A1041" t="str">
        <f t="shared" si="16"/>
        <v>76205529</v>
      </c>
      <c r="B1041">
        <v>76205529</v>
      </c>
      <c r="C1041" t="s">
        <v>6517</v>
      </c>
      <c r="D1041" t="s">
        <v>6518</v>
      </c>
      <c r="E1041">
        <v>4508714</v>
      </c>
      <c r="F1041" t="s">
        <v>742</v>
      </c>
      <c r="G1041" t="s">
        <v>743</v>
      </c>
      <c r="H1041" t="s">
        <v>6331</v>
      </c>
      <c r="I1041" s="12">
        <v>45561</v>
      </c>
      <c r="J1041">
        <v>1</v>
      </c>
      <c r="K1041" t="str">
        <f>VLOOKUP(A1041,'TV May Monthly Billing Sites'!$A:$L,1,0)</f>
        <v>76205529</v>
      </c>
    </row>
    <row r="1042" spans="1:11">
      <c r="A1042" t="str">
        <f t="shared" si="16"/>
        <v>76205530</v>
      </c>
      <c r="B1042">
        <v>76205530</v>
      </c>
      <c r="C1042" t="s">
        <v>6519</v>
      </c>
      <c r="D1042" t="s">
        <v>6520</v>
      </c>
      <c r="E1042">
        <v>4508714</v>
      </c>
      <c r="F1042" t="s">
        <v>742</v>
      </c>
      <c r="G1042" t="s">
        <v>743</v>
      </c>
      <c r="H1042" t="s">
        <v>6331</v>
      </c>
      <c r="I1042" s="12">
        <v>45561</v>
      </c>
      <c r="J1042">
        <v>1</v>
      </c>
      <c r="K1042" t="str">
        <f>VLOOKUP(A1042,'TV May Monthly Billing Sites'!$A:$L,1,0)</f>
        <v>76205530</v>
      </c>
    </row>
    <row r="1043" spans="1:11">
      <c r="A1043" t="str">
        <f t="shared" si="16"/>
        <v>76205531</v>
      </c>
      <c r="B1043">
        <v>76205531</v>
      </c>
      <c r="C1043" t="s">
        <v>6521</v>
      </c>
      <c r="D1043" t="s">
        <v>6522</v>
      </c>
      <c r="E1043">
        <v>4508714</v>
      </c>
      <c r="F1043" t="s">
        <v>742</v>
      </c>
      <c r="G1043" t="s">
        <v>743</v>
      </c>
      <c r="H1043" t="s">
        <v>6331</v>
      </c>
      <c r="I1043" s="12">
        <v>45561</v>
      </c>
      <c r="J1043">
        <v>1</v>
      </c>
      <c r="K1043" t="str">
        <f>VLOOKUP(A1043,'TV May Monthly Billing Sites'!$A:$L,1,0)</f>
        <v>76205531</v>
      </c>
    </row>
    <row r="1044" spans="1:11">
      <c r="A1044" t="str">
        <f t="shared" si="16"/>
        <v>76205533</v>
      </c>
      <c r="B1044">
        <v>76205533</v>
      </c>
      <c r="C1044" t="s">
        <v>6523</v>
      </c>
      <c r="D1044" t="s">
        <v>6524</v>
      </c>
      <c r="E1044">
        <v>4508714</v>
      </c>
      <c r="F1044" t="s">
        <v>742</v>
      </c>
      <c r="G1044" t="s">
        <v>743</v>
      </c>
      <c r="H1044" t="s">
        <v>6331</v>
      </c>
      <c r="I1044" s="12">
        <v>45561</v>
      </c>
      <c r="J1044">
        <v>1</v>
      </c>
      <c r="K1044" t="str">
        <f>VLOOKUP(A1044,'TV May Monthly Billing Sites'!$A:$L,1,0)</f>
        <v>76205533</v>
      </c>
    </row>
    <row r="1045" spans="1:11">
      <c r="A1045" t="str">
        <f t="shared" si="16"/>
        <v>76205534</v>
      </c>
      <c r="B1045">
        <v>76205534</v>
      </c>
      <c r="C1045" t="s">
        <v>6525</v>
      </c>
      <c r="D1045" t="s">
        <v>6526</v>
      </c>
      <c r="E1045">
        <v>4508714</v>
      </c>
      <c r="F1045" t="s">
        <v>742</v>
      </c>
      <c r="G1045" t="s">
        <v>743</v>
      </c>
      <c r="H1045" t="s">
        <v>6331</v>
      </c>
      <c r="I1045" s="12">
        <v>45561</v>
      </c>
      <c r="J1045">
        <v>1</v>
      </c>
      <c r="K1045" t="str">
        <f>VLOOKUP(A1045,'TV May Monthly Billing Sites'!$A:$L,1,0)</f>
        <v>76205534</v>
      </c>
    </row>
    <row r="1046" spans="1:11">
      <c r="A1046" t="str">
        <f t="shared" si="16"/>
        <v>76205535</v>
      </c>
      <c r="B1046">
        <v>76205535</v>
      </c>
      <c r="C1046" t="s">
        <v>6527</v>
      </c>
      <c r="D1046" t="s">
        <v>6528</v>
      </c>
      <c r="E1046">
        <v>4508714</v>
      </c>
      <c r="F1046" t="s">
        <v>742</v>
      </c>
      <c r="G1046" t="s">
        <v>743</v>
      </c>
      <c r="H1046" t="s">
        <v>6331</v>
      </c>
      <c r="I1046" s="12">
        <v>45561</v>
      </c>
      <c r="J1046">
        <v>1</v>
      </c>
      <c r="K1046" t="str">
        <f>VLOOKUP(A1046,'TV May Monthly Billing Sites'!$A:$L,1,0)</f>
        <v>76205535</v>
      </c>
    </row>
    <row r="1047" spans="1:11">
      <c r="A1047" t="str">
        <f t="shared" si="16"/>
        <v>76205536</v>
      </c>
      <c r="B1047">
        <v>76205536</v>
      </c>
      <c r="C1047" t="s">
        <v>6529</v>
      </c>
      <c r="D1047" t="s">
        <v>6530</v>
      </c>
      <c r="E1047">
        <v>4508714</v>
      </c>
      <c r="F1047" t="s">
        <v>742</v>
      </c>
      <c r="G1047" t="s">
        <v>743</v>
      </c>
      <c r="H1047" t="s">
        <v>6331</v>
      </c>
      <c r="I1047" s="12">
        <v>45561</v>
      </c>
      <c r="J1047">
        <v>1</v>
      </c>
      <c r="K1047" t="str">
        <f>VLOOKUP(A1047,'TV May Monthly Billing Sites'!$A:$L,1,0)</f>
        <v>76205536</v>
      </c>
    </row>
    <row r="1048" spans="1:11">
      <c r="A1048" t="str">
        <f t="shared" si="16"/>
        <v>76205537</v>
      </c>
      <c r="B1048">
        <v>76205537</v>
      </c>
      <c r="C1048" t="s">
        <v>6531</v>
      </c>
      <c r="D1048" t="s">
        <v>6532</v>
      </c>
      <c r="E1048">
        <v>4408593</v>
      </c>
      <c r="F1048" t="s">
        <v>742</v>
      </c>
      <c r="G1048" t="s">
        <v>782</v>
      </c>
      <c r="H1048" t="s">
        <v>6331</v>
      </c>
      <c r="I1048" s="12">
        <v>45561</v>
      </c>
      <c r="J1048">
        <v>1</v>
      </c>
      <c r="K1048" t="str">
        <f>VLOOKUP(A1048,'TV May Monthly Billing Sites'!$A:$L,1,0)</f>
        <v>76205537</v>
      </c>
    </row>
    <row r="1049" spans="1:11">
      <c r="A1049" t="str">
        <f t="shared" si="16"/>
        <v>76205538</v>
      </c>
      <c r="B1049">
        <v>76205538</v>
      </c>
      <c r="C1049" t="s">
        <v>6533</v>
      </c>
      <c r="D1049" t="s">
        <v>6534</v>
      </c>
      <c r="E1049">
        <v>4508714</v>
      </c>
      <c r="F1049" t="s">
        <v>742</v>
      </c>
      <c r="G1049" t="s">
        <v>743</v>
      </c>
      <c r="H1049" t="s">
        <v>6331</v>
      </c>
      <c r="I1049" s="12">
        <v>45561</v>
      </c>
      <c r="J1049">
        <v>1</v>
      </c>
      <c r="K1049" t="str">
        <f>VLOOKUP(A1049,'TV May Monthly Billing Sites'!$A:$L,1,0)</f>
        <v>76205538</v>
      </c>
    </row>
    <row r="1050" spans="1:11">
      <c r="A1050" t="str">
        <f t="shared" si="16"/>
        <v>76205554</v>
      </c>
      <c r="B1050">
        <v>76205554</v>
      </c>
      <c r="C1050" t="s">
        <v>6535</v>
      </c>
      <c r="D1050" t="s">
        <v>3429</v>
      </c>
      <c r="E1050">
        <v>4508714</v>
      </c>
      <c r="F1050" t="s">
        <v>742</v>
      </c>
      <c r="G1050" t="s">
        <v>743</v>
      </c>
      <c r="H1050" t="s">
        <v>6049</v>
      </c>
      <c r="I1050" s="12">
        <v>45971</v>
      </c>
      <c r="J1050">
        <v>1</v>
      </c>
      <c r="K1050" t="str">
        <f>VLOOKUP(A1050,'TV May Monthly Billing Sites'!$A:$L,1,0)</f>
        <v>76205554</v>
      </c>
    </row>
    <row r="1051" spans="1:11">
      <c r="A1051" t="str">
        <f t="shared" si="16"/>
        <v>76205917</v>
      </c>
      <c r="B1051">
        <v>76205917</v>
      </c>
      <c r="C1051" t="s">
        <v>6536</v>
      </c>
      <c r="D1051" t="s">
        <v>3431</v>
      </c>
      <c r="E1051">
        <v>4508714</v>
      </c>
      <c r="F1051" t="s">
        <v>742</v>
      </c>
      <c r="G1051" t="s">
        <v>743</v>
      </c>
      <c r="H1051" t="s">
        <v>6537</v>
      </c>
      <c r="I1051" s="12">
        <v>45397</v>
      </c>
      <c r="J1051">
        <v>1</v>
      </c>
      <c r="K1051" t="str">
        <f>VLOOKUP(A1051,'TV May Monthly Billing Sites'!$A:$L,1,0)</f>
        <v>76205917</v>
      </c>
    </row>
    <row r="1052" spans="1:11">
      <c r="A1052" t="str">
        <f t="shared" si="16"/>
        <v>76205968</v>
      </c>
      <c r="B1052">
        <v>76205968</v>
      </c>
      <c r="C1052" t="s">
        <v>6538</v>
      </c>
      <c r="D1052" t="s">
        <v>3433</v>
      </c>
      <c r="E1052">
        <v>4508714</v>
      </c>
      <c r="F1052" t="s">
        <v>742</v>
      </c>
      <c r="G1052" t="s">
        <v>743</v>
      </c>
      <c r="H1052" t="s">
        <v>6539</v>
      </c>
      <c r="I1052" s="12">
        <v>45839</v>
      </c>
      <c r="J1052">
        <v>1</v>
      </c>
      <c r="K1052" t="str">
        <f>VLOOKUP(A1052,'TV May Monthly Billing Sites'!$A:$L,1,0)</f>
        <v>76205968</v>
      </c>
    </row>
    <row r="1053" spans="1:11">
      <c r="A1053" t="str">
        <f t="shared" si="16"/>
        <v>76206035</v>
      </c>
      <c r="B1053">
        <v>76206035</v>
      </c>
      <c r="C1053" t="s">
        <v>6540</v>
      </c>
      <c r="D1053" t="s">
        <v>3435</v>
      </c>
      <c r="E1053">
        <v>4508714</v>
      </c>
      <c r="F1053" t="s">
        <v>742</v>
      </c>
      <c r="G1053" t="s">
        <v>743</v>
      </c>
      <c r="H1053" t="s">
        <v>4846</v>
      </c>
      <c r="I1053" s="12">
        <v>45625</v>
      </c>
      <c r="J1053">
        <v>1</v>
      </c>
      <c r="K1053" t="str">
        <f>VLOOKUP(A1053,'TV May Monthly Billing Sites'!$A:$L,1,0)</f>
        <v>76206035</v>
      </c>
    </row>
    <row r="1054" spans="1:11">
      <c r="A1054" t="str">
        <f t="shared" si="16"/>
        <v>76206272</v>
      </c>
      <c r="B1054">
        <v>76206272</v>
      </c>
      <c r="C1054" t="s">
        <v>6541</v>
      </c>
      <c r="D1054" t="s">
        <v>6542</v>
      </c>
      <c r="E1054">
        <v>4508714</v>
      </c>
      <c r="F1054" t="s">
        <v>742</v>
      </c>
      <c r="G1054" t="s">
        <v>743</v>
      </c>
      <c r="H1054" t="s">
        <v>6543</v>
      </c>
      <c r="I1054" s="12">
        <v>45999</v>
      </c>
      <c r="J1054">
        <v>1</v>
      </c>
      <c r="K1054" t="str">
        <f>VLOOKUP(A1054,'TV May Monthly Billing Sites'!$A:$L,1,0)</f>
        <v>76206272</v>
      </c>
    </row>
    <row r="1055" spans="1:11">
      <c r="A1055" t="str">
        <f t="shared" si="16"/>
        <v>76206329</v>
      </c>
      <c r="B1055">
        <v>76206329</v>
      </c>
      <c r="C1055" t="s">
        <v>6544</v>
      </c>
      <c r="D1055" t="s">
        <v>6545</v>
      </c>
      <c r="E1055">
        <v>4508714</v>
      </c>
      <c r="F1055" t="s">
        <v>742</v>
      </c>
      <c r="G1055" t="s">
        <v>743</v>
      </c>
      <c r="H1055" t="s">
        <v>1179</v>
      </c>
      <c r="I1055" s="12">
        <v>45635</v>
      </c>
      <c r="J1055">
        <v>1</v>
      </c>
      <c r="K1055" t="str">
        <f>VLOOKUP(A1055,'TV May Monthly Billing Sites'!$A:$L,1,0)</f>
        <v>76206329</v>
      </c>
    </row>
    <row r="1056" spans="1:11">
      <c r="A1056" t="str">
        <f t="shared" si="16"/>
        <v>76206366</v>
      </c>
      <c r="B1056">
        <v>76206366</v>
      </c>
      <c r="C1056" t="s">
        <v>6546</v>
      </c>
      <c r="D1056" t="s">
        <v>3441</v>
      </c>
      <c r="E1056">
        <v>4508714</v>
      </c>
      <c r="F1056" t="s">
        <v>742</v>
      </c>
      <c r="G1056" t="s">
        <v>743</v>
      </c>
      <c r="H1056" t="s">
        <v>816</v>
      </c>
      <c r="I1056" s="12">
        <v>45597</v>
      </c>
      <c r="J1056">
        <v>1</v>
      </c>
      <c r="K1056" t="str">
        <f>VLOOKUP(A1056,'TV May Monthly Billing Sites'!$A:$L,1,0)</f>
        <v>76206366</v>
      </c>
    </row>
    <row r="1057" spans="1:12">
      <c r="A1057" t="str">
        <f t="shared" si="16"/>
        <v>76206438</v>
      </c>
      <c r="B1057">
        <v>76206438</v>
      </c>
      <c r="C1057" t="s">
        <v>1019</v>
      </c>
      <c r="D1057" t="s">
        <v>1020</v>
      </c>
      <c r="E1057">
        <v>4508714</v>
      </c>
      <c r="F1057" t="s">
        <v>742</v>
      </c>
      <c r="G1057" t="s">
        <v>743</v>
      </c>
      <c r="H1057" t="s">
        <v>852</v>
      </c>
      <c r="I1057" s="12">
        <v>45545</v>
      </c>
      <c r="J1057">
        <v>1</v>
      </c>
      <c r="K1057" t="e">
        <f>VLOOKUP(A1057,'TV May Monthly Billing Sites'!$A:$L,1,0)</f>
        <v>#N/A</v>
      </c>
      <c r="L1057" t="e">
        <f>VLOOKUP(D1057,'TV May Monthly Billing Sites'!$B:$L,1,0)</f>
        <v>#N/A</v>
      </c>
    </row>
    <row r="1058" spans="1:12">
      <c r="A1058" t="str">
        <f t="shared" si="16"/>
        <v>76206439</v>
      </c>
      <c r="B1058">
        <v>76206439</v>
      </c>
      <c r="C1058" t="s">
        <v>6547</v>
      </c>
      <c r="D1058" t="s">
        <v>3443</v>
      </c>
      <c r="E1058">
        <v>4508714</v>
      </c>
      <c r="F1058" t="s">
        <v>742</v>
      </c>
      <c r="G1058" t="s">
        <v>743</v>
      </c>
      <c r="H1058" t="s">
        <v>852</v>
      </c>
      <c r="I1058" s="12">
        <v>45545</v>
      </c>
      <c r="J1058">
        <v>1</v>
      </c>
      <c r="K1058" t="str">
        <f>VLOOKUP(A1058,'TV May Monthly Billing Sites'!$A:$L,1,0)</f>
        <v>76206439</v>
      </c>
    </row>
    <row r="1059" spans="1:12">
      <c r="A1059" t="str">
        <f t="shared" si="16"/>
        <v>76206444</v>
      </c>
      <c r="B1059">
        <v>76206444</v>
      </c>
      <c r="C1059" t="s">
        <v>1022</v>
      </c>
      <c r="D1059" t="s">
        <v>1023</v>
      </c>
      <c r="E1059">
        <v>4508714</v>
      </c>
      <c r="F1059" t="s">
        <v>742</v>
      </c>
      <c r="G1059" t="s">
        <v>743</v>
      </c>
      <c r="H1059" t="s">
        <v>852</v>
      </c>
      <c r="I1059" s="12">
        <v>45545</v>
      </c>
      <c r="J1059">
        <v>1</v>
      </c>
      <c r="K1059" t="e">
        <f>VLOOKUP(A1059,'TV May Monthly Billing Sites'!$A:$L,1,0)</f>
        <v>#N/A</v>
      </c>
      <c r="L1059" t="e">
        <f>VLOOKUP(D1059,'TV May Monthly Billing Sites'!$B:$L,1,0)</f>
        <v>#N/A</v>
      </c>
    </row>
    <row r="1060" spans="1:12">
      <c r="A1060" t="str">
        <f t="shared" si="16"/>
        <v>76206447</v>
      </c>
      <c r="B1060">
        <v>76206447</v>
      </c>
      <c r="C1060" t="s">
        <v>6548</v>
      </c>
      <c r="D1060" t="s">
        <v>6549</v>
      </c>
      <c r="E1060">
        <v>4508714</v>
      </c>
      <c r="F1060" t="s">
        <v>742</v>
      </c>
      <c r="G1060" t="s">
        <v>743</v>
      </c>
      <c r="H1060" t="s">
        <v>852</v>
      </c>
      <c r="I1060" s="12">
        <v>45545</v>
      </c>
      <c r="J1060">
        <v>1</v>
      </c>
      <c r="K1060" t="str">
        <f>VLOOKUP(A1060,'TV May Monthly Billing Sites'!$A:$L,1,0)</f>
        <v>76206447</v>
      </c>
    </row>
    <row r="1061" spans="1:12">
      <c r="A1061" t="str">
        <f t="shared" si="16"/>
        <v>76206448</v>
      </c>
      <c r="B1061">
        <v>76206448</v>
      </c>
      <c r="C1061" t="s">
        <v>1025</v>
      </c>
      <c r="D1061" t="s">
        <v>1026</v>
      </c>
      <c r="E1061">
        <v>4508714</v>
      </c>
      <c r="F1061" t="s">
        <v>742</v>
      </c>
      <c r="G1061" t="s">
        <v>743</v>
      </c>
      <c r="H1061" t="s">
        <v>852</v>
      </c>
      <c r="I1061" s="12">
        <v>45545</v>
      </c>
      <c r="J1061">
        <v>1</v>
      </c>
      <c r="K1061" t="e">
        <f>VLOOKUP(A1061,'TV May Monthly Billing Sites'!$A:$L,1,0)</f>
        <v>#N/A</v>
      </c>
      <c r="L1061" t="e">
        <f>VLOOKUP(D1061,'TV May Monthly Billing Sites'!$B:$L,1,0)</f>
        <v>#N/A</v>
      </c>
    </row>
    <row r="1062" spans="1:12">
      <c r="A1062" t="str">
        <f t="shared" si="16"/>
        <v>76206450</v>
      </c>
      <c r="B1062">
        <v>76206450</v>
      </c>
      <c r="C1062" t="s">
        <v>6550</v>
      </c>
      <c r="D1062" t="s">
        <v>4577</v>
      </c>
      <c r="E1062">
        <v>4508714</v>
      </c>
      <c r="F1062" t="s">
        <v>742</v>
      </c>
      <c r="G1062" t="s">
        <v>743</v>
      </c>
      <c r="H1062" t="s">
        <v>852</v>
      </c>
      <c r="I1062" s="12">
        <v>45545</v>
      </c>
      <c r="J1062">
        <v>1</v>
      </c>
      <c r="K1062" t="e">
        <f>VLOOKUP(A1062,'TV May Monthly Billing Sites'!$A:$L,1,0)</f>
        <v>#N/A</v>
      </c>
      <c r="L1062" t="str">
        <f>VLOOKUP(D1062,'TV May Monthly Billing Sites'!$B:$L,1,0)</f>
        <v>ANCIRA BUICK GMC</v>
      </c>
    </row>
    <row r="1063" spans="1:12">
      <c r="A1063" t="str">
        <f t="shared" si="16"/>
        <v>76206489</v>
      </c>
      <c r="B1063">
        <v>76206489</v>
      </c>
      <c r="C1063" t="s">
        <v>6551</v>
      </c>
      <c r="D1063" t="s">
        <v>3447</v>
      </c>
      <c r="E1063">
        <v>4408592</v>
      </c>
      <c r="F1063" t="s">
        <v>742</v>
      </c>
      <c r="G1063" t="s">
        <v>823</v>
      </c>
      <c r="H1063" t="s">
        <v>5552</v>
      </c>
      <c r="I1063" s="12">
        <v>45107</v>
      </c>
      <c r="J1063">
        <v>1</v>
      </c>
      <c r="K1063" t="str">
        <f>VLOOKUP(A1063,'TV May Monthly Billing Sites'!$A:$L,1,0)</f>
        <v>76206489</v>
      </c>
    </row>
    <row r="1064" spans="1:12">
      <c r="A1064" t="str">
        <f t="shared" si="16"/>
        <v>76206565</v>
      </c>
      <c r="B1064">
        <v>76206565</v>
      </c>
      <c r="C1064" t="s">
        <v>6552</v>
      </c>
      <c r="D1064" t="s">
        <v>6553</v>
      </c>
      <c r="E1064">
        <v>4508714</v>
      </c>
      <c r="F1064" t="s">
        <v>742</v>
      </c>
      <c r="G1064" t="s">
        <v>743</v>
      </c>
      <c r="H1064" t="s">
        <v>998</v>
      </c>
      <c r="I1064" s="12">
        <v>45814</v>
      </c>
      <c r="J1064">
        <v>1</v>
      </c>
      <c r="K1064" t="str">
        <f>VLOOKUP(A1064,'TV May Monthly Billing Sites'!$A:$L,1,0)</f>
        <v>76206565</v>
      </c>
    </row>
    <row r="1065" spans="1:12">
      <c r="A1065" t="str">
        <f t="shared" si="16"/>
        <v>76206566</v>
      </c>
      <c r="B1065">
        <v>76206566</v>
      </c>
      <c r="C1065" t="s">
        <v>6554</v>
      </c>
      <c r="D1065" t="s">
        <v>6555</v>
      </c>
      <c r="E1065">
        <v>4508714</v>
      </c>
      <c r="F1065" t="s">
        <v>742</v>
      </c>
      <c r="G1065" t="s">
        <v>743</v>
      </c>
      <c r="H1065" t="s">
        <v>998</v>
      </c>
      <c r="I1065" s="12">
        <v>45814</v>
      </c>
      <c r="J1065">
        <v>1</v>
      </c>
      <c r="K1065" t="str">
        <f>VLOOKUP(A1065,'TV May Monthly Billing Sites'!$A:$L,1,0)</f>
        <v>76206566</v>
      </c>
    </row>
    <row r="1066" spans="1:12">
      <c r="A1066" t="str">
        <f t="shared" si="16"/>
        <v>76206626</v>
      </c>
      <c r="B1066">
        <v>76206626</v>
      </c>
      <c r="C1066" t="s">
        <v>6556</v>
      </c>
      <c r="D1066" t="s">
        <v>6557</v>
      </c>
      <c r="E1066">
        <v>4508714</v>
      </c>
      <c r="F1066" t="s">
        <v>742</v>
      </c>
      <c r="G1066" t="s">
        <v>743</v>
      </c>
      <c r="H1066" t="s">
        <v>5200</v>
      </c>
      <c r="I1066" s="12">
        <v>45636</v>
      </c>
      <c r="J1066">
        <v>1</v>
      </c>
      <c r="K1066" t="str">
        <f>VLOOKUP(A1066,'TV May Monthly Billing Sites'!$A:$L,1,0)</f>
        <v>76206626</v>
      </c>
    </row>
    <row r="1067" spans="1:12">
      <c r="A1067" t="str">
        <f t="shared" si="16"/>
        <v>76206958</v>
      </c>
      <c r="B1067">
        <v>76206958</v>
      </c>
      <c r="C1067" t="s">
        <v>6558</v>
      </c>
      <c r="D1067" t="s">
        <v>3459</v>
      </c>
      <c r="E1067">
        <v>4408592</v>
      </c>
      <c r="F1067" t="s">
        <v>742</v>
      </c>
      <c r="G1067" t="s">
        <v>823</v>
      </c>
      <c r="H1067" t="s">
        <v>1030</v>
      </c>
      <c r="I1067" s="12">
        <v>45408</v>
      </c>
      <c r="J1067">
        <v>1</v>
      </c>
      <c r="K1067" t="str">
        <f>VLOOKUP(A1067,'TV May Monthly Billing Sites'!$A:$L,1,0)</f>
        <v>76206958</v>
      </c>
    </row>
    <row r="1068" spans="1:12">
      <c r="A1068" t="str">
        <f t="shared" si="16"/>
        <v>76206958</v>
      </c>
      <c r="B1068">
        <v>76206958</v>
      </c>
      <c r="C1068" t="s">
        <v>6559</v>
      </c>
      <c r="D1068" t="s">
        <v>3459</v>
      </c>
      <c r="E1068">
        <v>4408593</v>
      </c>
      <c r="F1068" t="s">
        <v>742</v>
      </c>
      <c r="G1068" t="s">
        <v>782</v>
      </c>
      <c r="H1068" t="s">
        <v>1030</v>
      </c>
      <c r="I1068" s="12">
        <v>45821</v>
      </c>
      <c r="J1068">
        <v>1</v>
      </c>
      <c r="K1068" t="str">
        <f>VLOOKUP(A1068,'TV May Monthly Billing Sites'!$A:$L,1,0)</f>
        <v>76206958</v>
      </c>
    </row>
    <row r="1069" spans="1:12">
      <c r="A1069" t="str">
        <f t="shared" si="16"/>
        <v>76206960</v>
      </c>
      <c r="B1069">
        <v>76206960</v>
      </c>
      <c r="C1069" t="s">
        <v>1028</v>
      </c>
      <c r="D1069" t="s">
        <v>1029</v>
      </c>
      <c r="E1069">
        <v>4408593</v>
      </c>
      <c r="F1069" t="s">
        <v>742</v>
      </c>
      <c r="G1069" t="s">
        <v>782</v>
      </c>
      <c r="H1069" t="s">
        <v>1030</v>
      </c>
      <c r="I1069" s="12">
        <v>45922</v>
      </c>
      <c r="J1069">
        <v>1</v>
      </c>
      <c r="K1069" t="e">
        <f>VLOOKUP(A1069,'TV May Monthly Billing Sites'!$A:$L,1,0)</f>
        <v>#N/A</v>
      </c>
      <c r="L1069" t="e">
        <f>VLOOKUP(D1069,'TV May Monthly Billing Sites'!$B:$L,1,0)</f>
        <v>#N/A</v>
      </c>
    </row>
    <row r="1070" spans="1:12">
      <c r="A1070" t="str">
        <f t="shared" si="16"/>
        <v>76207062</v>
      </c>
      <c r="B1070">
        <v>76207062</v>
      </c>
      <c r="C1070" t="s">
        <v>6560</v>
      </c>
      <c r="D1070" t="s">
        <v>6561</v>
      </c>
      <c r="E1070">
        <v>4508714</v>
      </c>
      <c r="F1070" t="s">
        <v>742</v>
      </c>
      <c r="G1070" t="s">
        <v>743</v>
      </c>
      <c r="H1070" t="s">
        <v>5626</v>
      </c>
      <c r="I1070" s="12">
        <v>45968</v>
      </c>
      <c r="J1070">
        <v>1</v>
      </c>
      <c r="K1070" t="str">
        <f>VLOOKUP(A1070,'TV May Monthly Billing Sites'!$A:$L,1,0)</f>
        <v>76207062</v>
      </c>
    </row>
    <row r="1071" spans="1:12">
      <c r="A1071" t="str">
        <f t="shared" si="16"/>
        <v>76207080</v>
      </c>
      <c r="B1071">
        <v>76207080</v>
      </c>
      <c r="C1071" t="s">
        <v>6562</v>
      </c>
      <c r="D1071" t="s">
        <v>3463</v>
      </c>
      <c r="E1071">
        <v>4508714</v>
      </c>
      <c r="F1071" t="s">
        <v>742</v>
      </c>
      <c r="G1071" t="s">
        <v>743</v>
      </c>
      <c r="H1071" t="s">
        <v>5742</v>
      </c>
      <c r="I1071" s="12">
        <v>45930</v>
      </c>
      <c r="J1071">
        <v>1</v>
      </c>
      <c r="K1071" t="str">
        <f>VLOOKUP(A1071,'TV May Monthly Billing Sites'!$A:$L,1,0)</f>
        <v>76207080</v>
      </c>
    </row>
    <row r="1072" spans="1:12">
      <c r="A1072" t="str">
        <f t="shared" si="16"/>
        <v>76207189</v>
      </c>
      <c r="B1072">
        <v>76207189</v>
      </c>
      <c r="C1072" t="s">
        <v>6563</v>
      </c>
      <c r="D1072" t="s">
        <v>6564</v>
      </c>
      <c r="E1072">
        <v>4508714</v>
      </c>
      <c r="F1072" t="s">
        <v>742</v>
      </c>
      <c r="G1072" t="s">
        <v>743</v>
      </c>
      <c r="H1072" t="s">
        <v>6565</v>
      </c>
      <c r="I1072" s="12">
        <v>45582</v>
      </c>
      <c r="J1072">
        <v>1</v>
      </c>
      <c r="K1072" t="str">
        <f>VLOOKUP(A1072,'TV May Monthly Billing Sites'!$A:$L,1,0)</f>
        <v>76207189</v>
      </c>
    </row>
    <row r="1073" spans="1:12">
      <c r="A1073" t="str">
        <f t="shared" si="16"/>
        <v>76207218</v>
      </c>
      <c r="B1073">
        <v>76207218</v>
      </c>
      <c r="C1073" t="s">
        <v>6566</v>
      </c>
      <c r="D1073" t="s">
        <v>3467</v>
      </c>
      <c r="E1073">
        <v>4408593</v>
      </c>
      <c r="F1073" t="s">
        <v>742</v>
      </c>
      <c r="G1073" t="s">
        <v>782</v>
      </c>
      <c r="H1073" t="s">
        <v>998</v>
      </c>
      <c r="I1073" s="12">
        <v>45814</v>
      </c>
      <c r="J1073">
        <v>1</v>
      </c>
      <c r="K1073" t="str">
        <f>VLOOKUP(A1073,'TV May Monthly Billing Sites'!$A:$L,1,0)</f>
        <v>76207218</v>
      </c>
    </row>
    <row r="1074" spans="1:12">
      <c r="A1074" t="str">
        <f t="shared" si="16"/>
        <v>76207218</v>
      </c>
      <c r="B1074">
        <v>76207218</v>
      </c>
      <c r="C1074" t="s">
        <v>6567</v>
      </c>
      <c r="D1074" t="s">
        <v>3467</v>
      </c>
      <c r="E1074">
        <v>4508714</v>
      </c>
      <c r="F1074" t="s">
        <v>742</v>
      </c>
      <c r="G1074" t="s">
        <v>743</v>
      </c>
      <c r="H1074" t="s">
        <v>998</v>
      </c>
      <c r="I1074" s="12">
        <v>45966</v>
      </c>
      <c r="J1074">
        <v>1</v>
      </c>
      <c r="K1074" t="str">
        <f>VLOOKUP(A1074,'TV May Monthly Billing Sites'!$A:$L,1,0)</f>
        <v>76207218</v>
      </c>
    </row>
    <row r="1075" spans="1:12">
      <c r="A1075" t="str">
        <f t="shared" si="16"/>
        <v>76207219</v>
      </c>
      <c r="B1075">
        <v>76207219</v>
      </c>
      <c r="C1075" t="s">
        <v>6568</v>
      </c>
      <c r="D1075" t="s">
        <v>3469</v>
      </c>
      <c r="E1075">
        <v>4408593</v>
      </c>
      <c r="F1075" t="s">
        <v>742</v>
      </c>
      <c r="G1075" t="s">
        <v>782</v>
      </c>
      <c r="H1075" t="s">
        <v>998</v>
      </c>
      <c r="I1075" s="12">
        <v>45814</v>
      </c>
      <c r="J1075">
        <v>1</v>
      </c>
      <c r="K1075" t="str">
        <f>VLOOKUP(A1075,'TV May Monthly Billing Sites'!$A:$L,1,0)</f>
        <v>76207219</v>
      </c>
    </row>
    <row r="1076" spans="1:12">
      <c r="A1076" t="str">
        <f t="shared" si="16"/>
        <v>76207480</v>
      </c>
      <c r="B1076">
        <v>76207480</v>
      </c>
      <c r="C1076" t="s">
        <v>6569</v>
      </c>
      <c r="D1076" t="s">
        <v>6570</v>
      </c>
      <c r="E1076">
        <v>4508714</v>
      </c>
      <c r="F1076" t="s">
        <v>742</v>
      </c>
      <c r="G1076" t="s">
        <v>743</v>
      </c>
      <c r="H1076" t="s">
        <v>6141</v>
      </c>
      <c r="I1076" s="12">
        <v>45747</v>
      </c>
      <c r="J1076">
        <v>1</v>
      </c>
      <c r="K1076" t="str">
        <f>VLOOKUP(A1076,'TV May Monthly Billing Sites'!$A:$L,1,0)</f>
        <v>76207480</v>
      </c>
    </row>
    <row r="1077" spans="1:12">
      <c r="A1077" t="str">
        <f t="shared" si="16"/>
        <v>76207640</v>
      </c>
      <c r="B1077">
        <v>76207640</v>
      </c>
      <c r="C1077" t="s">
        <v>6571</v>
      </c>
      <c r="D1077" t="s">
        <v>6572</v>
      </c>
      <c r="E1077">
        <v>4508714</v>
      </c>
      <c r="F1077" t="s">
        <v>742</v>
      </c>
      <c r="G1077" t="s">
        <v>743</v>
      </c>
      <c r="H1077" t="s">
        <v>1179</v>
      </c>
      <c r="I1077" s="12">
        <v>45646</v>
      </c>
      <c r="J1077">
        <v>1</v>
      </c>
      <c r="K1077" t="str">
        <f>VLOOKUP(A1077,'TV May Monthly Billing Sites'!$A:$L,1,0)</f>
        <v>76207640</v>
      </c>
    </row>
    <row r="1078" spans="1:12">
      <c r="A1078" t="str">
        <f t="shared" si="16"/>
        <v>76207657</v>
      </c>
      <c r="B1078">
        <v>76207657</v>
      </c>
      <c r="C1078" t="s">
        <v>6573</v>
      </c>
      <c r="D1078" t="s">
        <v>3475</v>
      </c>
      <c r="E1078">
        <v>4508714</v>
      </c>
      <c r="F1078" t="s">
        <v>742</v>
      </c>
      <c r="G1078" t="s">
        <v>743</v>
      </c>
      <c r="H1078" t="s">
        <v>5006</v>
      </c>
      <c r="I1078" s="12">
        <v>45709</v>
      </c>
      <c r="J1078">
        <v>1</v>
      </c>
      <c r="K1078" t="str">
        <f>VLOOKUP(A1078,'TV May Monthly Billing Sites'!$A:$L,1,0)</f>
        <v>76207657</v>
      </c>
    </row>
    <row r="1079" spans="1:12">
      <c r="A1079" t="str">
        <f t="shared" si="16"/>
        <v>76207710</v>
      </c>
      <c r="B1079">
        <v>76207710</v>
      </c>
      <c r="C1079" t="s">
        <v>6574</v>
      </c>
      <c r="D1079" t="s">
        <v>6575</v>
      </c>
      <c r="E1079">
        <v>4508714</v>
      </c>
      <c r="F1079" t="s">
        <v>742</v>
      </c>
      <c r="G1079" t="s">
        <v>743</v>
      </c>
      <c r="H1079" t="s">
        <v>5803</v>
      </c>
      <c r="I1079" s="12">
        <v>45833</v>
      </c>
      <c r="J1079">
        <v>1</v>
      </c>
      <c r="K1079" t="str">
        <f>VLOOKUP(A1079,'TV May Monthly Billing Sites'!$A:$L,1,0)</f>
        <v>76207710</v>
      </c>
    </row>
    <row r="1080" spans="1:12">
      <c r="A1080" t="str">
        <f t="shared" si="16"/>
        <v>76208085</v>
      </c>
      <c r="B1080">
        <v>76208085</v>
      </c>
      <c r="C1080" t="s">
        <v>6576</v>
      </c>
      <c r="D1080" t="s">
        <v>3479</v>
      </c>
      <c r="E1080">
        <v>4508714</v>
      </c>
      <c r="F1080" t="s">
        <v>742</v>
      </c>
      <c r="G1080" t="s">
        <v>743</v>
      </c>
      <c r="H1080" t="s">
        <v>5174</v>
      </c>
      <c r="I1080" s="12">
        <v>45967</v>
      </c>
      <c r="J1080">
        <v>1</v>
      </c>
      <c r="K1080" t="str">
        <f>VLOOKUP(A1080,'TV May Monthly Billing Sites'!$A:$L,1,0)</f>
        <v>76208085</v>
      </c>
    </row>
    <row r="1081" spans="1:12">
      <c r="A1081" t="str">
        <f t="shared" si="16"/>
        <v>76208110</v>
      </c>
      <c r="B1081">
        <v>76208110</v>
      </c>
      <c r="C1081" t="s">
        <v>6577</v>
      </c>
      <c r="D1081" t="s">
        <v>3481</v>
      </c>
      <c r="E1081">
        <v>4408592</v>
      </c>
      <c r="F1081" t="s">
        <v>742</v>
      </c>
      <c r="G1081" t="s">
        <v>823</v>
      </c>
      <c r="H1081" t="s">
        <v>5034</v>
      </c>
      <c r="I1081" s="12">
        <v>46003</v>
      </c>
      <c r="J1081">
        <v>1</v>
      </c>
      <c r="K1081" t="str">
        <f>VLOOKUP(A1081,'TV May Monthly Billing Sites'!$A:$L,1,0)</f>
        <v>76208110</v>
      </c>
    </row>
    <row r="1082" spans="1:12">
      <c r="A1082" t="str">
        <f t="shared" si="16"/>
        <v>76208242</v>
      </c>
      <c r="B1082">
        <v>76208242</v>
      </c>
      <c r="C1082" t="s">
        <v>6578</v>
      </c>
      <c r="D1082" t="s">
        <v>3483</v>
      </c>
      <c r="E1082">
        <v>4508714</v>
      </c>
      <c r="F1082" t="s">
        <v>742</v>
      </c>
      <c r="G1082" t="s">
        <v>743</v>
      </c>
      <c r="H1082" t="s">
        <v>6579</v>
      </c>
      <c r="I1082" s="12">
        <v>45839</v>
      </c>
      <c r="J1082">
        <v>1</v>
      </c>
      <c r="K1082" t="str">
        <f>VLOOKUP(A1082,'TV May Monthly Billing Sites'!$A:$L,1,0)</f>
        <v>76208242</v>
      </c>
    </row>
    <row r="1083" spans="1:12">
      <c r="A1083" t="str">
        <f t="shared" si="16"/>
        <v>76208516</v>
      </c>
      <c r="B1083">
        <v>76208516</v>
      </c>
      <c r="C1083" t="s">
        <v>6580</v>
      </c>
      <c r="D1083" t="s">
        <v>6581</v>
      </c>
      <c r="E1083">
        <v>4408592</v>
      </c>
      <c r="F1083" t="s">
        <v>742</v>
      </c>
      <c r="G1083" t="s">
        <v>823</v>
      </c>
      <c r="H1083" t="s">
        <v>6003</v>
      </c>
      <c r="I1083" s="12">
        <v>45931</v>
      </c>
      <c r="J1083">
        <v>1</v>
      </c>
      <c r="K1083" t="str">
        <f>VLOOKUP(A1083,'TV May Monthly Billing Sites'!$A:$L,1,0)</f>
        <v>76208516</v>
      </c>
    </row>
    <row r="1084" spans="1:12">
      <c r="A1084" t="str">
        <f t="shared" si="16"/>
        <v>76208633</v>
      </c>
      <c r="B1084">
        <v>76208633</v>
      </c>
      <c r="C1084" t="s">
        <v>1032</v>
      </c>
      <c r="D1084" t="s">
        <v>1033</v>
      </c>
      <c r="E1084">
        <v>4508675</v>
      </c>
      <c r="F1084" t="s">
        <v>742</v>
      </c>
      <c r="G1084" t="s">
        <v>828</v>
      </c>
      <c r="H1084" t="s">
        <v>1034</v>
      </c>
      <c r="I1084" s="12">
        <v>45293</v>
      </c>
      <c r="J1084">
        <v>1</v>
      </c>
      <c r="K1084" t="e">
        <f>VLOOKUP(A1084,'TV May Monthly Billing Sites'!$A:$L,1,0)</f>
        <v>#N/A</v>
      </c>
      <c r="L1084" t="e">
        <f>VLOOKUP(D1084,'TV May Monthly Billing Sites'!$B:$L,1,0)</f>
        <v>#N/A</v>
      </c>
    </row>
    <row r="1085" spans="1:12">
      <c r="A1085" t="str">
        <f t="shared" si="16"/>
        <v>76208689</v>
      </c>
      <c r="B1085">
        <v>76208689</v>
      </c>
      <c r="C1085" t="s">
        <v>6582</v>
      </c>
      <c r="D1085" t="s">
        <v>6583</v>
      </c>
      <c r="E1085">
        <v>4408593</v>
      </c>
      <c r="F1085" t="s">
        <v>742</v>
      </c>
      <c r="G1085" t="s">
        <v>782</v>
      </c>
      <c r="H1085" t="s">
        <v>879</v>
      </c>
      <c r="I1085" s="12">
        <v>45820</v>
      </c>
      <c r="J1085">
        <v>1</v>
      </c>
      <c r="K1085" t="str">
        <f>VLOOKUP(A1085,'TV May Monthly Billing Sites'!$A:$L,1,0)</f>
        <v>76208689</v>
      </c>
    </row>
    <row r="1086" spans="1:12">
      <c r="A1086" t="str">
        <f t="shared" si="16"/>
        <v>76208742</v>
      </c>
      <c r="B1086">
        <v>76208742</v>
      </c>
      <c r="C1086" t="s">
        <v>6584</v>
      </c>
      <c r="D1086" t="s">
        <v>6585</v>
      </c>
      <c r="E1086">
        <v>4508675</v>
      </c>
      <c r="F1086" t="s">
        <v>742</v>
      </c>
      <c r="G1086" t="s">
        <v>828</v>
      </c>
      <c r="H1086" t="s">
        <v>5810</v>
      </c>
      <c r="I1086" s="12">
        <v>45735</v>
      </c>
      <c r="J1086">
        <v>1</v>
      </c>
      <c r="K1086" t="str">
        <f>VLOOKUP(A1086,'TV May Monthly Billing Sites'!$A:$L,1,0)</f>
        <v>76208742</v>
      </c>
    </row>
    <row r="1087" spans="1:12">
      <c r="A1087" t="str">
        <f t="shared" si="16"/>
        <v>76208742</v>
      </c>
      <c r="B1087">
        <v>76208742</v>
      </c>
      <c r="C1087" t="s">
        <v>6586</v>
      </c>
      <c r="D1087" t="s">
        <v>6585</v>
      </c>
      <c r="E1087">
        <v>4508675</v>
      </c>
      <c r="F1087" t="s">
        <v>742</v>
      </c>
      <c r="G1087" t="s">
        <v>828</v>
      </c>
      <c r="H1087" t="s">
        <v>5810</v>
      </c>
      <c r="I1087" s="12">
        <v>45735</v>
      </c>
      <c r="J1087">
        <v>1</v>
      </c>
      <c r="K1087" t="str">
        <f>VLOOKUP(A1087,'TV May Monthly Billing Sites'!$A:$L,1,0)</f>
        <v>76208742</v>
      </c>
    </row>
    <row r="1088" spans="1:12">
      <c r="A1088" t="str">
        <f t="shared" si="16"/>
        <v>76208743</v>
      </c>
      <c r="B1088">
        <v>76208743</v>
      </c>
      <c r="C1088" t="s">
        <v>6587</v>
      </c>
      <c r="D1088" t="s">
        <v>6588</v>
      </c>
      <c r="E1088">
        <v>4508675</v>
      </c>
      <c r="F1088" t="s">
        <v>742</v>
      </c>
      <c r="G1088" t="s">
        <v>828</v>
      </c>
      <c r="H1088" t="s">
        <v>5810</v>
      </c>
      <c r="I1088" s="12">
        <v>45735</v>
      </c>
      <c r="J1088">
        <v>1</v>
      </c>
      <c r="K1088" t="str">
        <f>VLOOKUP(A1088,'TV May Monthly Billing Sites'!$A:$L,1,0)</f>
        <v>76208743</v>
      </c>
    </row>
    <row r="1089" spans="1:11">
      <c r="A1089" t="str">
        <f t="shared" si="16"/>
        <v>76208744</v>
      </c>
      <c r="B1089">
        <v>76208744</v>
      </c>
      <c r="C1089" t="s">
        <v>6589</v>
      </c>
      <c r="D1089" t="s">
        <v>6590</v>
      </c>
      <c r="E1089">
        <v>4508675</v>
      </c>
      <c r="F1089" t="s">
        <v>742</v>
      </c>
      <c r="G1089" t="s">
        <v>828</v>
      </c>
      <c r="H1089" t="s">
        <v>5810</v>
      </c>
      <c r="I1089" s="12">
        <v>45735</v>
      </c>
      <c r="J1089">
        <v>1</v>
      </c>
      <c r="K1089" t="str">
        <f>VLOOKUP(A1089,'TV May Monthly Billing Sites'!$A:$L,1,0)</f>
        <v>76208744</v>
      </c>
    </row>
    <row r="1090" spans="1:11">
      <c r="A1090" t="str">
        <f t="shared" ref="A1090:A1153" si="17">TRIM(B1090)</f>
        <v>76208845</v>
      </c>
      <c r="B1090">
        <v>76208845</v>
      </c>
      <c r="C1090" t="s">
        <v>6591</v>
      </c>
      <c r="D1090" t="s">
        <v>6592</v>
      </c>
      <c r="E1090">
        <v>4508714</v>
      </c>
      <c r="F1090" t="s">
        <v>742</v>
      </c>
      <c r="G1090" t="s">
        <v>743</v>
      </c>
      <c r="H1090" t="s">
        <v>5428</v>
      </c>
      <c r="I1090" s="12">
        <v>45659</v>
      </c>
      <c r="J1090">
        <v>1</v>
      </c>
      <c r="K1090" t="str">
        <f>VLOOKUP(A1090,'TV May Monthly Billing Sites'!$A:$L,1,0)</f>
        <v>76208845</v>
      </c>
    </row>
    <row r="1091" spans="1:11">
      <c r="A1091" t="str">
        <f t="shared" si="17"/>
        <v>76209027</v>
      </c>
      <c r="B1091">
        <v>76209027</v>
      </c>
      <c r="C1091" t="s">
        <v>6593</v>
      </c>
      <c r="D1091" t="s">
        <v>3499</v>
      </c>
      <c r="E1091">
        <v>4508714</v>
      </c>
      <c r="F1091" t="s">
        <v>742</v>
      </c>
      <c r="G1091" t="s">
        <v>743</v>
      </c>
      <c r="H1091" t="s">
        <v>6124</v>
      </c>
      <c r="I1091" s="12">
        <v>45593</v>
      </c>
      <c r="J1091">
        <v>1</v>
      </c>
      <c r="K1091" t="str">
        <f>VLOOKUP(A1091,'TV May Monthly Billing Sites'!$A:$L,1,0)</f>
        <v>76209027</v>
      </c>
    </row>
    <row r="1092" spans="1:11">
      <c r="A1092" t="str">
        <f t="shared" si="17"/>
        <v>76209028</v>
      </c>
      <c r="B1092">
        <v>76209028</v>
      </c>
      <c r="C1092" t="s">
        <v>6594</v>
      </c>
      <c r="D1092" t="s">
        <v>3501</v>
      </c>
      <c r="E1092">
        <v>4508675</v>
      </c>
      <c r="F1092" t="s">
        <v>742</v>
      </c>
      <c r="G1092" t="s">
        <v>828</v>
      </c>
      <c r="H1092" t="s">
        <v>6124</v>
      </c>
      <c r="I1092" s="12">
        <v>45593</v>
      </c>
      <c r="J1092">
        <v>1</v>
      </c>
      <c r="K1092" t="str">
        <f>VLOOKUP(A1092,'TV May Monthly Billing Sites'!$A:$L,1,0)</f>
        <v>76209028</v>
      </c>
    </row>
    <row r="1093" spans="1:11">
      <c r="A1093" t="str">
        <f t="shared" si="17"/>
        <v>76209029</v>
      </c>
      <c r="B1093">
        <v>76209029</v>
      </c>
      <c r="C1093" t="s">
        <v>6595</v>
      </c>
      <c r="D1093" t="s">
        <v>3503</v>
      </c>
      <c r="E1093">
        <v>4508714</v>
      </c>
      <c r="F1093" t="s">
        <v>742</v>
      </c>
      <c r="G1093" t="s">
        <v>743</v>
      </c>
      <c r="H1093" t="s">
        <v>5444</v>
      </c>
      <c r="I1093" s="12">
        <v>45968</v>
      </c>
      <c r="J1093">
        <v>1</v>
      </c>
      <c r="K1093" t="str">
        <f>VLOOKUP(A1093,'TV May Monthly Billing Sites'!$A:$L,1,0)</f>
        <v>76209029</v>
      </c>
    </row>
    <row r="1094" spans="1:11">
      <c r="A1094" t="str">
        <f t="shared" si="17"/>
        <v>76209039</v>
      </c>
      <c r="B1094">
        <v>76209039</v>
      </c>
      <c r="C1094" t="s">
        <v>6596</v>
      </c>
      <c r="D1094" t="s">
        <v>3505</v>
      </c>
      <c r="E1094">
        <v>4508675</v>
      </c>
      <c r="F1094" t="s">
        <v>742</v>
      </c>
      <c r="G1094" t="s">
        <v>828</v>
      </c>
      <c r="H1094" t="s">
        <v>1171</v>
      </c>
      <c r="I1094" s="12">
        <v>44760</v>
      </c>
      <c r="J1094">
        <v>1</v>
      </c>
      <c r="K1094" t="str">
        <f>VLOOKUP(A1094,'TV May Monthly Billing Sites'!$A:$L,1,0)</f>
        <v>76209039</v>
      </c>
    </row>
    <row r="1095" spans="1:11">
      <c r="A1095" t="str">
        <f t="shared" si="17"/>
        <v>76209043</v>
      </c>
      <c r="B1095">
        <v>76209043</v>
      </c>
      <c r="C1095" t="s">
        <v>6597</v>
      </c>
      <c r="D1095" t="s">
        <v>3507</v>
      </c>
      <c r="E1095">
        <v>4408592</v>
      </c>
      <c r="F1095" t="s">
        <v>742</v>
      </c>
      <c r="G1095" t="s">
        <v>823</v>
      </c>
      <c r="H1095" t="s">
        <v>5294</v>
      </c>
      <c r="I1095" s="12">
        <v>45868</v>
      </c>
      <c r="J1095">
        <v>1</v>
      </c>
      <c r="K1095" t="str">
        <f>VLOOKUP(A1095,'TV May Monthly Billing Sites'!$A:$L,1,0)</f>
        <v>76209043</v>
      </c>
    </row>
    <row r="1096" spans="1:11">
      <c r="A1096" t="str">
        <f t="shared" si="17"/>
        <v>76209129</v>
      </c>
      <c r="B1096">
        <v>76209129</v>
      </c>
      <c r="C1096" t="s">
        <v>6598</v>
      </c>
      <c r="D1096" t="s">
        <v>3509</v>
      </c>
      <c r="E1096">
        <v>4508714</v>
      </c>
      <c r="F1096" t="s">
        <v>742</v>
      </c>
      <c r="G1096" t="s">
        <v>743</v>
      </c>
      <c r="H1096" t="s">
        <v>5174</v>
      </c>
      <c r="I1096" s="12">
        <v>45967</v>
      </c>
      <c r="J1096">
        <v>1</v>
      </c>
      <c r="K1096" t="str">
        <f>VLOOKUP(A1096,'TV May Monthly Billing Sites'!$A:$L,1,0)</f>
        <v>76209129</v>
      </c>
    </row>
    <row r="1097" spans="1:11">
      <c r="A1097" t="str">
        <f t="shared" si="17"/>
        <v>76209183</v>
      </c>
      <c r="B1097">
        <v>76209183</v>
      </c>
      <c r="C1097" t="s">
        <v>6599</v>
      </c>
      <c r="D1097" t="s">
        <v>6600</v>
      </c>
      <c r="E1097">
        <v>4408593</v>
      </c>
      <c r="F1097" t="s">
        <v>742</v>
      </c>
      <c r="G1097" t="s">
        <v>782</v>
      </c>
      <c r="H1097" t="s">
        <v>1171</v>
      </c>
      <c r="I1097" s="12">
        <v>45618</v>
      </c>
      <c r="J1097">
        <v>1</v>
      </c>
      <c r="K1097" t="str">
        <f>VLOOKUP(A1097,'TV May Monthly Billing Sites'!$A:$L,1,0)</f>
        <v>76209183</v>
      </c>
    </row>
    <row r="1098" spans="1:11">
      <c r="A1098" t="str">
        <f t="shared" si="17"/>
        <v>76209215</v>
      </c>
      <c r="B1098">
        <v>76209215</v>
      </c>
      <c r="C1098" t="s">
        <v>6601</v>
      </c>
      <c r="D1098" t="s">
        <v>6602</v>
      </c>
      <c r="E1098">
        <v>4508714</v>
      </c>
      <c r="F1098" t="s">
        <v>742</v>
      </c>
      <c r="G1098" t="s">
        <v>743</v>
      </c>
      <c r="H1098" t="s">
        <v>1179</v>
      </c>
      <c r="I1098" s="12">
        <v>45646</v>
      </c>
      <c r="J1098">
        <v>1</v>
      </c>
      <c r="K1098" t="str">
        <f>VLOOKUP(A1098,'TV May Monthly Billing Sites'!$A:$L,1,0)</f>
        <v>76209215</v>
      </c>
    </row>
    <row r="1099" spans="1:11">
      <c r="A1099" t="str">
        <f t="shared" si="17"/>
        <v>76209216</v>
      </c>
      <c r="B1099">
        <v>76209216</v>
      </c>
      <c r="C1099" t="s">
        <v>6603</v>
      </c>
      <c r="D1099" t="s">
        <v>6604</v>
      </c>
      <c r="E1099">
        <v>4508714</v>
      </c>
      <c r="F1099" t="s">
        <v>742</v>
      </c>
      <c r="G1099" t="s">
        <v>743</v>
      </c>
      <c r="H1099" t="s">
        <v>1179</v>
      </c>
      <c r="I1099" s="12">
        <v>45646</v>
      </c>
      <c r="J1099">
        <v>1</v>
      </c>
      <c r="K1099" t="str">
        <f>VLOOKUP(A1099,'TV May Monthly Billing Sites'!$A:$L,1,0)</f>
        <v>76209216</v>
      </c>
    </row>
    <row r="1100" spans="1:11">
      <c r="A1100" t="str">
        <f t="shared" si="17"/>
        <v>76209236</v>
      </c>
      <c r="B1100">
        <v>76209236</v>
      </c>
      <c r="C1100" t="s">
        <v>6605</v>
      </c>
      <c r="D1100" t="s">
        <v>6606</v>
      </c>
      <c r="E1100">
        <v>4408593</v>
      </c>
      <c r="F1100" t="s">
        <v>742</v>
      </c>
      <c r="G1100" t="s">
        <v>782</v>
      </c>
      <c r="H1100" t="s">
        <v>5088</v>
      </c>
      <c r="I1100" s="12">
        <v>45442</v>
      </c>
      <c r="J1100">
        <v>1</v>
      </c>
      <c r="K1100" t="str">
        <f>VLOOKUP(A1100,'TV May Monthly Billing Sites'!$A:$L,1,0)</f>
        <v>76209236</v>
      </c>
    </row>
    <row r="1101" spans="1:11">
      <c r="A1101" t="str">
        <f t="shared" si="17"/>
        <v>76209254</v>
      </c>
      <c r="B1101">
        <v>76209254</v>
      </c>
      <c r="C1101" t="s">
        <v>6607</v>
      </c>
      <c r="D1101" t="s">
        <v>3519</v>
      </c>
      <c r="E1101">
        <v>4408592</v>
      </c>
      <c r="F1101" t="s">
        <v>742</v>
      </c>
      <c r="G1101" t="s">
        <v>823</v>
      </c>
      <c r="H1101" t="s">
        <v>1030</v>
      </c>
      <c r="I1101" s="12">
        <v>45408</v>
      </c>
      <c r="J1101">
        <v>1</v>
      </c>
      <c r="K1101" t="str">
        <f>VLOOKUP(A1101,'TV May Monthly Billing Sites'!$A:$L,1,0)</f>
        <v>76209254</v>
      </c>
    </row>
    <row r="1102" spans="1:11">
      <c r="A1102" t="str">
        <f t="shared" si="17"/>
        <v>76209491</v>
      </c>
      <c r="B1102">
        <v>76209491</v>
      </c>
      <c r="C1102" t="s">
        <v>6608</v>
      </c>
      <c r="D1102" t="s">
        <v>3521</v>
      </c>
      <c r="E1102">
        <v>4508714</v>
      </c>
      <c r="F1102" t="s">
        <v>742</v>
      </c>
      <c r="G1102" t="s">
        <v>743</v>
      </c>
      <c r="H1102" t="s">
        <v>6609</v>
      </c>
      <c r="I1102" s="12">
        <v>46014</v>
      </c>
      <c r="J1102">
        <v>1</v>
      </c>
      <c r="K1102" t="str">
        <f>VLOOKUP(A1102,'TV May Monthly Billing Sites'!$A:$L,1,0)</f>
        <v>76209491</v>
      </c>
    </row>
    <row r="1103" spans="1:11">
      <c r="A1103" t="str">
        <f t="shared" si="17"/>
        <v>76209505</v>
      </c>
      <c r="B1103">
        <v>76209505</v>
      </c>
      <c r="C1103" t="s">
        <v>6610</v>
      </c>
      <c r="D1103" t="s">
        <v>3523</v>
      </c>
      <c r="E1103">
        <v>4508714</v>
      </c>
      <c r="F1103" t="s">
        <v>742</v>
      </c>
      <c r="G1103" t="s">
        <v>743</v>
      </c>
      <c r="H1103" t="s">
        <v>6399</v>
      </c>
      <c r="I1103" s="12">
        <v>45912</v>
      </c>
      <c r="J1103">
        <v>1</v>
      </c>
      <c r="K1103" t="str">
        <f>VLOOKUP(A1103,'TV May Monthly Billing Sites'!$A:$L,1,0)</f>
        <v>76209505</v>
      </c>
    </row>
    <row r="1104" spans="1:11">
      <c r="A1104" t="str">
        <f t="shared" si="17"/>
        <v>76209538</v>
      </c>
      <c r="B1104">
        <v>76209538</v>
      </c>
      <c r="C1104" t="s">
        <v>6611</v>
      </c>
      <c r="D1104" t="s">
        <v>6612</v>
      </c>
      <c r="E1104">
        <v>4508714</v>
      </c>
      <c r="F1104" t="s">
        <v>742</v>
      </c>
      <c r="G1104" t="s">
        <v>743</v>
      </c>
      <c r="H1104" t="s">
        <v>5451</v>
      </c>
      <c r="I1104" s="12">
        <v>45642</v>
      </c>
      <c r="J1104">
        <v>1</v>
      </c>
      <c r="K1104" t="str">
        <f>VLOOKUP(A1104,'TV May Monthly Billing Sites'!$A:$L,1,0)</f>
        <v>76209538</v>
      </c>
    </row>
    <row r="1105" spans="1:12">
      <c r="A1105" t="str">
        <f t="shared" si="17"/>
        <v>76209545</v>
      </c>
      <c r="B1105">
        <v>76209545</v>
      </c>
      <c r="C1105" t="s">
        <v>6613</v>
      </c>
      <c r="D1105" t="s">
        <v>6614</v>
      </c>
      <c r="E1105">
        <v>4508714</v>
      </c>
      <c r="F1105" t="s">
        <v>742</v>
      </c>
      <c r="G1105" t="s">
        <v>743</v>
      </c>
      <c r="H1105" t="s">
        <v>5451</v>
      </c>
      <c r="I1105" s="12">
        <v>45642</v>
      </c>
      <c r="J1105">
        <v>1</v>
      </c>
      <c r="K1105" t="str">
        <f>VLOOKUP(A1105,'TV May Monthly Billing Sites'!$A:$L,1,0)</f>
        <v>76209545</v>
      </c>
    </row>
    <row r="1106" spans="1:12">
      <c r="A1106" t="str">
        <f t="shared" si="17"/>
        <v>76209577</v>
      </c>
      <c r="B1106">
        <v>76209577</v>
      </c>
      <c r="C1106" t="s">
        <v>6615</v>
      </c>
      <c r="D1106" t="s">
        <v>3529</v>
      </c>
      <c r="E1106">
        <v>4508714</v>
      </c>
      <c r="F1106" t="s">
        <v>742</v>
      </c>
      <c r="G1106" t="s">
        <v>743</v>
      </c>
      <c r="H1106" t="s">
        <v>3529</v>
      </c>
      <c r="I1106" s="12">
        <v>45944</v>
      </c>
      <c r="J1106">
        <v>1</v>
      </c>
      <c r="K1106" t="str">
        <f>VLOOKUP(A1106,'TV May Monthly Billing Sites'!$A:$L,1,0)</f>
        <v>76209577</v>
      </c>
    </row>
    <row r="1107" spans="1:12">
      <c r="A1107" t="str">
        <f t="shared" si="17"/>
        <v>76209637</v>
      </c>
      <c r="B1107">
        <v>76209637</v>
      </c>
      <c r="C1107" t="s">
        <v>6616</v>
      </c>
      <c r="D1107" t="s">
        <v>3531</v>
      </c>
      <c r="E1107">
        <v>4408593</v>
      </c>
      <c r="F1107" t="s">
        <v>742</v>
      </c>
      <c r="G1107" t="s">
        <v>782</v>
      </c>
      <c r="H1107" t="s">
        <v>6062</v>
      </c>
      <c r="I1107" s="12">
        <v>45626</v>
      </c>
      <c r="J1107">
        <v>1</v>
      </c>
      <c r="K1107" t="str">
        <f>VLOOKUP(A1107,'TV May Monthly Billing Sites'!$A:$L,1,0)</f>
        <v>76209637</v>
      </c>
    </row>
    <row r="1108" spans="1:12">
      <c r="A1108" t="str">
        <f t="shared" si="17"/>
        <v>76209638</v>
      </c>
      <c r="B1108">
        <v>76209638</v>
      </c>
      <c r="C1108" t="s">
        <v>6617</v>
      </c>
      <c r="D1108" t="s">
        <v>3533</v>
      </c>
      <c r="E1108">
        <v>4508714</v>
      </c>
      <c r="F1108" t="s">
        <v>742</v>
      </c>
      <c r="G1108" t="s">
        <v>743</v>
      </c>
      <c r="H1108" t="s">
        <v>6618</v>
      </c>
      <c r="I1108" s="12">
        <v>45603</v>
      </c>
      <c r="J1108">
        <v>1</v>
      </c>
      <c r="K1108" t="str">
        <f>VLOOKUP(A1108,'TV May Monthly Billing Sites'!$A:$L,1,0)</f>
        <v>76209638</v>
      </c>
    </row>
    <row r="1109" spans="1:12">
      <c r="A1109" t="str">
        <f t="shared" si="17"/>
        <v>76209647</v>
      </c>
      <c r="B1109">
        <v>76209647</v>
      </c>
      <c r="C1109" t="s">
        <v>6619</v>
      </c>
      <c r="D1109" t="s">
        <v>3535</v>
      </c>
      <c r="E1109">
        <v>4408593</v>
      </c>
      <c r="F1109" t="s">
        <v>742</v>
      </c>
      <c r="G1109" t="s">
        <v>782</v>
      </c>
      <c r="H1109" t="s">
        <v>6620</v>
      </c>
      <c r="I1109" s="12">
        <v>45628</v>
      </c>
      <c r="J1109">
        <v>1</v>
      </c>
      <c r="K1109" t="str">
        <f>VLOOKUP(A1109,'TV May Monthly Billing Sites'!$A:$L,1,0)</f>
        <v>76209647</v>
      </c>
    </row>
    <row r="1110" spans="1:12">
      <c r="A1110" t="str">
        <f t="shared" si="17"/>
        <v>76209648</v>
      </c>
      <c r="B1110">
        <v>76209648</v>
      </c>
      <c r="C1110" t="s">
        <v>6621</v>
      </c>
      <c r="D1110" t="s">
        <v>3537</v>
      </c>
      <c r="E1110">
        <v>4408593</v>
      </c>
      <c r="F1110" t="s">
        <v>742</v>
      </c>
      <c r="G1110" t="s">
        <v>782</v>
      </c>
      <c r="H1110" t="s">
        <v>6620</v>
      </c>
      <c r="I1110" s="12">
        <v>45628</v>
      </c>
      <c r="J1110">
        <v>1</v>
      </c>
      <c r="K1110" t="str">
        <f>VLOOKUP(A1110,'TV May Monthly Billing Sites'!$A:$L,1,0)</f>
        <v>76209648</v>
      </c>
    </row>
    <row r="1111" spans="1:12">
      <c r="A1111" t="str">
        <f t="shared" si="17"/>
        <v>76209699</v>
      </c>
      <c r="B1111">
        <v>76209699</v>
      </c>
      <c r="C1111" t="s">
        <v>6622</v>
      </c>
      <c r="D1111" t="s">
        <v>6623</v>
      </c>
      <c r="E1111">
        <v>4508714</v>
      </c>
      <c r="F1111" t="s">
        <v>742</v>
      </c>
      <c r="G1111" t="s">
        <v>743</v>
      </c>
      <c r="H1111" t="s">
        <v>5159</v>
      </c>
      <c r="I1111" s="12">
        <v>45441</v>
      </c>
      <c r="J1111">
        <v>1</v>
      </c>
      <c r="K1111" t="str">
        <f>VLOOKUP(A1111,'TV May Monthly Billing Sites'!$A:$L,1,0)</f>
        <v>76209699</v>
      </c>
    </row>
    <row r="1112" spans="1:12">
      <c r="A1112" t="str">
        <f t="shared" si="17"/>
        <v>76209705</v>
      </c>
      <c r="B1112">
        <v>76209705</v>
      </c>
      <c r="C1112" t="s">
        <v>6624</v>
      </c>
      <c r="D1112" t="s">
        <v>6625</v>
      </c>
      <c r="E1112">
        <v>4508714</v>
      </c>
      <c r="F1112" t="s">
        <v>742</v>
      </c>
      <c r="G1112" t="s">
        <v>743</v>
      </c>
      <c r="H1112" t="s">
        <v>5159</v>
      </c>
      <c r="I1112" s="12">
        <v>45637</v>
      </c>
      <c r="J1112">
        <v>1</v>
      </c>
      <c r="K1112" t="str">
        <f>VLOOKUP(A1112,'TV May Monthly Billing Sites'!$A:$L,1,0)</f>
        <v>76209705</v>
      </c>
    </row>
    <row r="1113" spans="1:12">
      <c r="A1113" t="str">
        <f t="shared" si="17"/>
        <v>76209715</v>
      </c>
      <c r="B1113">
        <v>76209715</v>
      </c>
      <c r="C1113" t="s">
        <v>6626</v>
      </c>
      <c r="D1113" t="s">
        <v>3543</v>
      </c>
      <c r="E1113">
        <v>4408592</v>
      </c>
      <c r="F1113" t="s">
        <v>742</v>
      </c>
      <c r="G1113" t="s">
        <v>823</v>
      </c>
      <c r="H1113" t="s">
        <v>3543</v>
      </c>
      <c r="I1113" s="12">
        <v>45426</v>
      </c>
      <c r="J1113">
        <v>1</v>
      </c>
      <c r="K1113" t="str">
        <f>VLOOKUP(A1113,'TV May Monthly Billing Sites'!$A:$L,1,0)</f>
        <v>76209715</v>
      </c>
    </row>
    <row r="1114" spans="1:12">
      <c r="A1114" t="str">
        <f t="shared" si="17"/>
        <v>76209808</v>
      </c>
      <c r="B1114">
        <v>76209808</v>
      </c>
      <c r="C1114" t="s">
        <v>6627</v>
      </c>
      <c r="D1114" t="s">
        <v>3545</v>
      </c>
      <c r="E1114">
        <v>4508714</v>
      </c>
      <c r="F1114" t="s">
        <v>742</v>
      </c>
      <c r="G1114" t="s">
        <v>743</v>
      </c>
      <c r="H1114" t="s">
        <v>6628</v>
      </c>
      <c r="I1114" s="12">
        <v>46084</v>
      </c>
      <c r="J1114">
        <v>1</v>
      </c>
      <c r="K1114" t="str">
        <f>VLOOKUP(A1114,'TV May Monthly Billing Sites'!$A:$L,1,0)</f>
        <v>76209808</v>
      </c>
    </row>
    <row r="1115" spans="1:12">
      <c r="A1115" t="str">
        <f t="shared" si="17"/>
        <v>76209873</v>
      </c>
      <c r="B1115">
        <v>76209873</v>
      </c>
      <c r="C1115" t="s">
        <v>6629</v>
      </c>
      <c r="D1115" t="s">
        <v>6630</v>
      </c>
      <c r="E1115">
        <v>4508714</v>
      </c>
      <c r="F1115" t="s">
        <v>742</v>
      </c>
      <c r="G1115" t="s">
        <v>743</v>
      </c>
      <c r="H1115" t="s">
        <v>6279</v>
      </c>
      <c r="I1115" s="12">
        <v>45659</v>
      </c>
      <c r="J1115">
        <v>1</v>
      </c>
      <c r="K1115" t="str">
        <f>VLOOKUP(A1115,'TV May Monthly Billing Sites'!$A:$L,1,0)</f>
        <v>76209873</v>
      </c>
    </row>
    <row r="1116" spans="1:12">
      <c r="A1116" t="str">
        <f t="shared" si="17"/>
        <v>76209898</v>
      </c>
      <c r="B1116">
        <v>76209898</v>
      </c>
      <c r="C1116" t="s">
        <v>1036</v>
      </c>
      <c r="D1116" t="s">
        <v>1037</v>
      </c>
      <c r="E1116">
        <v>4408592</v>
      </c>
      <c r="F1116" t="s">
        <v>742</v>
      </c>
      <c r="G1116" t="s">
        <v>823</v>
      </c>
      <c r="H1116" t="s">
        <v>1038</v>
      </c>
      <c r="I1116" s="12">
        <v>45597</v>
      </c>
      <c r="J1116">
        <v>1</v>
      </c>
      <c r="K1116" t="e">
        <f>VLOOKUP(A1116,'TV May Monthly Billing Sites'!$A:$L,1,0)</f>
        <v>#N/A</v>
      </c>
      <c r="L1116" t="e">
        <f>VLOOKUP(D1116,'TV May Monthly Billing Sites'!$B:$L,1,0)</f>
        <v>#N/A</v>
      </c>
    </row>
    <row r="1117" spans="1:12">
      <c r="A1117" t="str">
        <f t="shared" si="17"/>
        <v>76209988</v>
      </c>
      <c r="B1117">
        <v>76209988</v>
      </c>
      <c r="C1117" t="s">
        <v>6631</v>
      </c>
      <c r="D1117" t="s">
        <v>3551</v>
      </c>
      <c r="E1117">
        <v>4408592</v>
      </c>
      <c r="F1117" t="s">
        <v>742</v>
      </c>
      <c r="G1117" t="s">
        <v>823</v>
      </c>
      <c r="H1117" t="s">
        <v>3551</v>
      </c>
      <c r="I1117" s="12">
        <v>45811</v>
      </c>
      <c r="J1117">
        <v>1</v>
      </c>
      <c r="K1117" t="str">
        <f>VLOOKUP(A1117,'TV May Monthly Billing Sites'!$A:$L,1,0)</f>
        <v>76209988</v>
      </c>
    </row>
    <row r="1118" spans="1:12">
      <c r="A1118" t="str">
        <f t="shared" si="17"/>
        <v>76209991</v>
      </c>
      <c r="B1118">
        <v>76209991</v>
      </c>
      <c r="C1118" t="s">
        <v>6632</v>
      </c>
      <c r="D1118" t="s">
        <v>6633</v>
      </c>
      <c r="E1118">
        <v>4408592</v>
      </c>
      <c r="F1118" t="s">
        <v>742</v>
      </c>
      <c r="G1118" t="s">
        <v>823</v>
      </c>
      <c r="H1118" t="s">
        <v>3551</v>
      </c>
      <c r="I1118" s="12">
        <v>45811</v>
      </c>
      <c r="J1118">
        <v>1</v>
      </c>
      <c r="K1118" t="str">
        <f>VLOOKUP(A1118,'TV May Monthly Billing Sites'!$A:$L,1,0)</f>
        <v>76209991</v>
      </c>
    </row>
    <row r="1119" spans="1:12">
      <c r="A1119" t="str">
        <f t="shared" si="17"/>
        <v>76210184</v>
      </c>
      <c r="B1119">
        <v>76210184</v>
      </c>
      <c r="C1119" t="s">
        <v>6634</v>
      </c>
      <c r="D1119" t="s">
        <v>6635</v>
      </c>
      <c r="E1119">
        <v>4508675</v>
      </c>
      <c r="F1119" t="s">
        <v>742</v>
      </c>
      <c r="G1119" t="s">
        <v>828</v>
      </c>
      <c r="H1119" t="s">
        <v>1175</v>
      </c>
      <c r="I1119" s="12">
        <v>45716</v>
      </c>
      <c r="J1119">
        <v>1</v>
      </c>
      <c r="K1119" t="str">
        <f>VLOOKUP(A1119,'TV May Monthly Billing Sites'!$A:$L,1,0)</f>
        <v>76210184</v>
      </c>
    </row>
    <row r="1120" spans="1:12">
      <c r="A1120" t="str">
        <f t="shared" si="17"/>
        <v>76210257</v>
      </c>
      <c r="B1120">
        <v>76210257</v>
      </c>
      <c r="C1120" t="s">
        <v>6636</v>
      </c>
      <c r="D1120" t="s">
        <v>3557</v>
      </c>
      <c r="E1120">
        <v>4508714</v>
      </c>
      <c r="F1120" t="s">
        <v>742</v>
      </c>
      <c r="G1120" t="s">
        <v>743</v>
      </c>
      <c r="H1120" t="s">
        <v>5325</v>
      </c>
      <c r="I1120" s="12">
        <v>45637</v>
      </c>
      <c r="J1120">
        <v>1</v>
      </c>
      <c r="K1120" t="str">
        <f>VLOOKUP(A1120,'TV May Monthly Billing Sites'!$A:$L,1,0)</f>
        <v>76210257</v>
      </c>
    </row>
    <row r="1121" spans="1:12">
      <c r="A1121" t="str">
        <f t="shared" si="17"/>
        <v>76210307</v>
      </c>
      <c r="B1121">
        <v>76210307</v>
      </c>
      <c r="C1121" t="s">
        <v>6637</v>
      </c>
      <c r="D1121" t="s">
        <v>6638</v>
      </c>
      <c r="E1121">
        <v>4508714</v>
      </c>
      <c r="F1121" t="s">
        <v>742</v>
      </c>
      <c r="G1121" t="s">
        <v>743</v>
      </c>
      <c r="H1121" t="s">
        <v>6639</v>
      </c>
      <c r="I1121" s="12">
        <v>45589</v>
      </c>
      <c r="J1121">
        <v>1</v>
      </c>
      <c r="K1121" t="str">
        <f>VLOOKUP(A1121,'TV May Monthly Billing Sites'!$A:$L,1,0)</f>
        <v>76210307</v>
      </c>
    </row>
    <row r="1122" spans="1:12">
      <c r="A1122" t="str">
        <f t="shared" si="17"/>
        <v>76210315</v>
      </c>
      <c r="B1122">
        <v>76210315</v>
      </c>
      <c r="C1122" t="s">
        <v>6640</v>
      </c>
      <c r="D1122" t="s">
        <v>6641</v>
      </c>
      <c r="E1122">
        <v>4508714</v>
      </c>
      <c r="F1122" t="s">
        <v>742</v>
      </c>
      <c r="G1122" t="s">
        <v>743</v>
      </c>
      <c r="H1122" t="s">
        <v>5460</v>
      </c>
      <c r="I1122" s="12">
        <v>45628</v>
      </c>
      <c r="J1122">
        <v>1</v>
      </c>
      <c r="K1122" t="str">
        <f>VLOOKUP(A1122,'TV May Monthly Billing Sites'!$A:$L,1,0)</f>
        <v>76210315</v>
      </c>
    </row>
    <row r="1123" spans="1:12">
      <c r="A1123" t="str">
        <f t="shared" si="17"/>
        <v>76210344</v>
      </c>
      <c r="B1123">
        <v>76210344</v>
      </c>
      <c r="C1123" t="s">
        <v>6642</v>
      </c>
      <c r="D1123" t="s">
        <v>3563</v>
      </c>
      <c r="E1123">
        <v>4508714</v>
      </c>
      <c r="F1123" t="s">
        <v>742</v>
      </c>
      <c r="G1123" t="s">
        <v>743</v>
      </c>
      <c r="H1123" t="s">
        <v>5026</v>
      </c>
      <c r="I1123" s="12">
        <v>45959</v>
      </c>
      <c r="J1123">
        <v>1</v>
      </c>
      <c r="K1123" t="str">
        <f>VLOOKUP(A1123,'TV May Monthly Billing Sites'!$A:$L,1,0)</f>
        <v>76210344</v>
      </c>
    </row>
    <row r="1124" spans="1:12">
      <c r="A1124" t="str">
        <f t="shared" si="17"/>
        <v>76210348</v>
      </c>
      <c r="B1124">
        <v>76210348</v>
      </c>
      <c r="C1124" t="s">
        <v>6643</v>
      </c>
      <c r="D1124" t="s">
        <v>6644</v>
      </c>
      <c r="E1124">
        <v>4508714</v>
      </c>
      <c r="F1124" t="s">
        <v>742</v>
      </c>
      <c r="G1124" t="s">
        <v>743</v>
      </c>
      <c r="H1124" t="s">
        <v>4890</v>
      </c>
      <c r="I1124" s="12">
        <v>45719</v>
      </c>
      <c r="J1124">
        <v>1</v>
      </c>
      <c r="K1124" t="str">
        <f>VLOOKUP(A1124,'TV May Monthly Billing Sites'!$A:$L,1,0)</f>
        <v>76210348</v>
      </c>
    </row>
    <row r="1125" spans="1:12">
      <c r="A1125" t="str">
        <f t="shared" si="17"/>
        <v>76210436</v>
      </c>
      <c r="B1125">
        <v>76210436</v>
      </c>
      <c r="C1125" t="s">
        <v>6645</v>
      </c>
      <c r="D1125" t="s">
        <v>3567</v>
      </c>
      <c r="E1125">
        <v>4508684</v>
      </c>
      <c r="F1125" t="s">
        <v>742</v>
      </c>
      <c r="G1125" t="s">
        <v>4760</v>
      </c>
      <c r="H1125" t="s">
        <v>4945</v>
      </c>
      <c r="I1125" s="12">
        <v>45891</v>
      </c>
      <c r="J1125">
        <v>1</v>
      </c>
      <c r="K1125" t="str">
        <f>VLOOKUP(A1125,'TV May Monthly Billing Sites'!$A:$L,1,0)</f>
        <v>76210436</v>
      </c>
    </row>
    <row r="1126" spans="1:12">
      <c r="A1126" t="str">
        <f t="shared" si="17"/>
        <v>76210624</v>
      </c>
      <c r="B1126">
        <v>76210624</v>
      </c>
      <c r="C1126" t="s">
        <v>6646</v>
      </c>
      <c r="D1126" t="s">
        <v>6647</v>
      </c>
      <c r="E1126">
        <v>4508675</v>
      </c>
      <c r="F1126" t="s">
        <v>742</v>
      </c>
      <c r="G1126" t="s">
        <v>828</v>
      </c>
      <c r="H1126" t="s">
        <v>1164</v>
      </c>
      <c r="I1126" s="12">
        <v>45198</v>
      </c>
      <c r="J1126">
        <v>1</v>
      </c>
      <c r="K1126" t="str">
        <f>VLOOKUP(A1126,'TV May Monthly Billing Sites'!$A:$L,1,0)</f>
        <v>76210624</v>
      </c>
    </row>
    <row r="1127" spans="1:12">
      <c r="A1127" t="str">
        <f t="shared" si="17"/>
        <v>76210769</v>
      </c>
      <c r="B1127">
        <v>76210769</v>
      </c>
      <c r="C1127" t="s">
        <v>6648</v>
      </c>
      <c r="D1127" t="s">
        <v>6649</v>
      </c>
      <c r="E1127">
        <v>4508714</v>
      </c>
      <c r="F1127" t="s">
        <v>742</v>
      </c>
      <c r="G1127" t="s">
        <v>743</v>
      </c>
      <c r="H1127" t="s">
        <v>4775</v>
      </c>
      <c r="I1127" s="12">
        <v>46055</v>
      </c>
      <c r="J1127">
        <v>1</v>
      </c>
      <c r="K1127" t="str">
        <f>VLOOKUP(A1127,'TV May Monthly Billing Sites'!$A:$L,1,0)</f>
        <v>76210769</v>
      </c>
    </row>
    <row r="1128" spans="1:12">
      <c r="A1128" t="str">
        <f t="shared" si="17"/>
        <v>76210799</v>
      </c>
      <c r="B1128">
        <v>76210799</v>
      </c>
      <c r="C1128" t="s">
        <v>6650</v>
      </c>
      <c r="D1128" t="s">
        <v>6651</v>
      </c>
      <c r="E1128">
        <v>4508675</v>
      </c>
      <c r="F1128" t="s">
        <v>742</v>
      </c>
      <c r="G1128" t="s">
        <v>828</v>
      </c>
      <c r="H1128" t="s">
        <v>3551</v>
      </c>
      <c r="I1128" s="12">
        <v>45866</v>
      </c>
      <c r="J1128">
        <v>1</v>
      </c>
      <c r="K1128" t="str">
        <f>VLOOKUP(A1128,'TV May Monthly Billing Sites'!$A:$L,1,0)</f>
        <v>76210799</v>
      </c>
    </row>
    <row r="1129" spans="1:12">
      <c r="A1129" t="str">
        <f t="shared" si="17"/>
        <v>76211125</v>
      </c>
      <c r="B1129">
        <v>76211125</v>
      </c>
      <c r="C1129" t="s">
        <v>1040</v>
      </c>
      <c r="D1129" t="s">
        <v>1041</v>
      </c>
      <c r="E1129">
        <v>4508714</v>
      </c>
      <c r="F1129" t="s">
        <v>742</v>
      </c>
      <c r="G1129" t="s">
        <v>743</v>
      </c>
      <c r="H1129" t="s">
        <v>1042</v>
      </c>
      <c r="I1129" s="12">
        <v>45628</v>
      </c>
      <c r="J1129">
        <v>1</v>
      </c>
      <c r="K1129" t="e">
        <f>VLOOKUP(A1129,'TV May Monthly Billing Sites'!$A:$L,1,0)</f>
        <v>#N/A</v>
      </c>
      <c r="L1129" t="e">
        <f>VLOOKUP(D1129,'TV May Monthly Billing Sites'!$B:$L,1,0)</f>
        <v>#N/A</v>
      </c>
    </row>
    <row r="1130" spans="1:12">
      <c r="A1130" t="str">
        <f t="shared" si="17"/>
        <v>76211206</v>
      </c>
      <c r="B1130">
        <v>76211206</v>
      </c>
      <c r="C1130" t="s">
        <v>6652</v>
      </c>
      <c r="D1130" t="s">
        <v>3575</v>
      </c>
      <c r="E1130">
        <v>4508685</v>
      </c>
      <c r="F1130" t="s">
        <v>742</v>
      </c>
      <c r="G1130" t="s">
        <v>904</v>
      </c>
      <c r="H1130" t="s">
        <v>905</v>
      </c>
      <c r="I1130" s="12">
        <v>46024</v>
      </c>
      <c r="J1130">
        <v>1</v>
      </c>
      <c r="K1130" t="str">
        <f>VLOOKUP(A1130,'TV May Monthly Billing Sites'!$A:$L,1,0)</f>
        <v>76211206</v>
      </c>
    </row>
    <row r="1131" spans="1:12">
      <c r="A1131" t="str">
        <f t="shared" si="17"/>
        <v>76211329</v>
      </c>
      <c r="B1131">
        <v>76211329</v>
      </c>
      <c r="C1131" t="s">
        <v>1044</v>
      </c>
      <c r="D1131" t="s">
        <v>1045</v>
      </c>
      <c r="E1131">
        <v>4508714</v>
      </c>
      <c r="F1131" t="s">
        <v>742</v>
      </c>
      <c r="G1131" t="s">
        <v>743</v>
      </c>
      <c r="H1131" t="s">
        <v>812</v>
      </c>
      <c r="I1131" s="12">
        <v>45931</v>
      </c>
      <c r="J1131">
        <v>1</v>
      </c>
      <c r="K1131" t="e">
        <f>VLOOKUP(A1131,'TV May Monthly Billing Sites'!$A:$L,1,0)</f>
        <v>#N/A</v>
      </c>
      <c r="L1131" t="e">
        <f>VLOOKUP(D1131,'TV May Monthly Billing Sites'!$B:$L,1,0)</f>
        <v>#N/A</v>
      </c>
    </row>
    <row r="1132" spans="1:12">
      <c r="A1132" t="str">
        <f t="shared" si="17"/>
        <v>76211393</v>
      </c>
      <c r="B1132">
        <v>76211393</v>
      </c>
      <c r="C1132" t="s">
        <v>6653</v>
      </c>
      <c r="D1132" t="s">
        <v>3577</v>
      </c>
      <c r="E1132">
        <v>4508714</v>
      </c>
      <c r="F1132" t="s">
        <v>742</v>
      </c>
      <c r="G1132" t="s">
        <v>743</v>
      </c>
      <c r="H1132" t="s">
        <v>6294</v>
      </c>
      <c r="I1132" s="12">
        <v>45623</v>
      </c>
      <c r="J1132">
        <v>1</v>
      </c>
      <c r="K1132" t="str">
        <f>VLOOKUP(A1132,'TV May Monthly Billing Sites'!$A:$L,1,0)</f>
        <v>76211393</v>
      </c>
    </row>
    <row r="1133" spans="1:12">
      <c r="A1133" t="str">
        <f t="shared" si="17"/>
        <v>76211435</v>
      </c>
      <c r="B1133">
        <v>76211435</v>
      </c>
      <c r="C1133" t="s">
        <v>6654</v>
      </c>
      <c r="D1133" t="s">
        <v>3579</v>
      </c>
      <c r="E1133">
        <v>4508714</v>
      </c>
      <c r="F1133" t="s">
        <v>742</v>
      </c>
      <c r="G1133" t="s">
        <v>743</v>
      </c>
      <c r="H1133" t="s">
        <v>6655</v>
      </c>
      <c r="I1133" s="12">
        <v>45861</v>
      </c>
      <c r="J1133">
        <v>1</v>
      </c>
      <c r="K1133" t="str">
        <f>VLOOKUP(A1133,'TV May Monthly Billing Sites'!$A:$L,1,0)</f>
        <v>76211435</v>
      </c>
    </row>
    <row r="1134" spans="1:12">
      <c r="A1134" t="str">
        <f t="shared" si="17"/>
        <v>76212103</v>
      </c>
      <c r="B1134">
        <v>76212103</v>
      </c>
      <c r="C1134" t="s">
        <v>6656</v>
      </c>
      <c r="D1134" t="s">
        <v>6657</v>
      </c>
      <c r="E1134">
        <v>4508714</v>
      </c>
      <c r="F1134" t="s">
        <v>742</v>
      </c>
      <c r="G1134" t="s">
        <v>743</v>
      </c>
      <c r="H1134" t="s">
        <v>4728</v>
      </c>
      <c r="I1134" s="12">
        <v>45754</v>
      </c>
      <c r="J1134">
        <v>1</v>
      </c>
      <c r="K1134" t="str">
        <f>VLOOKUP(A1134,'TV May Monthly Billing Sites'!$A:$L,1,0)</f>
        <v>76212103</v>
      </c>
    </row>
    <row r="1135" spans="1:12">
      <c r="A1135" t="str">
        <f t="shared" si="17"/>
        <v>76212373</v>
      </c>
      <c r="B1135">
        <v>76212373</v>
      </c>
      <c r="C1135" t="s">
        <v>6658</v>
      </c>
      <c r="D1135" t="s">
        <v>3583</v>
      </c>
      <c r="E1135">
        <v>4508714</v>
      </c>
      <c r="F1135" t="s">
        <v>742</v>
      </c>
      <c r="G1135" t="s">
        <v>743</v>
      </c>
      <c r="H1135" t="s">
        <v>6174</v>
      </c>
      <c r="I1135" s="12">
        <v>46023</v>
      </c>
      <c r="J1135">
        <v>1</v>
      </c>
      <c r="K1135" t="str">
        <f>VLOOKUP(A1135,'TV May Monthly Billing Sites'!$A:$L,1,0)</f>
        <v>76212373</v>
      </c>
    </row>
    <row r="1136" spans="1:12">
      <c r="A1136" t="str">
        <f t="shared" si="17"/>
        <v>76212605</v>
      </c>
      <c r="B1136">
        <v>76212605</v>
      </c>
      <c r="C1136" t="s">
        <v>6659</v>
      </c>
      <c r="D1136" t="s">
        <v>3585</v>
      </c>
      <c r="E1136">
        <v>4508714</v>
      </c>
      <c r="F1136" t="s">
        <v>742</v>
      </c>
      <c r="G1136" t="s">
        <v>743</v>
      </c>
      <c r="H1136" t="s">
        <v>6660</v>
      </c>
      <c r="I1136" s="12">
        <v>45932</v>
      </c>
      <c r="J1136">
        <v>1</v>
      </c>
      <c r="K1136" t="str">
        <f>VLOOKUP(A1136,'TV May Monthly Billing Sites'!$A:$L,1,0)</f>
        <v>76212605</v>
      </c>
    </row>
    <row r="1137" spans="1:12">
      <c r="A1137" t="str">
        <f t="shared" si="17"/>
        <v>76212611</v>
      </c>
      <c r="B1137">
        <v>76212611</v>
      </c>
      <c r="C1137" t="s">
        <v>6661</v>
      </c>
      <c r="D1137" t="s">
        <v>6662</v>
      </c>
      <c r="E1137">
        <v>4508714</v>
      </c>
      <c r="F1137" t="s">
        <v>742</v>
      </c>
      <c r="G1137" t="s">
        <v>743</v>
      </c>
      <c r="H1137" t="s">
        <v>5890</v>
      </c>
      <c r="I1137" s="12">
        <v>45743</v>
      </c>
      <c r="J1137">
        <v>1</v>
      </c>
      <c r="K1137" t="str">
        <f>VLOOKUP(A1137,'TV May Monthly Billing Sites'!$A:$L,1,0)</f>
        <v>76212611</v>
      </c>
    </row>
    <row r="1138" spans="1:12">
      <c r="A1138" t="str">
        <f t="shared" si="17"/>
        <v>76212775</v>
      </c>
      <c r="B1138">
        <v>76212775</v>
      </c>
      <c r="C1138" t="s">
        <v>6663</v>
      </c>
      <c r="D1138" t="s">
        <v>6664</v>
      </c>
      <c r="E1138">
        <v>4508714</v>
      </c>
      <c r="F1138" t="s">
        <v>742</v>
      </c>
      <c r="G1138" t="s">
        <v>743</v>
      </c>
      <c r="H1138" t="s">
        <v>5298</v>
      </c>
      <c r="I1138" s="12">
        <v>45875</v>
      </c>
      <c r="J1138">
        <v>1</v>
      </c>
      <c r="K1138" t="str">
        <f>VLOOKUP(A1138,'TV May Monthly Billing Sites'!$A:$L,1,0)</f>
        <v>76212775</v>
      </c>
    </row>
    <row r="1139" spans="1:12">
      <c r="A1139" t="str">
        <f t="shared" si="17"/>
        <v>76213073</v>
      </c>
      <c r="B1139">
        <v>76213073</v>
      </c>
      <c r="C1139" t="s">
        <v>1047</v>
      </c>
      <c r="D1139" t="s">
        <v>1048</v>
      </c>
      <c r="E1139">
        <v>4508675</v>
      </c>
      <c r="F1139" t="s">
        <v>742</v>
      </c>
      <c r="G1139" t="s">
        <v>828</v>
      </c>
      <c r="H1139" t="s">
        <v>1049</v>
      </c>
      <c r="I1139" s="12">
        <v>45653</v>
      </c>
      <c r="J1139">
        <v>1</v>
      </c>
      <c r="K1139" t="e">
        <f>VLOOKUP(A1139,'TV May Monthly Billing Sites'!$A:$L,1,0)</f>
        <v>#N/A</v>
      </c>
      <c r="L1139" t="e">
        <f>VLOOKUP(D1139,'TV May Monthly Billing Sites'!$B:$L,1,0)</f>
        <v>#N/A</v>
      </c>
    </row>
    <row r="1140" spans="1:12">
      <c r="A1140" t="str">
        <f t="shared" si="17"/>
        <v>76213112</v>
      </c>
      <c r="B1140">
        <v>76213112</v>
      </c>
      <c r="C1140" t="s">
        <v>6665</v>
      </c>
      <c r="D1140" t="s">
        <v>6666</v>
      </c>
      <c r="E1140">
        <v>4508714</v>
      </c>
      <c r="F1140" t="s">
        <v>742</v>
      </c>
      <c r="G1140" t="s">
        <v>743</v>
      </c>
      <c r="H1140" t="s">
        <v>6667</v>
      </c>
      <c r="I1140" s="12">
        <v>45715</v>
      </c>
      <c r="J1140">
        <v>1</v>
      </c>
      <c r="K1140" t="str">
        <f>VLOOKUP(A1140,'TV May Monthly Billing Sites'!$A:$L,1,0)</f>
        <v>76213112</v>
      </c>
    </row>
    <row r="1141" spans="1:12">
      <c r="A1141" t="str">
        <f t="shared" si="17"/>
        <v>76213117</v>
      </c>
      <c r="B1141">
        <v>76213117</v>
      </c>
      <c r="C1141" t="s">
        <v>6668</v>
      </c>
      <c r="D1141" t="s">
        <v>6669</v>
      </c>
      <c r="E1141">
        <v>4508714</v>
      </c>
      <c r="F1141" t="s">
        <v>742</v>
      </c>
      <c r="G1141" t="s">
        <v>743</v>
      </c>
      <c r="H1141" t="s">
        <v>6667</v>
      </c>
      <c r="I1141" s="12">
        <v>45715</v>
      </c>
      <c r="J1141">
        <v>1</v>
      </c>
      <c r="K1141" t="str">
        <f>VLOOKUP(A1141,'TV May Monthly Billing Sites'!$A:$L,1,0)</f>
        <v>76213117</v>
      </c>
    </row>
    <row r="1142" spans="1:12">
      <c r="A1142" t="str">
        <f t="shared" si="17"/>
        <v>76213141</v>
      </c>
      <c r="B1142">
        <v>76213141</v>
      </c>
      <c r="C1142" t="s">
        <v>6670</v>
      </c>
      <c r="D1142" t="s">
        <v>3595</v>
      </c>
      <c r="E1142">
        <v>4408592</v>
      </c>
      <c r="F1142" t="s">
        <v>742</v>
      </c>
      <c r="G1142" t="s">
        <v>823</v>
      </c>
      <c r="H1142" t="s">
        <v>4785</v>
      </c>
      <c r="I1142" s="12">
        <v>44712</v>
      </c>
      <c r="J1142">
        <v>1</v>
      </c>
      <c r="K1142" t="str">
        <f>VLOOKUP(A1142,'TV May Monthly Billing Sites'!$A:$L,1,0)</f>
        <v>76213141</v>
      </c>
    </row>
    <row r="1143" spans="1:12">
      <c r="A1143" t="str">
        <f t="shared" si="17"/>
        <v>76213159</v>
      </c>
      <c r="B1143">
        <v>76213159</v>
      </c>
      <c r="C1143" t="s">
        <v>6671</v>
      </c>
      <c r="D1143" t="s">
        <v>3597</v>
      </c>
      <c r="E1143">
        <v>4408592</v>
      </c>
      <c r="F1143" t="s">
        <v>742</v>
      </c>
      <c r="G1143" t="s">
        <v>823</v>
      </c>
      <c r="H1143" t="s">
        <v>6030</v>
      </c>
      <c r="I1143" s="12">
        <v>45901</v>
      </c>
      <c r="J1143">
        <v>1</v>
      </c>
      <c r="K1143" t="str">
        <f>VLOOKUP(A1143,'TV May Monthly Billing Sites'!$A:$L,1,0)</f>
        <v>76213159</v>
      </c>
    </row>
    <row r="1144" spans="1:12">
      <c r="A1144" t="str">
        <f t="shared" si="17"/>
        <v>76213165</v>
      </c>
      <c r="B1144">
        <v>76213165</v>
      </c>
      <c r="C1144" t="s">
        <v>6672</v>
      </c>
      <c r="D1144" t="s">
        <v>3599</v>
      </c>
      <c r="E1144">
        <v>4508675</v>
      </c>
      <c r="F1144" t="s">
        <v>742</v>
      </c>
      <c r="G1144" t="s">
        <v>828</v>
      </c>
      <c r="H1144" t="s">
        <v>6030</v>
      </c>
      <c r="I1144" s="12">
        <v>45901</v>
      </c>
      <c r="J1144">
        <v>1</v>
      </c>
      <c r="K1144" t="str">
        <f>VLOOKUP(A1144,'TV May Monthly Billing Sites'!$A:$L,1,0)</f>
        <v>76213165</v>
      </c>
    </row>
    <row r="1145" spans="1:12">
      <c r="A1145" t="str">
        <f t="shared" si="17"/>
        <v>76213169</v>
      </c>
      <c r="B1145">
        <v>76213169</v>
      </c>
      <c r="C1145" t="s">
        <v>6673</v>
      </c>
      <c r="D1145" t="s">
        <v>6674</v>
      </c>
      <c r="E1145">
        <v>4408594</v>
      </c>
      <c r="F1145" t="s">
        <v>742</v>
      </c>
      <c r="G1145" t="s">
        <v>909</v>
      </c>
      <c r="H1145" t="s">
        <v>6675</v>
      </c>
      <c r="I1145" s="12">
        <v>44480</v>
      </c>
      <c r="J1145">
        <v>1</v>
      </c>
      <c r="K1145" t="str">
        <f>VLOOKUP(A1145,'TV May Monthly Billing Sites'!$A:$L,1,0)</f>
        <v>76213169</v>
      </c>
    </row>
    <row r="1146" spans="1:12">
      <c r="A1146" t="str">
        <f t="shared" si="17"/>
        <v>76213177</v>
      </c>
      <c r="B1146">
        <v>76213177</v>
      </c>
      <c r="C1146" t="s">
        <v>1051</v>
      </c>
      <c r="D1146" t="s">
        <v>1052</v>
      </c>
      <c r="E1146">
        <v>4508714</v>
      </c>
      <c r="F1146" t="s">
        <v>742</v>
      </c>
      <c r="G1146" t="s">
        <v>743</v>
      </c>
      <c r="H1146" t="s">
        <v>762</v>
      </c>
      <c r="I1146" s="12">
        <v>45622</v>
      </c>
      <c r="J1146">
        <v>1</v>
      </c>
      <c r="K1146" t="e">
        <f>VLOOKUP(A1146,'TV May Monthly Billing Sites'!$A:$L,1,0)</f>
        <v>#N/A</v>
      </c>
      <c r="L1146" t="e">
        <f>VLOOKUP(D1146,'TV May Monthly Billing Sites'!$B:$L,1,0)</f>
        <v>#N/A</v>
      </c>
    </row>
    <row r="1147" spans="1:12">
      <c r="A1147" t="str">
        <f t="shared" si="17"/>
        <v>76213178</v>
      </c>
      <c r="B1147">
        <v>76213178</v>
      </c>
      <c r="C1147" t="s">
        <v>6676</v>
      </c>
      <c r="D1147" t="s">
        <v>3603</v>
      </c>
      <c r="E1147">
        <v>4508714</v>
      </c>
      <c r="F1147" t="s">
        <v>742</v>
      </c>
      <c r="G1147" t="s">
        <v>743</v>
      </c>
      <c r="H1147" t="s">
        <v>5666</v>
      </c>
      <c r="I1147" s="12">
        <v>45965</v>
      </c>
      <c r="J1147">
        <v>1</v>
      </c>
      <c r="K1147" t="str">
        <f>VLOOKUP(A1147,'TV May Monthly Billing Sites'!$A:$L,1,0)</f>
        <v>76213178</v>
      </c>
    </row>
    <row r="1148" spans="1:12">
      <c r="A1148" t="str">
        <f t="shared" si="17"/>
        <v>76213235</v>
      </c>
      <c r="B1148">
        <v>76213235</v>
      </c>
      <c r="C1148" t="s">
        <v>1054</v>
      </c>
      <c r="D1148" t="s">
        <v>1055</v>
      </c>
      <c r="E1148">
        <v>4508714</v>
      </c>
      <c r="F1148" t="s">
        <v>742</v>
      </c>
      <c r="G1148" t="s">
        <v>743</v>
      </c>
      <c r="H1148" t="s">
        <v>1056</v>
      </c>
      <c r="I1148" s="12">
        <v>45411</v>
      </c>
      <c r="J1148">
        <v>1</v>
      </c>
      <c r="K1148" t="e">
        <f>VLOOKUP(A1148,'TV May Monthly Billing Sites'!$A:$L,1,0)</f>
        <v>#N/A</v>
      </c>
      <c r="L1148" t="e">
        <f>VLOOKUP(D1148,'TV May Monthly Billing Sites'!$B:$L,1,0)</f>
        <v>#N/A</v>
      </c>
    </row>
    <row r="1149" spans="1:12">
      <c r="A1149" t="str">
        <f t="shared" si="17"/>
        <v>76213296</v>
      </c>
      <c r="B1149">
        <v>76213296</v>
      </c>
      <c r="C1149" t="s">
        <v>6677</v>
      </c>
      <c r="D1149" t="s">
        <v>6678</v>
      </c>
      <c r="E1149">
        <v>4508714</v>
      </c>
      <c r="F1149" t="s">
        <v>742</v>
      </c>
      <c r="G1149" t="s">
        <v>743</v>
      </c>
      <c r="H1149" t="s">
        <v>5884</v>
      </c>
      <c r="I1149" s="12">
        <v>45658</v>
      </c>
      <c r="J1149">
        <v>1</v>
      </c>
      <c r="K1149" t="str">
        <f>VLOOKUP(A1149,'TV May Monthly Billing Sites'!$A:$L,1,0)</f>
        <v>76213296</v>
      </c>
    </row>
    <row r="1150" spans="1:12">
      <c r="A1150" t="str">
        <f t="shared" si="17"/>
        <v>76213302</v>
      </c>
      <c r="B1150">
        <v>76213302</v>
      </c>
      <c r="C1150" t="s">
        <v>6679</v>
      </c>
      <c r="D1150" t="s">
        <v>3607</v>
      </c>
      <c r="E1150">
        <v>4508714</v>
      </c>
      <c r="F1150" t="s">
        <v>742</v>
      </c>
      <c r="G1150" t="s">
        <v>743</v>
      </c>
      <c r="H1150" t="s">
        <v>5150</v>
      </c>
      <c r="I1150" s="12">
        <v>45653</v>
      </c>
      <c r="J1150">
        <v>1</v>
      </c>
      <c r="K1150" t="str">
        <f>VLOOKUP(A1150,'TV May Monthly Billing Sites'!$A:$L,1,0)</f>
        <v>76213302</v>
      </c>
    </row>
    <row r="1151" spans="1:12">
      <c r="A1151" t="str">
        <f t="shared" si="17"/>
        <v>76213491</v>
      </c>
      <c r="B1151">
        <v>76213491</v>
      </c>
      <c r="C1151" t="s">
        <v>6680</v>
      </c>
      <c r="D1151" t="s">
        <v>3609</v>
      </c>
      <c r="E1151">
        <v>4508675</v>
      </c>
      <c r="F1151" t="s">
        <v>742</v>
      </c>
      <c r="G1151" t="s">
        <v>828</v>
      </c>
      <c r="H1151" t="s">
        <v>4894</v>
      </c>
      <c r="I1151" s="12">
        <v>45450</v>
      </c>
      <c r="J1151">
        <v>1</v>
      </c>
      <c r="K1151" t="str">
        <f>VLOOKUP(A1151,'TV May Monthly Billing Sites'!$A:$L,1,0)</f>
        <v>76213491</v>
      </c>
    </row>
    <row r="1152" spans="1:12">
      <c r="A1152" t="str">
        <f t="shared" si="17"/>
        <v>76213491</v>
      </c>
      <c r="B1152">
        <v>76213491</v>
      </c>
      <c r="C1152" t="s">
        <v>6681</v>
      </c>
      <c r="D1152" t="s">
        <v>3609</v>
      </c>
      <c r="E1152">
        <v>4508675</v>
      </c>
      <c r="F1152" t="s">
        <v>742</v>
      </c>
      <c r="G1152" t="s">
        <v>828</v>
      </c>
      <c r="H1152" t="s">
        <v>4894</v>
      </c>
      <c r="I1152" s="12">
        <v>45450</v>
      </c>
      <c r="J1152">
        <v>1</v>
      </c>
      <c r="K1152" t="str">
        <f>VLOOKUP(A1152,'TV May Monthly Billing Sites'!$A:$L,1,0)</f>
        <v>76213491</v>
      </c>
    </row>
    <row r="1153" spans="1:11">
      <c r="A1153" t="str">
        <f t="shared" si="17"/>
        <v>76213505</v>
      </c>
      <c r="B1153">
        <v>76213505</v>
      </c>
      <c r="C1153" t="s">
        <v>6682</v>
      </c>
      <c r="D1153" t="s">
        <v>3611</v>
      </c>
      <c r="E1153">
        <v>4508714</v>
      </c>
      <c r="F1153" t="s">
        <v>742</v>
      </c>
      <c r="G1153" t="s">
        <v>743</v>
      </c>
      <c r="H1153" t="s">
        <v>6683</v>
      </c>
      <c r="I1153" s="12">
        <v>45678</v>
      </c>
      <c r="J1153">
        <v>1</v>
      </c>
      <c r="K1153" t="str">
        <f>VLOOKUP(A1153,'TV May Monthly Billing Sites'!$A:$L,1,0)</f>
        <v>76213505</v>
      </c>
    </row>
    <row r="1154" spans="1:11">
      <c r="A1154" t="str">
        <f t="shared" ref="A1154:A1217" si="18">TRIM(B1154)</f>
        <v>76213515</v>
      </c>
      <c r="B1154">
        <v>76213515</v>
      </c>
      <c r="C1154" t="s">
        <v>6684</v>
      </c>
      <c r="D1154" t="s">
        <v>3613</v>
      </c>
      <c r="E1154">
        <v>4408592</v>
      </c>
      <c r="F1154" t="s">
        <v>742</v>
      </c>
      <c r="G1154" t="s">
        <v>823</v>
      </c>
      <c r="H1154" t="s">
        <v>6685</v>
      </c>
      <c r="I1154" s="12">
        <v>44511</v>
      </c>
      <c r="J1154">
        <v>1</v>
      </c>
      <c r="K1154" t="str">
        <f>VLOOKUP(A1154,'TV May Monthly Billing Sites'!$A:$L,1,0)</f>
        <v>76213515</v>
      </c>
    </row>
    <row r="1155" spans="1:11">
      <c r="A1155" t="str">
        <f t="shared" si="18"/>
        <v>76213525</v>
      </c>
      <c r="B1155">
        <v>76213525</v>
      </c>
      <c r="C1155" t="s">
        <v>6686</v>
      </c>
      <c r="D1155" t="s">
        <v>6687</v>
      </c>
      <c r="E1155">
        <v>4508714</v>
      </c>
      <c r="F1155" t="s">
        <v>742</v>
      </c>
      <c r="G1155" t="s">
        <v>743</v>
      </c>
      <c r="H1155" t="s">
        <v>6688</v>
      </c>
      <c r="I1155" s="12">
        <v>46024</v>
      </c>
      <c r="J1155">
        <v>1</v>
      </c>
      <c r="K1155" t="str">
        <f>VLOOKUP(A1155,'TV May Monthly Billing Sites'!$A:$L,1,0)</f>
        <v>76213525</v>
      </c>
    </row>
    <row r="1156" spans="1:11">
      <c r="A1156" t="str">
        <f t="shared" si="18"/>
        <v>76213570</v>
      </c>
      <c r="B1156">
        <v>76213570</v>
      </c>
      <c r="C1156" t="s">
        <v>6689</v>
      </c>
      <c r="D1156" t="s">
        <v>6690</v>
      </c>
      <c r="E1156">
        <v>4508714</v>
      </c>
      <c r="F1156" t="s">
        <v>742</v>
      </c>
      <c r="G1156" t="s">
        <v>743</v>
      </c>
      <c r="H1156" t="s">
        <v>6691</v>
      </c>
      <c r="I1156" s="12">
        <v>45601</v>
      </c>
      <c r="J1156">
        <v>1</v>
      </c>
      <c r="K1156" t="str">
        <f>VLOOKUP(A1156,'TV May Monthly Billing Sites'!$A:$L,1,0)</f>
        <v>76213570</v>
      </c>
    </row>
    <row r="1157" spans="1:11">
      <c r="A1157" t="str">
        <f t="shared" si="18"/>
        <v>76213571</v>
      </c>
      <c r="B1157">
        <v>76213571</v>
      </c>
      <c r="C1157" t="s">
        <v>6692</v>
      </c>
      <c r="D1157" t="s">
        <v>3619</v>
      </c>
      <c r="E1157">
        <v>4508714</v>
      </c>
      <c r="F1157" t="s">
        <v>742</v>
      </c>
      <c r="G1157" t="s">
        <v>743</v>
      </c>
      <c r="H1157" t="s">
        <v>6691</v>
      </c>
      <c r="I1157" s="12">
        <v>45601</v>
      </c>
      <c r="J1157">
        <v>1</v>
      </c>
      <c r="K1157" t="str">
        <f>VLOOKUP(A1157,'TV May Monthly Billing Sites'!$A:$L,1,0)</f>
        <v>76213571</v>
      </c>
    </row>
    <row r="1158" spans="1:11">
      <c r="A1158" t="str">
        <f t="shared" si="18"/>
        <v>76213582</v>
      </c>
      <c r="B1158">
        <v>76213582</v>
      </c>
      <c r="C1158" t="s">
        <v>6693</v>
      </c>
      <c r="D1158" t="s">
        <v>6694</v>
      </c>
      <c r="E1158">
        <v>4508714</v>
      </c>
      <c r="F1158" t="s">
        <v>742</v>
      </c>
      <c r="G1158" t="s">
        <v>743</v>
      </c>
      <c r="H1158" t="s">
        <v>6695</v>
      </c>
      <c r="I1158" s="12">
        <v>45649</v>
      </c>
      <c r="J1158">
        <v>1</v>
      </c>
      <c r="K1158" t="str">
        <f>VLOOKUP(A1158,'TV May Monthly Billing Sites'!$A:$L,1,0)</f>
        <v>76213582</v>
      </c>
    </row>
    <row r="1159" spans="1:11">
      <c r="A1159" t="str">
        <f t="shared" si="18"/>
        <v>76213673</v>
      </c>
      <c r="B1159">
        <v>76213673</v>
      </c>
      <c r="C1159" t="s">
        <v>6696</v>
      </c>
      <c r="D1159" t="s">
        <v>6697</v>
      </c>
      <c r="E1159">
        <v>4408592</v>
      </c>
      <c r="F1159" t="s">
        <v>742</v>
      </c>
      <c r="G1159" t="s">
        <v>823</v>
      </c>
      <c r="H1159" t="s">
        <v>770</v>
      </c>
      <c r="I1159" s="12">
        <v>45456</v>
      </c>
      <c r="J1159">
        <v>1</v>
      </c>
      <c r="K1159" t="str">
        <f>VLOOKUP(A1159,'TV May Monthly Billing Sites'!$A:$L,1,0)</f>
        <v>76213673</v>
      </c>
    </row>
    <row r="1160" spans="1:11">
      <c r="A1160" t="str">
        <f t="shared" si="18"/>
        <v>76213848</v>
      </c>
      <c r="B1160">
        <v>76213848</v>
      </c>
      <c r="C1160" t="s">
        <v>6698</v>
      </c>
      <c r="D1160" t="s">
        <v>3625</v>
      </c>
      <c r="E1160">
        <v>4508714</v>
      </c>
      <c r="F1160" t="s">
        <v>742</v>
      </c>
      <c r="G1160" t="s">
        <v>743</v>
      </c>
      <c r="H1160" t="s">
        <v>6174</v>
      </c>
      <c r="I1160" s="12">
        <v>46023</v>
      </c>
      <c r="J1160">
        <v>1</v>
      </c>
      <c r="K1160" t="str">
        <f>VLOOKUP(A1160,'TV May Monthly Billing Sites'!$A:$L,1,0)</f>
        <v>76213848</v>
      </c>
    </row>
    <row r="1161" spans="1:11">
      <c r="A1161" t="str">
        <f t="shared" si="18"/>
        <v>76213850</v>
      </c>
      <c r="B1161">
        <v>76213850</v>
      </c>
      <c r="C1161" t="s">
        <v>6699</v>
      </c>
      <c r="D1161" t="s">
        <v>3627</v>
      </c>
      <c r="E1161">
        <v>4508714</v>
      </c>
      <c r="F1161" t="s">
        <v>742</v>
      </c>
      <c r="G1161" t="s">
        <v>743</v>
      </c>
      <c r="H1161" t="s">
        <v>6174</v>
      </c>
      <c r="I1161" s="12">
        <v>46023</v>
      </c>
      <c r="J1161">
        <v>1</v>
      </c>
      <c r="K1161" t="str">
        <f>VLOOKUP(A1161,'TV May Monthly Billing Sites'!$A:$L,1,0)</f>
        <v>76213850</v>
      </c>
    </row>
    <row r="1162" spans="1:11">
      <c r="A1162" t="str">
        <f t="shared" si="18"/>
        <v>76213867</v>
      </c>
      <c r="B1162">
        <v>76213867</v>
      </c>
      <c r="C1162" t="s">
        <v>6700</v>
      </c>
      <c r="D1162" t="s">
        <v>3629</v>
      </c>
      <c r="E1162">
        <v>4508714</v>
      </c>
      <c r="F1162" t="s">
        <v>742</v>
      </c>
      <c r="G1162" t="s">
        <v>743</v>
      </c>
      <c r="H1162" t="s">
        <v>6174</v>
      </c>
      <c r="I1162" s="12">
        <v>46023</v>
      </c>
      <c r="J1162">
        <v>1</v>
      </c>
      <c r="K1162" t="str">
        <f>VLOOKUP(A1162,'TV May Monthly Billing Sites'!$A:$L,1,0)</f>
        <v>76213867</v>
      </c>
    </row>
    <row r="1163" spans="1:11">
      <c r="A1163" t="str">
        <f t="shared" si="18"/>
        <v>76213958</v>
      </c>
      <c r="B1163">
        <v>76213958</v>
      </c>
      <c r="C1163" t="s">
        <v>6701</v>
      </c>
      <c r="D1163" t="s">
        <v>3631</v>
      </c>
      <c r="E1163">
        <v>4508714</v>
      </c>
      <c r="F1163" t="s">
        <v>742</v>
      </c>
      <c r="G1163" t="s">
        <v>743</v>
      </c>
      <c r="H1163" t="s">
        <v>6049</v>
      </c>
      <c r="I1163" s="12">
        <v>45971</v>
      </c>
      <c r="J1163">
        <v>1</v>
      </c>
      <c r="K1163" t="str">
        <f>VLOOKUP(A1163,'TV May Monthly Billing Sites'!$A:$L,1,0)</f>
        <v>76213958</v>
      </c>
    </row>
    <row r="1164" spans="1:11">
      <c r="A1164" t="str">
        <f t="shared" si="18"/>
        <v>76214235</v>
      </c>
      <c r="B1164">
        <v>76214235</v>
      </c>
      <c r="C1164" t="s">
        <v>6702</v>
      </c>
      <c r="D1164" t="s">
        <v>6703</v>
      </c>
      <c r="E1164">
        <v>4508714</v>
      </c>
      <c r="F1164" t="s">
        <v>742</v>
      </c>
      <c r="G1164" t="s">
        <v>743</v>
      </c>
      <c r="H1164" t="s">
        <v>3633</v>
      </c>
      <c r="I1164" s="12">
        <v>45621</v>
      </c>
      <c r="J1164">
        <v>1</v>
      </c>
      <c r="K1164" t="str">
        <f>VLOOKUP(A1164,'TV May Monthly Billing Sites'!$A:$L,1,0)</f>
        <v>76214235</v>
      </c>
    </row>
    <row r="1165" spans="1:11">
      <c r="A1165" t="str">
        <f t="shared" si="18"/>
        <v>76214315</v>
      </c>
      <c r="B1165">
        <v>76214315</v>
      </c>
      <c r="C1165" t="s">
        <v>6704</v>
      </c>
      <c r="D1165" t="s">
        <v>3635</v>
      </c>
      <c r="E1165">
        <v>4508714</v>
      </c>
      <c r="F1165" t="s">
        <v>742</v>
      </c>
      <c r="G1165" t="s">
        <v>743</v>
      </c>
      <c r="H1165" t="s">
        <v>1164</v>
      </c>
      <c r="I1165" s="12">
        <v>45636</v>
      </c>
      <c r="J1165">
        <v>1</v>
      </c>
      <c r="K1165" t="str">
        <f>VLOOKUP(A1165,'TV May Monthly Billing Sites'!$A:$L,1,0)</f>
        <v>76214315</v>
      </c>
    </row>
    <row r="1166" spans="1:11">
      <c r="A1166" t="str">
        <f t="shared" si="18"/>
        <v>76214412</v>
      </c>
      <c r="B1166">
        <v>76214412</v>
      </c>
      <c r="C1166" t="s">
        <v>6705</v>
      </c>
      <c r="D1166" t="s">
        <v>6706</v>
      </c>
      <c r="E1166">
        <v>4508714</v>
      </c>
      <c r="F1166" t="s">
        <v>742</v>
      </c>
      <c r="G1166" t="s">
        <v>743</v>
      </c>
      <c r="H1166" t="s">
        <v>6707</v>
      </c>
      <c r="I1166" s="12">
        <v>46014</v>
      </c>
      <c r="J1166">
        <v>1</v>
      </c>
      <c r="K1166" t="str">
        <f>VLOOKUP(A1166,'TV May Monthly Billing Sites'!$A:$L,1,0)</f>
        <v>76214412</v>
      </c>
    </row>
    <row r="1167" spans="1:11">
      <c r="A1167" t="str">
        <f t="shared" si="18"/>
        <v>76214495</v>
      </c>
      <c r="B1167">
        <v>76214495</v>
      </c>
      <c r="C1167" t="s">
        <v>6708</v>
      </c>
      <c r="D1167" t="s">
        <v>6709</v>
      </c>
      <c r="E1167">
        <v>4408593</v>
      </c>
      <c r="F1167" t="s">
        <v>742</v>
      </c>
      <c r="G1167" t="s">
        <v>782</v>
      </c>
      <c r="H1167" t="s">
        <v>6685</v>
      </c>
      <c r="I1167" s="12">
        <v>45628</v>
      </c>
      <c r="J1167">
        <v>1</v>
      </c>
      <c r="K1167" t="str">
        <f>VLOOKUP(A1167,'TV May Monthly Billing Sites'!$A:$L,1,0)</f>
        <v>76214495</v>
      </c>
    </row>
    <row r="1168" spans="1:11">
      <c r="A1168" t="str">
        <f t="shared" si="18"/>
        <v>76214560</v>
      </c>
      <c r="B1168">
        <v>76214560</v>
      </c>
      <c r="C1168" t="s">
        <v>6710</v>
      </c>
      <c r="D1168" t="s">
        <v>3641</v>
      </c>
      <c r="E1168">
        <v>4508714</v>
      </c>
      <c r="F1168" t="s">
        <v>742</v>
      </c>
      <c r="G1168" t="s">
        <v>743</v>
      </c>
      <c r="H1168" t="s">
        <v>3641</v>
      </c>
      <c r="I1168" s="12">
        <v>45743</v>
      </c>
      <c r="J1168">
        <v>1</v>
      </c>
      <c r="K1168" t="str">
        <f>VLOOKUP(A1168,'TV May Monthly Billing Sites'!$A:$L,1,0)</f>
        <v>76214560</v>
      </c>
    </row>
    <row r="1169" spans="1:12">
      <c r="A1169" t="str">
        <f t="shared" si="18"/>
        <v>76215157</v>
      </c>
      <c r="B1169">
        <v>76215157</v>
      </c>
      <c r="C1169" t="s">
        <v>6711</v>
      </c>
      <c r="D1169" t="s">
        <v>3643</v>
      </c>
      <c r="E1169">
        <v>4508714</v>
      </c>
      <c r="F1169" t="s">
        <v>742</v>
      </c>
      <c r="G1169" t="s">
        <v>743</v>
      </c>
      <c r="H1169" t="s">
        <v>5366</v>
      </c>
      <c r="I1169" s="12">
        <v>45559</v>
      </c>
      <c r="J1169">
        <v>1</v>
      </c>
      <c r="K1169" t="str">
        <f>VLOOKUP(A1169,'TV May Monthly Billing Sites'!$A:$L,1,0)</f>
        <v>76215157</v>
      </c>
    </row>
    <row r="1170" spans="1:12">
      <c r="A1170" t="str">
        <f t="shared" si="18"/>
        <v>76215341</v>
      </c>
      <c r="B1170">
        <v>76215341</v>
      </c>
      <c r="C1170" t="s">
        <v>6712</v>
      </c>
      <c r="D1170" t="s">
        <v>6713</v>
      </c>
      <c r="E1170">
        <v>4508685</v>
      </c>
      <c r="F1170" t="s">
        <v>742</v>
      </c>
      <c r="G1170" t="s">
        <v>904</v>
      </c>
      <c r="H1170" t="s">
        <v>975</v>
      </c>
      <c r="I1170" s="12">
        <v>46023</v>
      </c>
      <c r="J1170">
        <v>1</v>
      </c>
      <c r="K1170" t="str">
        <f>VLOOKUP(A1170,'TV May Monthly Billing Sites'!$A:$L,1,0)</f>
        <v>76215341</v>
      </c>
    </row>
    <row r="1171" spans="1:12">
      <c r="A1171" t="str">
        <f t="shared" si="18"/>
        <v>76215463</v>
      </c>
      <c r="B1171">
        <v>76215463</v>
      </c>
      <c r="C1171" t="s">
        <v>6714</v>
      </c>
      <c r="D1171" t="s">
        <v>3647</v>
      </c>
      <c r="E1171">
        <v>4508714</v>
      </c>
      <c r="F1171" t="s">
        <v>742</v>
      </c>
      <c r="G1171" t="s">
        <v>743</v>
      </c>
      <c r="H1171" t="s">
        <v>6427</v>
      </c>
      <c r="I1171" s="12">
        <v>45625</v>
      </c>
      <c r="J1171">
        <v>1</v>
      </c>
      <c r="K1171" t="str">
        <f>VLOOKUP(A1171,'TV May Monthly Billing Sites'!$A:$L,1,0)</f>
        <v>76215463</v>
      </c>
    </row>
    <row r="1172" spans="1:12">
      <c r="A1172" t="str">
        <f t="shared" si="18"/>
        <v>76215523</v>
      </c>
      <c r="B1172">
        <v>76215523</v>
      </c>
      <c r="C1172" t="s">
        <v>6715</v>
      </c>
      <c r="D1172" t="s">
        <v>3649</v>
      </c>
      <c r="E1172">
        <v>4508675</v>
      </c>
      <c r="F1172" t="s">
        <v>742</v>
      </c>
      <c r="G1172" t="s">
        <v>828</v>
      </c>
      <c r="H1172" t="s">
        <v>5268</v>
      </c>
      <c r="I1172" s="12">
        <v>45594</v>
      </c>
      <c r="J1172">
        <v>1</v>
      </c>
      <c r="K1172" t="str">
        <f>VLOOKUP(A1172,'TV May Monthly Billing Sites'!$A:$L,1,0)</f>
        <v>76215523</v>
      </c>
    </row>
    <row r="1173" spans="1:12">
      <c r="A1173" t="str">
        <f t="shared" si="18"/>
        <v>76215741</v>
      </c>
      <c r="B1173">
        <v>76215741</v>
      </c>
      <c r="C1173" t="s">
        <v>6716</v>
      </c>
      <c r="D1173" t="s">
        <v>6717</v>
      </c>
      <c r="E1173">
        <v>4508714</v>
      </c>
      <c r="F1173" t="s">
        <v>742</v>
      </c>
      <c r="G1173" t="s">
        <v>743</v>
      </c>
      <c r="H1173" t="s">
        <v>5545</v>
      </c>
      <c r="I1173" s="12">
        <v>45923</v>
      </c>
      <c r="J1173">
        <v>1</v>
      </c>
      <c r="K1173" t="str">
        <f>VLOOKUP(A1173,'TV May Monthly Billing Sites'!$A:$L,1,0)</f>
        <v>76215741</v>
      </c>
    </row>
    <row r="1174" spans="1:12">
      <c r="A1174" t="str">
        <f t="shared" si="18"/>
        <v>76215823</v>
      </c>
      <c r="B1174">
        <v>76215823</v>
      </c>
      <c r="C1174" t="s">
        <v>1058</v>
      </c>
      <c r="D1174" t="s">
        <v>1059</v>
      </c>
      <c r="E1174">
        <v>4408593</v>
      </c>
      <c r="F1174" t="s">
        <v>742</v>
      </c>
      <c r="G1174" t="s">
        <v>782</v>
      </c>
      <c r="H1174" t="s">
        <v>1060</v>
      </c>
      <c r="I1174" s="12">
        <v>45614</v>
      </c>
      <c r="J1174">
        <v>1</v>
      </c>
      <c r="K1174" t="e">
        <f>VLOOKUP(A1174,'TV May Monthly Billing Sites'!$A:$L,1,0)</f>
        <v>#N/A</v>
      </c>
      <c r="L1174" t="e">
        <f>VLOOKUP(D1174,'TV May Monthly Billing Sites'!$B:$L,1,0)</f>
        <v>#N/A</v>
      </c>
    </row>
    <row r="1175" spans="1:12">
      <c r="A1175" t="str">
        <f t="shared" si="18"/>
        <v>76215831</v>
      </c>
      <c r="B1175">
        <v>76215831</v>
      </c>
      <c r="C1175" t="s">
        <v>6718</v>
      </c>
      <c r="D1175" t="s">
        <v>6719</v>
      </c>
      <c r="E1175">
        <v>4408592</v>
      </c>
      <c r="F1175" t="s">
        <v>742</v>
      </c>
      <c r="G1175" t="s">
        <v>823</v>
      </c>
      <c r="H1175" t="s">
        <v>6720</v>
      </c>
      <c r="I1175" s="12">
        <v>46045</v>
      </c>
      <c r="J1175">
        <v>1</v>
      </c>
      <c r="K1175" t="str">
        <f>VLOOKUP(A1175,'TV May Monthly Billing Sites'!$A:$L,1,0)</f>
        <v>76215831</v>
      </c>
    </row>
    <row r="1176" spans="1:12">
      <c r="A1176" t="str">
        <f t="shared" si="18"/>
        <v>76215835</v>
      </c>
      <c r="B1176">
        <v>76215835</v>
      </c>
      <c r="C1176" t="s">
        <v>6721</v>
      </c>
      <c r="D1176" t="s">
        <v>3655</v>
      </c>
      <c r="E1176">
        <v>4408593</v>
      </c>
      <c r="F1176" t="s">
        <v>742</v>
      </c>
      <c r="G1176" t="s">
        <v>782</v>
      </c>
      <c r="H1176" t="s">
        <v>6720</v>
      </c>
      <c r="I1176" s="12">
        <v>45800</v>
      </c>
      <c r="J1176">
        <v>1</v>
      </c>
      <c r="K1176" t="str">
        <f>VLOOKUP(A1176,'TV May Monthly Billing Sites'!$A:$L,1,0)</f>
        <v>76215835</v>
      </c>
    </row>
    <row r="1177" spans="1:12">
      <c r="A1177" t="str">
        <f t="shared" si="18"/>
        <v>76215842</v>
      </c>
      <c r="B1177">
        <v>76215842</v>
      </c>
      <c r="C1177" t="s">
        <v>6722</v>
      </c>
      <c r="D1177" t="s">
        <v>3657</v>
      </c>
      <c r="E1177">
        <v>4408592</v>
      </c>
      <c r="F1177" t="s">
        <v>742</v>
      </c>
      <c r="G1177" t="s">
        <v>823</v>
      </c>
      <c r="H1177" t="s">
        <v>6720</v>
      </c>
      <c r="I1177" s="12">
        <v>45856</v>
      </c>
      <c r="J1177">
        <v>1</v>
      </c>
      <c r="K1177" t="str">
        <f>VLOOKUP(A1177,'TV May Monthly Billing Sites'!$A:$L,1,0)</f>
        <v>76215842</v>
      </c>
    </row>
    <row r="1178" spans="1:12">
      <c r="A1178" t="str">
        <f t="shared" si="18"/>
        <v>76215989</v>
      </c>
      <c r="B1178">
        <v>76215989</v>
      </c>
      <c r="C1178" t="s">
        <v>6723</v>
      </c>
      <c r="D1178" t="s">
        <v>3659</v>
      </c>
      <c r="E1178">
        <v>4508675</v>
      </c>
      <c r="F1178" t="s">
        <v>742</v>
      </c>
      <c r="G1178" t="s">
        <v>828</v>
      </c>
      <c r="H1178" t="s">
        <v>5874</v>
      </c>
      <c r="I1178" s="12">
        <v>45937</v>
      </c>
      <c r="J1178">
        <v>1</v>
      </c>
      <c r="K1178" t="str">
        <f>VLOOKUP(A1178,'TV May Monthly Billing Sites'!$A:$L,1,0)</f>
        <v>76215989</v>
      </c>
    </row>
    <row r="1179" spans="1:12">
      <c r="A1179" t="str">
        <f t="shared" si="18"/>
        <v>76215994</v>
      </c>
      <c r="B1179">
        <v>76215994</v>
      </c>
      <c r="C1179" t="s">
        <v>1062</v>
      </c>
      <c r="D1179" t="s">
        <v>1063</v>
      </c>
      <c r="E1179">
        <v>4508714</v>
      </c>
      <c r="F1179" t="s">
        <v>742</v>
      </c>
      <c r="G1179" t="s">
        <v>743</v>
      </c>
      <c r="H1179" t="s">
        <v>856</v>
      </c>
      <c r="I1179" s="12">
        <v>45628</v>
      </c>
      <c r="J1179">
        <v>1</v>
      </c>
      <c r="K1179" t="e">
        <f>VLOOKUP(A1179,'TV May Monthly Billing Sites'!$A:$L,1,0)</f>
        <v>#N/A</v>
      </c>
      <c r="L1179" t="e">
        <f>VLOOKUP(D1179,'TV May Monthly Billing Sites'!$B:$L,1,0)</f>
        <v>#N/A</v>
      </c>
    </row>
    <row r="1180" spans="1:12">
      <c r="A1180" t="str">
        <f t="shared" si="18"/>
        <v>76216354</v>
      </c>
      <c r="B1180">
        <v>76216354</v>
      </c>
      <c r="C1180" t="s">
        <v>6724</v>
      </c>
      <c r="D1180" t="s">
        <v>6725</v>
      </c>
      <c r="E1180">
        <v>4508714</v>
      </c>
      <c r="F1180" t="s">
        <v>742</v>
      </c>
      <c r="G1180" t="s">
        <v>743</v>
      </c>
      <c r="H1180" t="s">
        <v>6145</v>
      </c>
      <c r="I1180" s="12">
        <v>45964</v>
      </c>
      <c r="J1180">
        <v>1</v>
      </c>
      <c r="K1180" t="str">
        <f>VLOOKUP(A1180,'TV May Monthly Billing Sites'!$A:$L,1,0)</f>
        <v>76216354</v>
      </c>
    </row>
    <row r="1181" spans="1:12">
      <c r="A1181" t="str">
        <f t="shared" si="18"/>
        <v>76216401</v>
      </c>
      <c r="B1181">
        <v>76216401</v>
      </c>
      <c r="C1181" t="s">
        <v>6726</v>
      </c>
      <c r="D1181" t="s">
        <v>6727</v>
      </c>
      <c r="E1181">
        <v>4508714</v>
      </c>
      <c r="F1181" t="s">
        <v>742</v>
      </c>
      <c r="G1181" t="s">
        <v>743</v>
      </c>
      <c r="H1181" t="s">
        <v>6145</v>
      </c>
      <c r="I1181" s="12">
        <v>45964</v>
      </c>
      <c r="J1181">
        <v>1</v>
      </c>
      <c r="K1181" t="str">
        <f>VLOOKUP(A1181,'TV May Monthly Billing Sites'!$A:$L,1,0)</f>
        <v>76216401</v>
      </c>
    </row>
    <row r="1182" spans="1:12">
      <c r="A1182" t="str">
        <f t="shared" si="18"/>
        <v>76216403</v>
      </c>
      <c r="B1182">
        <v>76216403</v>
      </c>
      <c r="C1182" t="s">
        <v>1065</v>
      </c>
      <c r="D1182" t="s">
        <v>1066</v>
      </c>
      <c r="E1182">
        <v>4508714</v>
      </c>
      <c r="F1182" t="s">
        <v>742</v>
      </c>
      <c r="G1182" t="s">
        <v>743</v>
      </c>
      <c r="H1182" t="s">
        <v>762</v>
      </c>
      <c r="I1182" s="12">
        <v>45622</v>
      </c>
      <c r="J1182">
        <v>1</v>
      </c>
      <c r="K1182" t="e">
        <f>VLOOKUP(A1182,'TV May Monthly Billing Sites'!$A:$L,1,0)</f>
        <v>#N/A</v>
      </c>
      <c r="L1182" t="e">
        <f>VLOOKUP(D1182,'TV May Monthly Billing Sites'!$B:$L,1,0)</f>
        <v>#N/A</v>
      </c>
    </row>
    <row r="1183" spans="1:12">
      <c r="A1183" t="str">
        <f t="shared" si="18"/>
        <v>76216404</v>
      </c>
      <c r="B1183">
        <v>76216404</v>
      </c>
      <c r="C1183" t="s">
        <v>1068</v>
      </c>
      <c r="D1183" t="s">
        <v>1069</v>
      </c>
      <c r="E1183">
        <v>4508714</v>
      </c>
      <c r="F1183" t="s">
        <v>742</v>
      </c>
      <c r="G1183" t="s">
        <v>743</v>
      </c>
      <c r="H1183" t="s">
        <v>762</v>
      </c>
      <c r="I1183" s="12">
        <v>45622</v>
      </c>
      <c r="J1183">
        <v>1</v>
      </c>
      <c r="K1183" t="e">
        <f>VLOOKUP(A1183,'TV May Monthly Billing Sites'!$A:$L,1,0)</f>
        <v>#N/A</v>
      </c>
      <c r="L1183" t="e">
        <f>VLOOKUP(D1183,'TV May Monthly Billing Sites'!$B:$L,1,0)</f>
        <v>#N/A</v>
      </c>
    </row>
    <row r="1184" spans="1:12">
      <c r="A1184" t="str">
        <f t="shared" si="18"/>
        <v>76216626</v>
      </c>
      <c r="B1184">
        <v>76216626</v>
      </c>
      <c r="C1184" t="s">
        <v>6728</v>
      </c>
      <c r="D1184" t="s">
        <v>6729</v>
      </c>
      <c r="E1184">
        <v>4408593</v>
      </c>
      <c r="F1184" t="s">
        <v>742</v>
      </c>
      <c r="G1184" t="s">
        <v>782</v>
      </c>
      <c r="H1184" t="s">
        <v>6289</v>
      </c>
      <c r="I1184" s="12">
        <v>45629</v>
      </c>
      <c r="J1184">
        <v>1</v>
      </c>
      <c r="K1184" t="str">
        <f>VLOOKUP(A1184,'TV May Monthly Billing Sites'!$A:$L,1,0)</f>
        <v>76216626</v>
      </c>
    </row>
    <row r="1185" spans="1:12">
      <c r="A1185" t="str">
        <f t="shared" si="18"/>
        <v>76216658</v>
      </c>
      <c r="B1185">
        <v>76216658</v>
      </c>
      <c r="C1185" t="s">
        <v>6730</v>
      </c>
      <c r="D1185" t="s">
        <v>6731</v>
      </c>
      <c r="E1185">
        <v>4408592</v>
      </c>
      <c r="F1185" t="s">
        <v>742</v>
      </c>
      <c r="G1185" t="s">
        <v>823</v>
      </c>
      <c r="H1185" t="s">
        <v>6028</v>
      </c>
      <c r="I1185" s="12">
        <v>46048</v>
      </c>
      <c r="J1185">
        <v>1</v>
      </c>
      <c r="K1185" t="str">
        <f>VLOOKUP(A1185,'TV May Monthly Billing Sites'!$A:$L,1,0)</f>
        <v>76216658</v>
      </c>
    </row>
    <row r="1186" spans="1:12">
      <c r="A1186" t="str">
        <f t="shared" si="18"/>
        <v>76216903</v>
      </c>
      <c r="B1186">
        <v>76216903</v>
      </c>
      <c r="C1186" t="s">
        <v>6732</v>
      </c>
      <c r="D1186" t="s">
        <v>3669</v>
      </c>
      <c r="E1186">
        <v>4408592</v>
      </c>
      <c r="F1186" t="s">
        <v>742</v>
      </c>
      <c r="G1186" t="s">
        <v>823</v>
      </c>
      <c r="H1186" t="s">
        <v>6733</v>
      </c>
      <c r="I1186" s="12">
        <v>45274</v>
      </c>
      <c r="J1186">
        <v>1</v>
      </c>
      <c r="K1186" t="str">
        <f>VLOOKUP(A1186,'TV May Monthly Billing Sites'!$A:$L,1,0)</f>
        <v>76216903</v>
      </c>
    </row>
    <row r="1187" spans="1:12">
      <c r="A1187" t="str">
        <f t="shared" si="18"/>
        <v>76217037</v>
      </c>
      <c r="B1187">
        <v>76217037</v>
      </c>
      <c r="C1187" t="s">
        <v>6734</v>
      </c>
      <c r="D1187" t="s">
        <v>3671</v>
      </c>
      <c r="E1187">
        <v>4508714</v>
      </c>
      <c r="F1187" t="s">
        <v>742</v>
      </c>
      <c r="G1187" t="s">
        <v>743</v>
      </c>
      <c r="H1187" t="s">
        <v>5982</v>
      </c>
      <c r="I1187" s="12">
        <v>45807</v>
      </c>
      <c r="J1187">
        <v>1</v>
      </c>
      <c r="K1187" t="str">
        <f>VLOOKUP(A1187,'TV May Monthly Billing Sites'!$A:$L,1,0)</f>
        <v>76217037</v>
      </c>
    </row>
    <row r="1188" spans="1:12">
      <c r="A1188" t="str">
        <f t="shared" si="18"/>
        <v>76217073</v>
      </c>
      <c r="B1188">
        <v>76217073</v>
      </c>
      <c r="C1188" t="s">
        <v>6735</v>
      </c>
      <c r="D1188" t="s">
        <v>6736</v>
      </c>
      <c r="E1188">
        <v>4508714</v>
      </c>
      <c r="F1188" t="s">
        <v>742</v>
      </c>
      <c r="G1188" t="s">
        <v>743</v>
      </c>
      <c r="H1188" t="s">
        <v>6427</v>
      </c>
      <c r="I1188" s="12">
        <v>45625</v>
      </c>
      <c r="J1188">
        <v>1</v>
      </c>
      <c r="K1188" t="str">
        <f>VLOOKUP(A1188,'TV May Monthly Billing Sites'!$A:$L,1,0)</f>
        <v>76217073</v>
      </c>
    </row>
    <row r="1189" spans="1:12">
      <c r="A1189" t="str">
        <f t="shared" si="18"/>
        <v>76217105</v>
      </c>
      <c r="B1189">
        <v>76217105</v>
      </c>
      <c r="C1189" t="s">
        <v>6737</v>
      </c>
      <c r="D1189" t="s">
        <v>6738</v>
      </c>
      <c r="E1189">
        <v>4508675</v>
      </c>
      <c r="F1189" t="s">
        <v>742</v>
      </c>
      <c r="G1189" t="s">
        <v>828</v>
      </c>
      <c r="H1189" t="s">
        <v>3675</v>
      </c>
      <c r="I1189" s="12">
        <v>45751</v>
      </c>
      <c r="J1189">
        <v>1</v>
      </c>
      <c r="K1189" t="str">
        <f>VLOOKUP(A1189,'TV May Monthly Billing Sites'!$A:$L,1,0)</f>
        <v>76217105</v>
      </c>
    </row>
    <row r="1190" spans="1:12">
      <c r="A1190" t="str">
        <f t="shared" si="18"/>
        <v>76217296</v>
      </c>
      <c r="B1190">
        <v>76217296</v>
      </c>
      <c r="C1190" t="s">
        <v>6739</v>
      </c>
      <c r="D1190" t="s">
        <v>3677</v>
      </c>
      <c r="E1190">
        <v>4508675</v>
      </c>
      <c r="F1190" t="s">
        <v>742</v>
      </c>
      <c r="G1190" t="s">
        <v>828</v>
      </c>
      <c r="H1190" t="s">
        <v>3677</v>
      </c>
      <c r="I1190" s="12">
        <v>45965</v>
      </c>
      <c r="J1190">
        <v>1</v>
      </c>
      <c r="K1190" t="str">
        <f>VLOOKUP(A1190,'TV May Monthly Billing Sites'!$A:$L,1,0)</f>
        <v>76217296</v>
      </c>
    </row>
    <row r="1191" spans="1:12">
      <c r="A1191" t="str">
        <f t="shared" si="18"/>
        <v>76217325</v>
      </c>
      <c r="B1191">
        <v>76217325</v>
      </c>
      <c r="C1191" t="s">
        <v>1071</v>
      </c>
      <c r="D1191" t="s">
        <v>1072</v>
      </c>
      <c r="E1191">
        <v>4508714</v>
      </c>
      <c r="F1191" t="s">
        <v>742</v>
      </c>
      <c r="G1191" t="s">
        <v>743</v>
      </c>
      <c r="H1191" t="s">
        <v>812</v>
      </c>
      <c r="I1191" s="12">
        <v>45931</v>
      </c>
      <c r="J1191">
        <v>1</v>
      </c>
      <c r="K1191" t="e">
        <f>VLOOKUP(A1191,'TV May Monthly Billing Sites'!$A:$L,1,0)</f>
        <v>#N/A</v>
      </c>
      <c r="L1191" t="e">
        <f>VLOOKUP(D1191,'TV May Monthly Billing Sites'!$B:$L,1,0)</f>
        <v>#N/A</v>
      </c>
    </row>
    <row r="1192" spans="1:12">
      <c r="A1192" t="str">
        <f t="shared" si="18"/>
        <v>76217515</v>
      </c>
      <c r="B1192">
        <v>76217515</v>
      </c>
      <c r="C1192" t="s">
        <v>6740</v>
      </c>
      <c r="D1192" t="s">
        <v>6741</v>
      </c>
      <c r="E1192">
        <v>4508714</v>
      </c>
      <c r="F1192" t="s">
        <v>742</v>
      </c>
      <c r="G1192" t="s">
        <v>743</v>
      </c>
      <c r="H1192" t="s">
        <v>6168</v>
      </c>
      <c r="I1192" s="12">
        <v>45595</v>
      </c>
      <c r="J1192">
        <v>1</v>
      </c>
      <c r="K1192" t="str">
        <f>VLOOKUP(A1192,'TV May Monthly Billing Sites'!$A:$L,1,0)</f>
        <v>76217515</v>
      </c>
    </row>
    <row r="1193" spans="1:12">
      <c r="A1193" t="str">
        <f t="shared" si="18"/>
        <v>76217706</v>
      </c>
      <c r="B1193">
        <v>76217706</v>
      </c>
      <c r="C1193" t="s">
        <v>6742</v>
      </c>
      <c r="D1193" t="s">
        <v>6743</v>
      </c>
      <c r="E1193">
        <v>4508714</v>
      </c>
      <c r="F1193" t="s">
        <v>742</v>
      </c>
      <c r="G1193" t="s">
        <v>743</v>
      </c>
      <c r="H1193" t="s">
        <v>6331</v>
      </c>
      <c r="I1193" s="12">
        <v>45561</v>
      </c>
      <c r="J1193">
        <v>1</v>
      </c>
      <c r="K1193" t="str">
        <f>VLOOKUP(A1193,'TV May Monthly Billing Sites'!$A:$L,1,0)</f>
        <v>76217706</v>
      </c>
    </row>
    <row r="1194" spans="1:12">
      <c r="A1194" t="str">
        <f t="shared" si="18"/>
        <v>76217708</v>
      </c>
      <c r="B1194">
        <v>76217708</v>
      </c>
      <c r="C1194" t="s">
        <v>6744</v>
      </c>
      <c r="D1194" t="s">
        <v>6745</v>
      </c>
      <c r="E1194">
        <v>4508714</v>
      </c>
      <c r="F1194" t="s">
        <v>742</v>
      </c>
      <c r="G1194" t="s">
        <v>743</v>
      </c>
      <c r="H1194" t="s">
        <v>6331</v>
      </c>
      <c r="I1194" s="12">
        <v>45561</v>
      </c>
      <c r="J1194">
        <v>1</v>
      </c>
      <c r="K1194" t="str">
        <f>VLOOKUP(A1194,'TV May Monthly Billing Sites'!$A:$L,1,0)</f>
        <v>76217708</v>
      </c>
    </row>
    <row r="1195" spans="1:12">
      <c r="A1195" t="str">
        <f t="shared" si="18"/>
        <v>76217769</v>
      </c>
      <c r="B1195">
        <v>76217769</v>
      </c>
      <c r="C1195" t="s">
        <v>6746</v>
      </c>
      <c r="D1195" t="s">
        <v>6747</v>
      </c>
      <c r="E1195">
        <v>4508714</v>
      </c>
      <c r="F1195" t="s">
        <v>742</v>
      </c>
      <c r="G1195" t="s">
        <v>743</v>
      </c>
      <c r="H1195" t="s">
        <v>5115</v>
      </c>
      <c r="I1195" s="12">
        <v>45540</v>
      </c>
      <c r="J1195">
        <v>1</v>
      </c>
      <c r="K1195" t="str">
        <f>VLOOKUP(A1195,'TV May Monthly Billing Sites'!$A:$L,1,0)</f>
        <v>76217769</v>
      </c>
    </row>
    <row r="1196" spans="1:12">
      <c r="A1196" t="str">
        <f t="shared" si="18"/>
        <v>76217796</v>
      </c>
      <c r="B1196">
        <v>76217796</v>
      </c>
      <c r="C1196" t="s">
        <v>6748</v>
      </c>
      <c r="D1196" t="s">
        <v>3687</v>
      </c>
      <c r="E1196">
        <v>4508714</v>
      </c>
      <c r="F1196" t="s">
        <v>742</v>
      </c>
      <c r="G1196" t="s">
        <v>743</v>
      </c>
      <c r="H1196" t="s">
        <v>6749</v>
      </c>
      <c r="I1196" s="12">
        <v>45947</v>
      </c>
      <c r="J1196">
        <v>1</v>
      </c>
      <c r="K1196" t="str">
        <f>VLOOKUP(A1196,'TV May Monthly Billing Sites'!$A:$L,1,0)</f>
        <v>76217796</v>
      </c>
    </row>
    <row r="1197" spans="1:12">
      <c r="A1197" t="str">
        <f t="shared" si="18"/>
        <v>76217846</v>
      </c>
      <c r="B1197">
        <v>76217846</v>
      </c>
      <c r="C1197" t="s">
        <v>6750</v>
      </c>
      <c r="D1197" t="s">
        <v>3689</v>
      </c>
      <c r="E1197">
        <v>4508714</v>
      </c>
      <c r="F1197" t="s">
        <v>742</v>
      </c>
      <c r="G1197" t="s">
        <v>743</v>
      </c>
      <c r="H1197" t="s">
        <v>6751</v>
      </c>
      <c r="I1197" s="12">
        <v>46020</v>
      </c>
      <c r="J1197">
        <v>1</v>
      </c>
      <c r="K1197" t="str">
        <f>VLOOKUP(A1197,'TV May Monthly Billing Sites'!$A:$L,1,0)</f>
        <v>76217846</v>
      </c>
    </row>
    <row r="1198" spans="1:12">
      <c r="A1198" t="str">
        <f t="shared" si="18"/>
        <v>76218340</v>
      </c>
      <c r="B1198">
        <v>76218340</v>
      </c>
      <c r="C1198" t="s">
        <v>6752</v>
      </c>
      <c r="D1198" t="s">
        <v>3691</v>
      </c>
      <c r="E1198">
        <v>4408593</v>
      </c>
      <c r="F1198" t="s">
        <v>742</v>
      </c>
      <c r="G1198" t="s">
        <v>782</v>
      </c>
      <c r="H1198" t="s">
        <v>6753</v>
      </c>
      <c r="I1198" s="12">
        <v>46127</v>
      </c>
      <c r="J1198">
        <v>1</v>
      </c>
      <c r="K1198" t="str">
        <f>VLOOKUP(A1198,'TV May Monthly Billing Sites'!$A:$L,1,0)</f>
        <v>76218340</v>
      </c>
    </row>
    <row r="1199" spans="1:12">
      <c r="A1199" t="str">
        <f t="shared" si="18"/>
        <v>76218663</v>
      </c>
      <c r="B1199">
        <v>76218663</v>
      </c>
      <c r="C1199" t="s">
        <v>6754</v>
      </c>
      <c r="D1199" t="s">
        <v>3693</v>
      </c>
      <c r="E1199">
        <v>4408593</v>
      </c>
      <c r="F1199" t="s">
        <v>742</v>
      </c>
      <c r="G1199" t="s">
        <v>782</v>
      </c>
      <c r="H1199" t="s">
        <v>787</v>
      </c>
      <c r="I1199" s="12">
        <v>45636</v>
      </c>
      <c r="J1199">
        <v>1</v>
      </c>
      <c r="K1199" t="str">
        <f>VLOOKUP(A1199,'TV May Monthly Billing Sites'!$A:$L,1,0)</f>
        <v>76218663</v>
      </c>
    </row>
    <row r="1200" spans="1:12">
      <c r="A1200" t="str">
        <f t="shared" si="18"/>
        <v>76218750</v>
      </c>
      <c r="B1200">
        <v>76218750</v>
      </c>
      <c r="C1200" t="s">
        <v>6755</v>
      </c>
      <c r="D1200" t="s">
        <v>3695</v>
      </c>
      <c r="E1200">
        <v>4508714</v>
      </c>
      <c r="F1200" t="s">
        <v>742</v>
      </c>
      <c r="G1200" t="s">
        <v>743</v>
      </c>
      <c r="H1200" t="s">
        <v>6756</v>
      </c>
      <c r="I1200" s="12">
        <v>45838</v>
      </c>
      <c r="J1200">
        <v>1</v>
      </c>
      <c r="K1200" t="str">
        <f>VLOOKUP(A1200,'TV May Monthly Billing Sites'!$A:$L,1,0)</f>
        <v>76218750</v>
      </c>
    </row>
    <row r="1201" spans="1:11">
      <c r="A1201" t="str">
        <f t="shared" si="18"/>
        <v>76218753</v>
      </c>
      <c r="B1201">
        <v>76218753</v>
      </c>
      <c r="C1201" t="s">
        <v>6757</v>
      </c>
      <c r="D1201" t="s">
        <v>3697</v>
      </c>
      <c r="E1201">
        <v>4508714</v>
      </c>
      <c r="F1201" t="s">
        <v>742</v>
      </c>
      <c r="G1201" t="s">
        <v>743</v>
      </c>
      <c r="H1201" t="s">
        <v>6756</v>
      </c>
      <c r="I1201" s="12">
        <v>45838</v>
      </c>
      <c r="J1201">
        <v>1</v>
      </c>
      <c r="K1201" t="str">
        <f>VLOOKUP(A1201,'TV May Monthly Billing Sites'!$A:$L,1,0)</f>
        <v>76218753</v>
      </c>
    </row>
    <row r="1202" spans="1:11">
      <c r="A1202" t="str">
        <f t="shared" si="18"/>
        <v>76218754</v>
      </c>
      <c r="B1202">
        <v>76218754</v>
      </c>
      <c r="C1202" t="s">
        <v>6758</v>
      </c>
      <c r="D1202" t="s">
        <v>3699</v>
      </c>
      <c r="E1202">
        <v>4508714</v>
      </c>
      <c r="F1202" t="s">
        <v>742</v>
      </c>
      <c r="G1202" t="s">
        <v>743</v>
      </c>
      <c r="H1202" t="s">
        <v>6756</v>
      </c>
      <c r="I1202" s="12">
        <v>45838</v>
      </c>
      <c r="J1202">
        <v>1</v>
      </c>
      <c r="K1202" t="str">
        <f>VLOOKUP(A1202,'TV May Monthly Billing Sites'!$A:$L,1,0)</f>
        <v>76218754</v>
      </c>
    </row>
    <row r="1203" spans="1:11">
      <c r="A1203" t="str">
        <f t="shared" si="18"/>
        <v>76218817</v>
      </c>
      <c r="B1203">
        <v>76218817</v>
      </c>
      <c r="C1203" t="s">
        <v>6759</v>
      </c>
      <c r="D1203" t="s">
        <v>6760</v>
      </c>
      <c r="E1203">
        <v>4508714</v>
      </c>
      <c r="F1203" t="s">
        <v>742</v>
      </c>
      <c r="G1203" t="s">
        <v>743</v>
      </c>
      <c r="H1203" t="s">
        <v>5893</v>
      </c>
      <c r="I1203" s="12">
        <v>45876</v>
      </c>
      <c r="J1203">
        <v>1</v>
      </c>
      <c r="K1203" t="str">
        <f>VLOOKUP(A1203,'TV May Monthly Billing Sites'!$A:$L,1,0)</f>
        <v>76218817</v>
      </c>
    </row>
    <row r="1204" spans="1:11">
      <c r="A1204" t="str">
        <f t="shared" si="18"/>
        <v>76218881</v>
      </c>
      <c r="B1204">
        <v>76218881</v>
      </c>
      <c r="C1204" t="s">
        <v>6761</v>
      </c>
      <c r="D1204" t="s">
        <v>3703</v>
      </c>
      <c r="E1204">
        <v>4508714</v>
      </c>
      <c r="F1204" t="s">
        <v>742</v>
      </c>
      <c r="G1204" t="s">
        <v>743</v>
      </c>
      <c r="H1204" t="s">
        <v>4668</v>
      </c>
      <c r="I1204" s="12">
        <v>45870</v>
      </c>
      <c r="J1204">
        <v>1</v>
      </c>
      <c r="K1204" t="str">
        <f>VLOOKUP(A1204,'TV May Monthly Billing Sites'!$A:$L,1,0)</f>
        <v>76218881</v>
      </c>
    </row>
    <row r="1205" spans="1:11">
      <c r="A1205" t="str">
        <f t="shared" si="18"/>
        <v>76218986</v>
      </c>
      <c r="B1205">
        <v>76218986</v>
      </c>
      <c r="C1205" t="s">
        <v>6762</v>
      </c>
      <c r="D1205" t="s">
        <v>3705</v>
      </c>
      <c r="E1205">
        <v>4508714</v>
      </c>
      <c r="F1205" t="s">
        <v>742</v>
      </c>
      <c r="G1205" t="s">
        <v>743</v>
      </c>
      <c r="H1205" t="s">
        <v>6168</v>
      </c>
      <c r="I1205" s="12">
        <v>45595</v>
      </c>
      <c r="J1205">
        <v>1</v>
      </c>
      <c r="K1205" t="str">
        <f>VLOOKUP(A1205,'TV May Monthly Billing Sites'!$A:$L,1,0)</f>
        <v>76218986</v>
      </c>
    </row>
    <row r="1206" spans="1:11">
      <c r="A1206" t="str">
        <f t="shared" si="18"/>
        <v>76218993</v>
      </c>
      <c r="B1206">
        <v>76218993</v>
      </c>
      <c r="C1206" t="s">
        <v>6763</v>
      </c>
      <c r="D1206" t="s">
        <v>6764</v>
      </c>
      <c r="E1206">
        <v>4408592</v>
      </c>
      <c r="F1206" t="s">
        <v>742</v>
      </c>
      <c r="G1206" t="s">
        <v>823</v>
      </c>
      <c r="H1206" t="s">
        <v>6404</v>
      </c>
      <c r="I1206" s="12">
        <v>45113</v>
      </c>
      <c r="J1206">
        <v>1</v>
      </c>
      <c r="K1206" t="str">
        <f>VLOOKUP(A1206,'TV May Monthly Billing Sites'!$A:$L,1,0)</f>
        <v>76218993</v>
      </c>
    </row>
    <row r="1207" spans="1:11">
      <c r="A1207" t="str">
        <f t="shared" si="18"/>
        <v>76219134</v>
      </c>
      <c r="B1207">
        <v>76219134</v>
      </c>
      <c r="C1207" t="s">
        <v>6765</v>
      </c>
      <c r="D1207" t="s">
        <v>6766</v>
      </c>
      <c r="E1207">
        <v>4508714</v>
      </c>
      <c r="F1207" t="s">
        <v>742</v>
      </c>
      <c r="G1207" t="s">
        <v>743</v>
      </c>
      <c r="H1207" t="s">
        <v>1179</v>
      </c>
      <c r="I1207" s="12">
        <v>45646</v>
      </c>
      <c r="J1207">
        <v>1</v>
      </c>
      <c r="K1207" t="str">
        <f>VLOOKUP(A1207,'TV May Monthly Billing Sites'!$A:$L,1,0)</f>
        <v>76219134</v>
      </c>
    </row>
    <row r="1208" spans="1:11">
      <c r="A1208" t="str">
        <f t="shared" si="18"/>
        <v>76219190</v>
      </c>
      <c r="B1208">
        <v>76219190</v>
      </c>
      <c r="C1208" t="s">
        <v>6767</v>
      </c>
      <c r="D1208" t="s">
        <v>3711</v>
      </c>
      <c r="E1208">
        <v>4508714</v>
      </c>
      <c r="F1208" t="s">
        <v>742</v>
      </c>
      <c r="G1208" t="s">
        <v>743</v>
      </c>
      <c r="H1208" t="s">
        <v>5973</v>
      </c>
      <c r="I1208" s="12">
        <v>45525</v>
      </c>
      <c r="J1208">
        <v>1</v>
      </c>
      <c r="K1208" t="str">
        <f>VLOOKUP(A1208,'TV May Monthly Billing Sites'!$A:$L,1,0)</f>
        <v>76219190</v>
      </c>
    </row>
    <row r="1209" spans="1:11">
      <c r="A1209" t="str">
        <f t="shared" si="18"/>
        <v>76219198</v>
      </c>
      <c r="B1209">
        <v>76219198</v>
      </c>
      <c r="C1209" t="s">
        <v>6768</v>
      </c>
      <c r="D1209" t="s">
        <v>3713</v>
      </c>
      <c r="E1209">
        <v>4508714</v>
      </c>
      <c r="F1209" t="s">
        <v>742</v>
      </c>
      <c r="G1209" t="s">
        <v>743</v>
      </c>
      <c r="H1209" t="s">
        <v>5973</v>
      </c>
      <c r="I1209" s="12">
        <v>45525</v>
      </c>
      <c r="J1209">
        <v>1</v>
      </c>
      <c r="K1209" t="str">
        <f>VLOOKUP(A1209,'TV May Monthly Billing Sites'!$A:$L,1,0)</f>
        <v>76219198</v>
      </c>
    </row>
    <row r="1210" spans="1:11">
      <c r="A1210" t="str">
        <f t="shared" si="18"/>
        <v>76219210</v>
      </c>
      <c r="B1210">
        <v>76219210</v>
      </c>
      <c r="C1210" t="s">
        <v>6769</v>
      </c>
      <c r="D1210" t="s">
        <v>3715</v>
      </c>
      <c r="E1210">
        <v>4408592</v>
      </c>
      <c r="F1210" t="s">
        <v>742</v>
      </c>
      <c r="G1210" t="s">
        <v>823</v>
      </c>
      <c r="H1210" t="s">
        <v>4934</v>
      </c>
      <c r="I1210" s="12">
        <v>45418</v>
      </c>
      <c r="J1210">
        <v>1</v>
      </c>
      <c r="K1210" t="str">
        <f>VLOOKUP(A1210,'TV May Monthly Billing Sites'!$A:$L,1,0)</f>
        <v>76219210</v>
      </c>
    </row>
    <row r="1211" spans="1:11">
      <c r="A1211" t="str">
        <f t="shared" si="18"/>
        <v>76219273</v>
      </c>
      <c r="B1211">
        <v>76219273</v>
      </c>
      <c r="C1211" t="s">
        <v>6770</v>
      </c>
      <c r="D1211" t="s">
        <v>3717</v>
      </c>
      <c r="E1211">
        <v>4508714</v>
      </c>
      <c r="F1211" t="s">
        <v>742</v>
      </c>
      <c r="G1211" t="s">
        <v>743</v>
      </c>
      <c r="H1211" t="s">
        <v>5942</v>
      </c>
      <c r="I1211" s="12">
        <v>45982</v>
      </c>
      <c r="J1211">
        <v>1</v>
      </c>
      <c r="K1211" t="str">
        <f>VLOOKUP(A1211,'TV May Monthly Billing Sites'!$A:$L,1,0)</f>
        <v>76219273</v>
      </c>
    </row>
    <row r="1212" spans="1:11">
      <c r="A1212" t="str">
        <f t="shared" si="18"/>
        <v>76219274</v>
      </c>
      <c r="B1212">
        <v>76219274</v>
      </c>
      <c r="C1212" t="s">
        <v>6771</v>
      </c>
      <c r="D1212" t="s">
        <v>6772</v>
      </c>
      <c r="E1212">
        <v>4508714</v>
      </c>
      <c r="F1212" t="s">
        <v>742</v>
      </c>
      <c r="G1212" t="s">
        <v>743</v>
      </c>
      <c r="H1212" t="s">
        <v>5942</v>
      </c>
      <c r="I1212" s="12">
        <v>45982</v>
      </c>
      <c r="J1212">
        <v>1</v>
      </c>
      <c r="K1212" t="str">
        <f>VLOOKUP(A1212,'TV May Monthly Billing Sites'!$A:$L,1,0)</f>
        <v>76219274</v>
      </c>
    </row>
    <row r="1213" spans="1:11">
      <c r="A1213" t="str">
        <f t="shared" si="18"/>
        <v>76219294</v>
      </c>
      <c r="B1213">
        <v>76219294</v>
      </c>
      <c r="C1213" t="s">
        <v>6773</v>
      </c>
      <c r="D1213" t="s">
        <v>6774</v>
      </c>
      <c r="E1213">
        <v>4408592</v>
      </c>
      <c r="F1213" t="s">
        <v>742</v>
      </c>
      <c r="G1213" t="s">
        <v>823</v>
      </c>
      <c r="H1213" t="s">
        <v>6775</v>
      </c>
      <c r="I1213" s="12">
        <v>44566</v>
      </c>
      <c r="J1213">
        <v>2</v>
      </c>
      <c r="K1213" t="str">
        <f>VLOOKUP(A1213,'TV May Monthly Billing Sites'!$A:$L,1,0)</f>
        <v>76219294</v>
      </c>
    </row>
    <row r="1214" spans="1:11">
      <c r="A1214" t="str">
        <f t="shared" si="18"/>
        <v>76219295</v>
      </c>
      <c r="B1214">
        <v>76219295</v>
      </c>
      <c r="C1214" t="s">
        <v>6776</v>
      </c>
      <c r="D1214" t="s">
        <v>6777</v>
      </c>
      <c r="E1214">
        <v>4408593</v>
      </c>
      <c r="F1214" t="s">
        <v>742</v>
      </c>
      <c r="G1214" t="s">
        <v>782</v>
      </c>
      <c r="H1214" t="s">
        <v>6775</v>
      </c>
      <c r="I1214" s="12">
        <v>45622</v>
      </c>
      <c r="J1214">
        <v>2</v>
      </c>
      <c r="K1214" t="str">
        <f>VLOOKUP(A1214,'TV May Monthly Billing Sites'!$A:$L,1,0)</f>
        <v>76219295</v>
      </c>
    </row>
    <row r="1215" spans="1:11">
      <c r="A1215" t="str">
        <f t="shared" si="18"/>
        <v>76219391</v>
      </c>
      <c r="B1215">
        <v>76219391</v>
      </c>
      <c r="C1215" t="s">
        <v>6778</v>
      </c>
      <c r="D1215" t="s">
        <v>3725</v>
      </c>
      <c r="E1215">
        <v>4508679</v>
      </c>
      <c r="F1215" t="s">
        <v>742</v>
      </c>
      <c r="G1215" t="s">
        <v>5039</v>
      </c>
      <c r="H1215" t="s">
        <v>6779</v>
      </c>
      <c r="I1215" s="12">
        <v>44649</v>
      </c>
      <c r="J1215">
        <v>1</v>
      </c>
      <c r="K1215" t="str">
        <f>VLOOKUP(A1215,'TV May Monthly Billing Sites'!$A:$L,1,0)</f>
        <v>76219391</v>
      </c>
    </row>
    <row r="1216" spans="1:11">
      <c r="A1216" t="str">
        <f t="shared" si="18"/>
        <v>76219392</v>
      </c>
      <c r="B1216">
        <v>76219392</v>
      </c>
      <c r="C1216" t="s">
        <v>6780</v>
      </c>
      <c r="D1216" t="s">
        <v>3727</v>
      </c>
      <c r="E1216">
        <v>4508679</v>
      </c>
      <c r="F1216" t="s">
        <v>742</v>
      </c>
      <c r="G1216" t="s">
        <v>5039</v>
      </c>
      <c r="H1216" t="s">
        <v>6779</v>
      </c>
      <c r="I1216" s="12">
        <v>44540</v>
      </c>
      <c r="J1216">
        <v>1</v>
      </c>
      <c r="K1216" t="str">
        <f>VLOOKUP(A1216,'TV May Monthly Billing Sites'!$A:$L,1,0)</f>
        <v>76219392</v>
      </c>
    </row>
    <row r="1217" spans="1:12">
      <c r="A1217" t="str">
        <f t="shared" si="18"/>
        <v>76219393</v>
      </c>
      <c r="B1217">
        <v>76219393</v>
      </c>
      <c r="C1217" t="s">
        <v>6781</v>
      </c>
      <c r="D1217" t="s">
        <v>3729</v>
      </c>
      <c r="E1217">
        <v>4508679</v>
      </c>
      <c r="F1217" t="s">
        <v>742</v>
      </c>
      <c r="G1217" t="s">
        <v>5039</v>
      </c>
      <c r="H1217" t="s">
        <v>6779</v>
      </c>
      <c r="I1217" s="12">
        <v>44649</v>
      </c>
      <c r="J1217">
        <v>1</v>
      </c>
      <c r="K1217" t="str">
        <f>VLOOKUP(A1217,'TV May Monthly Billing Sites'!$A:$L,1,0)</f>
        <v>76219393</v>
      </c>
    </row>
    <row r="1218" spans="1:12">
      <c r="A1218" t="str">
        <f t="shared" ref="A1218:A1281" si="19">TRIM(B1218)</f>
        <v>76219394</v>
      </c>
      <c r="B1218">
        <v>76219394</v>
      </c>
      <c r="C1218" t="s">
        <v>6782</v>
      </c>
      <c r="D1218" t="s">
        <v>6783</v>
      </c>
      <c r="E1218">
        <v>4508679</v>
      </c>
      <c r="F1218" t="s">
        <v>742</v>
      </c>
      <c r="G1218" t="s">
        <v>5039</v>
      </c>
      <c r="H1218" t="s">
        <v>6779</v>
      </c>
      <c r="I1218" s="12">
        <v>44649</v>
      </c>
      <c r="J1218">
        <v>1</v>
      </c>
      <c r="K1218" t="str">
        <f>VLOOKUP(A1218,'TV May Monthly Billing Sites'!$A:$L,1,0)</f>
        <v>76219394</v>
      </c>
    </row>
    <row r="1219" spans="1:12">
      <c r="A1219" t="str">
        <f t="shared" si="19"/>
        <v>76219395</v>
      </c>
      <c r="B1219">
        <v>76219395</v>
      </c>
      <c r="C1219" t="s">
        <v>6784</v>
      </c>
      <c r="D1219" t="s">
        <v>3733</v>
      </c>
      <c r="E1219">
        <v>4508679</v>
      </c>
      <c r="F1219" t="s">
        <v>742</v>
      </c>
      <c r="G1219" t="s">
        <v>5039</v>
      </c>
      <c r="H1219" t="s">
        <v>6779</v>
      </c>
      <c r="I1219" s="12">
        <v>44649</v>
      </c>
      <c r="J1219">
        <v>1</v>
      </c>
      <c r="K1219" t="str">
        <f>VLOOKUP(A1219,'TV May Monthly Billing Sites'!$A:$L,1,0)</f>
        <v>76219395</v>
      </c>
    </row>
    <row r="1220" spans="1:12">
      <c r="A1220" t="str">
        <f t="shared" si="19"/>
        <v>76219462</v>
      </c>
      <c r="B1220">
        <v>76219462</v>
      </c>
      <c r="C1220" t="s">
        <v>6785</v>
      </c>
      <c r="D1220" t="s">
        <v>6786</v>
      </c>
      <c r="E1220">
        <v>4408593</v>
      </c>
      <c r="F1220" t="s">
        <v>742</v>
      </c>
      <c r="G1220" t="s">
        <v>782</v>
      </c>
      <c r="H1220" t="s">
        <v>6787</v>
      </c>
      <c r="I1220" s="12">
        <v>45637</v>
      </c>
      <c r="J1220">
        <v>1</v>
      </c>
      <c r="K1220" t="str">
        <f>VLOOKUP(A1220,'TV May Monthly Billing Sites'!$A:$L,1,0)</f>
        <v>76219462</v>
      </c>
    </row>
    <row r="1221" spans="1:12">
      <c r="A1221" t="str">
        <f t="shared" si="19"/>
        <v>76219467</v>
      </c>
      <c r="B1221">
        <v>76219467</v>
      </c>
      <c r="C1221" t="s">
        <v>1074</v>
      </c>
      <c r="D1221" t="s">
        <v>1075</v>
      </c>
      <c r="E1221">
        <v>4508714</v>
      </c>
      <c r="F1221" t="s">
        <v>742</v>
      </c>
      <c r="G1221" t="s">
        <v>743</v>
      </c>
      <c r="H1221" t="s">
        <v>762</v>
      </c>
      <c r="I1221" s="12">
        <v>45622</v>
      </c>
      <c r="J1221">
        <v>1</v>
      </c>
      <c r="K1221" t="e">
        <f>VLOOKUP(A1221,'TV May Monthly Billing Sites'!$A:$L,1,0)</f>
        <v>#N/A</v>
      </c>
      <c r="L1221" t="e">
        <f>VLOOKUP(D1221,'TV May Monthly Billing Sites'!$B:$L,1,0)</f>
        <v>#N/A</v>
      </c>
    </row>
    <row r="1222" spans="1:12">
      <c r="A1222" t="str">
        <f t="shared" si="19"/>
        <v>76219475</v>
      </c>
      <c r="B1222">
        <v>76219475</v>
      </c>
      <c r="C1222" t="s">
        <v>6788</v>
      </c>
      <c r="D1222" t="s">
        <v>3737</v>
      </c>
      <c r="E1222">
        <v>4508714</v>
      </c>
      <c r="F1222" t="s">
        <v>742</v>
      </c>
      <c r="G1222" t="s">
        <v>743</v>
      </c>
      <c r="H1222" t="s">
        <v>5366</v>
      </c>
      <c r="I1222" s="12">
        <v>45559</v>
      </c>
      <c r="J1222">
        <v>1</v>
      </c>
      <c r="K1222" t="str">
        <f>VLOOKUP(A1222,'TV May Monthly Billing Sites'!$A:$L,1,0)</f>
        <v>76219475</v>
      </c>
    </row>
    <row r="1223" spans="1:12">
      <c r="A1223" t="str">
        <f t="shared" si="19"/>
        <v>76219548</v>
      </c>
      <c r="B1223">
        <v>76219548</v>
      </c>
      <c r="C1223" t="s">
        <v>6789</v>
      </c>
      <c r="D1223" t="s">
        <v>3739</v>
      </c>
      <c r="E1223">
        <v>4508714</v>
      </c>
      <c r="F1223" t="s">
        <v>742</v>
      </c>
      <c r="G1223" t="s">
        <v>743</v>
      </c>
      <c r="H1223" t="s">
        <v>6168</v>
      </c>
      <c r="I1223" s="12">
        <v>45595</v>
      </c>
      <c r="J1223">
        <v>1</v>
      </c>
      <c r="K1223" t="str">
        <f>VLOOKUP(A1223,'TV May Monthly Billing Sites'!$A:$L,1,0)</f>
        <v>76219548</v>
      </c>
    </row>
    <row r="1224" spans="1:12">
      <c r="A1224" t="str">
        <f t="shared" si="19"/>
        <v>76219550</v>
      </c>
      <c r="B1224">
        <v>76219550</v>
      </c>
      <c r="C1224" t="s">
        <v>6790</v>
      </c>
      <c r="D1224" t="s">
        <v>3741</v>
      </c>
      <c r="E1224">
        <v>4508714</v>
      </c>
      <c r="F1224" t="s">
        <v>742</v>
      </c>
      <c r="G1224" t="s">
        <v>743</v>
      </c>
      <c r="H1224" t="s">
        <v>6168</v>
      </c>
      <c r="I1224" s="12">
        <v>45595</v>
      </c>
      <c r="J1224">
        <v>1</v>
      </c>
      <c r="K1224" t="str">
        <f>VLOOKUP(A1224,'TV May Monthly Billing Sites'!$A:$L,1,0)</f>
        <v>76219550</v>
      </c>
    </row>
    <row r="1225" spans="1:12">
      <c r="A1225" t="str">
        <f t="shared" si="19"/>
        <v>76219578</v>
      </c>
      <c r="B1225">
        <v>76219578</v>
      </c>
      <c r="C1225" t="s">
        <v>6791</v>
      </c>
      <c r="D1225" t="s">
        <v>6792</v>
      </c>
      <c r="E1225">
        <v>4508714</v>
      </c>
      <c r="F1225" t="s">
        <v>742</v>
      </c>
      <c r="G1225" t="s">
        <v>743</v>
      </c>
      <c r="H1225" t="s">
        <v>6296</v>
      </c>
      <c r="I1225" s="12">
        <v>45653</v>
      </c>
      <c r="J1225">
        <v>1</v>
      </c>
      <c r="K1225" t="str">
        <f>VLOOKUP(A1225,'TV May Monthly Billing Sites'!$A:$L,1,0)</f>
        <v>76219578</v>
      </c>
    </row>
    <row r="1226" spans="1:12">
      <c r="A1226" t="str">
        <f t="shared" si="19"/>
        <v>76219579</v>
      </c>
      <c r="B1226">
        <v>76219579</v>
      </c>
      <c r="C1226" t="s">
        <v>6793</v>
      </c>
      <c r="D1226" t="s">
        <v>6794</v>
      </c>
      <c r="E1226">
        <v>4508714</v>
      </c>
      <c r="F1226" t="s">
        <v>742</v>
      </c>
      <c r="G1226" t="s">
        <v>743</v>
      </c>
      <c r="H1226" t="s">
        <v>6296</v>
      </c>
      <c r="I1226" s="12">
        <v>45653</v>
      </c>
      <c r="J1226">
        <v>1</v>
      </c>
      <c r="K1226" t="str">
        <f>VLOOKUP(A1226,'TV May Monthly Billing Sites'!$A:$L,1,0)</f>
        <v>76219579</v>
      </c>
    </row>
    <row r="1227" spans="1:12">
      <c r="A1227" t="str">
        <f t="shared" si="19"/>
        <v>76219626</v>
      </c>
      <c r="B1227">
        <v>76219626</v>
      </c>
      <c r="C1227" t="s">
        <v>6795</v>
      </c>
      <c r="D1227" t="s">
        <v>3747</v>
      </c>
      <c r="E1227">
        <v>4508714</v>
      </c>
      <c r="F1227" t="s">
        <v>742</v>
      </c>
      <c r="G1227" t="s">
        <v>743</v>
      </c>
      <c r="H1227" t="s">
        <v>1096</v>
      </c>
      <c r="I1227" s="12">
        <v>45961</v>
      </c>
      <c r="J1227">
        <v>1</v>
      </c>
      <c r="K1227" t="str">
        <f>VLOOKUP(A1227,'TV May Monthly Billing Sites'!$A:$L,1,0)</f>
        <v>76219626</v>
      </c>
    </row>
    <row r="1228" spans="1:12">
      <c r="A1228" t="str">
        <f t="shared" si="19"/>
        <v>76219761</v>
      </c>
      <c r="B1228">
        <v>76219761</v>
      </c>
      <c r="C1228" t="s">
        <v>6796</v>
      </c>
      <c r="D1228" t="s">
        <v>3749</v>
      </c>
      <c r="E1228">
        <v>4508714</v>
      </c>
      <c r="F1228" t="s">
        <v>742</v>
      </c>
      <c r="G1228" t="s">
        <v>743</v>
      </c>
      <c r="H1228" t="s">
        <v>1156</v>
      </c>
      <c r="I1228" s="12">
        <v>45628</v>
      </c>
      <c r="J1228">
        <v>1</v>
      </c>
      <c r="K1228" t="str">
        <f>VLOOKUP(A1228,'TV May Monthly Billing Sites'!$A:$L,1,0)</f>
        <v>76219761</v>
      </c>
    </row>
    <row r="1229" spans="1:12">
      <c r="A1229" t="str">
        <f t="shared" si="19"/>
        <v>76219798</v>
      </c>
      <c r="B1229">
        <v>76219798</v>
      </c>
      <c r="C1229" t="s">
        <v>6797</v>
      </c>
      <c r="D1229" t="s">
        <v>6798</v>
      </c>
      <c r="E1229">
        <v>4508675</v>
      </c>
      <c r="F1229" t="s">
        <v>742</v>
      </c>
      <c r="G1229" t="s">
        <v>828</v>
      </c>
      <c r="H1229" t="s">
        <v>1171</v>
      </c>
      <c r="I1229" s="12">
        <v>45113</v>
      </c>
      <c r="J1229">
        <v>1</v>
      </c>
      <c r="K1229" t="str">
        <f>VLOOKUP(A1229,'TV May Monthly Billing Sites'!$A:$L,1,0)</f>
        <v>76219798</v>
      </c>
    </row>
    <row r="1230" spans="1:12">
      <c r="A1230" t="str">
        <f t="shared" si="19"/>
        <v>76220197</v>
      </c>
      <c r="B1230">
        <v>76220197</v>
      </c>
      <c r="C1230" t="s">
        <v>6799</v>
      </c>
      <c r="D1230" t="s">
        <v>3753</v>
      </c>
      <c r="E1230">
        <v>4408592</v>
      </c>
      <c r="F1230" t="s">
        <v>742</v>
      </c>
      <c r="G1230" t="s">
        <v>823</v>
      </c>
      <c r="H1230" t="s">
        <v>6800</v>
      </c>
      <c r="I1230" s="12">
        <v>45939</v>
      </c>
      <c r="J1230">
        <v>1</v>
      </c>
      <c r="K1230" t="str">
        <f>VLOOKUP(A1230,'TV May Monthly Billing Sites'!$A:$L,1,0)</f>
        <v>76220197</v>
      </c>
    </row>
    <row r="1231" spans="1:12">
      <c r="A1231" t="str">
        <f t="shared" si="19"/>
        <v>76220263</v>
      </c>
      <c r="B1231">
        <v>76220263</v>
      </c>
      <c r="C1231" t="s">
        <v>6801</v>
      </c>
      <c r="D1231" t="s">
        <v>6802</v>
      </c>
      <c r="E1231">
        <v>4508714</v>
      </c>
      <c r="F1231" t="s">
        <v>742</v>
      </c>
      <c r="G1231" t="s">
        <v>743</v>
      </c>
      <c r="H1231" t="s">
        <v>4890</v>
      </c>
      <c r="I1231" s="12">
        <v>45719</v>
      </c>
      <c r="J1231">
        <v>1</v>
      </c>
      <c r="K1231" t="str">
        <f>VLOOKUP(A1231,'TV May Monthly Billing Sites'!$A:$L,1,0)</f>
        <v>76220263</v>
      </c>
    </row>
    <row r="1232" spans="1:12">
      <c r="A1232" t="str">
        <f t="shared" si="19"/>
        <v>76220316</v>
      </c>
      <c r="B1232">
        <v>76220316</v>
      </c>
      <c r="C1232" t="s">
        <v>6803</v>
      </c>
      <c r="D1232" t="s">
        <v>6804</v>
      </c>
      <c r="E1232">
        <v>4508714</v>
      </c>
      <c r="F1232" t="s">
        <v>742</v>
      </c>
      <c r="G1232" t="s">
        <v>743</v>
      </c>
      <c r="H1232" t="s">
        <v>6105</v>
      </c>
      <c r="I1232" s="12">
        <v>45628</v>
      </c>
      <c r="J1232">
        <v>1</v>
      </c>
      <c r="K1232" t="str">
        <f>VLOOKUP(A1232,'TV May Monthly Billing Sites'!$A:$L,1,0)</f>
        <v>76220316</v>
      </c>
    </row>
    <row r="1233" spans="1:12">
      <c r="A1233" t="str">
        <f t="shared" si="19"/>
        <v>76220334</v>
      </c>
      <c r="B1233">
        <v>76220334</v>
      </c>
      <c r="C1233" t="s">
        <v>6805</v>
      </c>
      <c r="D1233" t="s">
        <v>6806</v>
      </c>
      <c r="E1233">
        <v>4508675</v>
      </c>
      <c r="F1233" t="s">
        <v>742</v>
      </c>
      <c r="G1233" t="s">
        <v>828</v>
      </c>
      <c r="H1233" t="s">
        <v>4894</v>
      </c>
      <c r="I1233" s="12">
        <v>45450</v>
      </c>
      <c r="J1233">
        <v>1</v>
      </c>
      <c r="K1233" t="str">
        <f>VLOOKUP(A1233,'TV May Monthly Billing Sites'!$A:$L,1,0)</f>
        <v>76220334</v>
      </c>
    </row>
    <row r="1234" spans="1:12">
      <c r="A1234" t="str">
        <f t="shared" si="19"/>
        <v>76220359</v>
      </c>
      <c r="B1234">
        <v>76220359</v>
      </c>
      <c r="C1234" t="s">
        <v>6807</v>
      </c>
      <c r="D1234" t="s">
        <v>3761</v>
      </c>
      <c r="E1234">
        <v>4508714</v>
      </c>
      <c r="F1234" t="s">
        <v>742</v>
      </c>
      <c r="G1234" t="s">
        <v>743</v>
      </c>
      <c r="H1234" t="s">
        <v>6168</v>
      </c>
      <c r="I1234" s="12">
        <v>45595</v>
      </c>
      <c r="J1234">
        <v>1</v>
      </c>
      <c r="K1234" t="str">
        <f>VLOOKUP(A1234,'TV May Monthly Billing Sites'!$A:$L,1,0)</f>
        <v>76220359</v>
      </c>
    </row>
    <row r="1235" spans="1:12">
      <c r="A1235" t="str">
        <f t="shared" si="19"/>
        <v>76220388</v>
      </c>
      <c r="B1235">
        <v>76220388</v>
      </c>
      <c r="C1235" t="s">
        <v>6808</v>
      </c>
      <c r="D1235" t="s">
        <v>3763</v>
      </c>
      <c r="E1235">
        <v>4508714</v>
      </c>
      <c r="F1235" t="s">
        <v>742</v>
      </c>
      <c r="G1235" t="s">
        <v>743</v>
      </c>
      <c r="H1235" t="s">
        <v>5870</v>
      </c>
      <c r="I1235" s="12">
        <v>45901</v>
      </c>
      <c r="J1235">
        <v>1</v>
      </c>
      <c r="K1235" t="str">
        <f>VLOOKUP(A1235,'TV May Monthly Billing Sites'!$A:$L,1,0)</f>
        <v>76220388</v>
      </c>
    </row>
    <row r="1236" spans="1:12">
      <c r="A1236" t="str">
        <f t="shared" si="19"/>
        <v>76220389</v>
      </c>
      <c r="B1236">
        <v>76220389</v>
      </c>
      <c r="C1236" t="s">
        <v>6809</v>
      </c>
      <c r="D1236" t="s">
        <v>3765</v>
      </c>
      <c r="E1236">
        <v>4508714</v>
      </c>
      <c r="F1236" t="s">
        <v>742</v>
      </c>
      <c r="G1236" t="s">
        <v>743</v>
      </c>
      <c r="H1236" t="s">
        <v>5870</v>
      </c>
      <c r="I1236" s="12">
        <v>45901</v>
      </c>
      <c r="J1236">
        <v>1</v>
      </c>
      <c r="K1236" t="str">
        <f>VLOOKUP(A1236,'TV May Monthly Billing Sites'!$A:$L,1,0)</f>
        <v>76220389</v>
      </c>
    </row>
    <row r="1237" spans="1:12">
      <c r="A1237" t="str">
        <f t="shared" si="19"/>
        <v>76220390</v>
      </c>
      <c r="B1237">
        <v>76220390</v>
      </c>
      <c r="C1237" t="s">
        <v>6810</v>
      </c>
      <c r="D1237" t="s">
        <v>6811</v>
      </c>
      <c r="E1237">
        <v>4508714</v>
      </c>
      <c r="F1237" t="s">
        <v>742</v>
      </c>
      <c r="G1237" t="s">
        <v>743</v>
      </c>
      <c r="H1237" t="s">
        <v>5870</v>
      </c>
      <c r="I1237" s="12">
        <v>45901</v>
      </c>
      <c r="J1237">
        <v>1</v>
      </c>
      <c r="K1237" t="str">
        <f>VLOOKUP(A1237,'TV May Monthly Billing Sites'!$A:$L,1,0)</f>
        <v>76220390</v>
      </c>
    </row>
    <row r="1238" spans="1:12">
      <c r="A1238" t="str">
        <f t="shared" si="19"/>
        <v>76220391</v>
      </c>
      <c r="B1238">
        <v>76220391</v>
      </c>
      <c r="C1238" t="s">
        <v>6812</v>
      </c>
      <c r="D1238" t="s">
        <v>3769</v>
      </c>
      <c r="E1238">
        <v>4508714</v>
      </c>
      <c r="F1238" t="s">
        <v>742</v>
      </c>
      <c r="G1238" t="s">
        <v>743</v>
      </c>
      <c r="H1238" t="s">
        <v>5870</v>
      </c>
      <c r="I1238" s="12">
        <v>45901</v>
      </c>
      <c r="J1238">
        <v>1</v>
      </c>
      <c r="K1238" t="str">
        <f>VLOOKUP(A1238,'TV May Monthly Billing Sites'!$A:$L,1,0)</f>
        <v>76220391</v>
      </c>
    </row>
    <row r="1239" spans="1:12">
      <c r="A1239" t="str">
        <f t="shared" si="19"/>
        <v>76220394</v>
      </c>
      <c r="B1239">
        <v>76220394</v>
      </c>
      <c r="C1239" t="s">
        <v>6813</v>
      </c>
      <c r="D1239" t="s">
        <v>3771</v>
      </c>
      <c r="E1239">
        <v>4508714</v>
      </c>
      <c r="F1239" t="s">
        <v>742</v>
      </c>
      <c r="G1239" t="s">
        <v>743</v>
      </c>
      <c r="H1239" t="s">
        <v>5870</v>
      </c>
      <c r="I1239" s="12">
        <v>45901</v>
      </c>
      <c r="J1239">
        <v>1</v>
      </c>
      <c r="K1239" t="str">
        <f>VLOOKUP(A1239,'TV May Monthly Billing Sites'!$A:$L,1,0)</f>
        <v>76220394</v>
      </c>
    </row>
    <row r="1240" spans="1:12">
      <c r="A1240" t="str">
        <f t="shared" si="19"/>
        <v>76220396</v>
      </c>
      <c r="B1240">
        <v>76220396</v>
      </c>
      <c r="C1240" t="s">
        <v>6814</v>
      </c>
      <c r="D1240" t="s">
        <v>3773</v>
      </c>
      <c r="E1240">
        <v>4508714</v>
      </c>
      <c r="F1240" t="s">
        <v>742</v>
      </c>
      <c r="G1240" t="s">
        <v>743</v>
      </c>
      <c r="H1240" t="s">
        <v>5870</v>
      </c>
      <c r="I1240" s="12">
        <v>45901</v>
      </c>
      <c r="J1240">
        <v>1</v>
      </c>
      <c r="K1240" t="str">
        <f>VLOOKUP(A1240,'TV May Monthly Billing Sites'!$A:$L,1,0)</f>
        <v>76220396</v>
      </c>
    </row>
    <row r="1241" spans="1:12">
      <c r="A1241" t="str">
        <f t="shared" si="19"/>
        <v>76220417</v>
      </c>
      <c r="B1241">
        <v>76220417</v>
      </c>
      <c r="C1241" t="s">
        <v>1077</v>
      </c>
      <c r="D1241" t="s">
        <v>1078</v>
      </c>
      <c r="E1241">
        <v>4508714</v>
      </c>
      <c r="F1241" t="s">
        <v>742</v>
      </c>
      <c r="G1241" t="s">
        <v>743</v>
      </c>
      <c r="H1241" t="s">
        <v>805</v>
      </c>
      <c r="I1241" s="12">
        <v>45772</v>
      </c>
      <c r="J1241">
        <v>1</v>
      </c>
      <c r="K1241" t="e">
        <f>VLOOKUP(A1241,'TV May Monthly Billing Sites'!$A:$L,1,0)</f>
        <v>#N/A</v>
      </c>
      <c r="L1241" t="e">
        <f>VLOOKUP(D1241,'TV May Monthly Billing Sites'!$B:$L,1,0)</f>
        <v>#N/A</v>
      </c>
    </row>
    <row r="1242" spans="1:12">
      <c r="A1242" t="str">
        <f t="shared" si="19"/>
        <v>76220436</v>
      </c>
      <c r="B1242">
        <v>76220436</v>
      </c>
      <c r="C1242" t="s">
        <v>6815</v>
      </c>
      <c r="D1242" t="s">
        <v>3775</v>
      </c>
      <c r="E1242">
        <v>4508714</v>
      </c>
      <c r="F1242" t="s">
        <v>742</v>
      </c>
      <c r="G1242" t="s">
        <v>743</v>
      </c>
      <c r="H1242" t="s">
        <v>6751</v>
      </c>
      <c r="I1242" s="12">
        <v>46020</v>
      </c>
      <c r="J1242">
        <v>1</v>
      </c>
      <c r="K1242" t="str">
        <f>VLOOKUP(A1242,'TV May Monthly Billing Sites'!$A:$L,1,0)</f>
        <v>76220436</v>
      </c>
    </row>
    <row r="1243" spans="1:12">
      <c r="A1243" t="str">
        <f t="shared" si="19"/>
        <v>76220481</v>
      </c>
      <c r="B1243">
        <v>76220481</v>
      </c>
      <c r="C1243" t="s">
        <v>1080</v>
      </c>
      <c r="D1243" t="s">
        <v>1081</v>
      </c>
      <c r="E1243">
        <v>4508714</v>
      </c>
      <c r="F1243" t="s">
        <v>742</v>
      </c>
      <c r="G1243" t="s">
        <v>743</v>
      </c>
      <c r="H1243" t="s">
        <v>762</v>
      </c>
      <c r="I1243" s="12">
        <v>45622</v>
      </c>
      <c r="J1243">
        <v>1</v>
      </c>
      <c r="K1243" t="e">
        <f>VLOOKUP(A1243,'TV May Monthly Billing Sites'!$A:$L,1,0)</f>
        <v>#N/A</v>
      </c>
      <c r="L1243" t="e">
        <f>VLOOKUP(D1243,'TV May Monthly Billing Sites'!$B:$L,1,0)</f>
        <v>#N/A</v>
      </c>
    </row>
    <row r="1244" spans="1:12">
      <c r="A1244" t="str">
        <f t="shared" si="19"/>
        <v>76220492</v>
      </c>
      <c r="B1244">
        <v>76220492</v>
      </c>
      <c r="C1244" t="s">
        <v>6816</v>
      </c>
      <c r="D1244" t="s">
        <v>3777</v>
      </c>
      <c r="E1244">
        <v>4508714</v>
      </c>
      <c r="F1244" t="s">
        <v>742</v>
      </c>
      <c r="G1244" t="s">
        <v>743</v>
      </c>
      <c r="H1244" t="s">
        <v>6751</v>
      </c>
      <c r="I1244" s="12">
        <v>46020</v>
      </c>
      <c r="J1244">
        <v>1</v>
      </c>
      <c r="K1244" t="str">
        <f>VLOOKUP(A1244,'TV May Monthly Billing Sites'!$A:$L,1,0)</f>
        <v>76220492</v>
      </c>
    </row>
    <row r="1245" spans="1:12">
      <c r="A1245" t="str">
        <f t="shared" si="19"/>
        <v>76220780</v>
      </c>
      <c r="B1245">
        <v>76220780</v>
      </c>
      <c r="C1245" t="s">
        <v>6817</v>
      </c>
      <c r="D1245" t="s">
        <v>6818</v>
      </c>
      <c r="E1245">
        <v>4508714</v>
      </c>
      <c r="F1245" t="s">
        <v>742</v>
      </c>
      <c r="G1245" t="s">
        <v>743</v>
      </c>
      <c r="H1245" t="s">
        <v>5956</v>
      </c>
      <c r="I1245" s="12">
        <v>45839</v>
      </c>
      <c r="J1245">
        <v>1</v>
      </c>
      <c r="K1245" t="str">
        <f>VLOOKUP(A1245,'TV May Monthly Billing Sites'!$A:$L,1,0)</f>
        <v>76220780</v>
      </c>
    </row>
    <row r="1246" spans="1:12">
      <c r="A1246" t="str">
        <f t="shared" si="19"/>
        <v>76220894</v>
      </c>
      <c r="B1246">
        <v>76220894</v>
      </c>
      <c r="C1246" t="s">
        <v>6819</v>
      </c>
      <c r="D1246" t="s">
        <v>6820</v>
      </c>
      <c r="E1246">
        <v>4508714</v>
      </c>
      <c r="F1246" t="s">
        <v>742</v>
      </c>
      <c r="G1246" t="s">
        <v>743</v>
      </c>
      <c r="H1246" t="s">
        <v>5515</v>
      </c>
      <c r="I1246" s="12">
        <v>45698</v>
      </c>
      <c r="J1246">
        <v>1</v>
      </c>
      <c r="K1246" t="str">
        <f>VLOOKUP(A1246,'TV May Monthly Billing Sites'!$A:$L,1,0)</f>
        <v>76220894</v>
      </c>
    </row>
    <row r="1247" spans="1:12">
      <c r="A1247" t="str">
        <f t="shared" si="19"/>
        <v>76220921</v>
      </c>
      <c r="B1247">
        <v>76220921</v>
      </c>
      <c r="C1247" t="s">
        <v>6821</v>
      </c>
      <c r="D1247" t="s">
        <v>6822</v>
      </c>
      <c r="E1247">
        <v>4508714</v>
      </c>
      <c r="F1247" t="s">
        <v>742</v>
      </c>
      <c r="G1247" t="s">
        <v>743</v>
      </c>
      <c r="H1247" t="s">
        <v>6823</v>
      </c>
      <c r="I1247" s="12">
        <v>45581</v>
      </c>
      <c r="J1247">
        <v>1</v>
      </c>
      <c r="K1247" t="str">
        <f>VLOOKUP(A1247,'TV May Monthly Billing Sites'!$A:$L,1,0)</f>
        <v>76220921</v>
      </c>
    </row>
    <row r="1248" spans="1:12">
      <c r="A1248" t="str">
        <f t="shared" si="19"/>
        <v>76221166</v>
      </c>
      <c r="B1248">
        <v>76221166</v>
      </c>
      <c r="C1248" t="s">
        <v>6824</v>
      </c>
      <c r="D1248" t="s">
        <v>3785</v>
      </c>
      <c r="E1248">
        <v>4508675</v>
      </c>
      <c r="F1248" t="s">
        <v>742</v>
      </c>
      <c r="G1248" t="s">
        <v>828</v>
      </c>
      <c r="H1248" t="s">
        <v>6218</v>
      </c>
      <c r="I1248" s="12">
        <v>45979</v>
      </c>
      <c r="J1248">
        <v>1</v>
      </c>
      <c r="K1248" t="str">
        <f>VLOOKUP(A1248,'TV May Monthly Billing Sites'!$A:$L,1,0)</f>
        <v>76221166</v>
      </c>
    </row>
    <row r="1249" spans="1:11">
      <c r="A1249" t="str">
        <f t="shared" si="19"/>
        <v>76221170</v>
      </c>
      <c r="B1249">
        <v>76221170</v>
      </c>
      <c r="C1249" t="s">
        <v>6825</v>
      </c>
      <c r="D1249" t="s">
        <v>3787</v>
      </c>
      <c r="E1249">
        <v>4508714</v>
      </c>
      <c r="F1249" t="s">
        <v>742</v>
      </c>
      <c r="G1249" t="s">
        <v>743</v>
      </c>
      <c r="H1249" t="s">
        <v>6826</v>
      </c>
      <c r="I1249" s="12">
        <v>45645</v>
      </c>
      <c r="J1249">
        <v>1</v>
      </c>
      <c r="K1249" t="str">
        <f>VLOOKUP(A1249,'TV May Monthly Billing Sites'!$A:$L,1,0)</f>
        <v>76221170</v>
      </c>
    </row>
    <row r="1250" spans="1:11">
      <c r="A1250" t="str">
        <f t="shared" si="19"/>
        <v>76221172</v>
      </c>
      <c r="B1250">
        <v>76221172</v>
      </c>
      <c r="C1250" t="s">
        <v>6827</v>
      </c>
      <c r="D1250" t="s">
        <v>3789</v>
      </c>
      <c r="E1250">
        <v>4508714</v>
      </c>
      <c r="F1250" t="s">
        <v>742</v>
      </c>
      <c r="G1250" t="s">
        <v>743</v>
      </c>
      <c r="H1250" t="s">
        <v>6826</v>
      </c>
      <c r="I1250" s="12">
        <v>45645</v>
      </c>
      <c r="J1250">
        <v>1</v>
      </c>
      <c r="K1250" t="str">
        <f>VLOOKUP(A1250,'TV May Monthly Billing Sites'!$A:$L,1,0)</f>
        <v>76221172</v>
      </c>
    </row>
    <row r="1251" spans="1:11">
      <c r="A1251" t="str">
        <f t="shared" si="19"/>
        <v>76221173</v>
      </c>
      <c r="B1251">
        <v>76221173</v>
      </c>
      <c r="C1251" t="s">
        <v>6828</v>
      </c>
      <c r="D1251" t="s">
        <v>6829</v>
      </c>
      <c r="E1251">
        <v>4408593</v>
      </c>
      <c r="F1251" t="s">
        <v>742</v>
      </c>
      <c r="G1251" t="s">
        <v>782</v>
      </c>
      <c r="H1251" t="s">
        <v>6826</v>
      </c>
      <c r="I1251" s="12">
        <v>45642</v>
      </c>
      <c r="J1251">
        <v>1</v>
      </c>
      <c r="K1251" t="str">
        <f>VLOOKUP(A1251,'TV May Monthly Billing Sites'!$A:$L,1,0)</f>
        <v>76221173</v>
      </c>
    </row>
    <row r="1252" spans="1:11">
      <c r="A1252" t="str">
        <f t="shared" si="19"/>
        <v>76221173</v>
      </c>
      <c r="B1252">
        <v>76221173</v>
      </c>
      <c r="C1252" t="s">
        <v>6830</v>
      </c>
      <c r="D1252" t="s">
        <v>6829</v>
      </c>
      <c r="E1252">
        <v>4508714</v>
      </c>
      <c r="F1252" t="s">
        <v>742</v>
      </c>
      <c r="G1252" t="s">
        <v>743</v>
      </c>
      <c r="H1252" t="s">
        <v>6826</v>
      </c>
      <c r="I1252" s="12">
        <v>45645</v>
      </c>
      <c r="J1252">
        <v>1</v>
      </c>
      <c r="K1252" t="str">
        <f>VLOOKUP(A1252,'TV May Monthly Billing Sites'!$A:$L,1,0)</f>
        <v>76221173</v>
      </c>
    </row>
    <row r="1253" spans="1:11">
      <c r="A1253" t="str">
        <f t="shared" si="19"/>
        <v>76221221</v>
      </c>
      <c r="B1253">
        <v>76221221</v>
      </c>
      <c r="C1253" t="s">
        <v>6831</v>
      </c>
      <c r="D1253" t="s">
        <v>6832</v>
      </c>
      <c r="E1253">
        <v>4508714</v>
      </c>
      <c r="F1253" t="s">
        <v>742</v>
      </c>
      <c r="G1253" t="s">
        <v>743</v>
      </c>
      <c r="H1253" t="s">
        <v>6399</v>
      </c>
      <c r="I1253" s="12">
        <v>45912</v>
      </c>
      <c r="J1253">
        <v>1</v>
      </c>
      <c r="K1253" t="str">
        <f>VLOOKUP(A1253,'TV May Monthly Billing Sites'!$A:$L,1,0)</f>
        <v>76221221</v>
      </c>
    </row>
    <row r="1254" spans="1:11">
      <c r="A1254" t="str">
        <f t="shared" si="19"/>
        <v>76221235</v>
      </c>
      <c r="B1254">
        <v>76221235</v>
      </c>
      <c r="C1254" t="s">
        <v>6833</v>
      </c>
      <c r="D1254" t="s">
        <v>6834</v>
      </c>
      <c r="E1254">
        <v>4508714</v>
      </c>
      <c r="F1254" t="s">
        <v>742</v>
      </c>
      <c r="G1254" t="s">
        <v>743</v>
      </c>
      <c r="H1254" t="s">
        <v>5159</v>
      </c>
      <c r="I1254" s="12">
        <v>45637</v>
      </c>
      <c r="J1254">
        <v>1</v>
      </c>
      <c r="K1254" t="str">
        <f>VLOOKUP(A1254,'TV May Monthly Billing Sites'!$A:$L,1,0)</f>
        <v>76221235</v>
      </c>
    </row>
    <row r="1255" spans="1:11">
      <c r="A1255" t="str">
        <f t="shared" si="19"/>
        <v>76221255</v>
      </c>
      <c r="B1255">
        <v>76221255</v>
      </c>
      <c r="C1255" t="s">
        <v>6835</v>
      </c>
      <c r="D1255" t="s">
        <v>3797</v>
      </c>
      <c r="E1255">
        <v>4508685</v>
      </c>
      <c r="F1255" t="s">
        <v>742</v>
      </c>
      <c r="G1255" t="s">
        <v>904</v>
      </c>
      <c r="H1255" t="s">
        <v>975</v>
      </c>
      <c r="I1255" s="12">
        <v>46023</v>
      </c>
      <c r="J1255">
        <v>1</v>
      </c>
      <c r="K1255" t="str">
        <f>VLOOKUP(A1255,'TV May Monthly Billing Sites'!$A:$L,1,0)</f>
        <v>76221255</v>
      </c>
    </row>
    <row r="1256" spans="1:11">
      <c r="A1256" t="str">
        <f t="shared" si="19"/>
        <v>76221409</v>
      </c>
      <c r="B1256">
        <v>76221409</v>
      </c>
      <c r="C1256" t="s">
        <v>6836</v>
      </c>
      <c r="D1256" t="s">
        <v>3799</v>
      </c>
      <c r="E1256">
        <v>4408592</v>
      </c>
      <c r="F1256" t="s">
        <v>742</v>
      </c>
      <c r="G1256" t="s">
        <v>823</v>
      </c>
      <c r="H1256" t="s">
        <v>6244</v>
      </c>
      <c r="I1256" s="12">
        <v>45818</v>
      </c>
      <c r="J1256">
        <v>1</v>
      </c>
      <c r="K1256" t="str">
        <f>VLOOKUP(A1256,'TV May Monthly Billing Sites'!$A:$L,1,0)</f>
        <v>76221409</v>
      </c>
    </row>
    <row r="1257" spans="1:11">
      <c r="A1257" t="str">
        <f t="shared" si="19"/>
        <v>76221438</v>
      </c>
      <c r="B1257">
        <v>76221438</v>
      </c>
      <c r="C1257" t="s">
        <v>6837</v>
      </c>
      <c r="D1257" t="s">
        <v>6838</v>
      </c>
      <c r="E1257">
        <v>4408592</v>
      </c>
      <c r="F1257" t="s">
        <v>742</v>
      </c>
      <c r="G1257" t="s">
        <v>823</v>
      </c>
      <c r="H1257" t="s">
        <v>4764</v>
      </c>
      <c r="I1257" s="12">
        <v>45525</v>
      </c>
      <c r="J1257">
        <v>1</v>
      </c>
      <c r="K1257" t="str">
        <f>VLOOKUP(A1257,'TV May Monthly Billing Sites'!$A:$L,1,0)</f>
        <v>76221438</v>
      </c>
    </row>
    <row r="1258" spans="1:11">
      <c r="A1258" t="str">
        <f t="shared" si="19"/>
        <v>76221445</v>
      </c>
      <c r="B1258">
        <v>76221445</v>
      </c>
      <c r="C1258" t="s">
        <v>6839</v>
      </c>
      <c r="D1258" t="s">
        <v>6840</v>
      </c>
      <c r="E1258">
        <v>4408593</v>
      </c>
      <c r="F1258" t="s">
        <v>742</v>
      </c>
      <c r="G1258" t="s">
        <v>782</v>
      </c>
      <c r="H1258" t="s">
        <v>4764</v>
      </c>
      <c r="I1258" s="12">
        <v>45656</v>
      </c>
      <c r="J1258">
        <v>1</v>
      </c>
      <c r="K1258" t="str">
        <f>VLOOKUP(A1258,'TV May Monthly Billing Sites'!$A:$L,1,0)</f>
        <v>76221445</v>
      </c>
    </row>
    <row r="1259" spans="1:11">
      <c r="A1259" t="str">
        <f t="shared" si="19"/>
        <v>76221582</v>
      </c>
      <c r="B1259">
        <v>76221582</v>
      </c>
      <c r="C1259" t="s">
        <v>6841</v>
      </c>
      <c r="D1259" t="s">
        <v>3805</v>
      </c>
      <c r="E1259">
        <v>4408592</v>
      </c>
      <c r="F1259" t="s">
        <v>742</v>
      </c>
      <c r="G1259" t="s">
        <v>823</v>
      </c>
      <c r="H1259" t="s">
        <v>4834</v>
      </c>
      <c r="I1259" s="12">
        <v>45694</v>
      </c>
      <c r="J1259">
        <v>1</v>
      </c>
      <c r="K1259" t="str">
        <f>VLOOKUP(A1259,'TV May Monthly Billing Sites'!$A:$L,1,0)</f>
        <v>76221582</v>
      </c>
    </row>
    <row r="1260" spans="1:11">
      <c r="A1260" t="str">
        <f t="shared" si="19"/>
        <v>76221694</v>
      </c>
      <c r="B1260">
        <v>76221694</v>
      </c>
      <c r="C1260" t="s">
        <v>6842</v>
      </c>
      <c r="D1260" t="s">
        <v>6843</v>
      </c>
      <c r="E1260">
        <v>4508714</v>
      </c>
      <c r="F1260" t="s">
        <v>742</v>
      </c>
      <c r="G1260" t="s">
        <v>743</v>
      </c>
      <c r="H1260" t="s">
        <v>6049</v>
      </c>
      <c r="I1260" s="12">
        <v>45971</v>
      </c>
      <c r="J1260">
        <v>1</v>
      </c>
      <c r="K1260" t="str">
        <f>VLOOKUP(A1260,'TV May Monthly Billing Sites'!$A:$L,1,0)</f>
        <v>76221694</v>
      </c>
    </row>
    <row r="1261" spans="1:11">
      <c r="A1261" t="str">
        <f t="shared" si="19"/>
        <v>76221956</v>
      </c>
      <c r="B1261">
        <v>76221956</v>
      </c>
      <c r="C1261" t="s">
        <v>6844</v>
      </c>
      <c r="D1261" t="s">
        <v>6845</v>
      </c>
      <c r="E1261">
        <v>4508714</v>
      </c>
      <c r="F1261" t="s">
        <v>742</v>
      </c>
      <c r="G1261" t="s">
        <v>743</v>
      </c>
      <c r="H1261" t="s">
        <v>6049</v>
      </c>
      <c r="I1261" s="12">
        <v>45971</v>
      </c>
      <c r="J1261">
        <v>1</v>
      </c>
      <c r="K1261" t="str">
        <f>VLOOKUP(A1261,'TV May Monthly Billing Sites'!$A:$L,1,0)</f>
        <v>76221956</v>
      </c>
    </row>
    <row r="1262" spans="1:11">
      <c r="A1262" t="str">
        <f t="shared" si="19"/>
        <v>76222007</v>
      </c>
      <c r="B1262">
        <v>76222007</v>
      </c>
      <c r="C1262" t="s">
        <v>6846</v>
      </c>
      <c r="D1262" t="s">
        <v>6847</v>
      </c>
      <c r="E1262">
        <v>4508714</v>
      </c>
      <c r="F1262" t="s">
        <v>742</v>
      </c>
      <c r="G1262" t="s">
        <v>743</v>
      </c>
      <c r="H1262" t="s">
        <v>6331</v>
      </c>
      <c r="I1262" s="12">
        <v>45561</v>
      </c>
      <c r="J1262">
        <v>1</v>
      </c>
      <c r="K1262" t="str">
        <f>VLOOKUP(A1262,'TV May Monthly Billing Sites'!$A:$L,1,0)</f>
        <v>76222007</v>
      </c>
    </row>
    <row r="1263" spans="1:11">
      <c r="A1263" t="str">
        <f t="shared" si="19"/>
        <v>76222013</v>
      </c>
      <c r="B1263">
        <v>76222013</v>
      </c>
      <c r="C1263" t="s">
        <v>6848</v>
      </c>
      <c r="D1263" t="s">
        <v>6849</v>
      </c>
      <c r="E1263">
        <v>4508714</v>
      </c>
      <c r="F1263" t="s">
        <v>742</v>
      </c>
      <c r="G1263" t="s">
        <v>743</v>
      </c>
      <c r="H1263" t="s">
        <v>6331</v>
      </c>
      <c r="I1263" s="12">
        <v>45561</v>
      </c>
      <c r="J1263">
        <v>1</v>
      </c>
      <c r="K1263" t="str">
        <f>VLOOKUP(A1263,'TV May Monthly Billing Sites'!$A:$L,1,0)</f>
        <v>76222013</v>
      </c>
    </row>
    <row r="1264" spans="1:11">
      <c r="A1264" t="str">
        <f t="shared" si="19"/>
        <v>76222052</v>
      </c>
      <c r="B1264">
        <v>76222052</v>
      </c>
      <c r="C1264" t="s">
        <v>6850</v>
      </c>
      <c r="D1264" t="s">
        <v>3815</v>
      </c>
      <c r="E1264">
        <v>4508675</v>
      </c>
      <c r="F1264" t="s">
        <v>742</v>
      </c>
      <c r="G1264" t="s">
        <v>828</v>
      </c>
      <c r="H1264" t="s">
        <v>6404</v>
      </c>
      <c r="I1264" s="12">
        <v>45208</v>
      </c>
      <c r="J1264">
        <v>1</v>
      </c>
      <c r="K1264" t="str">
        <f>VLOOKUP(A1264,'TV May Monthly Billing Sites'!$A:$L,1,0)</f>
        <v>76222052</v>
      </c>
    </row>
    <row r="1265" spans="1:11">
      <c r="A1265" t="str">
        <f t="shared" si="19"/>
        <v>76222163</v>
      </c>
      <c r="B1265">
        <v>76222163</v>
      </c>
      <c r="C1265" t="s">
        <v>6851</v>
      </c>
      <c r="D1265" t="s">
        <v>3817</v>
      </c>
      <c r="E1265">
        <v>4408593</v>
      </c>
      <c r="F1265" t="s">
        <v>742</v>
      </c>
      <c r="G1265" t="s">
        <v>782</v>
      </c>
      <c r="H1265" t="s">
        <v>6852</v>
      </c>
      <c r="I1265" s="12">
        <v>46066</v>
      </c>
      <c r="J1265">
        <v>1</v>
      </c>
      <c r="K1265" t="str">
        <f>VLOOKUP(A1265,'TV May Monthly Billing Sites'!$A:$L,1,0)</f>
        <v>76222163</v>
      </c>
    </row>
    <row r="1266" spans="1:11">
      <c r="A1266" t="str">
        <f t="shared" si="19"/>
        <v>76222169</v>
      </c>
      <c r="B1266">
        <v>76222169</v>
      </c>
      <c r="C1266" t="s">
        <v>6853</v>
      </c>
      <c r="D1266" t="s">
        <v>3819</v>
      </c>
      <c r="E1266">
        <v>4408593</v>
      </c>
      <c r="F1266" t="s">
        <v>742</v>
      </c>
      <c r="G1266" t="s">
        <v>782</v>
      </c>
      <c r="H1266" t="s">
        <v>6854</v>
      </c>
      <c r="I1266" s="12">
        <v>45926</v>
      </c>
      <c r="J1266">
        <v>1</v>
      </c>
      <c r="K1266" t="str">
        <f>VLOOKUP(A1266,'TV May Monthly Billing Sites'!$A:$L,1,0)</f>
        <v>76222169</v>
      </c>
    </row>
    <row r="1267" spans="1:11">
      <c r="A1267" t="str">
        <f t="shared" si="19"/>
        <v>76222174</v>
      </c>
      <c r="B1267">
        <v>76222174</v>
      </c>
      <c r="C1267" t="s">
        <v>6855</v>
      </c>
      <c r="D1267" t="s">
        <v>3821</v>
      </c>
      <c r="E1267">
        <v>4408593</v>
      </c>
      <c r="F1267" t="s">
        <v>742</v>
      </c>
      <c r="G1267" t="s">
        <v>782</v>
      </c>
      <c r="H1267" t="s">
        <v>6854</v>
      </c>
      <c r="I1267" s="12">
        <v>45926</v>
      </c>
      <c r="J1267">
        <v>1</v>
      </c>
      <c r="K1267" t="str">
        <f>VLOOKUP(A1267,'TV May Monthly Billing Sites'!$A:$L,1,0)</f>
        <v>76222174</v>
      </c>
    </row>
    <row r="1268" spans="1:11">
      <c r="A1268" t="str">
        <f t="shared" si="19"/>
        <v>76222286</v>
      </c>
      <c r="B1268">
        <v>76222286</v>
      </c>
      <c r="C1268" t="s">
        <v>6856</v>
      </c>
      <c r="D1268" t="s">
        <v>3823</v>
      </c>
      <c r="E1268">
        <v>4508714</v>
      </c>
      <c r="F1268" t="s">
        <v>742</v>
      </c>
      <c r="G1268" t="s">
        <v>743</v>
      </c>
      <c r="H1268" t="s">
        <v>816</v>
      </c>
      <c r="I1268" s="12">
        <v>45597</v>
      </c>
      <c r="J1268">
        <v>1</v>
      </c>
      <c r="K1268" t="str">
        <f>VLOOKUP(A1268,'TV May Monthly Billing Sites'!$A:$L,1,0)</f>
        <v>76222286</v>
      </c>
    </row>
    <row r="1269" spans="1:11">
      <c r="A1269" t="str">
        <f t="shared" si="19"/>
        <v>76222437</v>
      </c>
      <c r="B1269">
        <v>76222437</v>
      </c>
      <c r="C1269" t="s">
        <v>6857</v>
      </c>
      <c r="D1269" t="s">
        <v>6858</v>
      </c>
      <c r="E1269">
        <v>4508714</v>
      </c>
      <c r="F1269" t="s">
        <v>742</v>
      </c>
      <c r="G1269" t="s">
        <v>743</v>
      </c>
      <c r="H1269" t="s">
        <v>3825</v>
      </c>
      <c r="I1269" s="12">
        <v>45931</v>
      </c>
      <c r="J1269">
        <v>1</v>
      </c>
      <c r="K1269" t="str">
        <f>VLOOKUP(A1269,'TV May Monthly Billing Sites'!$A:$L,1,0)</f>
        <v>76222437</v>
      </c>
    </row>
    <row r="1270" spans="1:11">
      <c r="A1270" t="str">
        <f t="shared" si="19"/>
        <v>76222458</v>
      </c>
      <c r="B1270">
        <v>76222458</v>
      </c>
      <c r="C1270" t="s">
        <v>6859</v>
      </c>
      <c r="D1270" t="s">
        <v>6860</v>
      </c>
      <c r="E1270">
        <v>4508675</v>
      </c>
      <c r="F1270" t="s">
        <v>742</v>
      </c>
      <c r="G1270" t="s">
        <v>828</v>
      </c>
      <c r="H1270" t="s">
        <v>6861</v>
      </c>
      <c r="I1270" s="12">
        <v>45685</v>
      </c>
      <c r="J1270">
        <v>1</v>
      </c>
      <c r="K1270" t="str">
        <f>VLOOKUP(A1270,'TV May Monthly Billing Sites'!$A:$L,1,0)</f>
        <v>76222458</v>
      </c>
    </row>
    <row r="1271" spans="1:11">
      <c r="A1271" t="str">
        <f t="shared" si="19"/>
        <v>76222741</v>
      </c>
      <c r="B1271">
        <v>76222741</v>
      </c>
      <c r="C1271" t="s">
        <v>6862</v>
      </c>
      <c r="D1271" t="s">
        <v>6863</v>
      </c>
      <c r="E1271">
        <v>4508714</v>
      </c>
      <c r="F1271" t="s">
        <v>742</v>
      </c>
      <c r="G1271" t="s">
        <v>743</v>
      </c>
      <c r="H1271" t="s">
        <v>5742</v>
      </c>
      <c r="I1271" s="12">
        <v>45628</v>
      </c>
      <c r="J1271">
        <v>1</v>
      </c>
      <c r="K1271" t="str">
        <f>VLOOKUP(A1271,'TV May Monthly Billing Sites'!$A:$L,1,0)</f>
        <v>76222741</v>
      </c>
    </row>
    <row r="1272" spans="1:11">
      <c r="A1272" t="str">
        <f t="shared" si="19"/>
        <v>76222940</v>
      </c>
      <c r="B1272">
        <v>76222940</v>
      </c>
      <c r="C1272" t="s">
        <v>6864</v>
      </c>
      <c r="D1272" t="s">
        <v>3831</v>
      </c>
      <c r="E1272">
        <v>4408592</v>
      </c>
      <c r="F1272" t="s">
        <v>742</v>
      </c>
      <c r="G1272" t="s">
        <v>823</v>
      </c>
      <c r="H1272" t="s">
        <v>3831</v>
      </c>
      <c r="I1272" s="12">
        <v>46015</v>
      </c>
      <c r="J1272">
        <v>1</v>
      </c>
      <c r="K1272" t="str">
        <f>VLOOKUP(A1272,'TV May Monthly Billing Sites'!$A:$L,1,0)</f>
        <v>76222940</v>
      </c>
    </row>
    <row r="1273" spans="1:11">
      <c r="A1273" t="str">
        <f t="shared" si="19"/>
        <v>76222986</v>
      </c>
      <c r="B1273">
        <v>76222986</v>
      </c>
      <c r="C1273" t="s">
        <v>6865</v>
      </c>
      <c r="D1273" t="s">
        <v>6866</v>
      </c>
      <c r="E1273">
        <v>4508714</v>
      </c>
      <c r="F1273" t="s">
        <v>742</v>
      </c>
      <c r="G1273" t="s">
        <v>743</v>
      </c>
      <c r="H1273" t="s">
        <v>6867</v>
      </c>
      <c r="I1273" s="12">
        <v>45574</v>
      </c>
      <c r="J1273">
        <v>1</v>
      </c>
      <c r="K1273" t="str">
        <f>VLOOKUP(A1273,'TV May Monthly Billing Sites'!$A:$L,1,0)</f>
        <v>76222986</v>
      </c>
    </row>
    <row r="1274" spans="1:11">
      <c r="A1274" t="str">
        <f t="shared" si="19"/>
        <v>76223196</v>
      </c>
      <c r="B1274">
        <v>76223196</v>
      </c>
      <c r="C1274" t="s">
        <v>6868</v>
      </c>
      <c r="D1274" t="s">
        <v>6869</v>
      </c>
      <c r="E1274">
        <v>4508714</v>
      </c>
      <c r="F1274" t="s">
        <v>742</v>
      </c>
      <c r="G1274" t="s">
        <v>743</v>
      </c>
      <c r="H1274" t="s">
        <v>5115</v>
      </c>
      <c r="I1274" s="12">
        <v>45540</v>
      </c>
      <c r="J1274">
        <v>1</v>
      </c>
      <c r="K1274" t="str">
        <f>VLOOKUP(A1274,'TV May Monthly Billing Sites'!$A:$L,1,0)</f>
        <v>76223196</v>
      </c>
    </row>
    <row r="1275" spans="1:11">
      <c r="A1275" t="str">
        <f t="shared" si="19"/>
        <v>76223373</v>
      </c>
      <c r="B1275">
        <v>76223373</v>
      </c>
      <c r="C1275" t="s">
        <v>6870</v>
      </c>
      <c r="D1275" t="s">
        <v>6871</v>
      </c>
      <c r="E1275">
        <v>4408593</v>
      </c>
      <c r="F1275" t="s">
        <v>742</v>
      </c>
      <c r="G1275" t="s">
        <v>782</v>
      </c>
      <c r="H1275" t="s">
        <v>1038</v>
      </c>
      <c r="I1275" s="12">
        <v>45597</v>
      </c>
      <c r="J1275">
        <v>1</v>
      </c>
      <c r="K1275" t="str">
        <f>VLOOKUP(A1275,'TV May Monthly Billing Sites'!$A:$L,1,0)</f>
        <v>76223373</v>
      </c>
    </row>
    <row r="1276" spans="1:11">
      <c r="A1276" t="str">
        <f t="shared" si="19"/>
        <v>76223518</v>
      </c>
      <c r="B1276">
        <v>76223518</v>
      </c>
      <c r="C1276" t="s">
        <v>6872</v>
      </c>
      <c r="D1276" t="s">
        <v>6873</v>
      </c>
      <c r="E1276">
        <v>4508714</v>
      </c>
      <c r="F1276" t="s">
        <v>742</v>
      </c>
      <c r="G1276" t="s">
        <v>743</v>
      </c>
      <c r="H1276" t="s">
        <v>6874</v>
      </c>
      <c r="I1276" s="12">
        <v>45999</v>
      </c>
      <c r="J1276">
        <v>1</v>
      </c>
      <c r="K1276" t="str">
        <f>VLOOKUP(A1276,'TV May Monthly Billing Sites'!$A:$L,1,0)</f>
        <v>76223518</v>
      </c>
    </row>
    <row r="1277" spans="1:11">
      <c r="A1277" t="str">
        <f t="shared" si="19"/>
        <v>76223536</v>
      </c>
      <c r="B1277">
        <v>76223536</v>
      </c>
      <c r="C1277" t="s">
        <v>6875</v>
      </c>
      <c r="D1277" t="s">
        <v>6876</v>
      </c>
      <c r="E1277">
        <v>4508714</v>
      </c>
      <c r="F1277" t="s">
        <v>742</v>
      </c>
      <c r="G1277" t="s">
        <v>743</v>
      </c>
      <c r="H1277" t="s">
        <v>5842</v>
      </c>
      <c r="I1277" s="12">
        <v>45631</v>
      </c>
      <c r="J1277">
        <v>1</v>
      </c>
      <c r="K1277" t="str">
        <f>VLOOKUP(A1277,'TV May Monthly Billing Sites'!$A:$L,1,0)</f>
        <v>76223536</v>
      </c>
    </row>
    <row r="1278" spans="1:11">
      <c r="A1278" t="str">
        <f t="shared" si="19"/>
        <v>76223538</v>
      </c>
      <c r="B1278">
        <v>76223538</v>
      </c>
      <c r="C1278" t="s">
        <v>6877</v>
      </c>
      <c r="D1278" t="s">
        <v>6878</v>
      </c>
      <c r="E1278">
        <v>4408593</v>
      </c>
      <c r="F1278" t="s">
        <v>742</v>
      </c>
      <c r="G1278" t="s">
        <v>782</v>
      </c>
      <c r="H1278" t="s">
        <v>5842</v>
      </c>
      <c r="I1278" s="12">
        <v>45631</v>
      </c>
      <c r="J1278">
        <v>1</v>
      </c>
      <c r="K1278" t="str">
        <f>VLOOKUP(A1278,'TV May Monthly Billing Sites'!$A:$L,1,0)</f>
        <v>76223538</v>
      </c>
    </row>
    <row r="1279" spans="1:11">
      <c r="A1279" t="str">
        <f t="shared" si="19"/>
        <v>76223590</v>
      </c>
      <c r="B1279">
        <v>76223590</v>
      </c>
      <c r="C1279" t="s">
        <v>6879</v>
      </c>
      <c r="D1279" t="s">
        <v>6880</v>
      </c>
      <c r="E1279">
        <v>4408592</v>
      </c>
      <c r="F1279" t="s">
        <v>742</v>
      </c>
      <c r="G1279" t="s">
        <v>823</v>
      </c>
      <c r="H1279" t="s">
        <v>5004</v>
      </c>
      <c r="I1279" s="12">
        <v>45756</v>
      </c>
      <c r="J1279">
        <v>1</v>
      </c>
      <c r="K1279" t="str">
        <f>VLOOKUP(A1279,'TV May Monthly Billing Sites'!$A:$L,1,0)</f>
        <v>76223590</v>
      </c>
    </row>
    <row r="1280" spans="1:11">
      <c r="A1280" t="str">
        <f t="shared" si="19"/>
        <v>76223611</v>
      </c>
      <c r="B1280">
        <v>76223611</v>
      </c>
      <c r="C1280" t="s">
        <v>6881</v>
      </c>
      <c r="D1280" t="s">
        <v>6882</v>
      </c>
      <c r="E1280">
        <v>4508682</v>
      </c>
      <c r="F1280" t="s">
        <v>742</v>
      </c>
      <c r="G1280" t="s">
        <v>4879</v>
      </c>
      <c r="H1280" t="s">
        <v>6800</v>
      </c>
      <c r="I1280" s="12">
        <v>44929</v>
      </c>
      <c r="J1280">
        <v>1</v>
      </c>
      <c r="K1280" t="str">
        <f>VLOOKUP(A1280,'TV May Monthly Billing Sites'!$A:$L,1,0)</f>
        <v>76223611</v>
      </c>
    </row>
    <row r="1281" spans="1:12">
      <c r="A1281" t="str">
        <f t="shared" si="19"/>
        <v>76223632</v>
      </c>
      <c r="B1281">
        <v>76223632</v>
      </c>
      <c r="C1281" t="s">
        <v>6883</v>
      </c>
      <c r="D1281" t="s">
        <v>6884</v>
      </c>
      <c r="E1281">
        <v>4408592</v>
      </c>
      <c r="F1281" t="s">
        <v>742</v>
      </c>
      <c r="G1281" t="s">
        <v>823</v>
      </c>
      <c r="H1281" t="s">
        <v>6885</v>
      </c>
      <c r="I1281" s="12">
        <v>45758</v>
      </c>
      <c r="J1281">
        <v>1</v>
      </c>
      <c r="K1281" t="str">
        <f>VLOOKUP(A1281,'TV May Monthly Billing Sites'!$A:$L,1,0)</f>
        <v>76223632</v>
      </c>
    </row>
    <row r="1282" spans="1:12">
      <c r="A1282" t="str">
        <f t="shared" ref="A1282:A1345" si="20">TRIM(B1282)</f>
        <v>76223775</v>
      </c>
      <c r="B1282">
        <v>76223775</v>
      </c>
      <c r="C1282" t="s">
        <v>6886</v>
      </c>
      <c r="D1282" t="s">
        <v>3851</v>
      </c>
      <c r="E1282">
        <v>4408592</v>
      </c>
      <c r="F1282" t="s">
        <v>742</v>
      </c>
      <c r="G1282" t="s">
        <v>823</v>
      </c>
      <c r="H1282" t="s">
        <v>6887</v>
      </c>
      <c r="I1282" s="12">
        <v>45744</v>
      </c>
      <c r="J1282">
        <v>1</v>
      </c>
      <c r="K1282" t="str">
        <f>VLOOKUP(A1282,'TV May Monthly Billing Sites'!$A:$L,1,0)</f>
        <v>76223775</v>
      </c>
    </row>
    <row r="1283" spans="1:12">
      <c r="A1283" t="str">
        <f t="shared" si="20"/>
        <v>76223828</v>
      </c>
      <c r="B1283">
        <v>76223828</v>
      </c>
      <c r="C1283" t="s">
        <v>6888</v>
      </c>
      <c r="D1283" t="s">
        <v>6889</v>
      </c>
      <c r="E1283">
        <v>4408592</v>
      </c>
      <c r="F1283" t="s">
        <v>742</v>
      </c>
      <c r="G1283" t="s">
        <v>823</v>
      </c>
      <c r="H1283" t="s">
        <v>6887</v>
      </c>
      <c r="I1283" s="12">
        <v>45539</v>
      </c>
      <c r="J1283">
        <v>1</v>
      </c>
      <c r="K1283" t="str">
        <f>VLOOKUP(A1283,'TV May Monthly Billing Sites'!$A:$L,1,0)</f>
        <v>76223828</v>
      </c>
    </row>
    <row r="1284" spans="1:12">
      <c r="A1284" t="str">
        <f t="shared" si="20"/>
        <v>76224009</v>
      </c>
      <c r="B1284">
        <v>76224009</v>
      </c>
      <c r="C1284" t="s">
        <v>6890</v>
      </c>
      <c r="D1284" t="s">
        <v>6891</v>
      </c>
      <c r="E1284">
        <v>4408592</v>
      </c>
      <c r="F1284" t="s">
        <v>742</v>
      </c>
      <c r="G1284" t="s">
        <v>823</v>
      </c>
      <c r="H1284" t="s">
        <v>6887</v>
      </c>
      <c r="I1284" s="12">
        <v>45678</v>
      </c>
      <c r="J1284">
        <v>1</v>
      </c>
      <c r="K1284" t="str">
        <f>VLOOKUP(A1284,'TV May Monthly Billing Sites'!$A:$L,1,0)</f>
        <v>76224009</v>
      </c>
    </row>
    <row r="1285" spans="1:12">
      <c r="A1285" t="str">
        <f t="shared" si="20"/>
        <v>76224141</v>
      </c>
      <c r="B1285">
        <v>76224141</v>
      </c>
      <c r="C1285" t="s">
        <v>6892</v>
      </c>
      <c r="D1285" t="s">
        <v>3857</v>
      </c>
      <c r="E1285">
        <v>4508714</v>
      </c>
      <c r="F1285" t="s">
        <v>742</v>
      </c>
      <c r="G1285" t="s">
        <v>743</v>
      </c>
      <c r="H1285" t="s">
        <v>6168</v>
      </c>
      <c r="I1285" s="12">
        <v>45595</v>
      </c>
      <c r="J1285">
        <v>1</v>
      </c>
      <c r="K1285" t="str">
        <f>VLOOKUP(A1285,'TV May Monthly Billing Sites'!$A:$L,1,0)</f>
        <v>76224141</v>
      </c>
    </row>
    <row r="1286" spans="1:12">
      <c r="A1286" t="str">
        <f t="shared" si="20"/>
        <v>76224416</v>
      </c>
      <c r="B1286">
        <v>76224416</v>
      </c>
      <c r="C1286" t="s">
        <v>1083</v>
      </c>
      <c r="D1286" t="s">
        <v>1084</v>
      </c>
      <c r="E1286">
        <v>4508714</v>
      </c>
      <c r="F1286" t="s">
        <v>742</v>
      </c>
      <c r="G1286" t="s">
        <v>743</v>
      </c>
      <c r="H1286" t="s">
        <v>860</v>
      </c>
      <c r="I1286" s="12">
        <v>45604</v>
      </c>
      <c r="J1286">
        <v>1</v>
      </c>
      <c r="K1286" t="e">
        <f>VLOOKUP(A1286,'TV May Monthly Billing Sites'!$A:$L,1,0)</f>
        <v>#N/A</v>
      </c>
      <c r="L1286" t="e">
        <f>VLOOKUP(D1286,'TV May Monthly Billing Sites'!$B:$L,1,0)</f>
        <v>#N/A</v>
      </c>
    </row>
    <row r="1287" spans="1:12">
      <c r="A1287" t="str">
        <f t="shared" si="20"/>
        <v>76224482</v>
      </c>
      <c r="B1287">
        <v>76224482</v>
      </c>
      <c r="C1287" t="s">
        <v>1086</v>
      </c>
      <c r="D1287" t="s">
        <v>1087</v>
      </c>
      <c r="E1287">
        <v>4508714</v>
      </c>
      <c r="F1287" t="s">
        <v>742</v>
      </c>
      <c r="G1287" t="s">
        <v>743</v>
      </c>
      <c r="H1287" t="s">
        <v>1088</v>
      </c>
      <c r="I1287" s="12">
        <v>46051</v>
      </c>
      <c r="J1287">
        <v>1</v>
      </c>
      <c r="K1287" t="e">
        <f>VLOOKUP(A1287,'TV May Monthly Billing Sites'!$A:$L,1,0)</f>
        <v>#N/A</v>
      </c>
      <c r="L1287" t="e">
        <f>VLOOKUP(D1287,'TV May Monthly Billing Sites'!$B:$L,1,0)</f>
        <v>#N/A</v>
      </c>
    </row>
    <row r="1288" spans="1:12">
      <c r="A1288" t="str">
        <f t="shared" si="20"/>
        <v>76224533</v>
      </c>
      <c r="B1288">
        <v>76224533</v>
      </c>
      <c r="C1288" t="s">
        <v>6893</v>
      </c>
      <c r="D1288" t="s">
        <v>3859</v>
      </c>
      <c r="E1288">
        <v>4508714</v>
      </c>
      <c r="F1288" t="s">
        <v>742</v>
      </c>
      <c r="G1288" t="s">
        <v>743</v>
      </c>
      <c r="H1288" t="s">
        <v>5942</v>
      </c>
      <c r="I1288" s="12">
        <v>45908</v>
      </c>
      <c r="J1288">
        <v>1</v>
      </c>
      <c r="K1288" t="str">
        <f>VLOOKUP(A1288,'TV May Monthly Billing Sites'!$A:$L,1,0)</f>
        <v>76224533</v>
      </c>
    </row>
    <row r="1289" spans="1:12">
      <c r="A1289" t="str">
        <f t="shared" si="20"/>
        <v>76224736</v>
      </c>
      <c r="B1289">
        <v>76224736</v>
      </c>
      <c r="C1289" t="s">
        <v>6894</v>
      </c>
      <c r="D1289" t="s">
        <v>3861</v>
      </c>
      <c r="E1289">
        <v>4508714</v>
      </c>
      <c r="F1289" t="s">
        <v>742</v>
      </c>
      <c r="G1289" t="s">
        <v>743</v>
      </c>
      <c r="H1289" t="s">
        <v>6895</v>
      </c>
      <c r="I1289" s="12">
        <v>45624</v>
      </c>
      <c r="J1289">
        <v>1</v>
      </c>
      <c r="K1289" t="str">
        <f>VLOOKUP(A1289,'TV May Monthly Billing Sites'!$A:$L,1,0)</f>
        <v>76224736</v>
      </c>
    </row>
    <row r="1290" spans="1:12">
      <c r="A1290" t="str">
        <f t="shared" si="20"/>
        <v>76224858</v>
      </c>
      <c r="B1290">
        <v>76224858</v>
      </c>
      <c r="C1290" t="s">
        <v>6896</v>
      </c>
      <c r="D1290" t="s">
        <v>3865</v>
      </c>
      <c r="E1290">
        <v>4508675</v>
      </c>
      <c r="F1290" t="s">
        <v>742</v>
      </c>
      <c r="G1290" t="s">
        <v>828</v>
      </c>
      <c r="H1290" t="s">
        <v>6897</v>
      </c>
      <c r="I1290" s="12">
        <v>45330</v>
      </c>
      <c r="J1290">
        <v>1</v>
      </c>
      <c r="K1290" t="str">
        <f>VLOOKUP(A1290,'TV May Monthly Billing Sites'!$A:$L,1,0)</f>
        <v>76224858</v>
      </c>
    </row>
    <row r="1291" spans="1:12">
      <c r="A1291" t="str">
        <f t="shared" si="20"/>
        <v>76224860</v>
      </c>
      <c r="B1291">
        <v>76224860</v>
      </c>
      <c r="C1291" t="s">
        <v>6898</v>
      </c>
      <c r="D1291" t="s">
        <v>3867</v>
      </c>
      <c r="E1291">
        <v>4408592</v>
      </c>
      <c r="F1291" t="s">
        <v>742</v>
      </c>
      <c r="G1291" t="s">
        <v>823</v>
      </c>
      <c r="H1291" t="s">
        <v>6897</v>
      </c>
      <c r="I1291" s="12">
        <v>45175</v>
      </c>
      <c r="J1291">
        <v>1</v>
      </c>
      <c r="K1291" t="str">
        <f>VLOOKUP(A1291,'TV May Monthly Billing Sites'!$A:$L,1,0)</f>
        <v>76224860</v>
      </c>
    </row>
    <row r="1292" spans="1:12">
      <c r="A1292" t="str">
        <f t="shared" si="20"/>
        <v>76224862</v>
      </c>
      <c r="B1292">
        <v>76224862</v>
      </c>
      <c r="C1292" t="s">
        <v>6899</v>
      </c>
      <c r="D1292" t="s">
        <v>6900</v>
      </c>
      <c r="E1292">
        <v>4408592</v>
      </c>
      <c r="F1292" t="s">
        <v>742</v>
      </c>
      <c r="G1292" t="s">
        <v>823</v>
      </c>
      <c r="H1292" t="s">
        <v>6897</v>
      </c>
      <c r="I1292" s="12">
        <v>45175</v>
      </c>
      <c r="J1292">
        <v>1</v>
      </c>
      <c r="K1292" t="str">
        <f>VLOOKUP(A1292,'TV May Monthly Billing Sites'!$A:$L,1,0)</f>
        <v>76224862</v>
      </c>
    </row>
    <row r="1293" spans="1:12">
      <c r="A1293" t="str">
        <f t="shared" si="20"/>
        <v>76224886</v>
      </c>
      <c r="B1293">
        <v>76224886</v>
      </c>
      <c r="C1293" t="s">
        <v>6901</v>
      </c>
      <c r="D1293" t="s">
        <v>3871</v>
      </c>
      <c r="E1293">
        <v>4408592</v>
      </c>
      <c r="F1293" t="s">
        <v>742</v>
      </c>
      <c r="G1293" t="s">
        <v>823</v>
      </c>
      <c r="H1293" t="s">
        <v>6897</v>
      </c>
      <c r="I1293" s="12">
        <v>45175</v>
      </c>
      <c r="J1293">
        <v>1</v>
      </c>
      <c r="K1293" t="str">
        <f>VLOOKUP(A1293,'TV May Monthly Billing Sites'!$A:$L,1,0)</f>
        <v>76224886</v>
      </c>
    </row>
    <row r="1294" spans="1:12">
      <c r="A1294" t="str">
        <f t="shared" si="20"/>
        <v>76224904</v>
      </c>
      <c r="B1294">
        <v>76224904</v>
      </c>
      <c r="C1294" t="s">
        <v>6902</v>
      </c>
      <c r="D1294" t="s">
        <v>6903</v>
      </c>
      <c r="E1294">
        <v>4508714</v>
      </c>
      <c r="F1294" t="s">
        <v>742</v>
      </c>
      <c r="G1294" t="s">
        <v>743</v>
      </c>
      <c r="H1294" t="s">
        <v>6904</v>
      </c>
      <c r="I1294" s="12">
        <v>45714</v>
      </c>
      <c r="J1294">
        <v>1</v>
      </c>
      <c r="K1294" t="str">
        <f>VLOOKUP(A1294,'TV May Monthly Billing Sites'!$A:$L,1,0)</f>
        <v>76224904</v>
      </c>
    </row>
    <row r="1295" spans="1:12">
      <c r="A1295" t="str">
        <f t="shared" si="20"/>
        <v>76225236</v>
      </c>
      <c r="B1295">
        <v>76225236</v>
      </c>
      <c r="C1295" t="s">
        <v>1090</v>
      </c>
      <c r="D1295" t="s">
        <v>1091</v>
      </c>
      <c r="E1295">
        <v>4508714</v>
      </c>
      <c r="F1295" t="s">
        <v>742</v>
      </c>
      <c r="G1295" t="s">
        <v>743</v>
      </c>
      <c r="H1295" t="s">
        <v>1092</v>
      </c>
      <c r="I1295" s="12">
        <v>45925</v>
      </c>
      <c r="J1295">
        <v>1</v>
      </c>
      <c r="K1295" t="e">
        <f>VLOOKUP(A1295,'TV May Monthly Billing Sites'!$A:$L,1,0)</f>
        <v>#N/A</v>
      </c>
      <c r="L1295" t="e">
        <f>VLOOKUP(D1295,'TV May Monthly Billing Sites'!$B:$L,1,0)</f>
        <v>#N/A</v>
      </c>
    </row>
    <row r="1296" spans="1:12">
      <c r="A1296" t="str">
        <f t="shared" si="20"/>
        <v>76225346</v>
      </c>
      <c r="B1296">
        <v>76225346</v>
      </c>
      <c r="C1296" t="s">
        <v>6905</v>
      </c>
      <c r="D1296" t="s">
        <v>6906</v>
      </c>
      <c r="E1296">
        <v>4408592</v>
      </c>
      <c r="F1296" t="s">
        <v>742</v>
      </c>
      <c r="G1296" t="s">
        <v>823</v>
      </c>
      <c r="H1296" t="s">
        <v>6897</v>
      </c>
      <c r="I1296" s="12">
        <v>45175</v>
      </c>
      <c r="J1296">
        <v>1</v>
      </c>
      <c r="K1296" t="e">
        <f>VLOOKUP(A1296,'TV May Monthly Billing Sites'!$A:$L,1,0)</f>
        <v>#N/A</v>
      </c>
      <c r="L1296" t="str">
        <f>VLOOKUP(D1296,'TV May Monthly Billing Sites'!$B:$L,1,0)</f>
        <v>Honda of Hollywood</v>
      </c>
    </row>
    <row r="1297" spans="1:11">
      <c r="A1297" t="str">
        <f t="shared" si="20"/>
        <v>76225349</v>
      </c>
      <c r="B1297">
        <v>76225349</v>
      </c>
      <c r="C1297" t="s">
        <v>6907</v>
      </c>
      <c r="D1297" t="s">
        <v>3875</v>
      </c>
      <c r="E1297">
        <v>4408592</v>
      </c>
      <c r="F1297" t="s">
        <v>742</v>
      </c>
      <c r="G1297" t="s">
        <v>823</v>
      </c>
      <c r="H1297" t="s">
        <v>6897</v>
      </c>
      <c r="I1297" s="12">
        <v>45175</v>
      </c>
      <c r="J1297">
        <v>1</v>
      </c>
      <c r="K1297" t="str">
        <f>VLOOKUP(A1297,'TV May Monthly Billing Sites'!$A:$L,1,0)</f>
        <v>76225349</v>
      </c>
    </row>
    <row r="1298" spans="1:11">
      <c r="A1298" t="str">
        <f t="shared" si="20"/>
        <v>76225413</v>
      </c>
      <c r="B1298">
        <v>76225413</v>
      </c>
      <c r="C1298" t="s">
        <v>6908</v>
      </c>
      <c r="D1298" t="s">
        <v>3877</v>
      </c>
      <c r="E1298">
        <v>4408592</v>
      </c>
      <c r="F1298" t="s">
        <v>742</v>
      </c>
      <c r="G1298" t="s">
        <v>823</v>
      </c>
      <c r="H1298" t="s">
        <v>3877</v>
      </c>
      <c r="I1298" s="12">
        <v>45456</v>
      </c>
      <c r="J1298">
        <v>1</v>
      </c>
      <c r="K1298" t="str">
        <f>VLOOKUP(A1298,'TV May Monthly Billing Sites'!$A:$L,1,0)</f>
        <v>76225413</v>
      </c>
    </row>
    <row r="1299" spans="1:11">
      <c r="A1299" t="str">
        <f t="shared" si="20"/>
        <v>76225542</v>
      </c>
      <c r="B1299">
        <v>76225542</v>
      </c>
      <c r="C1299" t="s">
        <v>6909</v>
      </c>
      <c r="D1299" t="s">
        <v>3879</v>
      </c>
      <c r="E1299">
        <v>4508714</v>
      </c>
      <c r="F1299" t="s">
        <v>742</v>
      </c>
      <c r="G1299" t="s">
        <v>743</v>
      </c>
      <c r="H1299" t="s">
        <v>6910</v>
      </c>
      <c r="I1299" s="12">
        <v>45708</v>
      </c>
      <c r="J1299">
        <v>1</v>
      </c>
      <c r="K1299" t="str">
        <f>VLOOKUP(A1299,'TV May Monthly Billing Sites'!$A:$L,1,0)</f>
        <v>76225542</v>
      </c>
    </row>
    <row r="1300" spans="1:11">
      <c r="A1300" t="str">
        <f t="shared" si="20"/>
        <v>76225609</v>
      </c>
      <c r="B1300">
        <v>76225609</v>
      </c>
      <c r="C1300" t="s">
        <v>6911</v>
      </c>
      <c r="D1300" t="s">
        <v>3881</v>
      </c>
      <c r="E1300">
        <v>4508714</v>
      </c>
      <c r="F1300" t="s">
        <v>742</v>
      </c>
      <c r="G1300" t="s">
        <v>743</v>
      </c>
      <c r="H1300" t="s">
        <v>5629</v>
      </c>
      <c r="I1300" s="12">
        <v>45748</v>
      </c>
      <c r="J1300">
        <v>1</v>
      </c>
      <c r="K1300" t="str">
        <f>VLOOKUP(A1300,'TV May Monthly Billing Sites'!$A:$L,1,0)</f>
        <v>76225609</v>
      </c>
    </row>
    <row r="1301" spans="1:11">
      <c r="A1301" t="str">
        <f t="shared" si="20"/>
        <v>76225624</v>
      </c>
      <c r="B1301">
        <v>76225624</v>
      </c>
      <c r="C1301" t="s">
        <v>6912</v>
      </c>
      <c r="D1301" t="s">
        <v>3883</v>
      </c>
      <c r="E1301">
        <v>4508682</v>
      </c>
      <c r="F1301" t="s">
        <v>742</v>
      </c>
      <c r="G1301" t="s">
        <v>4879</v>
      </c>
      <c r="H1301" t="s">
        <v>6913</v>
      </c>
      <c r="I1301" s="12">
        <v>44782</v>
      </c>
      <c r="J1301">
        <v>1</v>
      </c>
      <c r="K1301" t="str">
        <f>VLOOKUP(A1301,'TV May Monthly Billing Sites'!$A:$L,1,0)</f>
        <v>76225624</v>
      </c>
    </row>
    <row r="1302" spans="1:11">
      <c r="A1302" t="str">
        <f t="shared" si="20"/>
        <v>76225750</v>
      </c>
      <c r="B1302">
        <v>76225750</v>
      </c>
      <c r="C1302" t="s">
        <v>6914</v>
      </c>
      <c r="D1302" t="s">
        <v>6915</v>
      </c>
      <c r="E1302">
        <v>4508714</v>
      </c>
      <c r="F1302" t="s">
        <v>742</v>
      </c>
      <c r="G1302" t="s">
        <v>743</v>
      </c>
      <c r="H1302" t="s">
        <v>1096</v>
      </c>
      <c r="I1302" s="12">
        <v>45961</v>
      </c>
      <c r="J1302">
        <v>1</v>
      </c>
      <c r="K1302" t="str">
        <f>VLOOKUP(A1302,'TV May Monthly Billing Sites'!$A:$L,1,0)</f>
        <v>76225750</v>
      </c>
    </row>
    <row r="1303" spans="1:11">
      <c r="A1303" t="str">
        <f t="shared" si="20"/>
        <v>76225783</v>
      </c>
      <c r="B1303">
        <v>76225783</v>
      </c>
      <c r="C1303" t="s">
        <v>6916</v>
      </c>
      <c r="D1303" t="s">
        <v>6917</v>
      </c>
      <c r="E1303">
        <v>4508714</v>
      </c>
      <c r="F1303" t="s">
        <v>742</v>
      </c>
      <c r="G1303" t="s">
        <v>743</v>
      </c>
      <c r="H1303" t="s">
        <v>6296</v>
      </c>
      <c r="I1303" s="12">
        <v>45653</v>
      </c>
      <c r="J1303">
        <v>1</v>
      </c>
      <c r="K1303" t="str">
        <f>VLOOKUP(A1303,'TV May Monthly Billing Sites'!$A:$L,1,0)</f>
        <v>76225783</v>
      </c>
    </row>
    <row r="1304" spans="1:11">
      <c r="A1304" t="str">
        <f t="shared" si="20"/>
        <v>76225789</v>
      </c>
      <c r="B1304">
        <v>76225789</v>
      </c>
      <c r="C1304" t="s">
        <v>6918</v>
      </c>
      <c r="D1304" t="s">
        <v>3891</v>
      </c>
      <c r="E1304">
        <v>4508714</v>
      </c>
      <c r="F1304" t="s">
        <v>742</v>
      </c>
      <c r="G1304" t="s">
        <v>743</v>
      </c>
      <c r="H1304" t="s">
        <v>4890</v>
      </c>
      <c r="I1304" s="12">
        <v>45719</v>
      </c>
      <c r="J1304">
        <v>1</v>
      </c>
      <c r="K1304" t="str">
        <f>VLOOKUP(A1304,'TV May Monthly Billing Sites'!$A:$L,1,0)</f>
        <v>76225789</v>
      </c>
    </row>
    <row r="1305" spans="1:11">
      <c r="A1305" t="str">
        <f t="shared" si="20"/>
        <v>76225799</v>
      </c>
      <c r="B1305">
        <v>76225799</v>
      </c>
      <c r="C1305" t="s">
        <v>6919</v>
      </c>
      <c r="D1305" t="s">
        <v>6920</v>
      </c>
      <c r="E1305">
        <v>4508714</v>
      </c>
      <c r="F1305" t="s">
        <v>742</v>
      </c>
      <c r="G1305" t="s">
        <v>743</v>
      </c>
      <c r="H1305" t="s">
        <v>6008</v>
      </c>
      <c r="I1305" s="12">
        <v>46083</v>
      </c>
      <c r="J1305">
        <v>1</v>
      </c>
      <c r="K1305" t="str">
        <f>VLOOKUP(A1305,'TV May Monthly Billing Sites'!$A:$L,1,0)</f>
        <v>76225799</v>
      </c>
    </row>
    <row r="1306" spans="1:11">
      <c r="A1306" t="str">
        <f t="shared" si="20"/>
        <v>76225833</v>
      </c>
      <c r="B1306">
        <v>76225833</v>
      </c>
      <c r="C1306" t="s">
        <v>6921</v>
      </c>
      <c r="D1306" t="s">
        <v>3895</v>
      </c>
      <c r="E1306">
        <v>4508714</v>
      </c>
      <c r="F1306" t="s">
        <v>742</v>
      </c>
      <c r="G1306" t="s">
        <v>743</v>
      </c>
      <c r="H1306" t="s">
        <v>1096</v>
      </c>
      <c r="I1306" s="12">
        <v>45961</v>
      </c>
      <c r="J1306">
        <v>1</v>
      </c>
      <c r="K1306" t="str">
        <f>VLOOKUP(A1306,'TV May Monthly Billing Sites'!$A:$L,1,0)</f>
        <v>76225833</v>
      </c>
    </row>
    <row r="1307" spans="1:11">
      <c r="A1307" t="str">
        <f t="shared" si="20"/>
        <v>76225923</v>
      </c>
      <c r="B1307">
        <v>76225923</v>
      </c>
      <c r="C1307" t="s">
        <v>6922</v>
      </c>
      <c r="D1307" t="s">
        <v>3897</v>
      </c>
      <c r="E1307">
        <v>4508675</v>
      </c>
      <c r="F1307" t="s">
        <v>742</v>
      </c>
      <c r="G1307" t="s">
        <v>828</v>
      </c>
      <c r="H1307" t="s">
        <v>6260</v>
      </c>
      <c r="I1307" s="12">
        <v>46015</v>
      </c>
      <c r="J1307">
        <v>1</v>
      </c>
      <c r="K1307" t="str">
        <f>VLOOKUP(A1307,'TV May Monthly Billing Sites'!$A:$L,1,0)</f>
        <v>76225923</v>
      </c>
    </row>
    <row r="1308" spans="1:11">
      <c r="A1308" t="str">
        <f t="shared" si="20"/>
        <v>76225948</v>
      </c>
      <c r="B1308">
        <v>76225948</v>
      </c>
      <c r="C1308" t="s">
        <v>6923</v>
      </c>
      <c r="D1308" t="s">
        <v>3899</v>
      </c>
      <c r="E1308">
        <v>4408592</v>
      </c>
      <c r="F1308" t="s">
        <v>742</v>
      </c>
      <c r="G1308" t="s">
        <v>823</v>
      </c>
      <c r="H1308" t="s">
        <v>6924</v>
      </c>
      <c r="I1308" s="12">
        <v>45749</v>
      </c>
      <c r="J1308">
        <v>1</v>
      </c>
      <c r="K1308" t="str">
        <f>VLOOKUP(A1308,'TV May Monthly Billing Sites'!$A:$L,1,0)</f>
        <v>76225948</v>
      </c>
    </row>
    <row r="1309" spans="1:11">
      <c r="A1309" t="str">
        <f t="shared" si="20"/>
        <v>76226063</v>
      </c>
      <c r="B1309">
        <v>76226063</v>
      </c>
      <c r="C1309" t="s">
        <v>6925</v>
      </c>
      <c r="D1309" t="s">
        <v>3901</v>
      </c>
      <c r="E1309">
        <v>4408593</v>
      </c>
      <c r="F1309" t="s">
        <v>742</v>
      </c>
      <c r="G1309" t="s">
        <v>782</v>
      </c>
      <c r="H1309" t="s">
        <v>5134</v>
      </c>
      <c r="I1309" s="12">
        <v>45443</v>
      </c>
      <c r="J1309">
        <v>1</v>
      </c>
      <c r="K1309" t="str">
        <f>VLOOKUP(A1309,'TV May Monthly Billing Sites'!$A:$L,1,0)</f>
        <v>76226063</v>
      </c>
    </row>
    <row r="1310" spans="1:11">
      <c r="A1310" t="str">
        <f t="shared" si="20"/>
        <v>76226068</v>
      </c>
      <c r="B1310">
        <v>76226068</v>
      </c>
      <c r="C1310" t="s">
        <v>6926</v>
      </c>
      <c r="D1310" t="s">
        <v>3903</v>
      </c>
      <c r="E1310">
        <v>4408593</v>
      </c>
      <c r="F1310" t="s">
        <v>742</v>
      </c>
      <c r="G1310" t="s">
        <v>782</v>
      </c>
      <c r="H1310" t="s">
        <v>6218</v>
      </c>
      <c r="I1310" s="12">
        <v>45691</v>
      </c>
      <c r="J1310">
        <v>1</v>
      </c>
      <c r="K1310" t="str">
        <f>VLOOKUP(A1310,'TV May Monthly Billing Sites'!$A:$L,1,0)</f>
        <v>76226068</v>
      </c>
    </row>
    <row r="1311" spans="1:11">
      <c r="A1311" t="str">
        <f t="shared" si="20"/>
        <v>76226228</v>
      </c>
      <c r="B1311">
        <v>76226228</v>
      </c>
      <c r="C1311" t="s">
        <v>6927</v>
      </c>
      <c r="D1311" t="s">
        <v>3905</v>
      </c>
      <c r="E1311">
        <v>4508675</v>
      </c>
      <c r="F1311" t="s">
        <v>742</v>
      </c>
      <c r="G1311" t="s">
        <v>828</v>
      </c>
      <c r="H1311" t="s">
        <v>5890</v>
      </c>
      <c r="I1311" s="12">
        <v>46097</v>
      </c>
      <c r="J1311">
        <v>1</v>
      </c>
      <c r="K1311" t="str">
        <f>VLOOKUP(A1311,'TV May Monthly Billing Sites'!$A:$L,1,0)</f>
        <v>76226228</v>
      </c>
    </row>
    <row r="1312" spans="1:11">
      <c r="A1312" t="str">
        <f t="shared" si="20"/>
        <v>76226237</v>
      </c>
      <c r="B1312">
        <v>76226237</v>
      </c>
      <c r="C1312" t="s">
        <v>6928</v>
      </c>
      <c r="D1312" t="s">
        <v>6929</v>
      </c>
      <c r="E1312">
        <v>4508714</v>
      </c>
      <c r="F1312" t="s">
        <v>742</v>
      </c>
      <c r="G1312" t="s">
        <v>743</v>
      </c>
      <c r="H1312" t="s">
        <v>5361</v>
      </c>
      <c r="I1312" s="12">
        <v>46038</v>
      </c>
      <c r="J1312">
        <v>1</v>
      </c>
      <c r="K1312" t="str">
        <f>VLOOKUP(A1312,'TV May Monthly Billing Sites'!$A:$L,1,0)</f>
        <v>76226237</v>
      </c>
    </row>
    <row r="1313" spans="1:12">
      <c r="A1313" t="str">
        <f t="shared" si="20"/>
        <v>76226252</v>
      </c>
      <c r="B1313">
        <v>76226252</v>
      </c>
      <c r="C1313" t="s">
        <v>6930</v>
      </c>
      <c r="D1313" t="s">
        <v>3909</v>
      </c>
      <c r="E1313">
        <v>4408592</v>
      </c>
      <c r="F1313" t="s">
        <v>742</v>
      </c>
      <c r="G1313" t="s">
        <v>823</v>
      </c>
      <c r="H1313" t="s">
        <v>3909</v>
      </c>
      <c r="I1313" s="12">
        <v>45680</v>
      </c>
      <c r="J1313">
        <v>1</v>
      </c>
      <c r="K1313" t="str">
        <f>VLOOKUP(A1313,'TV May Monthly Billing Sites'!$A:$L,1,0)</f>
        <v>76226252</v>
      </c>
    </row>
    <row r="1314" spans="1:12">
      <c r="A1314" t="str">
        <f t="shared" si="20"/>
        <v>76226264</v>
      </c>
      <c r="B1314">
        <v>76226264</v>
      </c>
      <c r="C1314" t="s">
        <v>1094</v>
      </c>
      <c r="D1314" t="s">
        <v>1095</v>
      </c>
      <c r="E1314">
        <v>4508714</v>
      </c>
      <c r="F1314" t="s">
        <v>742</v>
      </c>
      <c r="G1314" t="s">
        <v>743</v>
      </c>
      <c r="H1314" t="s">
        <v>1096</v>
      </c>
      <c r="I1314" s="12">
        <v>45961</v>
      </c>
      <c r="J1314">
        <v>1</v>
      </c>
      <c r="K1314" t="e">
        <f>VLOOKUP(A1314,'TV May Monthly Billing Sites'!$A:$L,1,0)</f>
        <v>#N/A</v>
      </c>
      <c r="L1314" t="e">
        <f>VLOOKUP(D1314,'TV May Monthly Billing Sites'!$B:$L,1,0)</f>
        <v>#N/A</v>
      </c>
    </row>
    <row r="1315" spans="1:12">
      <c r="A1315" t="str">
        <f t="shared" si="20"/>
        <v>76226267</v>
      </c>
      <c r="B1315">
        <v>76226267</v>
      </c>
      <c r="C1315" t="s">
        <v>1098</v>
      </c>
      <c r="D1315" t="s">
        <v>1099</v>
      </c>
      <c r="E1315">
        <v>4508714</v>
      </c>
      <c r="F1315" t="s">
        <v>742</v>
      </c>
      <c r="G1315" t="s">
        <v>743</v>
      </c>
      <c r="H1315" t="s">
        <v>1096</v>
      </c>
      <c r="I1315" s="12">
        <v>45961</v>
      </c>
      <c r="J1315">
        <v>1</v>
      </c>
      <c r="K1315" t="e">
        <f>VLOOKUP(A1315,'TV May Monthly Billing Sites'!$A:$L,1,0)</f>
        <v>#N/A</v>
      </c>
      <c r="L1315" t="e">
        <f>VLOOKUP(D1315,'TV May Monthly Billing Sites'!$B:$L,1,0)</f>
        <v>#N/A</v>
      </c>
    </row>
    <row r="1316" spans="1:12">
      <c r="A1316" t="str">
        <f t="shared" si="20"/>
        <v>76226269</v>
      </c>
      <c r="B1316">
        <v>76226269</v>
      </c>
      <c r="C1316" t="s">
        <v>1101</v>
      </c>
      <c r="D1316" t="s">
        <v>1102</v>
      </c>
      <c r="E1316">
        <v>4508714</v>
      </c>
      <c r="F1316" t="s">
        <v>742</v>
      </c>
      <c r="G1316" t="s">
        <v>743</v>
      </c>
      <c r="H1316" t="s">
        <v>1096</v>
      </c>
      <c r="I1316" s="12">
        <v>45961</v>
      </c>
      <c r="J1316">
        <v>1</v>
      </c>
      <c r="K1316" t="e">
        <f>VLOOKUP(A1316,'TV May Monthly Billing Sites'!$A:$L,1,0)</f>
        <v>#N/A</v>
      </c>
      <c r="L1316" t="e">
        <f>VLOOKUP(D1316,'TV May Monthly Billing Sites'!$B:$L,1,0)</f>
        <v>#N/A</v>
      </c>
    </row>
    <row r="1317" spans="1:12">
      <c r="A1317" t="str">
        <f t="shared" si="20"/>
        <v>76226270</v>
      </c>
      <c r="B1317">
        <v>76226270</v>
      </c>
      <c r="C1317" t="s">
        <v>1104</v>
      </c>
      <c r="D1317" t="s">
        <v>1105</v>
      </c>
      <c r="E1317">
        <v>4508714</v>
      </c>
      <c r="F1317" t="s">
        <v>742</v>
      </c>
      <c r="G1317" t="s">
        <v>743</v>
      </c>
      <c r="H1317" t="s">
        <v>1096</v>
      </c>
      <c r="I1317" s="12">
        <v>45961</v>
      </c>
      <c r="J1317">
        <v>1</v>
      </c>
      <c r="K1317" t="e">
        <f>VLOOKUP(A1317,'TV May Monthly Billing Sites'!$A:$L,1,0)</f>
        <v>#N/A</v>
      </c>
      <c r="L1317" t="e">
        <f>VLOOKUP(D1317,'TV May Monthly Billing Sites'!$B:$L,1,0)</f>
        <v>#N/A</v>
      </c>
    </row>
    <row r="1318" spans="1:12">
      <c r="A1318" t="str">
        <f t="shared" si="20"/>
        <v>76226276</v>
      </c>
      <c r="B1318">
        <v>76226276</v>
      </c>
      <c r="C1318" t="s">
        <v>1107</v>
      </c>
      <c r="D1318" t="s">
        <v>1108</v>
      </c>
      <c r="E1318">
        <v>4508714</v>
      </c>
      <c r="F1318" t="s">
        <v>742</v>
      </c>
      <c r="G1318" t="s">
        <v>743</v>
      </c>
      <c r="H1318" t="s">
        <v>1096</v>
      </c>
      <c r="I1318" s="12">
        <v>45961</v>
      </c>
      <c r="J1318">
        <v>1</v>
      </c>
      <c r="K1318" t="e">
        <f>VLOOKUP(A1318,'TV May Monthly Billing Sites'!$A:$L,1,0)</f>
        <v>#N/A</v>
      </c>
      <c r="L1318" t="e">
        <f>VLOOKUP(D1318,'TV May Monthly Billing Sites'!$B:$L,1,0)</f>
        <v>#N/A</v>
      </c>
    </row>
    <row r="1319" spans="1:12">
      <c r="A1319" t="str">
        <f t="shared" si="20"/>
        <v>76226286</v>
      </c>
      <c r="B1319">
        <v>76226286</v>
      </c>
      <c r="C1319" t="s">
        <v>6931</v>
      </c>
      <c r="D1319" t="s">
        <v>6932</v>
      </c>
      <c r="E1319">
        <v>4408592</v>
      </c>
      <c r="F1319" t="s">
        <v>742</v>
      </c>
      <c r="G1319" t="s">
        <v>823</v>
      </c>
      <c r="H1319" t="s">
        <v>6933</v>
      </c>
      <c r="I1319" s="12">
        <v>45722</v>
      </c>
      <c r="J1319">
        <v>1</v>
      </c>
      <c r="K1319" t="str">
        <f>VLOOKUP(A1319,'TV May Monthly Billing Sites'!$A:$L,1,0)</f>
        <v>76226286</v>
      </c>
    </row>
    <row r="1320" spans="1:12">
      <c r="A1320" t="str">
        <f t="shared" si="20"/>
        <v>76226319</v>
      </c>
      <c r="B1320">
        <v>76226319</v>
      </c>
      <c r="C1320" t="s">
        <v>6934</v>
      </c>
      <c r="D1320" t="s">
        <v>6935</v>
      </c>
      <c r="E1320">
        <v>4408593</v>
      </c>
      <c r="F1320" t="s">
        <v>742</v>
      </c>
      <c r="G1320" t="s">
        <v>782</v>
      </c>
      <c r="H1320" t="s">
        <v>5926</v>
      </c>
      <c r="I1320" s="12">
        <v>45646</v>
      </c>
      <c r="J1320">
        <v>1</v>
      </c>
      <c r="K1320" t="str">
        <f>VLOOKUP(A1320,'TV May Monthly Billing Sites'!$A:$L,1,0)</f>
        <v>76226319</v>
      </c>
    </row>
    <row r="1321" spans="1:12">
      <c r="A1321" t="str">
        <f t="shared" si="20"/>
        <v>76226578</v>
      </c>
      <c r="B1321">
        <v>76226578</v>
      </c>
      <c r="C1321" t="s">
        <v>6936</v>
      </c>
      <c r="D1321" t="s">
        <v>3915</v>
      </c>
      <c r="E1321">
        <v>4408593</v>
      </c>
      <c r="F1321" t="s">
        <v>742</v>
      </c>
      <c r="G1321" t="s">
        <v>782</v>
      </c>
      <c r="H1321" t="s">
        <v>6289</v>
      </c>
      <c r="I1321" s="12">
        <v>44463</v>
      </c>
      <c r="J1321">
        <v>1</v>
      </c>
      <c r="K1321" t="str">
        <f>VLOOKUP(A1321,'TV May Monthly Billing Sites'!$A:$L,1,0)</f>
        <v>76226578</v>
      </c>
    </row>
    <row r="1322" spans="1:12">
      <c r="A1322" t="str">
        <f t="shared" si="20"/>
        <v>76226579</v>
      </c>
      <c r="B1322">
        <v>76226579</v>
      </c>
      <c r="C1322" t="s">
        <v>6937</v>
      </c>
      <c r="D1322" t="s">
        <v>3917</v>
      </c>
      <c r="E1322">
        <v>4408593</v>
      </c>
      <c r="F1322" t="s">
        <v>742</v>
      </c>
      <c r="G1322" t="s">
        <v>782</v>
      </c>
      <c r="H1322" t="s">
        <v>6289</v>
      </c>
      <c r="I1322" s="12">
        <v>44463</v>
      </c>
      <c r="J1322">
        <v>1</v>
      </c>
      <c r="K1322" t="str">
        <f>VLOOKUP(A1322,'TV May Monthly Billing Sites'!$A:$L,1,0)</f>
        <v>76226579</v>
      </c>
    </row>
    <row r="1323" spans="1:12">
      <c r="A1323" t="str">
        <f t="shared" si="20"/>
        <v>76226580</v>
      </c>
      <c r="B1323">
        <v>76226580</v>
      </c>
      <c r="C1323" t="s">
        <v>6938</v>
      </c>
      <c r="D1323" t="s">
        <v>3919</v>
      </c>
      <c r="E1323">
        <v>4408593</v>
      </c>
      <c r="F1323" t="s">
        <v>742</v>
      </c>
      <c r="G1323" t="s">
        <v>782</v>
      </c>
      <c r="H1323" t="s">
        <v>6289</v>
      </c>
      <c r="I1323" s="12">
        <v>44463</v>
      </c>
      <c r="J1323">
        <v>1</v>
      </c>
      <c r="K1323" t="str">
        <f>VLOOKUP(A1323,'TV May Monthly Billing Sites'!$A:$L,1,0)</f>
        <v>76226580</v>
      </c>
    </row>
    <row r="1324" spans="1:12">
      <c r="A1324" t="str">
        <f t="shared" si="20"/>
        <v>76226581</v>
      </c>
      <c r="B1324">
        <v>76226581</v>
      </c>
      <c r="C1324" t="s">
        <v>6939</v>
      </c>
      <c r="D1324" t="s">
        <v>3921</v>
      </c>
      <c r="E1324">
        <v>4408593</v>
      </c>
      <c r="F1324" t="s">
        <v>742</v>
      </c>
      <c r="G1324" t="s">
        <v>782</v>
      </c>
      <c r="H1324" t="s">
        <v>6289</v>
      </c>
      <c r="I1324" s="12">
        <v>44463</v>
      </c>
      <c r="J1324">
        <v>1</v>
      </c>
      <c r="K1324" t="str">
        <f>VLOOKUP(A1324,'TV May Monthly Billing Sites'!$A:$L,1,0)</f>
        <v>76226581</v>
      </c>
    </row>
    <row r="1325" spans="1:12">
      <c r="A1325" t="str">
        <f t="shared" si="20"/>
        <v>76226646</v>
      </c>
      <c r="B1325">
        <v>76226646</v>
      </c>
      <c r="C1325" t="s">
        <v>6940</v>
      </c>
      <c r="D1325" t="s">
        <v>3923</v>
      </c>
      <c r="E1325">
        <v>4508714</v>
      </c>
      <c r="F1325" t="s">
        <v>742</v>
      </c>
      <c r="G1325" t="s">
        <v>743</v>
      </c>
      <c r="H1325" t="s">
        <v>5298</v>
      </c>
      <c r="I1325" s="12">
        <v>45875</v>
      </c>
      <c r="J1325">
        <v>1</v>
      </c>
      <c r="K1325" t="str">
        <f>VLOOKUP(A1325,'TV May Monthly Billing Sites'!$A:$L,1,0)</f>
        <v>76226646</v>
      </c>
    </row>
    <row r="1326" spans="1:12">
      <c r="A1326" t="str">
        <f t="shared" si="20"/>
        <v>76226661</v>
      </c>
      <c r="B1326">
        <v>76226661</v>
      </c>
      <c r="C1326" t="s">
        <v>6941</v>
      </c>
      <c r="D1326" t="s">
        <v>6942</v>
      </c>
      <c r="E1326">
        <v>4508675</v>
      </c>
      <c r="F1326" t="s">
        <v>742</v>
      </c>
      <c r="G1326" t="s">
        <v>828</v>
      </c>
      <c r="H1326" t="s">
        <v>6943</v>
      </c>
      <c r="I1326" s="12">
        <v>45982</v>
      </c>
      <c r="J1326">
        <v>1</v>
      </c>
      <c r="K1326" t="str">
        <f>VLOOKUP(A1326,'TV May Monthly Billing Sites'!$A:$L,1,0)</f>
        <v>76226661</v>
      </c>
    </row>
    <row r="1327" spans="1:12">
      <c r="A1327" t="str">
        <f t="shared" si="20"/>
        <v>76226715</v>
      </c>
      <c r="B1327">
        <v>76226715</v>
      </c>
      <c r="C1327" t="s">
        <v>1110</v>
      </c>
      <c r="D1327" t="s">
        <v>1111</v>
      </c>
      <c r="E1327">
        <v>4508714</v>
      </c>
      <c r="F1327" t="s">
        <v>742</v>
      </c>
      <c r="G1327" t="s">
        <v>743</v>
      </c>
      <c r="H1327" t="s">
        <v>762</v>
      </c>
      <c r="I1327" s="12">
        <v>45622</v>
      </c>
      <c r="J1327">
        <v>1</v>
      </c>
      <c r="K1327" t="e">
        <f>VLOOKUP(A1327,'TV May Monthly Billing Sites'!$A:$L,1,0)</f>
        <v>#N/A</v>
      </c>
      <c r="L1327" t="e">
        <f>VLOOKUP(D1327,'TV May Monthly Billing Sites'!$B:$L,1,0)</f>
        <v>#N/A</v>
      </c>
    </row>
    <row r="1328" spans="1:12">
      <c r="A1328" t="str">
        <f t="shared" si="20"/>
        <v>76226764</v>
      </c>
      <c r="B1328">
        <v>76226764</v>
      </c>
      <c r="C1328" t="s">
        <v>6944</v>
      </c>
      <c r="D1328" t="s">
        <v>6945</v>
      </c>
      <c r="E1328">
        <v>4408593</v>
      </c>
      <c r="F1328" t="s">
        <v>742</v>
      </c>
      <c r="G1328" t="s">
        <v>782</v>
      </c>
      <c r="H1328" t="s">
        <v>6946</v>
      </c>
      <c r="I1328" s="12">
        <v>45628</v>
      </c>
      <c r="J1328">
        <v>1</v>
      </c>
      <c r="K1328" t="str">
        <f>VLOOKUP(A1328,'TV May Monthly Billing Sites'!$A:$L,1,0)</f>
        <v>76226764</v>
      </c>
    </row>
    <row r="1329" spans="1:12">
      <c r="A1329" t="str">
        <f t="shared" si="20"/>
        <v>76226765</v>
      </c>
      <c r="B1329">
        <v>76226765</v>
      </c>
      <c r="C1329" t="s">
        <v>6947</v>
      </c>
      <c r="D1329" t="s">
        <v>6948</v>
      </c>
      <c r="E1329">
        <v>4408593</v>
      </c>
      <c r="F1329" t="s">
        <v>742</v>
      </c>
      <c r="G1329" t="s">
        <v>782</v>
      </c>
      <c r="H1329" t="s">
        <v>6946</v>
      </c>
      <c r="I1329" s="12">
        <v>45628</v>
      </c>
      <c r="J1329">
        <v>1</v>
      </c>
      <c r="K1329" t="str">
        <f>VLOOKUP(A1329,'TV May Monthly Billing Sites'!$A:$L,1,0)</f>
        <v>76226765</v>
      </c>
    </row>
    <row r="1330" spans="1:12">
      <c r="A1330" t="str">
        <f t="shared" si="20"/>
        <v>76226767</v>
      </c>
      <c r="B1330">
        <v>76226767</v>
      </c>
      <c r="C1330" t="s">
        <v>6949</v>
      </c>
      <c r="D1330" t="s">
        <v>6950</v>
      </c>
      <c r="E1330">
        <v>4408593</v>
      </c>
      <c r="F1330" t="s">
        <v>742</v>
      </c>
      <c r="G1330" t="s">
        <v>782</v>
      </c>
      <c r="H1330" t="s">
        <v>6946</v>
      </c>
      <c r="I1330" s="12">
        <v>45628</v>
      </c>
      <c r="J1330">
        <v>1</v>
      </c>
      <c r="K1330" t="str">
        <f>VLOOKUP(A1330,'TV May Monthly Billing Sites'!$A:$L,1,0)</f>
        <v>76226767</v>
      </c>
    </row>
    <row r="1331" spans="1:12">
      <c r="A1331" t="str">
        <f t="shared" si="20"/>
        <v>76226785</v>
      </c>
      <c r="B1331">
        <v>76226785</v>
      </c>
      <c r="C1331" t="s">
        <v>6951</v>
      </c>
      <c r="D1331" t="s">
        <v>3933</v>
      </c>
      <c r="E1331">
        <v>4408593</v>
      </c>
      <c r="F1331" t="s">
        <v>742</v>
      </c>
      <c r="G1331" t="s">
        <v>782</v>
      </c>
      <c r="H1331" t="s">
        <v>6933</v>
      </c>
      <c r="I1331" s="12">
        <v>45827</v>
      </c>
      <c r="J1331">
        <v>1</v>
      </c>
      <c r="K1331" t="str">
        <f>VLOOKUP(A1331,'TV May Monthly Billing Sites'!$A:$L,1,0)</f>
        <v>76226785</v>
      </c>
    </row>
    <row r="1332" spans="1:12">
      <c r="A1332" t="str">
        <f t="shared" si="20"/>
        <v>76226911</v>
      </c>
      <c r="B1332">
        <v>76226911</v>
      </c>
      <c r="C1332" t="s">
        <v>6952</v>
      </c>
      <c r="D1332" t="s">
        <v>3935</v>
      </c>
      <c r="E1332">
        <v>4508675</v>
      </c>
      <c r="F1332" t="s">
        <v>742</v>
      </c>
      <c r="G1332" t="s">
        <v>828</v>
      </c>
      <c r="H1332" t="s">
        <v>5468</v>
      </c>
      <c r="I1332" s="12">
        <v>44812</v>
      </c>
      <c r="J1332">
        <v>1</v>
      </c>
      <c r="K1332" t="str">
        <f>VLOOKUP(A1332,'TV May Monthly Billing Sites'!$A:$L,1,0)</f>
        <v>76226911</v>
      </c>
    </row>
    <row r="1333" spans="1:12">
      <c r="A1333" t="str">
        <f t="shared" si="20"/>
        <v>76226950</v>
      </c>
      <c r="B1333">
        <v>76226950</v>
      </c>
      <c r="C1333" t="s">
        <v>1113</v>
      </c>
      <c r="D1333" t="s">
        <v>1114</v>
      </c>
      <c r="E1333">
        <v>4508714</v>
      </c>
      <c r="F1333" t="s">
        <v>742</v>
      </c>
      <c r="G1333" t="s">
        <v>743</v>
      </c>
      <c r="H1333" t="s">
        <v>1115</v>
      </c>
      <c r="I1333" s="12">
        <v>45919</v>
      </c>
      <c r="J1333">
        <v>1</v>
      </c>
      <c r="K1333" t="e">
        <f>VLOOKUP(A1333,'TV May Monthly Billing Sites'!$A:$L,1,0)</f>
        <v>#N/A</v>
      </c>
      <c r="L1333" t="e">
        <f>VLOOKUP(D1333,'TV May Monthly Billing Sites'!$B:$L,1,0)</f>
        <v>#N/A</v>
      </c>
    </row>
    <row r="1334" spans="1:12">
      <c r="A1334" t="str">
        <f t="shared" si="20"/>
        <v>76227046</v>
      </c>
      <c r="B1334">
        <v>76227046</v>
      </c>
      <c r="C1334" t="s">
        <v>6953</v>
      </c>
      <c r="D1334" t="s">
        <v>3937</v>
      </c>
      <c r="E1334">
        <v>4408593</v>
      </c>
      <c r="F1334" t="s">
        <v>742</v>
      </c>
      <c r="G1334" t="s">
        <v>782</v>
      </c>
      <c r="H1334" t="s">
        <v>879</v>
      </c>
      <c r="I1334" s="12">
        <v>45820</v>
      </c>
      <c r="J1334">
        <v>1</v>
      </c>
      <c r="K1334" t="str">
        <f>VLOOKUP(A1334,'TV May Monthly Billing Sites'!$A:$L,1,0)</f>
        <v>76227046</v>
      </c>
    </row>
    <row r="1335" spans="1:12">
      <c r="A1335" t="str">
        <f t="shared" si="20"/>
        <v>76227130</v>
      </c>
      <c r="B1335">
        <v>76227130</v>
      </c>
      <c r="C1335" t="s">
        <v>6954</v>
      </c>
      <c r="D1335" t="s">
        <v>6955</v>
      </c>
      <c r="E1335">
        <v>4508714</v>
      </c>
      <c r="F1335" t="s">
        <v>742</v>
      </c>
      <c r="G1335" t="s">
        <v>743</v>
      </c>
      <c r="H1335" t="s">
        <v>5626</v>
      </c>
      <c r="I1335" s="12">
        <v>45968</v>
      </c>
      <c r="J1335">
        <v>1</v>
      </c>
      <c r="K1335" t="str">
        <f>VLOOKUP(A1335,'TV May Monthly Billing Sites'!$A:$L,1,0)</f>
        <v>76227130</v>
      </c>
    </row>
    <row r="1336" spans="1:12">
      <c r="A1336" t="str">
        <f t="shared" si="20"/>
        <v>76227234</v>
      </c>
      <c r="B1336">
        <v>76227234</v>
      </c>
      <c r="C1336" t="s">
        <v>6956</v>
      </c>
      <c r="D1336" t="s">
        <v>3943</v>
      </c>
      <c r="E1336">
        <v>4508714</v>
      </c>
      <c r="F1336" t="s">
        <v>742</v>
      </c>
      <c r="G1336" t="s">
        <v>743</v>
      </c>
      <c r="H1336" t="s">
        <v>797</v>
      </c>
      <c r="I1336" s="12">
        <v>45446</v>
      </c>
      <c r="J1336">
        <v>1</v>
      </c>
      <c r="K1336" t="str">
        <f>VLOOKUP(A1336,'TV May Monthly Billing Sites'!$A:$L,1,0)</f>
        <v>76227234</v>
      </c>
    </row>
    <row r="1337" spans="1:12">
      <c r="A1337" t="str">
        <f t="shared" si="20"/>
        <v>76227241</v>
      </c>
      <c r="B1337">
        <v>76227241</v>
      </c>
      <c r="C1337" t="s">
        <v>6957</v>
      </c>
      <c r="D1337" t="s">
        <v>3945</v>
      </c>
      <c r="E1337">
        <v>4408593</v>
      </c>
      <c r="F1337" t="s">
        <v>742</v>
      </c>
      <c r="G1337" t="s">
        <v>782</v>
      </c>
      <c r="H1337" t="s">
        <v>5327</v>
      </c>
      <c r="I1337" s="12">
        <v>45735</v>
      </c>
      <c r="J1337">
        <v>1</v>
      </c>
      <c r="K1337" t="str">
        <f>VLOOKUP(A1337,'TV May Monthly Billing Sites'!$A:$L,1,0)</f>
        <v>76227241</v>
      </c>
    </row>
    <row r="1338" spans="1:12">
      <c r="A1338" t="str">
        <f t="shared" si="20"/>
        <v>76227673</v>
      </c>
      <c r="B1338">
        <v>76227673</v>
      </c>
      <c r="C1338" t="s">
        <v>6958</v>
      </c>
      <c r="D1338" t="s">
        <v>6959</v>
      </c>
      <c r="E1338">
        <v>4508685</v>
      </c>
      <c r="F1338" t="s">
        <v>742</v>
      </c>
      <c r="G1338" t="s">
        <v>904</v>
      </c>
      <c r="H1338" t="s">
        <v>905</v>
      </c>
      <c r="I1338" s="12">
        <v>46024</v>
      </c>
      <c r="J1338">
        <v>1</v>
      </c>
      <c r="K1338" t="str">
        <f>VLOOKUP(A1338,'TV May Monthly Billing Sites'!$A:$L,1,0)</f>
        <v>76227673</v>
      </c>
    </row>
    <row r="1339" spans="1:12">
      <c r="A1339" t="str">
        <f t="shared" si="20"/>
        <v>76227707</v>
      </c>
      <c r="B1339">
        <v>76227707</v>
      </c>
      <c r="C1339" t="s">
        <v>6960</v>
      </c>
      <c r="D1339" t="s">
        <v>3949</v>
      </c>
      <c r="E1339">
        <v>4408592</v>
      </c>
      <c r="F1339" t="s">
        <v>742</v>
      </c>
      <c r="G1339" t="s">
        <v>823</v>
      </c>
      <c r="H1339" t="s">
        <v>6887</v>
      </c>
      <c r="I1339" s="12">
        <v>45744</v>
      </c>
      <c r="J1339">
        <v>1</v>
      </c>
      <c r="K1339" t="str">
        <f>VLOOKUP(A1339,'TV May Monthly Billing Sites'!$A:$L,1,0)</f>
        <v>76227707</v>
      </c>
    </row>
    <row r="1340" spans="1:12">
      <c r="A1340" t="str">
        <f t="shared" si="20"/>
        <v>76227758</v>
      </c>
      <c r="B1340">
        <v>76227758</v>
      </c>
      <c r="C1340" t="s">
        <v>6961</v>
      </c>
      <c r="D1340" t="s">
        <v>3951</v>
      </c>
      <c r="E1340">
        <v>4508714</v>
      </c>
      <c r="F1340" t="s">
        <v>742</v>
      </c>
      <c r="G1340" t="s">
        <v>743</v>
      </c>
      <c r="H1340" t="s">
        <v>6331</v>
      </c>
      <c r="I1340" s="12">
        <v>45561</v>
      </c>
      <c r="J1340">
        <v>1</v>
      </c>
      <c r="K1340" t="str">
        <f>VLOOKUP(A1340,'TV May Monthly Billing Sites'!$A:$L,1,0)</f>
        <v>76227758</v>
      </c>
    </row>
    <row r="1341" spans="1:12">
      <c r="A1341" t="str">
        <f t="shared" si="20"/>
        <v>76227829</v>
      </c>
      <c r="B1341">
        <v>76227829</v>
      </c>
      <c r="C1341" t="s">
        <v>6962</v>
      </c>
      <c r="D1341" t="s">
        <v>3953</v>
      </c>
      <c r="E1341">
        <v>4508714</v>
      </c>
      <c r="F1341" t="s">
        <v>742</v>
      </c>
      <c r="G1341" t="s">
        <v>743</v>
      </c>
      <c r="H1341" t="s">
        <v>816</v>
      </c>
      <c r="I1341" s="12">
        <v>45597</v>
      </c>
      <c r="J1341">
        <v>1</v>
      </c>
      <c r="K1341" t="str">
        <f>VLOOKUP(A1341,'TV May Monthly Billing Sites'!$A:$L,1,0)</f>
        <v>76227829</v>
      </c>
    </row>
    <row r="1342" spans="1:12">
      <c r="A1342" t="str">
        <f t="shared" si="20"/>
        <v>76227829</v>
      </c>
      <c r="B1342">
        <v>76227829</v>
      </c>
      <c r="C1342" t="s">
        <v>6963</v>
      </c>
      <c r="D1342" t="s">
        <v>3953</v>
      </c>
      <c r="E1342">
        <v>4508714</v>
      </c>
      <c r="F1342" t="s">
        <v>742</v>
      </c>
      <c r="G1342" t="s">
        <v>743</v>
      </c>
      <c r="H1342" t="s">
        <v>816</v>
      </c>
      <c r="I1342" s="12">
        <v>45597</v>
      </c>
      <c r="J1342">
        <v>1</v>
      </c>
      <c r="K1342" t="str">
        <f>VLOOKUP(A1342,'TV May Monthly Billing Sites'!$A:$L,1,0)</f>
        <v>76227829</v>
      </c>
    </row>
    <row r="1343" spans="1:12">
      <c r="A1343" t="str">
        <f t="shared" si="20"/>
        <v>76227882</v>
      </c>
      <c r="B1343">
        <v>76227882</v>
      </c>
      <c r="C1343" t="s">
        <v>6964</v>
      </c>
      <c r="D1343" t="s">
        <v>6965</v>
      </c>
      <c r="E1343">
        <v>4408593</v>
      </c>
      <c r="F1343" t="s">
        <v>742</v>
      </c>
      <c r="G1343" t="s">
        <v>782</v>
      </c>
      <c r="H1343" t="s">
        <v>6966</v>
      </c>
      <c r="I1343" s="12">
        <v>45800</v>
      </c>
      <c r="J1343">
        <v>1</v>
      </c>
      <c r="K1343" t="str">
        <f>VLOOKUP(A1343,'TV May Monthly Billing Sites'!$A:$L,1,0)</f>
        <v>76227882</v>
      </c>
    </row>
    <row r="1344" spans="1:12">
      <c r="A1344" t="str">
        <f t="shared" si="20"/>
        <v>76228008</v>
      </c>
      <c r="B1344">
        <v>76228008</v>
      </c>
      <c r="C1344" t="s">
        <v>6967</v>
      </c>
      <c r="D1344" t="s">
        <v>3957</v>
      </c>
      <c r="E1344">
        <v>4508714</v>
      </c>
      <c r="F1344" t="s">
        <v>742</v>
      </c>
      <c r="G1344" t="s">
        <v>743</v>
      </c>
      <c r="H1344" t="s">
        <v>6968</v>
      </c>
      <c r="I1344" s="12">
        <v>45973</v>
      </c>
      <c r="J1344">
        <v>1</v>
      </c>
      <c r="K1344" t="str">
        <f>VLOOKUP(A1344,'TV May Monthly Billing Sites'!$A:$L,1,0)</f>
        <v>76228008</v>
      </c>
    </row>
    <row r="1345" spans="1:11">
      <c r="A1345" t="str">
        <f t="shared" si="20"/>
        <v>76228101</v>
      </c>
      <c r="B1345">
        <v>76228101</v>
      </c>
      <c r="C1345" t="s">
        <v>6969</v>
      </c>
      <c r="D1345" t="s">
        <v>6970</v>
      </c>
      <c r="E1345">
        <v>4508714</v>
      </c>
      <c r="F1345" t="s">
        <v>742</v>
      </c>
      <c r="G1345" t="s">
        <v>743</v>
      </c>
      <c r="H1345" t="s">
        <v>5439</v>
      </c>
      <c r="I1345" s="12">
        <v>45762</v>
      </c>
      <c r="J1345">
        <v>1</v>
      </c>
      <c r="K1345" t="str">
        <f>VLOOKUP(A1345,'TV May Monthly Billing Sites'!$A:$L,1,0)</f>
        <v>76228101</v>
      </c>
    </row>
    <row r="1346" spans="1:11">
      <c r="A1346" t="str">
        <f t="shared" ref="A1346:A1409" si="21">TRIM(B1346)</f>
        <v>76228185</v>
      </c>
      <c r="B1346">
        <v>76228185</v>
      </c>
      <c r="C1346" t="s">
        <v>6971</v>
      </c>
      <c r="D1346" t="s">
        <v>3961</v>
      </c>
      <c r="E1346">
        <v>4408592</v>
      </c>
      <c r="F1346" t="s">
        <v>742</v>
      </c>
      <c r="G1346" t="s">
        <v>823</v>
      </c>
      <c r="H1346" t="s">
        <v>6260</v>
      </c>
      <c r="I1346" s="12">
        <v>45348</v>
      </c>
      <c r="J1346">
        <v>1</v>
      </c>
      <c r="K1346" t="str">
        <f>VLOOKUP(A1346,'TV May Monthly Billing Sites'!$A:$L,1,0)</f>
        <v>76228185</v>
      </c>
    </row>
    <row r="1347" spans="1:11">
      <c r="A1347" t="str">
        <f t="shared" si="21"/>
        <v>76228335</v>
      </c>
      <c r="B1347">
        <v>76228335</v>
      </c>
      <c r="C1347" t="s">
        <v>6972</v>
      </c>
      <c r="D1347" t="s">
        <v>3967</v>
      </c>
      <c r="E1347">
        <v>4508714</v>
      </c>
      <c r="F1347" t="s">
        <v>742</v>
      </c>
      <c r="G1347" t="s">
        <v>743</v>
      </c>
      <c r="H1347" t="s">
        <v>5893</v>
      </c>
      <c r="I1347" s="12">
        <v>45876</v>
      </c>
      <c r="J1347">
        <v>1</v>
      </c>
      <c r="K1347" t="str">
        <f>VLOOKUP(A1347,'TV May Monthly Billing Sites'!$A:$L,1,0)</f>
        <v>76228335</v>
      </c>
    </row>
    <row r="1348" spans="1:11">
      <c r="A1348" t="str">
        <f t="shared" si="21"/>
        <v>76228339</v>
      </c>
      <c r="B1348">
        <v>76228339</v>
      </c>
      <c r="C1348" t="s">
        <v>6973</v>
      </c>
      <c r="D1348" t="s">
        <v>3969</v>
      </c>
      <c r="E1348">
        <v>4508714</v>
      </c>
      <c r="F1348" t="s">
        <v>742</v>
      </c>
      <c r="G1348" t="s">
        <v>743</v>
      </c>
      <c r="H1348" t="s">
        <v>5893</v>
      </c>
      <c r="I1348" s="12">
        <v>45876</v>
      </c>
      <c r="J1348">
        <v>1</v>
      </c>
      <c r="K1348" t="str">
        <f>VLOOKUP(A1348,'TV May Monthly Billing Sites'!$A:$L,1,0)</f>
        <v>76228339</v>
      </c>
    </row>
    <row r="1349" spans="1:11">
      <c r="A1349" t="str">
        <f t="shared" si="21"/>
        <v>76228362</v>
      </c>
      <c r="B1349">
        <v>76228362</v>
      </c>
      <c r="C1349" t="s">
        <v>6974</v>
      </c>
      <c r="D1349" t="s">
        <v>3971</v>
      </c>
      <c r="E1349">
        <v>4508714</v>
      </c>
      <c r="F1349" t="s">
        <v>742</v>
      </c>
      <c r="G1349" t="s">
        <v>743</v>
      </c>
      <c r="H1349" t="s">
        <v>6975</v>
      </c>
      <c r="I1349" s="12">
        <v>46017</v>
      </c>
      <c r="J1349">
        <v>1</v>
      </c>
      <c r="K1349" t="str">
        <f>VLOOKUP(A1349,'TV May Monthly Billing Sites'!$A:$L,1,0)</f>
        <v>76228362</v>
      </c>
    </row>
    <row r="1350" spans="1:11">
      <c r="A1350" t="str">
        <f t="shared" si="21"/>
        <v>76228449</v>
      </c>
      <c r="B1350">
        <v>76228449</v>
      </c>
      <c r="C1350" t="s">
        <v>6976</v>
      </c>
      <c r="D1350" t="s">
        <v>6977</v>
      </c>
      <c r="E1350">
        <v>4408592</v>
      </c>
      <c r="F1350" t="s">
        <v>742</v>
      </c>
      <c r="G1350" t="s">
        <v>823</v>
      </c>
      <c r="H1350" t="s">
        <v>6978</v>
      </c>
      <c r="I1350" s="12">
        <v>45733</v>
      </c>
      <c r="J1350">
        <v>1</v>
      </c>
      <c r="K1350" t="str">
        <f>VLOOKUP(A1350,'TV May Monthly Billing Sites'!$A:$L,1,0)</f>
        <v>76228449</v>
      </c>
    </row>
    <row r="1351" spans="1:11">
      <c r="A1351" t="str">
        <f t="shared" si="21"/>
        <v>76228473</v>
      </c>
      <c r="B1351">
        <v>76228473</v>
      </c>
      <c r="C1351" t="s">
        <v>6979</v>
      </c>
      <c r="D1351" t="s">
        <v>3975</v>
      </c>
      <c r="E1351">
        <v>4508675</v>
      </c>
      <c r="F1351" t="s">
        <v>742</v>
      </c>
      <c r="G1351" t="s">
        <v>828</v>
      </c>
      <c r="H1351" t="s">
        <v>6980</v>
      </c>
      <c r="I1351" s="12">
        <v>46049</v>
      </c>
      <c r="J1351">
        <v>1</v>
      </c>
      <c r="K1351" t="str">
        <f>VLOOKUP(A1351,'TV May Monthly Billing Sites'!$A:$L,1,0)</f>
        <v>76228473</v>
      </c>
    </row>
    <row r="1352" spans="1:11">
      <c r="A1352" t="str">
        <f t="shared" si="21"/>
        <v>76228474</v>
      </c>
      <c r="B1352">
        <v>76228474</v>
      </c>
      <c r="C1352" t="s">
        <v>6981</v>
      </c>
      <c r="D1352" t="s">
        <v>6982</v>
      </c>
      <c r="E1352">
        <v>4508675</v>
      </c>
      <c r="F1352" t="s">
        <v>742</v>
      </c>
      <c r="G1352" t="s">
        <v>828</v>
      </c>
      <c r="H1352" t="s">
        <v>6980</v>
      </c>
      <c r="I1352" s="12">
        <v>46086</v>
      </c>
      <c r="J1352">
        <v>1</v>
      </c>
      <c r="K1352" t="str">
        <f>VLOOKUP(A1352,'TV May Monthly Billing Sites'!$A:$L,1,0)</f>
        <v>76228474</v>
      </c>
    </row>
    <row r="1353" spans="1:11">
      <c r="A1353" t="str">
        <f t="shared" si="21"/>
        <v>76228576</v>
      </c>
      <c r="B1353">
        <v>76228576</v>
      </c>
      <c r="C1353" t="s">
        <v>6983</v>
      </c>
      <c r="D1353" t="s">
        <v>6984</v>
      </c>
      <c r="E1353">
        <v>4508714</v>
      </c>
      <c r="F1353" t="s">
        <v>742</v>
      </c>
      <c r="G1353" t="s">
        <v>743</v>
      </c>
      <c r="H1353" t="s">
        <v>4714</v>
      </c>
      <c r="I1353" s="12">
        <v>45622</v>
      </c>
      <c r="J1353">
        <v>1</v>
      </c>
      <c r="K1353" t="str">
        <f>VLOOKUP(A1353,'TV May Monthly Billing Sites'!$A:$L,1,0)</f>
        <v>76228576</v>
      </c>
    </row>
    <row r="1354" spans="1:11">
      <c r="A1354" t="str">
        <f t="shared" si="21"/>
        <v>76228578</v>
      </c>
      <c r="B1354">
        <v>76228578</v>
      </c>
      <c r="C1354" t="s">
        <v>6985</v>
      </c>
      <c r="D1354" t="s">
        <v>3981</v>
      </c>
      <c r="E1354">
        <v>4508714</v>
      </c>
      <c r="F1354" t="s">
        <v>742</v>
      </c>
      <c r="G1354" t="s">
        <v>743</v>
      </c>
      <c r="H1354" t="s">
        <v>4714</v>
      </c>
      <c r="I1354" s="12">
        <v>45622</v>
      </c>
      <c r="J1354">
        <v>1</v>
      </c>
      <c r="K1354" t="str">
        <f>VLOOKUP(A1354,'TV May Monthly Billing Sites'!$A:$L,1,0)</f>
        <v>76228578</v>
      </c>
    </row>
    <row r="1355" spans="1:11">
      <c r="A1355" t="str">
        <f t="shared" si="21"/>
        <v>76228626</v>
      </c>
      <c r="B1355">
        <v>76228626</v>
      </c>
      <c r="C1355" t="s">
        <v>6986</v>
      </c>
      <c r="D1355" t="s">
        <v>3983</v>
      </c>
      <c r="E1355">
        <v>4508714</v>
      </c>
      <c r="F1355" t="s">
        <v>742</v>
      </c>
      <c r="G1355" t="s">
        <v>743</v>
      </c>
      <c r="H1355" t="s">
        <v>1179</v>
      </c>
      <c r="I1355" s="12">
        <v>45646</v>
      </c>
      <c r="J1355">
        <v>1</v>
      </c>
      <c r="K1355" t="str">
        <f>VLOOKUP(A1355,'TV May Monthly Billing Sites'!$A:$L,1,0)</f>
        <v>76228626</v>
      </c>
    </row>
    <row r="1356" spans="1:11">
      <c r="A1356" t="str">
        <f t="shared" si="21"/>
        <v>76228690</v>
      </c>
      <c r="B1356">
        <v>76228690</v>
      </c>
      <c r="C1356" t="s">
        <v>6987</v>
      </c>
      <c r="D1356" t="s">
        <v>3987</v>
      </c>
      <c r="E1356">
        <v>4408593</v>
      </c>
      <c r="F1356" t="s">
        <v>742</v>
      </c>
      <c r="G1356" t="s">
        <v>782</v>
      </c>
      <c r="H1356" t="s">
        <v>6988</v>
      </c>
      <c r="I1356" s="12">
        <v>45748</v>
      </c>
      <c r="J1356">
        <v>1</v>
      </c>
      <c r="K1356" t="str">
        <f>VLOOKUP(A1356,'TV May Monthly Billing Sites'!$A:$L,1,0)</f>
        <v>76228690</v>
      </c>
    </row>
    <row r="1357" spans="1:11">
      <c r="A1357" t="str">
        <f t="shared" si="21"/>
        <v>76228693</v>
      </c>
      <c r="B1357">
        <v>76228693</v>
      </c>
      <c r="C1357" t="s">
        <v>6989</v>
      </c>
      <c r="D1357" t="s">
        <v>6990</v>
      </c>
      <c r="E1357">
        <v>4408593</v>
      </c>
      <c r="F1357" t="s">
        <v>742</v>
      </c>
      <c r="G1357" t="s">
        <v>782</v>
      </c>
      <c r="H1357" t="s">
        <v>6988</v>
      </c>
      <c r="I1357" s="12">
        <v>45748</v>
      </c>
      <c r="J1357">
        <v>1</v>
      </c>
      <c r="K1357" t="str">
        <f>VLOOKUP(A1357,'TV May Monthly Billing Sites'!$A:$L,1,0)</f>
        <v>76228693</v>
      </c>
    </row>
    <row r="1358" spans="1:11">
      <c r="A1358" t="str">
        <f t="shared" si="21"/>
        <v>76228794</v>
      </c>
      <c r="B1358">
        <v>76228794</v>
      </c>
      <c r="C1358" t="s">
        <v>6991</v>
      </c>
      <c r="D1358" t="s">
        <v>6992</v>
      </c>
      <c r="E1358">
        <v>4508714</v>
      </c>
      <c r="F1358" t="s">
        <v>742</v>
      </c>
      <c r="G1358" t="s">
        <v>743</v>
      </c>
      <c r="H1358" t="s">
        <v>5186</v>
      </c>
      <c r="I1358" s="12">
        <v>45839</v>
      </c>
      <c r="J1358">
        <v>1</v>
      </c>
      <c r="K1358" t="str">
        <f>VLOOKUP(A1358,'TV May Monthly Billing Sites'!$A:$L,1,0)</f>
        <v>76228794</v>
      </c>
    </row>
    <row r="1359" spans="1:11">
      <c r="A1359" t="str">
        <f t="shared" si="21"/>
        <v>76228842</v>
      </c>
      <c r="B1359">
        <v>76228842</v>
      </c>
      <c r="C1359" t="s">
        <v>6993</v>
      </c>
      <c r="D1359" t="s">
        <v>6994</v>
      </c>
      <c r="E1359">
        <v>4408592</v>
      </c>
      <c r="F1359" t="s">
        <v>742</v>
      </c>
      <c r="G1359" t="s">
        <v>823</v>
      </c>
      <c r="H1359" t="s">
        <v>6995</v>
      </c>
      <c r="I1359" s="12">
        <v>45015</v>
      </c>
      <c r="J1359">
        <v>1</v>
      </c>
      <c r="K1359" t="str">
        <f>VLOOKUP(A1359,'TV May Monthly Billing Sites'!$A:$L,1,0)</f>
        <v>76228842</v>
      </c>
    </row>
    <row r="1360" spans="1:11">
      <c r="A1360" t="str">
        <f t="shared" si="21"/>
        <v>76228843</v>
      </c>
      <c r="B1360">
        <v>76228843</v>
      </c>
      <c r="C1360" t="s">
        <v>6996</v>
      </c>
      <c r="D1360" t="s">
        <v>6997</v>
      </c>
      <c r="E1360">
        <v>4408592</v>
      </c>
      <c r="F1360" t="s">
        <v>742</v>
      </c>
      <c r="G1360" t="s">
        <v>823</v>
      </c>
      <c r="H1360" t="s">
        <v>6995</v>
      </c>
      <c r="I1360" s="12">
        <v>45015</v>
      </c>
      <c r="J1360">
        <v>1</v>
      </c>
      <c r="K1360" t="str">
        <f>VLOOKUP(A1360,'TV May Monthly Billing Sites'!$A:$L,1,0)</f>
        <v>76228843</v>
      </c>
    </row>
    <row r="1361" spans="1:11">
      <c r="A1361" t="str">
        <f t="shared" si="21"/>
        <v>76228891</v>
      </c>
      <c r="B1361">
        <v>76228891</v>
      </c>
      <c r="C1361" t="s">
        <v>6998</v>
      </c>
      <c r="D1361" t="s">
        <v>6999</v>
      </c>
      <c r="E1361">
        <v>4408593</v>
      </c>
      <c r="F1361" t="s">
        <v>742</v>
      </c>
      <c r="G1361" t="s">
        <v>782</v>
      </c>
      <c r="H1361" t="s">
        <v>7000</v>
      </c>
      <c r="I1361" s="12">
        <v>45566</v>
      </c>
      <c r="J1361">
        <v>1</v>
      </c>
      <c r="K1361" t="str">
        <f>VLOOKUP(A1361,'TV May Monthly Billing Sites'!$A:$L,1,0)</f>
        <v>76228891</v>
      </c>
    </row>
    <row r="1362" spans="1:11">
      <c r="A1362" t="str">
        <f t="shared" si="21"/>
        <v>76228901</v>
      </c>
      <c r="B1362">
        <v>76228901</v>
      </c>
      <c r="C1362" t="s">
        <v>7001</v>
      </c>
      <c r="D1362" t="s">
        <v>3999</v>
      </c>
      <c r="E1362">
        <v>4508675</v>
      </c>
      <c r="F1362" t="s">
        <v>742</v>
      </c>
      <c r="G1362" t="s">
        <v>828</v>
      </c>
      <c r="H1362" t="s">
        <v>1179</v>
      </c>
      <c r="I1362" s="12">
        <v>45271</v>
      </c>
      <c r="J1362">
        <v>1</v>
      </c>
      <c r="K1362" t="str">
        <f>VLOOKUP(A1362,'TV May Monthly Billing Sites'!$A:$L,1,0)</f>
        <v>76228901</v>
      </c>
    </row>
    <row r="1363" spans="1:11">
      <c r="A1363" t="str">
        <f t="shared" si="21"/>
        <v>76228906</v>
      </c>
      <c r="B1363">
        <v>76228906</v>
      </c>
      <c r="C1363" t="s">
        <v>7002</v>
      </c>
      <c r="D1363" t="s">
        <v>7003</v>
      </c>
      <c r="E1363">
        <v>4508714</v>
      </c>
      <c r="F1363" t="s">
        <v>742</v>
      </c>
      <c r="G1363" t="s">
        <v>743</v>
      </c>
      <c r="H1363" t="s">
        <v>1179</v>
      </c>
      <c r="I1363" s="12">
        <v>45635</v>
      </c>
      <c r="J1363">
        <v>1</v>
      </c>
      <c r="K1363" t="str">
        <f>VLOOKUP(A1363,'TV May Monthly Billing Sites'!$A:$L,1,0)</f>
        <v>76228906</v>
      </c>
    </row>
    <row r="1364" spans="1:11">
      <c r="A1364" t="str">
        <f t="shared" si="21"/>
        <v>76228921</v>
      </c>
      <c r="B1364">
        <v>76228921</v>
      </c>
      <c r="C1364" t="s">
        <v>7004</v>
      </c>
      <c r="D1364" t="s">
        <v>4005</v>
      </c>
      <c r="E1364">
        <v>4508714</v>
      </c>
      <c r="F1364" t="s">
        <v>742</v>
      </c>
      <c r="G1364" t="s">
        <v>743</v>
      </c>
      <c r="H1364" t="s">
        <v>852</v>
      </c>
      <c r="I1364" s="12">
        <v>45545</v>
      </c>
      <c r="J1364">
        <v>1</v>
      </c>
      <c r="K1364" t="str">
        <f>VLOOKUP(A1364,'TV May Monthly Billing Sites'!$A:$L,1,0)</f>
        <v>76228921</v>
      </c>
    </row>
    <row r="1365" spans="1:11">
      <c r="A1365" t="str">
        <f t="shared" si="21"/>
        <v>76229191</v>
      </c>
      <c r="B1365">
        <v>76229191</v>
      </c>
      <c r="C1365" t="s">
        <v>7005</v>
      </c>
      <c r="D1365" t="s">
        <v>4007</v>
      </c>
      <c r="E1365">
        <v>4508714</v>
      </c>
      <c r="F1365" t="s">
        <v>742</v>
      </c>
      <c r="G1365" t="s">
        <v>743</v>
      </c>
      <c r="H1365" t="s">
        <v>6114</v>
      </c>
      <c r="I1365" s="12">
        <v>45659</v>
      </c>
      <c r="J1365">
        <v>1</v>
      </c>
      <c r="K1365" t="str">
        <f>VLOOKUP(A1365,'TV May Monthly Billing Sites'!$A:$L,1,0)</f>
        <v>76229191</v>
      </c>
    </row>
    <row r="1366" spans="1:11">
      <c r="A1366" t="str">
        <f t="shared" si="21"/>
        <v>76229254</v>
      </c>
      <c r="B1366">
        <v>76229254</v>
      </c>
      <c r="C1366" t="s">
        <v>7006</v>
      </c>
      <c r="D1366" t="s">
        <v>7007</v>
      </c>
      <c r="E1366">
        <v>4408592</v>
      </c>
      <c r="F1366" t="s">
        <v>742</v>
      </c>
      <c r="G1366" t="s">
        <v>823</v>
      </c>
      <c r="H1366" t="s">
        <v>1183</v>
      </c>
      <c r="I1366" s="12">
        <v>45047</v>
      </c>
      <c r="J1366">
        <v>1</v>
      </c>
      <c r="K1366" t="str">
        <f>VLOOKUP(A1366,'TV May Monthly Billing Sites'!$A:$L,1,0)</f>
        <v>76229254</v>
      </c>
    </row>
    <row r="1367" spans="1:11">
      <c r="A1367" t="str">
        <f t="shared" si="21"/>
        <v>76229387</v>
      </c>
      <c r="B1367">
        <v>76229387</v>
      </c>
      <c r="C1367" t="s">
        <v>7008</v>
      </c>
      <c r="D1367" t="s">
        <v>4011</v>
      </c>
      <c r="E1367">
        <v>4408592</v>
      </c>
      <c r="F1367" t="s">
        <v>742</v>
      </c>
      <c r="G1367" t="s">
        <v>823</v>
      </c>
      <c r="H1367" t="s">
        <v>4797</v>
      </c>
      <c r="I1367" s="12">
        <v>44533</v>
      </c>
      <c r="J1367">
        <v>1</v>
      </c>
      <c r="K1367" t="str">
        <f>VLOOKUP(A1367,'TV May Monthly Billing Sites'!$A:$L,1,0)</f>
        <v>76229387</v>
      </c>
    </row>
    <row r="1368" spans="1:11">
      <c r="A1368" t="str">
        <f t="shared" si="21"/>
        <v>76229397</v>
      </c>
      <c r="B1368">
        <v>76229397</v>
      </c>
      <c r="C1368" t="s">
        <v>7009</v>
      </c>
      <c r="D1368" t="s">
        <v>4013</v>
      </c>
      <c r="E1368">
        <v>4408593</v>
      </c>
      <c r="F1368" t="s">
        <v>742</v>
      </c>
      <c r="G1368" t="s">
        <v>782</v>
      </c>
      <c r="H1368" t="s">
        <v>6218</v>
      </c>
      <c r="I1368" s="12">
        <v>45691</v>
      </c>
      <c r="J1368">
        <v>1</v>
      </c>
      <c r="K1368" t="str">
        <f>VLOOKUP(A1368,'TV May Monthly Billing Sites'!$A:$L,1,0)</f>
        <v>76229397</v>
      </c>
    </row>
    <row r="1369" spans="1:11">
      <c r="A1369" t="str">
        <f t="shared" si="21"/>
        <v>76229450</v>
      </c>
      <c r="B1369">
        <v>76229450</v>
      </c>
      <c r="C1369" t="s">
        <v>7010</v>
      </c>
      <c r="D1369" t="s">
        <v>4016</v>
      </c>
      <c r="E1369">
        <v>4408593</v>
      </c>
      <c r="F1369" t="s">
        <v>742</v>
      </c>
      <c r="G1369" t="s">
        <v>782</v>
      </c>
      <c r="H1369" t="s">
        <v>5552</v>
      </c>
      <c r="I1369" s="12">
        <v>45107</v>
      </c>
      <c r="J1369">
        <v>1</v>
      </c>
      <c r="K1369" t="str">
        <f>VLOOKUP(A1369,'TV May Monthly Billing Sites'!$A:$L,1,0)</f>
        <v>76229450</v>
      </c>
    </row>
    <row r="1370" spans="1:11">
      <c r="A1370" t="str">
        <f t="shared" si="21"/>
        <v>76229451</v>
      </c>
      <c r="B1370">
        <v>76229451</v>
      </c>
      <c r="C1370" t="s">
        <v>7011</v>
      </c>
      <c r="D1370" t="s">
        <v>4018</v>
      </c>
      <c r="E1370">
        <v>4408593</v>
      </c>
      <c r="F1370" t="s">
        <v>742</v>
      </c>
      <c r="G1370" t="s">
        <v>782</v>
      </c>
      <c r="H1370" t="s">
        <v>7012</v>
      </c>
      <c r="I1370" s="12">
        <v>45624</v>
      </c>
      <c r="J1370">
        <v>1</v>
      </c>
      <c r="K1370" t="str">
        <f>VLOOKUP(A1370,'TV May Monthly Billing Sites'!$A:$L,1,0)</f>
        <v>76229451</v>
      </c>
    </row>
    <row r="1371" spans="1:11">
      <c r="A1371" t="str">
        <f t="shared" si="21"/>
        <v>76229460</v>
      </c>
      <c r="B1371">
        <v>76229460</v>
      </c>
      <c r="C1371" t="s">
        <v>7013</v>
      </c>
      <c r="D1371" t="s">
        <v>4020</v>
      </c>
      <c r="E1371">
        <v>4508714</v>
      </c>
      <c r="F1371" t="s">
        <v>742</v>
      </c>
      <c r="G1371" t="s">
        <v>743</v>
      </c>
      <c r="H1371" t="s">
        <v>5159</v>
      </c>
      <c r="I1371" s="12">
        <v>45637</v>
      </c>
      <c r="J1371">
        <v>1</v>
      </c>
      <c r="K1371" t="str">
        <f>VLOOKUP(A1371,'TV May Monthly Billing Sites'!$A:$L,1,0)</f>
        <v>76229460</v>
      </c>
    </row>
    <row r="1372" spans="1:11">
      <c r="A1372" t="str">
        <f t="shared" si="21"/>
        <v>76229466</v>
      </c>
      <c r="B1372">
        <v>76229466</v>
      </c>
      <c r="C1372" t="s">
        <v>7014</v>
      </c>
      <c r="D1372" t="s">
        <v>7015</v>
      </c>
      <c r="E1372">
        <v>4508714</v>
      </c>
      <c r="F1372" t="s">
        <v>742</v>
      </c>
      <c r="G1372" t="s">
        <v>743</v>
      </c>
      <c r="H1372" t="s">
        <v>5159</v>
      </c>
      <c r="I1372" s="12">
        <v>45637</v>
      </c>
      <c r="J1372">
        <v>1</v>
      </c>
      <c r="K1372" t="str">
        <f>VLOOKUP(A1372,'TV May Monthly Billing Sites'!$A:$L,1,0)</f>
        <v>76229466</v>
      </c>
    </row>
    <row r="1373" spans="1:11">
      <c r="A1373" t="str">
        <f t="shared" si="21"/>
        <v>76229491</v>
      </c>
      <c r="B1373">
        <v>76229491</v>
      </c>
      <c r="C1373" t="s">
        <v>7016</v>
      </c>
      <c r="D1373" t="s">
        <v>4024</v>
      </c>
      <c r="E1373">
        <v>4408593</v>
      </c>
      <c r="F1373" t="s">
        <v>742</v>
      </c>
      <c r="G1373" t="s">
        <v>782</v>
      </c>
      <c r="H1373" t="s">
        <v>7017</v>
      </c>
      <c r="I1373" s="12">
        <v>45820</v>
      </c>
      <c r="J1373">
        <v>1</v>
      </c>
      <c r="K1373" t="str">
        <f>VLOOKUP(A1373,'TV May Monthly Billing Sites'!$A:$L,1,0)</f>
        <v>76229491</v>
      </c>
    </row>
    <row r="1374" spans="1:11">
      <c r="A1374" t="str">
        <f t="shared" si="21"/>
        <v>76229492</v>
      </c>
      <c r="B1374">
        <v>76229492</v>
      </c>
      <c r="C1374" t="s">
        <v>7018</v>
      </c>
      <c r="D1374" t="s">
        <v>7019</v>
      </c>
      <c r="E1374">
        <v>4508714</v>
      </c>
      <c r="F1374" t="s">
        <v>742</v>
      </c>
      <c r="G1374" t="s">
        <v>743</v>
      </c>
      <c r="H1374" t="s">
        <v>6396</v>
      </c>
      <c r="I1374" s="12">
        <v>45625</v>
      </c>
      <c r="J1374">
        <v>1</v>
      </c>
      <c r="K1374" t="str">
        <f>VLOOKUP(A1374,'TV May Monthly Billing Sites'!$A:$L,1,0)</f>
        <v>76229492</v>
      </c>
    </row>
    <row r="1375" spans="1:11">
      <c r="A1375" t="str">
        <f t="shared" si="21"/>
        <v>76229543</v>
      </c>
      <c r="B1375">
        <v>76229543</v>
      </c>
      <c r="C1375" t="s">
        <v>7020</v>
      </c>
      <c r="D1375" t="s">
        <v>7021</v>
      </c>
      <c r="E1375">
        <v>4508675</v>
      </c>
      <c r="F1375" t="s">
        <v>742</v>
      </c>
      <c r="G1375" t="s">
        <v>828</v>
      </c>
      <c r="H1375" t="s">
        <v>1171</v>
      </c>
      <c r="I1375" s="12">
        <v>44760</v>
      </c>
      <c r="J1375">
        <v>1</v>
      </c>
      <c r="K1375" t="str">
        <f>VLOOKUP(A1375,'TV May Monthly Billing Sites'!$A:$L,1,0)</f>
        <v>76229543</v>
      </c>
    </row>
    <row r="1376" spans="1:11">
      <c r="A1376" t="str">
        <f t="shared" si="21"/>
        <v>76229569</v>
      </c>
      <c r="B1376">
        <v>76229569</v>
      </c>
      <c r="C1376" t="s">
        <v>7022</v>
      </c>
      <c r="D1376" t="s">
        <v>4030</v>
      </c>
      <c r="E1376">
        <v>4508714</v>
      </c>
      <c r="F1376" t="s">
        <v>742</v>
      </c>
      <c r="G1376" t="s">
        <v>743</v>
      </c>
      <c r="H1376" t="s">
        <v>5870</v>
      </c>
      <c r="I1376" s="12">
        <v>45933</v>
      </c>
      <c r="J1376">
        <v>1</v>
      </c>
      <c r="K1376" t="str">
        <f>VLOOKUP(A1376,'TV May Monthly Billing Sites'!$A:$L,1,0)</f>
        <v>76229569</v>
      </c>
    </row>
    <row r="1377" spans="1:11">
      <c r="A1377" t="str">
        <f t="shared" si="21"/>
        <v>76229603</v>
      </c>
      <c r="B1377">
        <v>76229603</v>
      </c>
      <c r="C1377" t="s">
        <v>7023</v>
      </c>
      <c r="D1377" t="s">
        <v>4032</v>
      </c>
      <c r="E1377">
        <v>4408593</v>
      </c>
      <c r="F1377" t="s">
        <v>742</v>
      </c>
      <c r="G1377" t="s">
        <v>782</v>
      </c>
      <c r="H1377" t="s">
        <v>7024</v>
      </c>
      <c r="I1377" s="12">
        <v>44532</v>
      </c>
      <c r="J1377">
        <v>1</v>
      </c>
      <c r="K1377" t="str">
        <f>VLOOKUP(A1377,'TV May Monthly Billing Sites'!$A:$L,1,0)</f>
        <v>76229603</v>
      </c>
    </row>
    <row r="1378" spans="1:11">
      <c r="A1378" t="str">
        <f t="shared" si="21"/>
        <v>76229663</v>
      </c>
      <c r="B1378">
        <v>76229663</v>
      </c>
      <c r="C1378" t="s">
        <v>7025</v>
      </c>
      <c r="D1378" t="s">
        <v>4034</v>
      </c>
      <c r="E1378">
        <v>4408592</v>
      </c>
      <c r="F1378" t="s">
        <v>742</v>
      </c>
      <c r="G1378" t="s">
        <v>823</v>
      </c>
      <c r="H1378" t="s">
        <v>6244</v>
      </c>
      <c r="I1378" s="12">
        <v>45818</v>
      </c>
      <c r="J1378">
        <v>1</v>
      </c>
      <c r="K1378" t="str">
        <f>VLOOKUP(A1378,'TV May Monthly Billing Sites'!$A:$L,1,0)</f>
        <v>76229663</v>
      </c>
    </row>
    <row r="1379" spans="1:11">
      <c r="A1379" t="str">
        <f t="shared" si="21"/>
        <v>76229664</v>
      </c>
      <c r="B1379">
        <v>76229664</v>
      </c>
      <c r="C1379" t="s">
        <v>7026</v>
      </c>
      <c r="D1379" t="s">
        <v>7027</v>
      </c>
      <c r="E1379">
        <v>4408592</v>
      </c>
      <c r="F1379" t="s">
        <v>742</v>
      </c>
      <c r="G1379" t="s">
        <v>823</v>
      </c>
      <c r="H1379" t="s">
        <v>6244</v>
      </c>
      <c r="I1379" s="12">
        <v>45818</v>
      </c>
      <c r="J1379">
        <v>1</v>
      </c>
      <c r="K1379" t="str">
        <f>VLOOKUP(A1379,'TV May Monthly Billing Sites'!$A:$L,1,0)</f>
        <v>76229664</v>
      </c>
    </row>
    <row r="1380" spans="1:11">
      <c r="A1380" t="str">
        <f t="shared" si="21"/>
        <v>76229670</v>
      </c>
      <c r="B1380">
        <v>76229670</v>
      </c>
      <c r="C1380" t="s">
        <v>7028</v>
      </c>
      <c r="D1380" t="s">
        <v>7029</v>
      </c>
      <c r="E1380">
        <v>4408592</v>
      </c>
      <c r="F1380" t="s">
        <v>742</v>
      </c>
      <c r="G1380" t="s">
        <v>823</v>
      </c>
      <c r="H1380" t="s">
        <v>6244</v>
      </c>
      <c r="I1380" s="12">
        <v>45818</v>
      </c>
      <c r="J1380">
        <v>1</v>
      </c>
      <c r="K1380" t="str">
        <f>VLOOKUP(A1380,'TV May Monthly Billing Sites'!$A:$L,1,0)</f>
        <v>76229670</v>
      </c>
    </row>
    <row r="1381" spans="1:11">
      <c r="A1381" t="str">
        <f t="shared" si="21"/>
        <v>76229722</v>
      </c>
      <c r="B1381">
        <v>76229722</v>
      </c>
      <c r="C1381" t="s">
        <v>7030</v>
      </c>
      <c r="D1381" t="s">
        <v>4040</v>
      </c>
      <c r="E1381">
        <v>4408593</v>
      </c>
      <c r="F1381" t="s">
        <v>742</v>
      </c>
      <c r="G1381" t="s">
        <v>782</v>
      </c>
      <c r="H1381" t="s">
        <v>6289</v>
      </c>
      <c r="I1381" s="12">
        <v>45629</v>
      </c>
      <c r="J1381">
        <v>1</v>
      </c>
      <c r="K1381" t="str">
        <f>VLOOKUP(A1381,'TV May Monthly Billing Sites'!$A:$L,1,0)</f>
        <v>76229722</v>
      </c>
    </row>
    <row r="1382" spans="1:11">
      <c r="A1382" t="str">
        <f t="shared" si="21"/>
        <v>76229725</v>
      </c>
      <c r="B1382">
        <v>76229725</v>
      </c>
      <c r="C1382" t="s">
        <v>7031</v>
      </c>
      <c r="D1382" t="s">
        <v>7032</v>
      </c>
      <c r="E1382">
        <v>4408593</v>
      </c>
      <c r="F1382" t="s">
        <v>742</v>
      </c>
      <c r="G1382" t="s">
        <v>782</v>
      </c>
      <c r="H1382" t="s">
        <v>6289</v>
      </c>
      <c r="I1382" s="12">
        <v>45629</v>
      </c>
      <c r="J1382">
        <v>1</v>
      </c>
      <c r="K1382" t="str">
        <f>VLOOKUP(A1382,'TV May Monthly Billing Sites'!$A:$L,1,0)</f>
        <v>76229725</v>
      </c>
    </row>
    <row r="1383" spans="1:11">
      <c r="A1383" t="str">
        <f t="shared" si="21"/>
        <v>76229726</v>
      </c>
      <c r="B1383">
        <v>76229726</v>
      </c>
      <c r="C1383" t="s">
        <v>7033</v>
      </c>
      <c r="D1383" t="s">
        <v>7034</v>
      </c>
      <c r="E1383">
        <v>4408593</v>
      </c>
      <c r="F1383" t="s">
        <v>742</v>
      </c>
      <c r="G1383" t="s">
        <v>782</v>
      </c>
      <c r="H1383" t="s">
        <v>6289</v>
      </c>
      <c r="I1383" s="12">
        <v>45629</v>
      </c>
      <c r="J1383">
        <v>1</v>
      </c>
      <c r="K1383" t="str">
        <f>VLOOKUP(A1383,'TV May Monthly Billing Sites'!$A:$L,1,0)</f>
        <v>76229726</v>
      </c>
    </row>
    <row r="1384" spans="1:11">
      <c r="A1384" t="str">
        <f t="shared" si="21"/>
        <v>76229727</v>
      </c>
      <c r="B1384">
        <v>76229727</v>
      </c>
      <c r="C1384" t="s">
        <v>7035</v>
      </c>
      <c r="D1384" t="s">
        <v>4046</v>
      </c>
      <c r="E1384">
        <v>4408593</v>
      </c>
      <c r="F1384" t="s">
        <v>742</v>
      </c>
      <c r="G1384" t="s">
        <v>782</v>
      </c>
      <c r="H1384" t="s">
        <v>6289</v>
      </c>
      <c r="I1384" s="12">
        <v>45629</v>
      </c>
      <c r="J1384">
        <v>1</v>
      </c>
      <c r="K1384" t="str">
        <f>VLOOKUP(A1384,'TV May Monthly Billing Sites'!$A:$L,1,0)</f>
        <v>76229727</v>
      </c>
    </row>
    <row r="1385" spans="1:11">
      <c r="A1385" t="str">
        <f t="shared" si="21"/>
        <v>76229750</v>
      </c>
      <c r="B1385">
        <v>76229750</v>
      </c>
      <c r="C1385" t="s">
        <v>7036</v>
      </c>
      <c r="D1385" t="s">
        <v>4048</v>
      </c>
      <c r="E1385">
        <v>4508714</v>
      </c>
      <c r="F1385" t="s">
        <v>742</v>
      </c>
      <c r="G1385" t="s">
        <v>743</v>
      </c>
      <c r="H1385" t="s">
        <v>6667</v>
      </c>
      <c r="I1385" s="12">
        <v>45715</v>
      </c>
      <c r="J1385">
        <v>1</v>
      </c>
      <c r="K1385" t="str">
        <f>VLOOKUP(A1385,'TV May Monthly Billing Sites'!$A:$L,1,0)</f>
        <v>76229750</v>
      </c>
    </row>
    <row r="1386" spans="1:11">
      <c r="A1386" t="str">
        <f t="shared" si="21"/>
        <v>76229774</v>
      </c>
      <c r="B1386">
        <v>76229774</v>
      </c>
      <c r="C1386" t="s">
        <v>7037</v>
      </c>
      <c r="D1386" t="s">
        <v>7038</v>
      </c>
      <c r="E1386">
        <v>4408592</v>
      </c>
      <c r="F1386" t="s">
        <v>742</v>
      </c>
      <c r="G1386" t="s">
        <v>823</v>
      </c>
      <c r="H1386" t="s">
        <v>7039</v>
      </c>
      <c r="I1386" s="12">
        <v>45859</v>
      </c>
      <c r="J1386">
        <v>1</v>
      </c>
      <c r="K1386" t="str">
        <f>VLOOKUP(A1386,'TV May Monthly Billing Sites'!$A:$L,1,0)</f>
        <v>76229774</v>
      </c>
    </row>
    <row r="1387" spans="1:11">
      <c r="A1387" t="str">
        <f t="shared" si="21"/>
        <v>76229810</v>
      </c>
      <c r="B1387">
        <v>76229810</v>
      </c>
      <c r="C1387" t="s">
        <v>7040</v>
      </c>
      <c r="D1387" t="s">
        <v>7041</v>
      </c>
      <c r="E1387">
        <v>4408593</v>
      </c>
      <c r="F1387" t="s">
        <v>742</v>
      </c>
      <c r="G1387" t="s">
        <v>782</v>
      </c>
      <c r="H1387" t="s">
        <v>6775</v>
      </c>
      <c r="I1387" s="12">
        <v>45622</v>
      </c>
      <c r="J1387">
        <v>2</v>
      </c>
      <c r="K1387" t="str">
        <f>VLOOKUP(A1387,'TV May Monthly Billing Sites'!$A:$L,1,0)</f>
        <v>76229810</v>
      </c>
    </row>
    <row r="1388" spans="1:11">
      <c r="A1388" t="str">
        <f t="shared" si="21"/>
        <v>76230012</v>
      </c>
      <c r="B1388">
        <v>76230012</v>
      </c>
      <c r="C1388" t="s">
        <v>7042</v>
      </c>
      <c r="D1388" t="s">
        <v>4054</v>
      </c>
      <c r="E1388">
        <v>4508714</v>
      </c>
      <c r="F1388" t="s">
        <v>742</v>
      </c>
      <c r="G1388" t="s">
        <v>743</v>
      </c>
      <c r="H1388" t="s">
        <v>751</v>
      </c>
      <c r="I1388" s="12">
        <v>45747</v>
      </c>
      <c r="J1388">
        <v>1</v>
      </c>
      <c r="K1388" t="str">
        <f>VLOOKUP(A1388,'TV May Monthly Billing Sites'!$A:$L,1,0)</f>
        <v>76230012</v>
      </c>
    </row>
    <row r="1389" spans="1:11">
      <c r="A1389" t="str">
        <f t="shared" si="21"/>
        <v>76230022</v>
      </c>
      <c r="B1389">
        <v>76230022</v>
      </c>
      <c r="C1389" t="s">
        <v>7043</v>
      </c>
      <c r="D1389" t="s">
        <v>4056</v>
      </c>
      <c r="E1389">
        <v>4408593</v>
      </c>
      <c r="F1389" t="s">
        <v>742</v>
      </c>
      <c r="G1389" t="s">
        <v>782</v>
      </c>
      <c r="H1389" t="s">
        <v>6114</v>
      </c>
      <c r="I1389" s="12">
        <v>45972</v>
      </c>
      <c r="J1389">
        <v>1</v>
      </c>
      <c r="K1389" t="str">
        <f>VLOOKUP(A1389,'TV May Monthly Billing Sites'!$A:$L,1,0)</f>
        <v>76230022</v>
      </c>
    </row>
    <row r="1390" spans="1:11">
      <c r="A1390" t="str">
        <f t="shared" si="21"/>
        <v>76230023</v>
      </c>
      <c r="B1390">
        <v>76230023</v>
      </c>
      <c r="C1390" t="s">
        <v>7044</v>
      </c>
      <c r="D1390" t="s">
        <v>7045</v>
      </c>
      <c r="E1390">
        <v>4508675</v>
      </c>
      <c r="F1390" t="s">
        <v>742</v>
      </c>
      <c r="G1390" t="s">
        <v>828</v>
      </c>
      <c r="H1390" t="s">
        <v>751</v>
      </c>
      <c r="I1390" s="12">
        <v>45747</v>
      </c>
      <c r="J1390">
        <v>1</v>
      </c>
      <c r="K1390" t="str">
        <f>VLOOKUP(A1390,'TV May Monthly Billing Sites'!$A:$L,1,0)</f>
        <v>76230023</v>
      </c>
    </row>
    <row r="1391" spans="1:11">
      <c r="A1391" t="str">
        <f t="shared" si="21"/>
        <v>76230026</v>
      </c>
      <c r="B1391">
        <v>76230026</v>
      </c>
      <c r="C1391" t="s">
        <v>7046</v>
      </c>
      <c r="D1391" t="s">
        <v>7047</v>
      </c>
      <c r="E1391">
        <v>4508714</v>
      </c>
      <c r="F1391" t="s">
        <v>742</v>
      </c>
      <c r="G1391" t="s">
        <v>743</v>
      </c>
      <c r="H1391" t="s">
        <v>751</v>
      </c>
      <c r="I1391" s="12">
        <v>45747</v>
      </c>
      <c r="J1391">
        <v>1</v>
      </c>
      <c r="K1391" t="str">
        <f>VLOOKUP(A1391,'TV May Monthly Billing Sites'!$A:$L,1,0)</f>
        <v>76230026</v>
      </c>
    </row>
    <row r="1392" spans="1:11">
      <c r="A1392" t="str">
        <f t="shared" si="21"/>
        <v>76230049</v>
      </c>
      <c r="B1392">
        <v>76230049</v>
      </c>
      <c r="C1392" t="s">
        <v>7048</v>
      </c>
      <c r="D1392" t="s">
        <v>4062</v>
      </c>
      <c r="E1392">
        <v>4408592</v>
      </c>
      <c r="F1392" t="s">
        <v>742</v>
      </c>
      <c r="G1392" t="s">
        <v>823</v>
      </c>
      <c r="H1392" t="s">
        <v>6978</v>
      </c>
      <c r="I1392" s="12">
        <v>45978</v>
      </c>
      <c r="J1392">
        <v>1</v>
      </c>
      <c r="K1392" t="str">
        <f>VLOOKUP(A1392,'TV May Monthly Billing Sites'!$A:$L,1,0)</f>
        <v>76230049</v>
      </c>
    </row>
    <row r="1393" spans="1:11">
      <c r="A1393" t="str">
        <f t="shared" si="21"/>
        <v>76230100</v>
      </c>
      <c r="B1393">
        <v>76230100</v>
      </c>
      <c r="C1393" t="s">
        <v>7049</v>
      </c>
      <c r="D1393" t="s">
        <v>4064</v>
      </c>
      <c r="E1393">
        <v>4508675</v>
      </c>
      <c r="F1393" t="s">
        <v>742</v>
      </c>
      <c r="G1393" t="s">
        <v>828</v>
      </c>
      <c r="H1393" t="s">
        <v>6887</v>
      </c>
      <c r="I1393" s="12">
        <v>45607</v>
      </c>
      <c r="J1393">
        <v>1</v>
      </c>
      <c r="K1393" t="str">
        <f>VLOOKUP(A1393,'TV May Monthly Billing Sites'!$A:$L,1,0)</f>
        <v>76230100</v>
      </c>
    </row>
    <row r="1394" spans="1:11">
      <c r="A1394" t="str">
        <f t="shared" si="21"/>
        <v>76230102</v>
      </c>
      <c r="B1394">
        <v>76230102</v>
      </c>
      <c r="C1394" t="s">
        <v>7050</v>
      </c>
      <c r="D1394" t="s">
        <v>4066</v>
      </c>
      <c r="E1394">
        <v>4508675</v>
      </c>
      <c r="F1394" t="s">
        <v>742</v>
      </c>
      <c r="G1394" t="s">
        <v>828</v>
      </c>
      <c r="H1394" t="s">
        <v>6887</v>
      </c>
      <c r="I1394" s="12">
        <v>45607</v>
      </c>
      <c r="J1394">
        <v>1</v>
      </c>
      <c r="K1394" t="str">
        <f>VLOOKUP(A1394,'TV May Monthly Billing Sites'!$A:$L,1,0)</f>
        <v>76230102</v>
      </c>
    </row>
    <row r="1395" spans="1:11">
      <c r="A1395" t="str">
        <f t="shared" si="21"/>
        <v>76230145</v>
      </c>
      <c r="B1395">
        <v>76230145</v>
      </c>
      <c r="C1395" t="s">
        <v>7051</v>
      </c>
      <c r="D1395" t="s">
        <v>4068</v>
      </c>
      <c r="E1395">
        <v>4508714</v>
      </c>
      <c r="F1395" t="s">
        <v>742</v>
      </c>
      <c r="G1395" t="s">
        <v>743</v>
      </c>
      <c r="H1395" t="s">
        <v>1096</v>
      </c>
      <c r="I1395" s="12">
        <v>45961</v>
      </c>
      <c r="J1395">
        <v>1</v>
      </c>
      <c r="K1395" t="str">
        <f>VLOOKUP(A1395,'TV May Monthly Billing Sites'!$A:$L,1,0)</f>
        <v>76230145</v>
      </c>
    </row>
    <row r="1396" spans="1:11">
      <c r="A1396" t="str">
        <f t="shared" si="21"/>
        <v>76230146</v>
      </c>
      <c r="B1396">
        <v>76230146</v>
      </c>
      <c r="C1396" t="s">
        <v>7052</v>
      </c>
      <c r="D1396" t="s">
        <v>4070</v>
      </c>
      <c r="E1396">
        <v>4508714</v>
      </c>
      <c r="F1396" t="s">
        <v>742</v>
      </c>
      <c r="G1396" t="s">
        <v>743</v>
      </c>
      <c r="H1396" t="s">
        <v>1096</v>
      </c>
      <c r="I1396" s="12">
        <v>45961</v>
      </c>
      <c r="J1396">
        <v>1</v>
      </c>
      <c r="K1396" t="str">
        <f>VLOOKUP(A1396,'TV May Monthly Billing Sites'!$A:$L,1,0)</f>
        <v>76230146</v>
      </c>
    </row>
    <row r="1397" spans="1:11">
      <c r="A1397" t="str">
        <f t="shared" si="21"/>
        <v>76230196</v>
      </c>
      <c r="B1397">
        <v>76230196</v>
      </c>
      <c r="C1397" t="s">
        <v>7053</v>
      </c>
      <c r="D1397" t="s">
        <v>7054</v>
      </c>
      <c r="E1397">
        <v>4508714</v>
      </c>
      <c r="F1397" t="s">
        <v>742</v>
      </c>
      <c r="G1397" t="s">
        <v>743</v>
      </c>
      <c r="H1397" t="s">
        <v>1156</v>
      </c>
      <c r="I1397" s="12">
        <v>45628</v>
      </c>
      <c r="J1397">
        <v>1</v>
      </c>
      <c r="K1397" t="str">
        <f>VLOOKUP(A1397,'TV May Monthly Billing Sites'!$A:$L,1,0)</f>
        <v>76230196</v>
      </c>
    </row>
    <row r="1398" spans="1:11">
      <c r="A1398" t="str">
        <f t="shared" si="21"/>
        <v>76230205</v>
      </c>
      <c r="B1398">
        <v>76230205</v>
      </c>
      <c r="C1398" t="s">
        <v>7055</v>
      </c>
      <c r="D1398" t="s">
        <v>7056</v>
      </c>
      <c r="E1398">
        <v>4508714</v>
      </c>
      <c r="F1398" t="s">
        <v>742</v>
      </c>
      <c r="G1398" t="s">
        <v>743</v>
      </c>
      <c r="H1398" t="s">
        <v>6049</v>
      </c>
      <c r="I1398" s="12">
        <v>45971</v>
      </c>
      <c r="J1398">
        <v>1</v>
      </c>
      <c r="K1398" t="str">
        <f>VLOOKUP(A1398,'TV May Monthly Billing Sites'!$A:$L,1,0)</f>
        <v>76230205</v>
      </c>
    </row>
    <row r="1399" spans="1:11">
      <c r="A1399" t="str">
        <f t="shared" si="21"/>
        <v>76230300</v>
      </c>
      <c r="B1399">
        <v>76230300</v>
      </c>
      <c r="C1399" t="s">
        <v>7057</v>
      </c>
      <c r="D1399" t="s">
        <v>4076</v>
      </c>
      <c r="E1399">
        <v>4408593</v>
      </c>
      <c r="F1399" t="s">
        <v>742</v>
      </c>
      <c r="G1399" t="s">
        <v>782</v>
      </c>
      <c r="H1399" t="s">
        <v>7058</v>
      </c>
      <c r="I1399" s="12">
        <v>45638</v>
      </c>
      <c r="J1399">
        <v>1</v>
      </c>
      <c r="K1399" t="str">
        <f>VLOOKUP(A1399,'TV May Monthly Billing Sites'!$A:$L,1,0)</f>
        <v>76230300</v>
      </c>
    </row>
    <row r="1400" spans="1:11">
      <c r="A1400" t="str">
        <f t="shared" si="21"/>
        <v>76230333</v>
      </c>
      <c r="B1400">
        <v>76230333</v>
      </c>
      <c r="C1400" t="s">
        <v>7059</v>
      </c>
      <c r="D1400" t="s">
        <v>4078</v>
      </c>
      <c r="E1400">
        <v>4508714</v>
      </c>
      <c r="F1400" t="s">
        <v>742</v>
      </c>
      <c r="G1400" t="s">
        <v>743</v>
      </c>
      <c r="H1400" t="s">
        <v>6145</v>
      </c>
      <c r="I1400" s="12">
        <v>45964</v>
      </c>
      <c r="J1400">
        <v>1</v>
      </c>
      <c r="K1400" t="str">
        <f>VLOOKUP(A1400,'TV May Monthly Billing Sites'!$A:$L,1,0)</f>
        <v>76230333</v>
      </c>
    </row>
    <row r="1401" spans="1:11">
      <c r="A1401" t="str">
        <f t="shared" si="21"/>
        <v>76230335</v>
      </c>
      <c r="B1401">
        <v>76230335</v>
      </c>
      <c r="C1401" t="s">
        <v>7060</v>
      </c>
      <c r="D1401" t="s">
        <v>7061</v>
      </c>
      <c r="E1401">
        <v>4508714</v>
      </c>
      <c r="F1401" t="s">
        <v>742</v>
      </c>
      <c r="G1401" t="s">
        <v>743</v>
      </c>
      <c r="H1401" t="s">
        <v>7062</v>
      </c>
      <c r="I1401" s="12">
        <v>45827</v>
      </c>
      <c r="J1401">
        <v>1</v>
      </c>
      <c r="K1401" t="str">
        <f>VLOOKUP(A1401,'TV May Monthly Billing Sites'!$A:$L,1,0)</f>
        <v>76230335</v>
      </c>
    </row>
    <row r="1402" spans="1:11">
      <c r="A1402" t="str">
        <f t="shared" si="21"/>
        <v>76230454</v>
      </c>
      <c r="B1402">
        <v>76230454</v>
      </c>
      <c r="C1402" t="s">
        <v>7063</v>
      </c>
      <c r="D1402" t="s">
        <v>4082</v>
      </c>
      <c r="E1402">
        <v>4508714</v>
      </c>
      <c r="F1402" t="s">
        <v>742</v>
      </c>
      <c r="G1402" t="s">
        <v>743</v>
      </c>
      <c r="H1402" t="s">
        <v>4082</v>
      </c>
      <c r="I1402" s="12">
        <v>45814</v>
      </c>
      <c r="J1402">
        <v>1</v>
      </c>
      <c r="K1402" t="str">
        <f>VLOOKUP(A1402,'TV May Monthly Billing Sites'!$A:$L,1,0)</f>
        <v>76230454</v>
      </c>
    </row>
    <row r="1403" spans="1:11">
      <c r="A1403" t="str">
        <f t="shared" si="21"/>
        <v>76230543</v>
      </c>
      <c r="B1403">
        <v>76230543</v>
      </c>
      <c r="C1403" t="s">
        <v>7064</v>
      </c>
      <c r="D1403" t="s">
        <v>4084</v>
      </c>
      <c r="E1403">
        <v>4408592</v>
      </c>
      <c r="F1403" t="s">
        <v>742</v>
      </c>
      <c r="G1403" t="s">
        <v>823</v>
      </c>
      <c r="H1403" t="s">
        <v>6087</v>
      </c>
      <c r="I1403" s="12">
        <v>45775</v>
      </c>
      <c r="J1403">
        <v>1</v>
      </c>
      <c r="K1403" t="str">
        <f>VLOOKUP(A1403,'TV May Monthly Billing Sites'!$A:$L,1,0)</f>
        <v>76230543</v>
      </c>
    </row>
    <row r="1404" spans="1:11">
      <c r="A1404" t="str">
        <f t="shared" si="21"/>
        <v>76230643</v>
      </c>
      <c r="B1404">
        <v>76230643</v>
      </c>
      <c r="C1404" t="s">
        <v>7065</v>
      </c>
      <c r="D1404" t="s">
        <v>4086</v>
      </c>
      <c r="E1404">
        <v>4508675</v>
      </c>
      <c r="F1404" t="s">
        <v>742</v>
      </c>
      <c r="G1404" t="s">
        <v>828</v>
      </c>
      <c r="H1404" t="s">
        <v>6375</v>
      </c>
      <c r="I1404" s="12">
        <v>44979</v>
      </c>
      <c r="J1404">
        <v>1</v>
      </c>
      <c r="K1404" t="str">
        <f>VLOOKUP(A1404,'TV May Monthly Billing Sites'!$A:$L,1,0)</f>
        <v>76230643</v>
      </c>
    </row>
    <row r="1405" spans="1:11">
      <c r="A1405" t="str">
        <f t="shared" si="21"/>
        <v>76230814</v>
      </c>
      <c r="B1405">
        <v>76230814</v>
      </c>
      <c r="C1405" t="s">
        <v>7066</v>
      </c>
      <c r="D1405" t="s">
        <v>7067</v>
      </c>
      <c r="E1405">
        <v>4508692</v>
      </c>
      <c r="F1405" t="s">
        <v>742</v>
      </c>
      <c r="G1405" t="s">
        <v>5338</v>
      </c>
      <c r="H1405" t="s">
        <v>6515</v>
      </c>
      <c r="I1405" s="12">
        <v>45685</v>
      </c>
      <c r="J1405">
        <v>1</v>
      </c>
      <c r="K1405" t="str">
        <f>VLOOKUP(A1405,'TV May Monthly Billing Sites'!$A:$L,1,0)</f>
        <v>76230814</v>
      </c>
    </row>
    <row r="1406" spans="1:11">
      <c r="A1406" t="str">
        <f t="shared" si="21"/>
        <v>76231037</v>
      </c>
      <c r="B1406">
        <v>76231037</v>
      </c>
      <c r="C1406" t="s">
        <v>7068</v>
      </c>
      <c r="D1406" t="s">
        <v>4090</v>
      </c>
      <c r="E1406">
        <v>4408593</v>
      </c>
      <c r="F1406" t="s">
        <v>742</v>
      </c>
      <c r="G1406" t="s">
        <v>782</v>
      </c>
      <c r="H1406" t="s">
        <v>860</v>
      </c>
      <c r="I1406" s="12">
        <v>45604</v>
      </c>
      <c r="J1406">
        <v>1</v>
      </c>
      <c r="K1406" t="str">
        <f>VLOOKUP(A1406,'TV May Monthly Billing Sites'!$A:$L,1,0)</f>
        <v>76231037</v>
      </c>
    </row>
    <row r="1407" spans="1:11">
      <c r="A1407" t="str">
        <f t="shared" si="21"/>
        <v>76231038</v>
      </c>
      <c r="B1407">
        <v>76231038</v>
      </c>
      <c r="C1407" t="s">
        <v>7069</v>
      </c>
      <c r="D1407" t="s">
        <v>4092</v>
      </c>
      <c r="E1407">
        <v>4508714</v>
      </c>
      <c r="F1407" t="s">
        <v>742</v>
      </c>
      <c r="G1407" t="s">
        <v>743</v>
      </c>
      <c r="H1407" t="s">
        <v>860</v>
      </c>
      <c r="I1407" s="12">
        <v>45604</v>
      </c>
      <c r="J1407">
        <v>1</v>
      </c>
      <c r="K1407" t="str">
        <f>VLOOKUP(A1407,'TV May Monthly Billing Sites'!$A:$L,1,0)</f>
        <v>76231038</v>
      </c>
    </row>
    <row r="1408" spans="1:11">
      <c r="A1408" t="str">
        <f t="shared" si="21"/>
        <v>76231060</v>
      </c>
      <c r="B1408">
        <v>76231060</v>
      </c>
      <c r="C1408" t="s">
        <v>7070</v>
      </c>
      <c r="D1408" t="s">
        <v>4094</v>
      </c>
      <c r="E1408">
        <v>4508714</v>
      </c>
      <c r="F1408" t="s">
        <v>742</v>
      </c>
      <c r="G1408" t="s">
        <v>743</v>
      </c>
      <c r="H1408" t="s">
        <v>4094</v>
      </c>
      <c r="I1408" s="12">
        <v>45723</v>
      </c>
      <c r="J1408">
        <v>1</v>
      </c>
      <c r="K1408" t="str">
        <f>VLOOKUP(A1408,'TV May Monthly Billing Sites'!$A:$L,1,0)</f>
        <v>76231060</v>
      </c>
    </row>
    <row r="1409" spans="1:11">
      <c r="A1409" t="str">
        <f t="shared" si="21"/>
        <v>76231116</v>
      </c>
      <c r="B1409">
        <v>76231116</v>
      </c>
      <c r="C1409" t="s">
        <v>7071</v>
      </c>
      <c r="D1409" t="s">
        <v>4096</v>
      </c>
      <c r="E1409">
        <v>4508714</v>
      </c>
      <c r="F1409" t="s">
        <v>742</v>
      </c>
      <c r="G1409" t="s">
        <v>743</v>
      </c>
      <c r="H1409" t="s">
        <v>1096</v>
      </c>
      <c r="I1409" s="12">
        <v>45961</v>
      </c>
      <c r="J1409">
        <v>1</v>
      </c>
      <c r="K1409" t="str">
        <f>VLOOKUP(A1409,'TV May Monthly Billing Sites'!$A:$L,1,0)</f>
        <v>76231116</v>
      </c>
    </row>
    <row r="1410" spans="1:11">
      <c r="A1410" t="str">
        <f t="shared" ref="A1410:A1473" si="22">TRIM(B1410)</f>
        <v>76231141</v>
      </c>
      <c r="B1410">
        <v>76231141</v>
      </c>
      <c r="C1410" t="s">
        <v>7072</v>
      </c>
      <c r="D1410" t="s">
        <v>4098</v>
      </c>
      <c r="E1410">
        <v>4408593</v>
      </c>
      <c r="F1410" t="s">
        <v>742</v>
      </c>
      <c r="G1410" t="s">
        <v>782</v>
      </c>
      <c r="H1410" t="s">
        <v>1038</v>
      </c>
      <c r="I1410" s="12">
        <v>45597</v>
      </c>
      <c r="J1410">
        <v>1</v>
      </c>
      <c r="K1410" t="str">
        <f>VLOOKUP(A1410,'TV May Monthly Billing Sites'!$A:$L,1,0)</f>
        <v>76231141</v>
      </c>
    </row>
    <row r="1411" spans="1:11">
      <c r="A1411" t="str">
        <f t="shared" si="22"/>
        <v>76231265</v>
      </c>
      <c r="B1411">
        <v>76231265</v>
      </c>
      <c r="C1411" t="s">
        <v>7073</v>
      </c>
      <c r="D1411" t="s">
        <v>7074</v>
      </c>
      <c r="E1411">
        <v>4508714</v>
      </c>
      <c r="F1411" t="s">
        <v>742</v>
      </c>
      <c r="G1411" t="s">
        <v>743</v>
      </c>
      <c r="H1411" t="s">
        <v>7075</v>
      </c>
      <c r="I1411" s="12">
        <v>45735</v>
      </c>
      <c r="J1411">
        <v>1</v>
      </c>
      <c r="K1411" t="str">
        <f>VLOOKUP(A1411,'TV May Monthly Billing Sites'!$A:$L,1,0)</f>
        <v>76231265</v>
      </c>
    </row>
    <row r="1412" spans="1:11">
      <c r="A1412" t="str">
        <f t="shared" si="22"/>
        <v>76231336</v>
      </c>
      <c r="B1412">
        <v>76231336</v>
      </c>
      <c r="C1412" t="s">
        <v>7076</v>
      </c>
      <c r="D1412" t="s">
        <v>4102</v>
      </c>
      <c r="E1412">
        <v>4408592</v>
      </c>
      <c r="F1412" t="s">
        <v>742</v>
      </c>
      <c r="G1412" t="s">
        <v>823</v>
      </c>
      <c r="H1412" t="s">
        <v>7077</v>
      </c>
      <c r="I1412" s="12">
        <v>45379</v>
      </c>
      <c r="J1412">
        <v>1</v>
      </c>
      <c r="K1412" t="str">
        <f>VLOOKUP(A1412,'TV May Monthly Billing Sites'!$A:$L,1,0)</f>
        <v>76231336</v>
      </c>
    </row>
    <row r="1413" spans="1:11">
      <c r="A1413" t="str">
        <f t="shared" si="22"/>
        <v>76231347</v>
      </c>
      <c r="B1413">
        <v>76231347</v>
      </c>
      <c r="C1413" t="s">
        <v>7078</v>
      </c>
      <c r="D1413" t="s">
        <v>7079</v>
      </c>
      <c r="E1413">
        <v>4408592</v>
      </c>
      <c r="F1413" t="s">
        <v>742</v>
      </c>
      <c r="G1413" t="s">
        <v>823</v>
      </c>
      <c r="H1413" t="s">
        <v>7077</v>
      </c>
      <c r="I1413" s="12">
        <v>45379</v>
      </c>
      <c r="J1413">
        <v>1</v>
      </c>
      <c r="K1413" t="str">
        <f>VLOOKUP(A1413,'TV May Monthly Billing Sites'!$A:$L,1,0)</f>
        <v>76231347</v>
      </c>
    </row>
    <row r="1414" spans="1:11">
      <c r="A1414" t="str">
        <f t="shared" si="22"/>
        <v>76231357</v>
      </c>
      <c r="B1414">
        <v>76231357</v>
      </c>
      <c r="C1414" t="s">
        <v>7080</v>
      </c>
      <c r="D1414" t="s">
        <v>7081</v>
      </c>
      <c r="E1414">
        <v>4508714</v>
      </c>
      <c r="F1414" t="s">
        <v>742</v>
      </c>
      <c r="G1414" t="s">
        <v>743</v>
      </c>
      <c r="H1414" t="s">
        <v>6823</v>
      </c>
      <c r="I1414" s="12">
        <v>45581</v>
      </c>
      <c r="J1414">
        <v>1</v>
      </c>
      <c r="K1414" t="str">
        <f>VLOOKUP(A1414,'TV May Monthly Billing Sites'!$A:$L,1,0)</f>
        <v>76231357</v>
      </c>
    </row>
    <row r="1415" spans="1:11">
      <c r="A1415" t="str">
        <f t="shared" si="22"/>
        <v>76231389</v>
      </c>
      <c r="B1415">
        <v>76231389</v>
      </c>
      <c r="C1415" t="s">
        <v>7082</v>
      </c>
      <c r="D1415" t="s">
        <v>7083</v>
      </c>
      <c r="E1415">
        <v>4508675</v>
      </c>
      <c r="F1415" t="s">
        <v>742</v>
      </c>
      <c r="G1415" t="s">
        <v>828</v>
      </c>
      <c r="H1415" t="s">
        <v>5059</v>
      </c>
      <c r="I1415" s="12">
        <v>45770</v>
      </c>
      <c r="J1415">
        <v>1</v>
      </c>
      <c r="K1415" t="str">
        <f>VLOOKUP(A1415,'TV May Monthly Billing Sites'!$A:$L,1,0)</f>
        <v>76231389</v>
      </c>
    </row>
    <row r="1416" spans="1:11">
      <c r="A1416" t="str">
        <f t="shared" si="22"/>
        <v>76231391</v>
      </c>
      <c r="B1416">
        <v>76231391</v>
      </c>
      <c r="C1416" t="s">
        <v>7084</v>
      </c>
      <c r="D1416" t="s">
        <v>4110</v>
      </c>
      <c r="E1416">
        <v>4508675</v>
      </c>
      <c r="F1416" t="s">
        <v>742</v>
      </c>
      <c r="G1416" t="s">
        <v>828</v>
      </c>
      <c r="H1416" t="s">
        <v>5059</v>
      </c>
      <c r="I1416" s="12">
        <v>45832</v>
      </c>
      <c r="J1416">
        <v>1</v>
      </c>
      <c r="K1416" t="str">
        <f>VLOOKUP(A1416,'TV May Monthly Billing Sites'!$A:$L,1,0)</f>
        <v>76231391</v>
      </c>
    </row>
    <row r="1417" spans="1:11">
      <c r="A1417" t="str">
        <f t="shared" si="22"/>
        <v>76231508</v>
      </c>
      <c r="B1417">
        <v>76231508</v>
      </c>
      <c r="C1417" t="s">
        <v>7085</v>
      </c>
      <c r="D1417" t="s">
        <v>4112</v>
      </c>
      <c r="E1417">
        <v>4508682</v>
      </c>
      <c r="F1417" t="s">
        <v>742</v>
      </c>
      <c r="G1417" t="s">
        <v>4879</v>
      </c>
      <c r="H1417" t="s">
        <v>7086</v>
      </c>
      <c r="I1417" s="12">
        <v>44655</v>
      </c>
      <c r="J1417">
        <v>1</v>
      </c>
      <c r="K1417" t="str">
        <f>VLOOKUP(A1417,'TV May Monthly Billing Sites'!$A:$L,1,0)</f>
        <v>76231508</v>
      </c>
    </row>
    <row r="1418" spans="1:11">
      <c r="A1418" t="str">
        <f t="shared" si="22"/>
        <v>76231549</v>
      </c>
      <c r="B1418">
        <v>76231549</v>
      </c>
      <c r="C1418" t="s">
        <v>7087</v>
      </c>
      <c r="D1418" t="s">
        <v>7088</v>
      </c>
      <c r="E1418">
        <v>4508714</v>
      </c>
      <c r="F1418" t="s">
        <v>742</v>
      </c>
      <c r="G1418" t="s">
        <v>743</v>
      </c>
      <c r="H1418" t="s">
        <v>7089</v>
      </c>
      <c r="I1418" s="12">
        <v>45593</v>
      </c>
      <c r="J1418">
        <v>1</v>
      </c>
      <c r="K1418" t="str">
        <f>VLOOKUP(A1418,'TV May Monthly Billing Sites'!$A:$L,1,0)</f>
        <v>76231549</v>
      </c>
    </row>
    <row r="1419" spans="1:11">
      <c r="A1419" t="str">
        <f t="shared" si="22"/>
        <v>76231554</v>
      </c>
      <c r="B1419">
        <v>76231554</v>
      </c>
      <c r="C1419" t="s">
        <v>7090</v>
      </c>
      <c r="D1419" t="s">
        <v>7091</v>
      </c>
      <c r="E1419">
        <v>4508714</v>
      </c>
      <c r="F1419" t="s">
        <v>742</v>
      </c>
      <c r="G1419" t="s">
        <v>743</v>
      </c>
      <c r="H1419" t="s">
        <v>7089</v>
      </c>
      <c r="I1419" s="12">
        <v>45593</v>
      </c>
      <c r="J1419">
        <v>1</v>
      </c>
      <c r="K1419" t="str">
        <f>VLOOKUP(A1419,'TV May Monthly Billing Sites'!$A:$L,1,0)</f>
        <v>76231554</v>
      </c>
    </row>
    <row r="1420" spans="1:11">
      <c r="A1420" t="str">
        <f t="shared" si="22"/>
        <v>76231767</v>
      </c>
      <c r="B1420">
        <v>76231767</v>
      </c>
      <c r="C1420" t="s">
        <v>7092</v>
      </c>
      <c r="D1420" t="s">
        <v>4118</v>
      </c>
      <c r="E1420">
        <v>4508714</v>
      </c>
      <c r="F1420" t="s">
        <v>742</v>
      </c>
      <c r="G1420" t="s">
        <v>743</v>
      </c>
      <c r="H1420" t="s">
        <v>1096</v>
      </c>
      <c r="I1420" s="12">
        <v>45961</v>
      </c>
      <c r="J1420">
        <v>1</v>
      </c>
      <c r="K1420" t="str">
        <f>VLOOKUP(A1420,'TV May Monthly Billing Sites'!$A:$L,1,0)</f>
        <v>76231767</v>
      </c>
    </row>
    <row r="1421" spans="1:11">
      <c r="A1421" t="str">
        <f t="shared" si="22"/>
        <v>76231800</v>
      </c>
      <c r="B1421">
        <v>76231800</v>
      </c>
      <c r="C1421" t="s">
        <v>7093</v>
      </c>
      <c r="D1421" t="s">
        <v>7094</v>
      </c>
      <c r="E1421">
        <v>4508714</v>
      </c>
      <c r="F1421" t="s">
        <v>742</v>
      </c>
      <c r="G1421" t="s">
        <v>743</v>
      </c>
      <c r="H1421" t="s">
        <v>5973</v>
      </c>
      <c r="I1421" s="12">
        <v>45747</v>
      </c>
      <c r="J1421">
        <v>1</v>
      </c>
      <c r="K1421" t="str">
        <f>VLOOKUP(A1421,'TV May Monthly Billing Sites'!$A:$L,1,0)</f>
        <v>76231800</v>
      </c>
    </row>
    <row r="1422" spans="1:11">
      <c r="A1422" t="str">
        <f t="shared" si="22"/>
        <v>76231802</v>
      </c>
      <c r="B1422">
        <v>76231802</v>
      </c>
      <c r="C1422" t="s">
        <v>7095</v>
      </c>
      <c r="D1422" t="s">
        <v>4122</v>
      </c>
      <c r="E1422">
        <v>4508714</v>
      </c>
      <c r="F1422" t="s">
        <v>742</v>
      </c>
      <c r="G1422" t="s">
        <v>743</v>
      </c>
      <c r="H1422" t="s">
        <v>5973</v>
      </c>
      <c r="I1422" s="12">
        <v>45499</v>
      </c>
      <c r="J1422">
        <v>1</v>
      </c>
      <c r="K1422" t="str">
        <f>VLOOKUP(A1422,'TV May Monthly Billing Sites'!$A:$L,1,0)</f>
        <v>76231802</v>
      </c>
    </row>
    <row r="1423" spans="1:11">
      <c r="A1423" t="str">
        <f t="shared" si="22"/>
        <v>76231803</v>
      </c>
      <c r="B1423">
        <v>76231803</v>
      </c>
      <c r="C1423" t="s">
        <v>7096</v>
      </c>
      <c r="D1423" t="s">
        <v>4124</v>
      </c>
      <c r="E1423">
        <v>4508714</v>
      </c>
      <c r="F1423" t="s">
        <v>742</v>
      </c>
      <c r="G1423" t="s">
        <v>743</v>
      </c>
      <c r="H1423" t="s">
        <v>5973</v>
      </c>
      <c r="I1423" s="12">
        <v>45747</v>
      </c>
      <c r="J1423">
        <v>1</v>
      </c>
      <c r="K1423" t="str">
        <f>VLOOKUP(A1423,'TV May Monthly Billing Sites'!$A:$L,1,0)</f>
        <v>76231803</v>
      </c>
    </row>
    <row r="1424" spans="1:11">
      <c r="A1424" t="str">
        <f t="shared" si="22"/>
        <v>76231805</v>
      </c>
      <c r="B1424">
        <v>76231805</v>
      </c>
      <c r="C1424" t="s">
        <v>7097</v>
      </c>
      <c r="D1424" t="s">
        <v>4126</v>
      </c>
      <c r="E1424">
        <v>4508714</v>
      </c>
      <c r="F1424" t="s">
        <v>742</v>
      </c>
      <c r="G1424" t="s">
        <v>743</v>
      </c>
      <c r="H1424" t="s">
        <v>5973</v>
      </c>
      <c r="I1424" s="12">
        <v>45747</v>
      </c>
      <c r="J1424">
        <v>1</v>
      </c>
      <c r="K1424" t="str">
        <f>VLOOKUP(A1424,'TV May Monthly Billing Sites'!$A:$L,1,0)</f>
        <v>76231805</v>
      </c>
    </row>
    <row r="1425" spans="1:11">
      <c r="A1425" t="str">
        <f t="shared" si="22"/>
        <v>76231923</v>
      </c>
      <c r="B1425">
        <v>76231923</v>
      </c>
      <c r="C1425" t="s">
        <v>7098</v>
      </c>
      <c r="D1425" t="s">
        <v>7099</v>
      </c>
      <c r="E1425">
        <v>4508714</v>
      </c>
      <c r="F1425" t="s">
        <v>742</v>
      </c>
      <c r="G1425" t="s">
        <v>743</v>
      </c>
      <c r="H1425" t="s">
        <v>6331</v>
      </c>
      <c r="I1425" s="12">
        <v>45561</v>
      </c>
      <c r="J1425">
        <v>1</v>
      </c>
      <c r="K1425" t="str">
        <f>VLOOKUP(A1425,'TV May Monthly Billing Sites'!$A:$L,1,0)</f>
        <v>76231923</v>
      </c>
    </row>
    <row r="1426" spans="1:11">
      <c r="A1426" t="str">
        <f t="shared" si="22"/>
        <v>76231925</v>
      </c>
      <c r="B1426">
        <v>76231925</v>
      </c>
      <c r="C1426" t="s">
        <v>7100</v>
      </c>
      <c r="D1426" t="s">
        <v>4130</v>
      </c>
      <c r="E1426">
        <v>4508714</v>
      </c>
      <c r="F1426" t="s">
        <v>742</v>
      </c>
      <c r="G1426" t="s">
        <v>743</v>
      </c>
      <c r="H1426" t="s">
        <v>6331</v>
      </c>
      <c r="I1426" s="12">
        <v>45561</v>
      </c>
      <c r="J1426">
        <v>1</v>
      </c>
      <c r="K1426" t="str">
        <f>VLOOKUP(A1426,'TV May Monthly Billing Sites'!$A:$L,1,0)</f>
        <v>76231925</v>
      </c>
    </row>
    <row r="1427" spans="1:11">
      <c r="A1427" t="str">
        <f t="shared" si="22"/>
        <v>76231949</v>
      </c>
      <c r="B1427">
        <v>76231949</v>
      </c>
      <c r="C1427" t="s">
        <v>7101</v>
      </c>
      <c r="D1427" t="s">
        <v>4132</v>
      </c>
      <c r="E1427">
        <v>4508714</v>
      </c>
      <c r="F1427" t="s">
        <v>742</v>
      </c>
      <c r="G1427" t="s">
        <v>743</v>
      </c>
      <c r="H1427" t="s">
        <v>7102</v>
      </c>
      <c r="I1427" s="12">
        <v>45604</v>
      </c>
      <c r="J1427">
        <v>1</v>
      </c>
      <c r="K1427" t="str">
        <f>VLOOKUP(A1427,'TV May Monthly Billing Sites'!$A:$L,1,0)</f>
        <v>76231949</v>
      </c>
    </row>
    <row r="1428" spans="1:11">
      <c r="A1428" t="str">
        <f t="shared" si="22"/>
        <v>76231971</v>
      </c>
      <c r="B1428">
        <v>76231971</v>
      </c>
      <c r="C1428" t="s">
        <v>7103</v>
      </c>
      <c r="D1428" t="s">
        <v>7104</v>
      </c>
      <c r="E1428">
        <v>4508714</v>
      </c>
      <c r="F1428" t="s">
        <v>742</v>
      </c>
      <c r="G1428" t="s">
        <v>743</v>
      </c>
      <c r="H1428" t="s">
        <v>6049</v>
      </c>
      <c r="I1428" s="12">
        <v>45971</v>
      </c>
      <c r="J1428">
        <v>1</v>
      </c>
      <c r="K1428" t="str">
        <f>VLOOKUP(A1428,'TV May Monthly Billing Sites'!$A:$L,1,0)</f>
        <v>76231971</v>
      </c>
    </row>
    <row r="1429" spans="1:11">
      <c r="A1429" t="str">
        <f t="shared" si="22"/>
        <v>76231972</v>
      </c>
      <c r="B1429">
        <v>76231972</v>
      </c>
      <c r="C1429" t="s">
        <v>7105</v>
      </c>
      <c r="D1429" t="s">
        <v>7106</v>
      </c>
      <c r="E1429">
        <v>4508714</v>
      </c>
      <c r="F1429" t="s">
        <v>742</v>
      </c>
      <c r="G1429" t="s">
        <v>743</v>
      </c>
      <c r="H1429" t="s">
        <v>6049</v>
      </c>
      <c r="I1429" s="12">
        <v>45971</v>
      </c>
      <c r="J1429">
        <v>1</v>
      </c>
      <c r="K1429" t="str">
        <f>VLOOKUP(A1429,'TV May Monthly Billing Sites'!$A:$L,1,0)</f>
        <v>76231972</v>
      </c>
    </row>
    <row r="1430" spans="1:11">
      <c r="A1430" t="str">
        <f t="shared" si="22"/>
        <v>76231978</v>
      </c>
      <c r="B1430">
        <v>76231978</v>
      </c>
      <c r="C1430" t="s">
        <v>7107</v>
      </c>
      <c r="D1430" t="s">
        <v>4138</v>
      </c>
      <c r="E1430">
        <v>4508714</v>
      </c>
      <c r="F1430" t="s">
        <v>742</v>
      </c>
      <c r="G1430" t="s">
        <v>743</v>
      </c>
      <c r="H1430" t="s">
        <v>6049</v>
      </c>
      <c r="I1430" s="12">
        <v>45971</v>
      </c>
      <c r="J1430">
        <v>1</v>
      </c>
      <c r="K1430" t="str">
        <f>VLOOKUP(A1430,'TV May Monthly Billing Sites'!$A:$L,1,0)</f>
        <v>76231978</v>
      </c>
    </row>
    <row r="1431" spans="1:11">
      <c r="A1431" t="str">
        <f t="shared" si="22"/>
        <v>76232056</v>
      </c>
      <c r="B1431">
        <v>76232056</v>
      </c>
      <c r="C1431" t="s">
        <v>7108</v>
      </c>
      <c r="D1431" t="s">
        <v>7109</v>
      </c>
      <c r="E1431">
        <v>4408592</v>
      </c>
      <c r="F1431" t="s">
        <v>742</v>
      </c>
      <c r="G1431" t="s">
        <v>823</v>
      </c>
      <c r="H1431" t="s">
        <v>6995</v>
      </c>
      <c r="I1431" s="12">
        <v>46106</v>
      </c>
      <c r="J1431">
        <v>1</v>
      </c>
      <c r="K1431" t="str">
        <f>VLOOKUP(A1431,'TV May Monthly Billing Sites'!$A:$L,1,0)</f>
        <v>76232056</v>
      </c>
    </row>
    <row r="1432" spans="1:11">
      <c r="A1432" t="str">
        <f t="shared" si="22"/>
        <v>76232066</v>
      </c>
      <c r="B1432">
        <v>76232066</v>
      </c>
      <c r="C1432" t="s">
        <v>7110</v>
      </c>
      <c r="D1432" t="s">
        <v>7111</v>
      </c>
      <c r="E1432">
        <v>4408593</v>
      </c>
      <c r="F1432" t="s">
        <v>742</v>
      </c>
      <c r="G1432" t="s">
        <v>782</v>
      </c>
      <c r="H1432" t="s">
        <v>5252</v>
      </c>
      <c r="I1432" s="12">
        <v>45439</v>
      </c>
      <c r="J1432">
        <v>1</v>
      </c>
      <c r="K1432" t="str">
        <f>VLOOKUP(A1432,'TV May Monthly Billing Sites'!$A:$L,1,0)</f>
        <v>76232066</v>
      </c>
    </row>
    <row r="1433" spans="1:11">
      <c r="A1433" t="str">
        <f t="shared" si="22"/>
        <v>76232569</v>
      </c>
      <c r="B1433">
        <v>76232569</v>
      </c>
      <c r="C1433" t="s">
        <v>7112</v>
      </c>
      <c r="D1433" t="s">
        <v>4144</v>
      </c>
      <c r="E1433">
        <v>4508675</v>
      </c>
      <c r="F1433" t="s">
        <v>742</v>
      </c>
      <c r="G1433" t="s">
        <v>828</v>
      </c>
      <c r="H1433" t="s">
        <v>7113</v>
      </c>
      <c r="I1433" s="12">
        <v>45237</v>
      </c>
      <c r="J1433">
        <v>1</v>
      </c>
      <c r="K1433" t="str">
        <f>VLOOKUP(A1433,'TV May Monthly Billing Sites'!$A:$L,1,0)</f>
        <v>76232569</v>
      </c>
    </row>
    <row r="1434" spans="1:11">
      <c r="A1434" t="str">
        <f t="shared" si="22"/>
        <v>76232628</v>
      </c>
      <c r="B1434">
        <v>76232628</v>
      </c>
      <c r="C1434" t="s">
        <v>7114</v>
      </c>
      <c r="D1434" t="s">
        <v>4146</v>
      </c>
      <c r="E1434">
        <v>4508714</v>
      </c>
      <c r="F1434" t="s">
        <v>742</v>
      </c>
      <c r="G1434" t="s">
        <v>743</v>
      </c>
      <c r="H1434" t="s">
        <v>1152</v>
      </c>
      <c r="I1434" s="12">
        <v>45786</v>
      </c>
      <c r="J1434">
        <v>1</v>
      </c>
      <c r="K1434" t="str">
        <f>VLOOKUP(A1434,'TV May Monthly Billing Sites'!$A:$L,1,0)</f>
        <v>76232628</v>
      </c>
    </row>
    <row r="1435" spans="1:11">
      <c r="A1435" t="str">
        <f t="shared" si="22"/>
        <v>76232632</v>
      </c>
      <c r="B1435">
        <v>76232632</v>
      </c>
      <c r="C1435" t="s">
        <v>7115</v>
      </c>
      <c r="D1435" t="s">
        <v>4148</v>
      </c>
      <c r="E1435">
        <v>4508714</v>
      </c>
      <c r="F1435" t="s">
        <v>742</v>
      </c>
      <c r="G1435" t="s">
        <v>743</v>
      </c>
      <c r="H1435" t="s">
        <v>1152</v>
      </c>
      <c r="I1435" s="12">
        <v>45786</v>
      </c>
      <c r="J1435">
        <v>1</v>
      </c>
      <c r="K1435" t="str">
        <f>VLOOKUP(A1435,'TV May Monthly Billing Sites'!$A:$L,1,0)</f>
        <v>76232632</v>
      </c>
    </row>
    <row r="1436" spans="1:11">
      <c r="A1436" t="str">
        <f t="shared" si="22"/>
        <v>76232864</v>
      </c>
      <c r="B1436">
        <v>76232864</v>
      </c>
      <c r="C1436" t="s">
        <v>7116</v>
      </c>
      <c r="D1436" t="s">
        <v>4150</v>
      </c>
      <c r="E1436">
        <v>4508714</v>
      </c>
      <c r="F1436" t="s">
        <v>742</v>
      </c>
      <c r="G1436" t="s">
        <v>743</v>
      </c>
      <c r="H1436" t="s">
        <v>5808</v>
      </c>
      <c r="I1436" s="12">
        <v>46002</v>
      </c>
      <c r="J1436">
        <v>1</v>
      </c>
      <c r="K1436" t="str">
        <f>VLOOKUP(A1436,'TV May Monthly Billing Sites'!$A:$L,1,0)</f>
        <v>76232864</v>
      </c>
    </row>
    <row r="1437" spans="1:11">
      <c r="A1437" t="str">
        <f t="shared" si="22"/>
        <v>76232989</v>
      </c>
      <c r="B1437">
        <v>76232989</v>
      </c>
      <c r="C1437" t="s">
        <v>7117</v>
      </c>
      <c r="D1437" t="s">
        <v>4152</v>
      </c>
      <c r="E1437">
        <v>4508682</v>
      </c>
      <c r="F1437" t="s">
        <v>742</v>
      </c>
      <c r="G1437" t="s">
        <v>4879</v>
      </c>
      <c r="H1437" t="s">
        <v>7118</v>
      </c>
      <c r="I1437" s="12">
        <v>44735</v>
      </c>
      <c r="J1437">
        <v>1</v>
      </c>
      <c r="K1437" t="str">
        <f>VLOOKUP(A1437,'TV May Monthly Billing Sites'!$A:$L,1,0)</f>
        <v>76232989</v>
      </c>
    </row>
    <row r="1438" spans="1:11">
      <c r="A1438" t="str">
        <f t="shared" si="22"/>
        <v>76232990</v>
      </c>
      <c r="B1438">
        <v>76232990</v>
      </c>
      <c r="C1438" t="s">
        <v>7119</v>
      </c>
      <c r="D1438" t="s">
        <v>4154</v>
      </c>
      <c r="E1438">
        <v>4508682</v>
      </c>
      <c r="F1438" t="s">
        <v>742</v>
      </c>
      <c r="G1438" t="s">
        <v>4879</v>
      </c>
      <c r="H1438" t="s">
        <v>7118</v>
      </c>
      <c r="I1438" s="12">
        <v>44735</v>
      </c>
      <c r="J1438">
        <v>1</v>
      </c>
      <c r="K1438" t="str">
        <f>VLOOKUP(A1438,'TV May Monthly Billing Sites'!$A:$L,1,0)</f>
        <v>76232990</v>
      </c>
    </row>
    <row r="1439" spans="1:11">
      <c r="A1439" t="str">
        <f t="shared" si="22"/>
        <v>76233044</v>
      </c>
      <c r="B1439">
        <v>76233044</v>
      </c>
      <c r="C1439" t="s">
        <v>7120</v>
      </c>
      <c r="D1439" t="s">
        <v>4156</v>
      </c>
      <c r="E1439">
        <v>4408592</v>
      </c>
      <c r="F1439" t="s">
        <v>742</v>
      </c>
      <c r="G1439" t="s">
        <v>823</v>
      </c>
      <c r="H1439" t="s">
        <v>1096</v>
      </c>
      <c r="I1439" s="12">
        <v>45827</v>
      </c>
      <c r="J1439">
        <v>1</v>
      </c>
      <c r="K1439" t="str">
        <f>VLOOKUP(A1439,'TV May Monthly Billing Sites'!$A:$L,1,0)</f>
        <v>76233044</v>
      </c>
    </row>
    <row r="1440" spans="1:11">
      <c r="A1440" t="str">
        <f t="shared" si="22"/>
        <v>76233044</v>
      </c>
      <c r="B1440">
        <v>76233044</v>
      </c>
      <c r="C1440" t="s">
        <v>7121</v>
      </c>
      <c r="D1440" t="s">
        <v>4156</v>
      </c>
      <c r="E1440">
        <v>4508714</v>
      </c>
      <c r="F1440" t="s">
        <v>742</v>
      </c>
      <c r="G1440" t="s">
        <v>743</v>
      </c>
      <c r="H1440" t="s">
        <v>1096</v>
      </c>
      <c r="I1440" s="12">
        <v>45961</v>
      </c>
      <c r="J1440">
        <v>1</v>
      </c>
      <c r="K1440" t="str">
        <f>VLOOKUP(A1440,'TV May Monthly Billing Sites'!$A:$L,1,0)</f>
        <v>76233044</v>
      </c>
    </row>
    <row r="1441" spans="1:11">
      <c r="A1441" t="str">
        <f t="shared" si="22"/>
        <v>76233199</v>
      </c>
      <c r="B1441">
        <v>76233199</v>
      </c>
      <c r="C1441" t="s">
        <v>7122</v>
      </c>
      <c r="D1441" t="s">
        <v>7123</v>
      </c>
      <c r="E1441">
        <v>4508714</v>
      </c>
      <c r="F1441" t="s">
        <v>742</v>
      </c>
      <c r="G1441" t="s">
        <v>743</v>
      </c>
      <c r="H1441" t="s">
        <v>5134</v>
      </c>
      <c r="I1441" s="12">
        <v>46076</v>
      </c>
      <c r="J1441">
        <v>1</v>
      </c>
      <c r="K1441" t="str">
        <f>VLOOKUP(A1441,'TV May Monthly Billing Sites'!$A:$L,1,0)</f>
        <v>76233199</v>
      </c>
    </row>
    <row r="1442" spans="1:11">
      <c r="A1442" t="str">
        <f t="shared" si="22"/>
        <v>76233204</v>
      </c>
      <c r="B1442">
        <v>76233204</v>
      </c>
      <c r="C1442" t="s">
        <v>7124</v>
      </c>
      <c r="D1442" t="s">
        <v>4160</v>
      </c>
      <c r="E1442">
        <v>4508714</v>
      </c>
      <c r="F1442" t="s">
        <v>742</v>
      </c>
      <c r="G1442" t="s">
        <v>743</v>
      </c>
      <c r="H1442" t="s">
        <v>900</v>
      </c>
      <c r="I1442" s="12">
        <v>45726</v>
      </c>
      <c r="J1442">
        <v>1</v>
      </c>
      <c r="K1442" t="str">
        <f>VLOOKUP(A1442,'TV May Monthly Billing Sites'!$A:$L,1,0)</f>
        <v>76233204</v>
      </c>
    </row>
    <row r="1443" spans="1:11">
      <c r="A1443" t="str">
        <f t="shared" si="22"/>
        <v>76233205</v>
      </c>
      <c r="B1443">
        <v>76233205</v>
      </c>
      <c r="C1443" t="s">
        <v>7125</v>
      </c>
      <c r="D1443" t="s">
        <v>4162</v>
      </c>
      <c r="E1443">
        <v>4508675</v>
      </c>
      <c r="F1443" t="s">
        <v>742</v>
      </c>
      <c r="G1443" t="s">
        <v>828</v>
      </c>
      <c r="H1443" t="s">
        <v>900</v>
      </c>
      <c r="I1443" s="12">
        <v>45726</v>
      </c>
      <c r="J1443">
        <v>1</v>
      </c>
      <c r="K1443" t="str">
        <f>VLOOKUP(A1443,'TV May Monthly Billing Sites'!$A:$L,1,0)</f>
        <v>76233205</v>
      </c>
    </row>
    <row r="1444" spans="1:11">
      <c r="A1444" t="str">
        <f t="shared" si="22"/>
        <v>76233403</v>
      </c>
      <c r="B1444">
        <v>76233403</v>
      </c>
      <c r="C1444" t="s">
        <v>7126</v>
      </c>
      <c r="D1444" t="s">
        <v>4164</v>
      </c>
      <c r="E1444">
        <v>4508714</v>
      </c>
      <c r="F1444" t="s">
        <v>742</v>
      </c>
      <c r="G1444" t="s">
        <v>743</v>
      </c>
      <c r="H1444" t="s">
        <v>5123</v>
      </c>
      <c r="I1444" s="12">
        <v>46021</v>
      </c>
      <c r="J1444">
        <v>1</v>
      </c>
      <c r="K1444" t="str">
        <f>VLOOKUP(A1444,'TV May Monthly Billing Sites'!$A:$L,1,0)</f>
        <v>76233403</v>
      </c>
    </row>
    <row r="1445" spans="1:11">
      <c r="A1445" t="str">
        <f t="shared" si="22"/>
        <v>76233409</v>
      </c>
      <c r="B1445">
        <v>76233409</v>
      </c>
      <c r="C1445" t="s">
        <v>7127</v>
      </c>
      <c r="D1445" t="s">
        <v>4166</v>
      </c>
      <c r="E1445">
        <v>4508714</v>
      </c>
      <c r="F1445" t="s">
        <v>742</v>
      </c>
      <c r="G1445" t="s">
        <v>743</v>
      </c>
      <c r="H1445" t="s">
        <v>5123</v>
      </c>
      <c r="I1445" s="12">
        <v>46021</v>
      </c>
      <c r="J1445">
        <v>1</v>
      </c>
      <c r="K1445" t="str">
        <f>VLOOKUP(A1445,'TV May Monthly Billing Sites'!$A:$L,1,0)</f>
        <v>76233409</v>
      </c>
    </row>
    <row r="1446" spans="1:11">
      <c r="A1446" t="str">
        <f t="shared" si="22"/>
        <v>76233410</v>
      </c>
      <c r="B1446">
        <v>76233410</v>
      </c>
      <c r="C1446" t="s">
        <v>7128</v>
      </c>
      <c r="D1446" t="s">
        <v>7129</v>
      </c>
      <c r="E1446">
        <v>4508714</v>
      </c>
      <c r="F1446" t="s">
        <v>742</v>
      </c>
      <c r="G1446" t="s">
        <v>743</v>
      </c>
      <c r="H1446" t="s">
        <v>5123</v>
      </c>
      <c r="I1446" s="12">
        <v>46021</v>
      </c>
      <c r="J1446">
        <v>1</v>
      </c>
      <c r="K1446" t="str">
        <f>VLOOKUP(A1446,'TV May Monthly Billing Sites'!$A:$L,1,0)</f>
        <v>76233410</v>
      </c>
    </row>
    <row r="1447" spans="1:11">
      <c r="A1447" t="str">
        <f t="shared" si="22"/>
        <v>76233579</v>
      </c>
      <c r="B1447">
        <v>76233579</v>
      </c>
      <c r="C1447" t="s">
        <v>7130</v>
      </c>
      <c r="D1447" t="s">
        <v>7131</v>
      </c>
      <c r="E1447">
        <v>4508714</v>
      </c>
      <c r="F1447" t="s">
        <v>742</v>
      </c>
      <c r="G1447" t="s">
        <v>743</v>
      </c>
      <c r="H1447" t="s">
        <v>7131</v>
      </c>
      <c r="I1447" s="12">
        <v>45688</v>
      </c>
      <c r="J1447">
        <v>1</v>
      </c>
      <c r="K1447" t="str">
        <f>VLOOKUP(A1447,'TV May Monthly Billing Sites'!$A:$L,1,0)</f>
        <v>76233579</v>
      </c>
    </row>
    <row r="1448" spans="1:11">
      <c r="A1448" t="str">
        <f t="shared" si="22"/>
        <v>76233585</v>
      </c>
      <c r="B1448">
        <v>76233585</v>
      </c>
      <c r="C1448" t="s">
        <v>7132</v>
      </c>
      <c r="D1448" t="s">
        <v>7133</v>
      </c>
      <c r="E1448">
        <v>4508714</v>
      </c>
      <c r="F1448" t="s">
        <v>742</v>
      </c>
      <c r="G1448" t="s">
        <v>743</v>
      </c>
      <c r="H1448" t="s">
        <v>883</v>
      </c>
      <c r="I1448" s="12">
        <v>45748</v>
      </c>
      <c r="J1448">
        <v>1</v>
      </c>
      <c r="K1448" t="str">
        <f>VLOOKUP(A1448,'TV May Monthly Billing Sites'!$A:$L,1,0)</f>
        <v>76233585</v>
      </c>
    </row>
    <row r="1449" spans="1:11">
      <c r="A1449" t="str">
        <f t="shared" si="22"/>
        <v>76233592</v>
      </c>
      <c r="B1449">
        <v>76233592</v>
      </c>
      <c r="C1449" t="s">
        <v>7134</v>
      </c>
      <c r="D1449" t="s">
        <v>7135</v>
      </c>
      <c r="E1449">
        <v>4508714</v>
      </c>
      <c r="F1449" t="s">
        <v>742</v>
      </c>
      <c r="G1449" t="s">
        <v>743</v>
      </c>
      <c r="H1449" t="s">
        <v>883</v>
      </c>
      <c r="I1449" s="12">
        <v>45748</v>
      </c>
      <c r="J1449">
        <v>1</v>
      </c>
      <c r="K1449" t="str">
        <f>VLOOKUP(A1449,'TV May Monthly Billing Sites'!$A:$L,1,0)</f>
        <v>76233592</v>
      </c>
    </row>
    <row r="1450" spans="1:11">
      <c r="A1450" t="str">
        <f t="shared" si="22"/>
        <v>76233618</v>
      </c>
      <c r="B1450">
        <v>76233618</v>
      </c>
      <c r="C1450" t="s">
        <v>7136</v>
      </c>
      <c r="D1450" t="s">
        <v>4176</v>
      </c>
      <c r="E1450">
        <v>4508675</v>
      </c>
      <c r="F1450" t="s">
        <v>742</v>
      </c>
      <c r="G1450" t="s">
        <v>828</v>
      </c>
      <c r="H1450" t="s">
        <v>5294</v>
      </c>
      <c r="I1450" s="12">
        <v>46048</v>
      </c>
      <c r="J1450">
        <v>1</v>
      </c>
      <c r="K1450" t="str">
        <f>VLOOKUP(A1450,'TV May Monthly Billing Sites'!$A:$L,1,0)</f>
        <v>76233618</v>
      </c>
    </row>
    <row r="1451" spans="1:11">
      <c r="A1451" t="str">
        <f t="shared" si="22"/>
        <v>76233631</v>
      </c>
      <c r="B1451">
        <v>76233631</v>
      </c>
      <c r="C1451" t="s">
        <v>7137</v>
      </c>
      <c r="D1451" t="s">
        <v>7138</v>
      </c>
      <c r="E1451">
        <v>4408592</v>
      </c>
      <c r="F1451" t="s">
        <v>742</v>
      </c>
      <c r="G1451" t="s">
        <v>823</v>
      </c>
      <c r="H1451" t="s">
        <v>7139</v>
      </c>
      <c r="I1451" s="12">
        <v>45321</v>
      </c>
      <c r="J1451">
        <v>1</v>
      </c>
      <c r="K1451" t="str">
        <f>VLOOKUP(A1451,'TV May Monthly Billing Sites'!$A:$L,1,0)</f>
        <v>76233631</v>
      </c>
    </row>
    <row r="1452" spans="1:11">
      <c r="A1452" t="str">
        <f t="shared" si="22"/>
        <v>76233633</v>
      </c>
      <c r="B1452">
        <v>76233633</v>
      </c>
      <c r="C1452" t="s">
        <v>7140</v>
      </c>
      <c r="D1452" t="s">
        <v>7141</v>
      </c>
      <c r="E1452">
        <v>4408592</v>
      </c>
      <c r="F1452" t="s">
        <v>742</v>
      </c>
      <c r="G1452" t="s">
        <v>823</v>
      </c>
      <c r="H1452" t="s">
        <v>7139</v>
      </c>
      <c r="I1452" s="12">
        <v>45321</v>
      </c>
      <c r="J1452">
        <v>1</v>
      </c>
      <c r="K1452" t="str">
        <f>VLOOKUP(A1452,'TV May Monthly Billing Sites'!$A:$L,1,0)</f>
        <v>76233633</v>
      </c>
    </row>
    <row r="1453" spans="1:11">
      <c r="A1453" t="str">
        <f t="shared" si="22"/>
        <v>76233741</v>
      </c>
      <c r="B1453">
        <v>76233741</v>
      </c>
      <c r="C1453" t="s">
        <v>7142</v>
      </c>
      <c r="D1453" t="s">
        <v>4182</v>
      </c>
      <c r="E1453">
        <v>4508675</v>
      </c>
      <c r="F1453" t="s">
        <v>742</v>
      </c>
      <c r="G1453" t="s">
        <v>828</v>
      </c>
      <c r="H1453" t="s">
        <v>1171</v>
      </c>
      <c r="I1453" s="12">
        <v>45054</v>
      </c>
      <c r="J1453">
        <v>1</v>
      </c>
      <c r="K1453" t="str">
        <f>VLOOKUP(A1453,'TV May Monthly Billing Sites'!$A:$L,1,0)</f>
        <v>76233741</v>
      </c>
    </row>
    <row r="1454" spans="1:11">
      <c r="A1454" t="str">
        <f t="shared" si="22"/>
        <v>76233858</v>
      </c>
      <c r="B1454">
        <v>76233858</v>
      </c>
      <c r="C1454" t="s">
        <v>7143</v>
      </c>
      <c r="D1454" t="s">
        <v>4184</v>
      </c>
      <c r="E1454">
        <v>4508714</v>
      </c>
      <c r="F1454" t="s">
        <v>742</v>
      </c>
      <c r="G1454" t="s">
        <v>743</v>
      </c>
      <c r="H1454" t="s">
        <v>6910</v>
      </c>
      <c r="I1454" s="12">
        <v>45709</v>
      </c>
      <c r="J1454">
        <v>1</v>
      </c>
      <c r="K1454" t="str">
        <f>VLOOKUP(A1454,'TV May Monthly Billing Sites'!$A:$L,1,0)</f>
        <v>76233858</v>
      </c>
    </row>
    <row r="1455" spans="1:11">
      <c r="A1455" t="str">
        <f t="shared" si="22"/>
        <v>76233981</v>
      </c>
      <c r="B1455">
        <v>76233981</v>
      </c>
      <c r="C1455" t="s">
        <v>7144</v>
      </c>
      <c r="D1455" t="s">
        <v>7145</v>
      </c>
      <c r="E1455">
        <v>4508714</v>
      </c>
      <c r="F1455" t="s">
        <v>742</v>
      </c>
      <c r="G1455" t="s">
        <v>743</v>
      </c>
      <c r="H1455" t="s">
        <v>6823</v>
      </c>
      <c r="I1455" s="12">
        <v>45581</v>
      </c>
      <c r="J1455">
        <v>1</v>
      </c>
      <c r="K1455" t="str">
        <f>VLOOKUP(A1455,'TV May Monthly Billing Sites'!$A:$L,1,0)</f>
        <v>76233981</v>
      </c>
    </row>
    <row r="1456" spans="1:11">
      <c r="A1456" t="str">
        <f t="shared" si="22"/>
        <v>76234095</v>
      </c>
      <c r="B1456">
        <v>76234095</v>
      </c>
      <c r="C1456" t="s">
        <v>7146</v>
      </c>
      <c r="D1456" t="s">
        <v>4188</v>
      </c>
      <c r="E1456">
        <v>4508675</v>
      </c>
      <c r="F1456" t="s">
        <v>742</v>
      </c>
      <c r="G1456" t="s">
        <v>828</v>
      </c>
      <c r="H1456" t="s">
        <v>4894</v>
      </c>
      <c r="I1456" s="12">
        <v>45450</v>
      </c>
      <c r="J1456">
        <v>1</v>
      </c>
      <c r="K1456" t="str">
        <f>VLOOKUP(A1456,'TV May Monthly Billing Sites'!$A:$L,1,0)</f>
        <v>76234095</v>
      </c>
    </row>
    <row r="1457" spans="1:12">
      <c r="A1457" t="str">
        <f t="shared" si="22"/>
        <v>76234097</v>
      </c>
      <c r="B1457">
        <v>76234097</v>
      </c>
      <c r="C1457" t="s">
        <v>1117</v>
      </c>
      <c r="D1457" t="s">
        <v>1118</v>
      </c>
      <c r="E1457">
        <v>4508714</v>
      </c>
      <c r="F1457" t="s">
        <v>742</v>
      </c>
      <c r="G1457" t="s">
        <v>743</v>
      </c>
      <c r="H1457" t="s">
        <v>1119</v>
      </c>
      <c r="I1457" s="12">
        <v>45705</v>
      </c>
      <c r="J1457">
        <v>1</v>
      </c>
      <c r="K1457" t="e">
        <f>VLOOKUP(A1457,'TV May Monthly Billing Sites'!$A:$L,1,0)</f>
        <v>#N/A</v>
      </c>
      <c r="L1457" t="e">
        <f>VLOOKUP(D1457,'TV May Monthly Billing Sites'!$B:$L,1,0)</f>
        <v>#N/A</v>
      </c>
    </row>
    <row r="1458" spans="1:12">
      <c r="A1458" t="str">
        <f t="shared" si="22"/>
        <v>76234114</v>
      </c>
      <c r="B1458">
        <v>76234114</v>
      </c>
      <c r="C1458" t="s">
        <v>7147</v>
      </c>
      <c r="D1458" t="s">
        <v>4190</v>
      </c>
      <c r="E1458">
        <v>4508714</v>
      </c>
      <c r="F1458" t="s">
        <v>742</v>
      </c>
      <c r="G1458" t="s">
        <v>743</v>
      </c>
      <c r="H1458" t="s">
        <v>5523</v>
      </c>
      <c r="I1458" s="12">
        <v>45755</v>
      </c>
      <c r="J1458">
        <v>1</v>
      </c>
      <c r="K1458" t="str">
        <f>VLOOKUP(A1458,'TV May Monthly Billing Sites'!$A:$L,1,0)</f>
        <v>76234114</v>
      </c>
    </row>
    <row r="1459" spans="1:12">
      <c r="A1459" t="str">
        <f t="shared" si="22"/>
        <v>76234233</v>
      </c>
      <c r="B1459">
        <v>76234233</v>
      </c>
      <c r="C1459" t="s">
        <v>7148</v>
      </c>
      <c r="D1459" t="s">
        <v>4192</v>
      </c>
      <c r="E1459">
        <v>4408593</v>
      </c>
      <c r="F1459" t="s">
        <v>742</v>
      </c>
      <c r="G1459" t="s">
        <v>782</v>
      </c>
      <c r="H1459" t="s">
        <v>4192</v>
      </c>
      <c r="I1459" s="12">
        <v>45813</v>
      </c>
      <c r="J1459">
        <v>1</v>
      </c>
      <c r="K1459" t="str">
        <f>VLOOKUP(A1459,'TV May Monthly Billing Sites'!$A:$L,1,0)</f>
        <v>76234233</v>
      </c>
    </row>
    <row r="1460" spans="1:12">
      <c r="A1460" t="str">
        <f t="shared" si="22"/>
        <v>76234267</v>
      </c>
      <c r="B1460">
        <v>76234267</v>
      </c>
      <c r="C1460" t="s">
        <v>7149</v>
      </c>
      <c r="D1460" t="s">
        <v>4194</v>
      </c>
      <c r="E1460">
        <v>4508685</v>
      </c>
      <c r="F1460" t="s">
        <v>742</v>
      </c>
      <c r="G1460" t="s">
        <v>904</v>
      </c>
      <c r="H1460" t="s">
        <v>975</v>
      </c>
      <c r="I1460" s="12">
        <v>46023</v>
      </c>
      <c r="J1460">
        <v>1</v>
      </c>
      <c r="K1460" t="str">
        <f>VLOOKUP(A1460,'TV May Monthly Billing Sites'!$A:$L,1,0)</f>
        <v>76234267</v>
      </c>
    </row>
    <row r="1461" spans="1:12">
      <c r="A1461" t="str">
        <f t="shared" si="22"/>
        <v>76234273</v>
      </c>
      <c r="B1461">
        <v>76234273</v>
      </c>
      <c r="C1461" t="s">
        <v>7150</v>
      </c>
      <c r="D1461" t="s">
        <v>4196</v>
      </c>
      <c r="E1461">
        <v>4508675</v>
      </c>
      <c r="F1461" t="s">
        <v>742</v>
      </c>
      <c r="G1461" t="s">
        <v>828</v>
      </c>
      <c r="H1461" t="s">
        <v>1171</v>
      </c>
      <c r="I1461" s="12">
        <v>44834</v>
      </c>
      <c r="J1461">
        <v>1</v>
      </c>
      <c r="K1461" t="str">
        <f>VLOOKUP(A1461,'TV May Monthly Billing Sites'!$A:$L,1,0)</f>
        <v>76234273</v>
      </c>
    </row>
    <row r="1462" spans="1:12">
      <c r="A1462" t="str">
        <f t="shared" si="22"/>
        <v>76234387</v>
      </c>
      <c r="B1462">
        <v>76234387</v>
      </c>
      <c r="C1462" t="s">
        <v>7151</v>
      </c>
      <c r="D1462" t="s">
        <v>4198</v>
      </c>
      <c r="E1462">
        <v>4408593</v>
      </c>
      <c r="F1462" t="s">
        <v>742</v>
      </c>
      <c r="G1462" t="s">
        <v>782</v>
      </c>
      <c r="H1462" t="s">
        <v>7152</v>
      </c>
      <c r="I1462" s="12">
        <v>45839</v>
      </c>
      <c r="J1462">
        <v>1</v>
      </c>
      <c r="K1462" t="str">
        <f>VLOOKUP(A1462,'TV May Monthly Billing Sites'!$A:$L,1,0)</f>
        <v>76234387</v>
      </c>
    </row>
    <row r="1463" spans="1:12">
      <c r="A1463" t="str">
        <f t="shared" si="22"/>
        <v>76234704</v>
      </c>
      <c r="B1463">
        <v>76234704</v>
      </c>
      <c r="C1463" t="s">
        <v>7153</v>
      </c>
      <c r="D1463" t="s">
        <v>4200</v>
      </c>
      <c r="E1463">
        <v>4508714</v>
      </c>
      <c r="F1463" t="s">
        <v>742</v>
      </c>
      <c r="G1463" t="s">
        <v>743</v>
      </c>
      <c r="H1463" t="s">
        <v>7102</v>
      </c>
      <c r="I1463" s="12">
        <v>45604</v>
      </c>
      <c r="J1463">
        <v>1</v>
      </c>
      <c r="K1463" t="str">
        <f>VLOOKUP(A1463,'TV May Monthly Billing Sites'!$A:$L,1,0)</f>
        <v>76234704</v>
      </c>
    </row>
    <row r="1464" spans="1:12">
      <c r="A1464" t="str">
        <f t="shared" si="22"/>
        <v>76234710</v>
      </c>
      <c r="B1464">
        <v>76234710</v>
      </c>
      <c r="C1464" t="s">
        <v>7154</v>
      </c>
      <c r="D1464" t="s">
        <v>7155</v>
      </c>
      <c r="E1464">
        <v>4508714</v>
      </c>
      <c r="F1464" t="s">
        <v>742</v>
      </c>
      <c r="G1464" t="s">
        <v>743</v>
      </c>
      <c r="H1464" t="s">
        <v>7102</v>
      </c>
      <c r="I1464" s="12">
        <v>45817</v>
      </c>
      <c r="J1464">
        <v>1</v>
      </c>
      <c r="K1464" t="str">
        <f>VLOOKUP(A1464,'TV May Monthly Billing Sites'!$A:$L,1,0)</f>
        <v>76234710</v>
      </c>
    </row>
    <row r="1465" spans="1:12">
      <c r="A1465" t="str">
        <f t="shared" si="22"/>
        <v>76234711</v>
      </c>
      <c r="B1465">
        <v>76234711</v>
      </c>
      <c r="C1465" t="s">
        <v>7156</v>
      </c>
      <c r="D1465" t="s">
        <v>4204</v>
      </c>
      <c r="E1465">
        <v>4508714</v>
      </c>
      <c r="F1465" t="s">
        <v>742</v>
      </c>
      <c r="G1465" t="s">
        <v>743</v>
      </c>
      <c r="H1465" t="s">
        <v>7102</v>
      </c>
      <c r="I1465" s="12">
        <v>45604</v>
      </c>
      <c r="J1465">
        <v>1</v>
      </c>
      <c r="K1465" t="str">
        <f>VLOOKUP(A1465,'TV May Monthly Billing Sites'!$A:$L,1,0)</f>
        <v>76234711</v>
      </c>
    </row>
    <row r="1466" spans="1:12">
      <c r="A1466" t="str">
        <f t="shared" si="22"/>
        <v>76234714</v>
      </c>
      <c r="B1466">
        <v>76234714</v>
      </c>
      <c r="C1466" t="s">
        <v>7157</v>
      </c>
      <c r="D1466" t="s">
        <v>7158</v>
      </c>
      <c r="E1466">
        <v>4508714</v>
      </c>
      <c r="F1466" t="s">
        <v>742</v>
      </c>
      <c r="G1466" t="s">
        <v>743</v>
      </c>
      <c r="H1466" t="s">
        <v>7102</v>
      </c>
      <c r="I1466" s="12">
        <v>45604</v>
      </c>
      <c r="J1466">
        <v>1</v>
      </c>
      <c r="K1466" t="str">
        <f>VLOOKUP(A1466,'TV May Monthly Billing Sites'!$A:$L,1,0)</f>
        <v>76234714</v>
      </c>
    </row>
    <row r="1467" spans="1:12">
      <c r="A1467" t="str">
        <f t="shared" si="22"/>
        <v>76234722</v>
      </c>
      <c r="B1467">
        <v>76234722</v>
      </c>
      <c r="C1467" t="s">
        <v>7159</v>
      </c>
      <c r="D1467" t="s">
        <v>7160</v>
      </c>
      <c r="E1467">
        <v>4408593</v>
      </c>
      <c r="F1467" t="s">
        <v>742</v>
      </c>
      <c r="G1467" t="s">
        <v>782</v>
      </c>
      <c r="H1467" t="s">
        <v>6318</v>
      </c>
      <c r="I1467" s="12">
        <v>45623</v>
      </c>
      <c r="J1467">
        <v>1</v>
      </c>
      <c r="K1467" t="str">
        <f>VLOOKUP(A1467,'TV May Monthly Billing Sites'!$A:$L,1,0)</f>
        <v>76234722</v>
      </c>
    </row>
    <row r="1468" spans="1:12">
      <c r="A1468" t="str">
        <f t="shared" si="22"/>
        <v>76234725</v>
      </c>
      <c r="B1468">
        <v>76234725</v>
      </c>
      <c r="C1468" t="s">
        <v>7161</v>
      </c>
      <c r="D1468" t="s">
        <v>4210</v>
      </c>
      <c r="E1468">
        <v>4408593</v>
      </c>
      <c r="F1468" t="s">
        <v>742</v>
      </c>
      <c r="G1468" t="s">
        <v>782</v>
      </c>
      <c r="H1468" t="s">
        <v>6318</v>
      </c>
      <c r="I1468" s="12">
        <v>45623</v>
      </c>
      <c r="J1468">
        <v>1</v>
      </c>
      <c r="K1468" t="str">
        <f>VLOOKUP(A1468,'TV May Monthly Billing Sites'!$A:$L,1,0)</f>
        <v>76234725</v>
      </c>
    </row>
    <row r="1469" spans="1:12">
      <c r="A1469" t="str">
        <f t="shared" si="22"/>
        <v>76234731</v>
      </c>
      <c r="B1469">
        <v>76234731</v>
      </c>
      <c r="C1469" t="s">
        <v>7162</v>
      </c>
      <c r="D1469" t="s">
        <v>7163</v>
      </c>
      <c r="E1469">
        <v>4408593</v>
      </c>
      <c r="F1469" t="s">
        <v>742</v>
      </c>
      <c r="G1469" t="s">
        <v>782</v>
      </c>
      <c r="H1469" t="s">
        <v>6318</v>
      </c>
      <c r="I1469" s="12">
        <v>45623</v>
      </c>
      <c r="J1469">
        <v>1</v>
      </c>
      <c r="K1469" t="str">
        <f>VLOOKUP(A1469,'TV May Monthly Billing Sites'!$A:$L,1,0)</f>
        <v>76234731</v>
      </c>
    </row>
    <row r="1470" spans="1:12">
      <c r="A1470" t="str">
        <f t="shared" si="22"/>
        <v>76234768</v>
      </c>
      <c r="B1470">
        <v>76234768</v>
      </c>
      <c r="C1470" t="s">
        <v>7164</v>
      </c>
      <c r="D1470" t="s">
        <v>7165</v>
      </c>
      <c r="E1470">
        <v>4508714</v>
      </c>
      <c r="F1470" t="s">
        <v>742</v>
      </c>
      <c r="G1470" t="s">
        <v>743</v>
      </c>
      <c r="H1470" t="s">
        <v>5336</v>
      </c>
      <c r="I1470" s="12">
        <v>45762</v>
      </c>
      <c r="J1470">
        <v>1</v>
      </c>
      <c r="K1470" t="str">
        <f>VLOOKUP(A1470,'TV May Monthly Billing Sites'!$A:$L,1,0)</f>
        <v>76234768</v>
      </c>
    </row>
    <row r="1471" spans="1:12">
      <c r="A1471" t="str">
        <f t="shared" si="22"/>
        <v>76234882</v>
      </c>
      <c r="B1471">
        <v>76234882</v>
      </c>
      <c r="C1471" t="s">
        <v>7166</v>
      </c>
      <c r="D1471" t="s">
        <v>7167</v>
      </c>
      <c r="E1471">
        <v>4508714</v>
      </c>
      <c r="F1471" t="s">
        <v>742</v>
      </c>
      <c r="G1471" t="s">
        <v>743</v>
      </c>
      <c r="H1471" t="s">
        <v>4216</v>
      </c>
      <c r="I1471" s="12">
        <v>46010</v>
      </c>
      <c r="J1471">
        <v>1</v>
      </c>
      <c r="K1471" t="str">
        <f>VLOOKUP(A1471,'TV May Monthly Billing Sites'!$A:$L,1,0)</f>
        <v>76234882</v>
      </c>
    </row>
    <row r="1472" spans="1:12">
      <c r="A1472" t="str">
        <f t="shared" si="22"/>
        <v>76234930</v>
      </c>
      <c r="B1472">
        <v>76234930</v>
      </c>
      <c r="C1472" t="s">
        <v>7168</v>
      </c>
      <c r="D1472" t="s">
        <v>4218</v>
      </c>
      <c r="E1472">
        <v>4508684</v>
      </c>
      <c r="F1472" t="s">
        <v>742</v>
      </c>
      <c r="G1472" t="s">
        <v>4760</v>
      </c>
      <c r="H1472" t="s">
        <v>6492</v>
      </c>
      <c r="I1472" s="12">
        <v>45293</v>
      </c>
      <c r="J1472">
        <v>1</v>
      </c>
      <c r="K1472" t="str">
        <f>VLOOKUP(A1472,'TV May Monthly Billing Sites'!$A:$L,1,0)</f>
        <v>76234930</v>
      </c>
    </row>
    <row r="1473" spans="1:11">
      <c r="A1473" t="str">
        <f t="shared" si="22"/>
        <v>76234937</v>
      </c>
      <c r="B1473">
        <v>76234937</v>
      </c>
      <c r="C1473" t="s">
        <v>7169</v>
      </c>
      <c r="D1473" t="s">
        <v>7170</v>
      </c>
      <c r="E1473">
        <v>4408593</v>
      </c>
      <c r="F1473" t="s">
        <v>742</v>
      </c>
      <c r="G1473" t="s">
        <v>782</v>
      </c>
      <c r="H1473" t="s">
        <v>6289</v>
      </c>
      <c r="I1473" s="12">
        <v>45978</v>
      </c>
      <c r="J1473">
        <v>1</v>
      </c>
      <c r="K1473" t="str">
        <f>VLOOKUP(A1473,'TV May Monthly Billing Sites'!$A:$L,1,0)</f>
        <v>76234937</v>
      </c>
    </row>
    <row r="1474" spans="1:11">
      <c r="A1474" t="str">
        <f t="shared" ref="A1474:A1537" si="23">TRIM(B1474)</f>
        <v>76234941</v>
      </c>
      <c r="B1474">
        <v>76234941</v>
      </c>
      <c r="C1474" t="s">
        <v>7171</v>
      </c>
      <c r="D1474" t="s">
        <v>7172</v>
      </c>
      <c r="E1474">
        <v>4408593</v>
      </c>
      <c r="F1474" t="s">
        <v>742</v>
      </c>
      <c r="G1474" t="s">
        <v>782</v>
      </c>
      <c r="H1474" t="s">
        <v>6289</v>
      </c>
      <c r="I1474" s="12">
        <v>45978</v>
      </c>
      <c r="J1474">
        <v>1</v>
      </c>
      <c r="K1474" t="str">
        <f>VLOOKUP(A1474,'TV May Monthly Billing Sites'!$A:$L,1,0)</f>
        <v>76234941</v>
      </c>
    </row>
    <row r="1475" spans="1:11">
      <c r="A1475" t="str">
        <f t="shared" si="23"/>
        <v>76234955</v>
      </c>
      <c r="B1475">
        <v>76234955</v>
      </c>
      <c r="C1475" t="s">
        <v>7173</v>
      </c>
      <c r="D1475" t="s">
        <v>7174</v>
      </c>
      <c r="E1475">
        <v>4408593</v>
      </c>
      <c r="F1475" t="s">
        <v>742</v>
      </c>
      <c r="G1475" t="s">
        <v>782</v>
      </c>
      <c r="H1475" t="s">
        <v>6289</v>
      </c>
      <c r="I1475" s="12">
        <v>45978</v>
      </c>
      <c r="J1475">
        <v>1</v>
      </c>
      <c r="K1475" t="str">
        <f>VLOOKUP(A1475,'TV May Monthly Billing Sites'!$A:$L,1,0)</f>
        <v>76234955</v>
      </c>
    </row>
    <row r="1476" spans="1:11">
      <c r="A1476" t="str">
        <f t="shared" si="23"/>
        <v>76234978</v>
      </c>
      <c r="B1476">
        <v>76234978</v>
      </c>
      <c r="C1476" t="s">
        <v>7175</v>
      </c>
      <c r="D1476" t="s">
        <v>4226</v>
      </c>
      <c r="E1476">
        <v>4508714</v>
      </c>
      <c r="F1476" t="s">
        <v>742</v>
      </c>
      <c r="G1476" t="s">
        <v>743</v>
      </c>
      <c r="H1476" t="s">
        <v>5870</v>
      </c>
      <c r="I1476" s="12">
        <v>45901</v>
      </c>
      <c r="J1476">
        <v>1</v>
      </c>
      <c r="K1476" t="str">
        <f>VLOOKUP(A1476,'TV May Monthly Billing Sites'!$A:$L,1,0)</f>
        <v>76234978</v>
      </c>
    </row>
    <row r="1477" spans="1:11">
      <c r="A1477" t="str">
        <f t="shared" si="23"/>
        <v>76235166</v>
      </c>
      <c r="B1477">
        <v>76235166</v>
      </c>
      <c r="C1477" t="s">
        <v>7176</v>
      </c>
      <c r="D1477" t="s">
        <v>4228</v>
      </c>
      <c r="E1477">
        <v>4508714</v>
      </c>
      <c r="F1477" t="s">
        <v>742</v>
      </c>
      <c r="G1477" t="s">
        <v>743</v>
      </c>
      <c r="H1477" t="s">
        <v>7177</v>
      </c>
      <c r="I1477" s="12">
        <v>46024</v>
      </c>
      <c r="J1477">
        <v>1</v>
      </c>
      <c r="K1477" t="str">
        <f>VLOOKUP(A1477,'TV May Monthly Billing Sites'!$A:$L,1,0)</f>
        <v>76235166</v>
      </c>
    </row>
    <row r="1478" spans="1:11">
      <c r="A1478" t="str">
        <f t="shared" si="23"/>
        <v>76235193</v>
      </c>
      <c r="B1478">
        <v>76235193</v>
      </c>
      <c r="C1478" t="s">
        <v>7178</v>
      </c>
      <c r="D1478" t="s">
        <v>4230</v>
      </c>
      <c r="E1478">
        <v>4508685</v>
      </c>
      <c r="F1478" t="s">
        <v>742</v>
      </c>
      <c r="G1478" t="s">
        <v>904</v>
      </c>
      <c r="H1478" t="s">
        <v>975</v>
      </c>
      <c r="I1478" s="12">
        <v>46023</v>
      </c>
      <c r="J1478">
        <v>1</v>
      </c>
      <c r="K1478" t="str">
        <f>VLOOKUP(A1478,'TV May Monthly Billing Sites'!$A:$L,1,0)</f>
        <v>76235193</v>
      </c>
    </row>
    <row r="1479" spans="1:11">
      <c r="A1479" t="str">
        <f t="shared" si="23"/>
        <v>76235225</v>
      </c>
      <c r="B1479">
        <v>76235225</v>
      </c>
      <c r="C1479" t="s">
        <v>7179</v>
      </c>
      <c r="D1479" t="s">
        <v>4232</v>
      </c>
      <c r="E1479">
        <v>4508714</v>
      </c>
      <c r="F1479" t="s">
        <v>742</v>
      </c>
      <c r="G1479" t="s">
        <v>743</v>
      </c>
      <c r="H1479" t="s">
        <v>5298</v>
      </c>
      <c r="I1479" s="12">
        <v>45875</v>
      </c>
      <c r="J1479">
        <v>1</v>
      </c>
      <c r="K1479" t="str">
        <f>VLOOKUP(A1479,'TV May Monthly Billing Sites'!$A:$L,1,0)</f>
        <v>76235225</v>
      </c>
    </row>
    <row r="1480" spans="1:11">
      <c r="A1480" t="str">
        <f t="shared" si="23"/>
        <v>76235240</v>
      </c>
      <c r="B1480">
        <v>76235240</v>
      </c>
      <c r="C1480" t="s">
        <v>7180</v>
      </c>
      <c r="D1480" t="s">
        <v>7181</v>
      </c>
      <c r="E1480">
        <v>4408592</v>
      </c>
      <c r="F1480" t="s">
        <v>742</v>
      </c>
      <c r="G1480" t="s">
        <v>823</v>
      </c>
      <c r="H1480" t="s">
        <v>7182</v>
      </c>
      <c r="I1480" s="12">
        <v>45680</v>
      </c>
      <c r="J1480">
        <v>1</v>
      </c>
      <c r="K1480" t="str">
        <f>VLOOKUP(A1480,'TV May Monthly Billing Sites'!$A:$L,1,0)</f>
        <v>76235240</v>
      </c>
    </row>
    <row r="1481" spans="1:11">
      <c r="A1481" t="str">
        <f t="shared" si="23"/>
        <v>76235245</v>
      </c>
      <c r="B1481">
        <v>76235245</v>
      </c>
      <c r="C1481" t="s">
        <v>7183</v>
      </c>
      <c r="D1481" t="s">
        <v>7184</v>
      </c>
      <c r="E1481">
        <v>4408592</v>
      </c>
      <c r="F1481" t="s">
        <v>742</v>
      </c>
      <c r="G1481" t="s">
        <v>823</v>
      </c>
      <c r="H1481" t="s">
        <v>1096</v>
      </c>
      <c r="I1481" s="12">
        <v>45961</v>
      </c>
      <c r="J1481">
        <v>1</v>
      </c>
      <c r="K1481" t="str">
        <f>VLOOKUP(A1481,'TV May Monthly Billing Sites'!$A:$L,1,0)</f>
        <v>76235245</v>
      </c>
    </row>
    <row r="1482" spans="1:11">
      <c r="A1482" t="str">
        <f t="shared" si="23"/>
        <v>76235258</v>
      </c>
      <c r="B1482">
        <v>76235258</v>
      </c>
      <c r="C1482" t="s">
        <v>7185</v>
      </c>
      <c r="D1482" t="s">
        <v>4238</v>
      </c>
      <c r="E1482">
        <v>4408593</v>
      </c>
      <c r="F1482" t="s">
        <v>742</v>
      </c>
      <c r="G1482" t="s">
        <v>782</v>
      </c>
      <c r="H1482" t="s">
        <v>7186</v>
      </c>
      <c r="I1482" s="12">
        <v>45624</v>
      </c>
      <c r="J1482">
        <v>1</v>
      </c>
      <c r="K1482" t="str">
        <f>VLOOKUP(A1482,'TV May Monthly Billing Sites'!$A:$L,1,0)</f>
        <v>76235258</v>
      </c>
    </row>
    <row r="1483" spans="1:11">
      <c r="A1483" t="str">
        <f t="shared" si="23"/>
        <v>76235265</v>
      </c>
      <c r="B1483">
        <v>76235265</v>
      </c>
      <c r="C1483" t="s">
        <v>7187</v>
      </c>
      <c r="D1483" t="s">
        <v>4240</v>
      </c>
      <c r="E1483">
        <v>4508714</v>
      </c>
      <c r="F1483" t="s">
        <v>742</v>
      </c>
      <c r="G1483" t="s">
        <v>743</v>
      </c>
      <c r="H1483" t="s">
        <v>4240</v>
      </c>
      <c r="I1483" s="12">
        <v>46098</v>
      </c>
      <c r="J1483">
        <v>1</v>
      </c>
      <c r="K1483" t="str">
        <f>VLOOKUP(A1483,'TV May Monthly Billing Sites'!$A:$L,1,0)</f>
        <v>76235265</v>
      </c>
    </row>
    <row r="1484" spans="1:11">
      <c r="A1484" t="str">
        <f t="shared" si="23"/>
        <v>76235273</v>
      </c>
      <c r="B1484">
        <v>76235273</v>
      </c>
      <c r="C1484" t="s">
        <v>7188</v>
      </c>
      <c r="D1484" t="s">
        <v>4242</v>
      </c>
      <c r="E1484">
        <v>4508714</v>
      </c>
      <c r="F1484" t="s">
        <v>742</v>
      </c>
      <c r="G1484" t="s">
        <v>743</v>
      </c>
      <c r="H1484" t="s">
        <v>6331</v>
      </c>
      <c r="I1484" s="12">
        <v>45561</v>
      </c>
      <c r="J1484">
        <v>1</v>
      </c>
      <c r="K1484" t="str">
        <f>VLOOKUP(A1484,'TV May Monthly Billing Sites'!$A:$L,1,0)</f>
        <v>76235273</v>
      </c>
    </row>
    <row r="1485" spans="1:11">
      <c r="A1485" t="str">
        <f t="shared" si="23"/>
        <v>76235278</v>
      </c>
      <c r="B1485">
        <v>76235278</v>
      </c>
      <c r="C1485" t="s">
        <v>7189</v>
      </c>
      <c r="D1485" t="s">
        <v>7190</v>
      </c>
      <c r="E1485">
        <v>4508714</v>
      </c>
      <c r="F1485" t="s">
        <v>742</v>
      </c>
      <c r="G1485" t="s">
        <v>743</v>
      </c>
      <c r="H1485" t="s">
        <v>6331</v>
      </c>
      <c r="I1485" s="12">
        <v>45561</v>
      </c>
      <c r="J1485">
        <v>1</v>
      </c>
      <c r="K1485" t="str">
        <f>VLOOKUP(A1485,'TV May Monthly Billing Sites'!$A:$L,1,0)</f>
        <v>76235278</v>
      </c>
    </row>
    <row r="1486" spans="1:11">
      <c r="A1486" t="str">
        <f t="shared" si="23"/>
        <v>76235381</v>
      </c>
      <c r="B1486">
        <v>76235381</v>
      </c>
      <c r="C1486" t="s">
        <v>7191</v>
      </c>
      <c r="D1486" t="s">
        <v>7192</v>
      </c>
      <c r="E1486">
        <v>4508675</v>
      </c>
      <c r="F1486" t="s">
        <v>742</v>
      </c>
      <c r="G1486" t="s">
        <v>828</v>
      </c>
      <c r="H1486" t="s">
        <v>829</v>
      </c>
      <c r="I1486" s="12">
        <v>45687</v>
      </c>
      <c r="J1486">
        <v>1</v>
      </c>
      <c r="K1486" t="str">
        <f>VLOOKUP(A1486,'TV May Monthly Billing Sites'!$A:$L,1,0)</f>
        <v>76235381</v>
      </c>
    </row>
    <row r="1487" spans="1:11">
      <c r="A1487" t="str">
        <f t="shared" si="23"/>
        <v>76235405</v>
      </c>
      <c r="B1487">
        <v>76235405</v>
      </c>
      <c r="C1487" t="s">
        <v>7193</v>
      </c>
      <c r="D1487" t="s">
        <v>7194</v>
      </c>
      <c r="E1487">
        <v>4508714</v>
      </c>
      <c r="F1487" t="s">
        <v>742</v>
      </c>
      <c r="G1487" t="s">
        <v>743</v>
      </c>
      <c r="H1487" t="s">
        <v>7195</v>
      </c>
      <c r="I1487" s="12">
        <v>45643</v>
      </c>
      <c r="J1487">
        <v>1</v>
      </c>
      <c r="K1487" t="str">
        <f>VLOOKUP(A1487,'TV May Monthly Billing Sites'!$A:$L,1,0)</f>
        <v>76235405</v>
      </c>
    </row>
    <row r="1488" spans="1:11">
      <c r="A1488" t="str">
        <f t="shared" si="23"/>
        <v>76235444</v>
      </c>
      <c r="B1488">
        <v>76235444</v>
      </c>
      <c r="C1488" t="s">
        <v>7196</v>
      </c>
      <c r="D1488" t="s">
        <v>7197</v>
      </c>
      <c r="E1488">
        <v>4508714</v>
      </c>
      <c r="F1488" t="s">
        <v>742</v>
      </c>
      <c r="G1488" t="s">
        <v>743</v>
      </c>
      <c r="H1488" t="s">
        <v>5870</v>
      </c>
      <c r="I1488" s="12">
        <v>45901</v>
      </c>
      <c r="J1488">
        <v>1</v>
      </c>
      <c r="K1488" t="str">
        <f>VLOOKUP(A1488,'TV May Monthly Billing Sites'!$A:$L,1,0)</f>
        <v>76235444</v>
      </c>
    </row>
    <row r="1489" spans="1:12">
      <c r="A1489" t="str">
        <f t="shared" si="23"/>
        <v>76235484</v>
      </c>
      <c r="B1489">
        <v>76235484</v>
      </c>
      <c r="C1489" t="s">
        <v>1121</v>
      </c>
      <c r="D1489" t="s">
        <v>1122</v>
      </c>
      <c r="E1489">
        <v>4508714</v>
      </c>
      <c r="F1489" t="s">
        <v>742</v>
      </c>
      <c r="G1489" t="s">
        <v>743</v>
      </c>
      <c r="H1489" t="s">
        <v>762</v>
      </c>
      <c r="I1489" s="12">
        <v>45622</v>
      </c>
      <c r="J1489">
        <v>1</v>
      </c>
      <c r="K1489" t="e">
        <f>VLOOKUP(A1489,'TV May Monthly Billing Sites'!$A:$L,1,0)</f>
        <v>#N/A</v>
      </c>
      <c r="L1489" t="e">
        <f>VLOOKUP(D1489,'TV May Monthly Billing Sites'!$B:$L,1,0)</f>
        <v>#N/A</v>
      </c>
    </row>
    <row r="1490" spans="1:12">
      <c r="A1490" t="str">
        <f t="shared" si="23"/>
        <v>76235485</v>
      </c>
      <c r="B1490">
        <v>76235485</v>
      </c>
      <c r="C1490" t="s">
        <v>1124</v>
      </c>
      <c r="D1490" t="s">
        <v>1125</v>
      </c>
      <c r="E1490">
        <v>4508714</v>
      </c>
      <c r="F1490" t="s">
        <v>742</v>
      </c>
      <c r="G1490" t="s">
        <v>743</v>
      </c>
      <c r="H1490" t="s">
        <v>762</v>
      </c>
      <c r="I1490" s="12">
        <v>45622</v>
      </c>
      <c r="J1490">
        <v>1</v>
      </c>
      <c r="K1490" t="e">
        <f>VLOOKUP(A1490,'TV May Monthly Billing Sites'!$A:$L,1,0)</f>
        <v>#N/A</v>
      </c>
      <c r="L1490" t="e">
        <f>VLOOKUP(D1490,'TV May Monthly Billing Sites'!$B:$L,1,0)</f>
        <v>#N/A</v>
      </c>
    </row>
    <row r="1491" spans="1:12">
      <c r="A1491" t="str">
        <f t="shared" si="23"/>
        <v>76235488</v>
      </c>
      <c r="B1491">
        <v>76235488</v>
      </c>
      <c r="C1491" t="s">
        <v>1127</v>
      </c>
      <c r="D1491" t="s">
        <v>1128</v>
      </c>
      <c r="E1491">
        <v>4508714</v>
      </c>
      <c r="F1491" t="s">
        <v>742</v>
      </c>
      <c r="G1491" t="s">
        <v>743</v>
      </c>
      <c r="H1491" t="s">
        <v>762</v>
      </c>
      <c r="I1491" s="12">
        <v>45622</v>
      </c>
      <c r="J1491">
        <v>1</v>
      </c>
      <c r="K1491" t="e">
        <f>VLOOKUP(A1491,'TV May Monthly Billing Sites'!$A:$L,1,0)</f>
        <v>#N/A</v>
      </c>
      <c r="L1491" t="e">
        <f>VLOOKUP(D1491,'TV May Monthly Billing Sites'!$B:$L,1,0)</f>
        <v>#N/A</v>
      </c>
    </row>
    <row r="1492" spans="1:12">
      <c r="A1492" t="str">
        <f t="shared" si="23"/>
        <v>76235494</v>
      </c>
      <c r="B1492">
        <v>76235494</v>
      </c>
      <c r="C1492" t="s">
        <v>1130</v>
      </c>
      <c r="D1492" t="s">
        <v>1131</v>
      </c>
      <c r="E1492">
        <v>4508714</v>
      </c>
      <c r="F1492" t="s">
        <v>742</v>
      </c>
      <c r="G1492" t="s">
        <v>743</v>
      </c>
      <c r="H1492" t="s">
        <v>762</v>
      </c>
      <c r="I1492" s="12">
        <v>45622</v>
      </c>
      <c r="J1492">
        <v>1</v>
      </c>
      <c r="K1492" t="e">
        <f>VLOOKUP(A1492,'TV May Monthly Billing Sites'!$A:$L,1,0)</f>
        <v>#N/A</v>
      </c>
      <c r="L1492" t="e">
        <f>VLOOKUP(D1492,'TV May Monthly Billing Sites'!$B:$L,1,0)</f>
        <v>#N/A</v>
      </c>
    </row>
    <row r="1493" spans="1:12">
      <c r="A1493" t="str">
        <f t="shared" si="23"/>
        <v>76235496</v>
      </c>
      <c r="B1493">
        <v>76235496</v>
      </c>
      <c r="C1493" t="s">
        <v>1133</v>
      </c>
      <c r="D1493" t="s">
        <v>1134</v>
      </c>
      <c r="E1493">
        <v>4508714</v>
      </c>
      <c r="F1493" t="s">
        <v>742</v>
      </c>
      <c r="G1493" t="s">
        <v>743</v>
      </c>
      <c r="H1493" t="s">
        <v>762</v>
      </c>
      <c r="I1493" s="12">
        <v>45622</v>
      </c>
      <c r="J1493">
        <v>1</v>
      </c>
      <c r="K1493" t="e">
        <f>VLOOKUP(A1493,'TV May Monthly Billing Sites'!$A:$L,1,0)</f>
        <v>#N/A</v>
      </c>
      <c r="L1493" t="e">
        <f>VLOOKUP(D1493,'TV May Monthly Billing Sites'!$B:$L,1,0)</f>
        <v>#N/A</v>
      </c>
    </row>
    <row r="1494" spans="1:12">
      <c r="A1494" t="str">
        <f t="shared" si="23"/>
        <v>76235600</v>
      </c>
      <c r="B1494">
        <v>76235600</v>
      </c>
      <c r="C1494" t="s">
        <v>7198</v>
      </c>
      <c r="D1494" t="s">
        <v>4252</v>
      </c>
      <c r="E1494">
        <v>4408592</v>
      </c>
      <c r="F1494" t="s">
        <v>742</v>
      </c>
      <c r="G1494" t="s">
        <v>823</v>
      </c>
      <c r="H1494" t="s">
        <v>1038</v>
      </c>
      <c r="I1494" s="12">
        <v>45597</v>
      </c>
      <c r="J1494">
        <v>1</v>
      </c>
      <c r="K1494" t="str">
        <f>VLOOKUP(A1494,'TV May Monthly Billing Sites'!$A:$L,1,0)</f>
        <v>76235600</v>
      </c>
    </row>
    <row r="1495" spans="1:12">
      <c r="A1495" t="str">
        <f t="shared" si="23"/>
        <v>76235754</v>
      </c>
      <c r="B1495">
        <v>76235754</v>
      </c>
      <c r="C1495" t="s">
        <v>7199</v>
      </c>
      <c r="D1495" t="s">
        <v>7200</v>
      </c>
      <c r="E1495">
        <v>4508714</v>
      </c>
      <c r="F1495" t="s">
        <v>742</v>
      </c>
      <c r="G1495" t="s">
        <v>743</v>
      </c>
      <c r="H1495" t="s">
        <v>6424</v>
      </c>
      <c r="I1495" s="12">
        <v>46076</v>
      </c>
      <c r="J1495">
        <v>1</v>
      </c>
      <c r="K1495" t="str">
        <f>VLOOKUP(A1495,'TV May Monthly Billing Sites'!$A:$L,1,0)</f>
        <v>76235754</v>
      </c>
    </row>
    <row r="1496" spans="1:12">
      <c r="A1496" t="str">
        <f t="shared" si="23"/>
        <v>76235776</v>
      </c>
      <c r="B1496">
        <v>76235776</v>
      </c>
      <c r="C1496" t="s">
        <v>7201</v>
      </c>
      <c r="D1496" t="s">
        <v>7202</v>
      </c>
      <c r="E1496">
        <v>4508714</v>
      </c>
      <c r="F1496" t="s">
        <v>742</v>
      </c>
      <c r="G1496" t="s">
        <v>743</v>
      </c>
      <c r="H1496" t="s">
        <v>5515</v>
      </c>
      <c r="I1496" s="12">
        <v>45623</v>
      </c>
      <c r="J1496">
        <v>1</v>
      </c>
      <c r="K1496" t="str">
        <f>VLOOKUP(A1496,'TV May Monthly Billing Sites'!$A:$L,1,0)</f>
        <v>76235776</v>
      </c>
    </row>
    <row r="1497" spans="1:12">
      <c r="A1497" t="str">
        <f t="shared" si="23"/>
        <v>76235855</v>
      </c>
      <c r="B1497">
        <v>76235855</v>
      </c>
      <c r="C1497" t="s">
        <v>7203</v>
      </c>
      <c r="D1497" t="s">
        <v>7204</v>
      </c>
      <c r="E1497">
        <v>4408592</v>
      </c>
      <c r="F1497" t="s">
        <v>742</v>
      </c>
      <c r="G1497" t="s">
        <v>823</v>
      </c>
      <c r="H1497" t="s">
        <v>6995</v>
      </c>
      <c r="I1497" s="12">
        <v>45159</v>
      </c>
      <c r="J1497">
        <v>1</v>
      </c>
      <c r="K1497" t="str">
        <f>VLOOKUP(A1497,'TV May Monthly Billing Sites'!$A:$L,1,0)</f>
        <v>76235855</v>
      </c>
    </row>
    <row r="1498" spans="1:12">
      <c r="A1498" t="str">
        <f t="shared" si="23"/>
        <v>76236030</v>
      </c>
      <c r="B1498">
        <v>76236030</v>
      </c>
      <c r="C1498" t="s">
        <v>7205</v>
      </c>
      <c r="D1498" t="s">
        <v>4260</v>
      </c>
      <c r="E1498">
        <v>4508714</v>
      </c>
      <c r="F1498" t="s">
        <v>742</v>
      </c>
      <c r="G1498" t="s">
        <v>743</v>
      </c>
      <c r="H1498" t="s">
        <v>1096</v>
      </c>
      <c r="I1498" s="12">
        <v>45961</v>
      </c>
      <c r="J1498">
        <v>1</v>
      </c>
      <c r="K1498" t="str">
        <f>VLOOKUP(A1498,'TV May Monthly Billing Sites'!$A:$L,1,0)</f>
        <v>76236030</v>
      </c>
    </row>
    <row r="1499" spans="1:12">
      <c r="A1499" t="str">
        <f t="shared" si="23"/>
        <v>76236039</v>
      </c>
      <c r="B1499">
        <v>76236039</v>
      </c>
      <c r="C1499" t="s">
        <v>7206</v>
      </c>
      <c r="D1499" t="s">
        <v>4262</v>
      </c>
      <c r="E1499">
        <v>4408593</v>
      </c>
      <c r="F1499" t="s">
        <v>742</v>
      </c>
      <c r="G1499" t="s">
        <v>782</v>
      </c>
      <c r="H1499" t="s">
        <v>6289</v>
      </c>
      <c r="I1499" s="12">
        <v>45629</v>
      </c>
      <c r="J1499">
        <v>1</v>
      </c>
      <c r="K1499" t="str">
        <f>VLOOKUP(A1499,'TV May Monthly Billing Sites'!$A:$L,1,0)</f>
        <v>76236039</v>
      </c>
    </row>
    <row r="1500" spans="1:12">
      <c r="A1500" t="str">
        <f t="shared" si="23"/>
        <v>76236040</v>
      </c>
      <c r="B1500">
        <v>76236040</v>
      </c>
      <c r="C1500" t="s">
        <v>7207</v>
      </c>
      <c r="D1500" t="s">
        <v>4264</v>
      </c>
      <c r="E1500">
        <v>4408593</v>
      </c>
      <c r="F1500" t="s">
        <v>742</v>
      </c>
      <c r="G1500" t="s">
        <v>782</v>
      </c>
      <c r="H1500" t="s">
        <v>6289</v>
      </c>
      <c r="I1500" s="12">
        <v>45629</v>
      </c>
      <c r="J1500">
        <v>1</v>
      </c>
      <c r="K1500" t="str">
        <f>VLOOKUP(A1500,'TV May Monthly Billing Sites'!$A:$L,1,0)</f>
        <v>76236040</v>
      </c>
    </row>
    <row r="1501" spans="1:12">
      <c r="A1501" t="str">
        <f t="shared" si="23"/>
        <v>76236439</v>
      </c>
      <c r="B1501">
        <v>76236439</v>
      </c>
      <c r="C1501" t="s">
        <v>7208</v>
      </c>
      <c r="D1501" t="s">
        <v>4266</v>
      </c>
      <c r="E1501">
        <v>4508714</v>
      </c>
      <c r="F1501" t="s">
        <v>742</v>
      </c>
      <c r="G1501" t="s">
        <v>743</v>
      </c>
      <c r="H1501" t="s">
        <v>5897</v>
      </c>
      <c r="I1501" s="12">
        <v>45839</v>
      </c>
      <c r="J1501">
        <v>1</v>
      </c>
      <c r="K1501" t="str">
        <f>VLOOKUP(A1501,'TV May Monthly Billing Sites'!$A:$L,1,0)</f>
        <v>76236439</v>
      </c>
    </row>
    <row r="1502" spans="1:12">
      <c r="A1502" t="str">
        <f t="shared" si="23"/>
        <v>76236567</v>
      </c>
      <c r="B1502">
        <v>76236567</v>
      </c>
      <c r="C1502" t="s">
        <v>7209</v>
      </c>
      <c r="D1502" t="s">
        <v>4268</v>
      </c>
      <c r="E1502">
        <v>4408592</v>
      </c>
      <c r="F1502" t="s">
        <v>742</v>
      </c>
      <c r="G1502" t="s">
        <v>823</v>
      </c>
      <c r="H1502" t="s">
        <v>1038</v>
      </c>
      <c r="I1502" s="12">
        <v>45597</v>
      </c>
      <c r="J1502">
        <v>1</v>
      </c>
      <c r="K1502" t="str">
        <f>VLOOKUP(A1502,'TV May Monthly Billing Sites'!$A:$L,1,0)</f>
        <v>76236567</v>
      </c>
    </row>
    <row r="1503" spans="1:12">
      <c r="A1503" t="str">
        <f t="shared" si="23"/>
        <v>76236568</v>
      </c>
      <c r="B1503">
        <v>76236568</v>
      </c>
      <c r="C1503" t="s">
        <v>7210</v>
      </c>
      <c r="D1503" t="s">
        <v>4270</v>
      </c>
      <c r="E1503">
        <v>4408592</v>
      </c>
      <c r="F1503" t="s">
        <v>742</v>
      </c>
      <c r="G1503" t="s">
        <v>823</v>
      </c>
      <c r="H1503" t="s">
        <v>1038</v>
      </c>
      <c r="I1503" s="12">
        <v>45597</v>
      </c>
      <c r="J1503">
        <v>1</v>
      </c>
      <c r="K1503" t="str">
        <f>VLOOKUP(A1503,'TV May Monthly Billing Sites'!$A:$L,1,0)</f>
        <v>76236568</v>
      </c>
    </row>
    <row r="1504" spans="1:12">
      <c r="A1504" t="str">
        <f t="shared" si="23"/>
        <v>76236747</v>
      </c>
      <c r="B1504">
        <v>76236747</v>
      </c>
      <c r="C1504" t="s">
        <v>1136</v>
      </c>
      <c r="D1504" t="s">
        <v>1137</v>
      </c>
      <c r="E1504">
        <v>4508714</v>
      </c>
      <c r="F1504" t="s">
        <v>742</v>
      </c>
      <c r="G1504" t="s">
        <v>743</v>
      </c>
      <c r="H1504" t="s">
        <v>1138</v>
      </c>
      <c r="I1504" s="12">
        <v>45236</v>
      </c>
      <c r="J1504">
        <v>1</v>
      </c>
      <c r="K1504" t="e">
        <f>VLOOKUP(A1504,'TV May Monthly Billing Sites'!$A:$L,1,0)</f>
        <v>#N/A</v>
      </c>
      <c r="L1504" t="e">
        <f>VLOOKUP(D1504,'TV May Monthly Billing Sites'!$B:$L,1,0)</f>
        <v>#N/A</v>
      </c>
    </row>
    <row r="1505" spans="1:12">
      <c r="A1505" t="str">
        <f t="shared" si="23"/>
        <v>76236781</v>
      </c>
      <c r="B1505">
        <v>76236781</v>
      </c>
      <c r="C1505" t="s">
        <v>7211</v>
      </c>
      <c r="D1505" t="s">
        <v>7212</v>
      </c>
      <c r="E1505">
        <v>4508714</v>
      </c>
      <c r="F1505" t="s">
        <v>742</v>
      </c>
      <c r="G1505" t="s">
        <v>743</v>
      </c>
      <c r="H1505" t="s">
        <v>4974</v>
      </c>
      <c r="I1505" s="12">
        <v>45638</v>
      </c>
      <c r="J1505">
        <v>1</v>
      </c>
      <c r="K1505" t="str">
        <f>VLOOKUP(A1505,'TV May Monthly Billing Sites'!$A:$L,1,0)</f>
        <v>76236781</v>
      </c>
    </row>
    <row r="1506" spans="1:12">
      <c r="A1506" t="str">
        <f t="shared" si="23"/>
        <v>76236889</v>
      </c>
      <c r="B1506">
        <v>76236889</v>
      </c>
      <c r="C1506" t="s">
        <v>7213</v>
      </c>
      <c r="D1506" t="s">
        <v>4274</v>
      </c>
      <c r="E1506">
        <v>4408593</v>
      </c>
      <c r="F1506" t="s">
        <v>742</v>
      </c>
      <c r="G1506" t="s">
        <v>782</v>
      </c>
      <c r="H1506" t="s">
        <v>4274</v>
      </c>
      <c r="I1506" s="12">
        <v>45930</v>
      </c>
      <c r="J1506">
        <v>1</v>
      </c>
      <c r="K1506" t="str">
        <f>VLOOKUP(A1506,'TV May Monthly Billing Sites'!$A:$L,1,0)</f>
        <v>76236889</v>
      </c>
    </row>
    <row r="1507" spans="1:12">
      <c r="A1507" t="str">
        <f t="shared" si="23"/>
        <v>76236919</v>
      </c>
      <c r="B1507">
        <v>76236919</v>
      </c>
      <c r="C1507" t="s">
        <v>7214</v>
      </c>
      <c r="D1507" t="s">
        <v>7215</v>
      </c>
      <c r="E1507">
        <v>4508675</v>
      </c>
      <c r="F1507" t="s">
        <v>742</v>
      </c>
      <c r="G1507" t="s">
        <v>828</v>
      </c>
      <c r="H1507" t="s">
        <v>7216</v>
      </c>
      <c r="I1507" s="12">
        <v>45376</v>
      </c>
      <c r="J1507">
        <v>1</v>
      </c>
      <c r="K1507" t="str">
        <f>VLOOKUP(A1507,'TV May Monthly Billing Sites'!$A:$L,1,0)</f>
        <v>76236919</v>
      </c>
    </row>
    <row r="1508" spans="1:12">
      <c r="A1508" t="str">
        <f t="shared" si="23"/>
        <v>76237108</v>
      </c>
      <c r="B1508">
        <v>76237108</v>
      </c>
      <c r="C1508" t="s">
        <v>7217</v>
      </c>
      <c r="D1508" t="s">
        <v>4278</v>
      </c>
      <c r="E1508">
        <v>4508714</v>
      </c>
      <c r="F1508" t="s">
        <v>742</v>
      </c>
      <c r="G1508" t="s">
        <v>743</v>
      </c>
      <c r="H1508" t="s">
        <v>816</v>
      </c>
      <c r="I1508" s="12">
        <v>45597</v>
      </c>
      <c r="J1508">
        <v>1</v>
      </c>
      <c r="K1508" t="str">
        <f>VLOOKUP(A1508,'TV May Monthly Billing Sites'!$A:$L,1,0)</f>
        <v>76237108</v>
      </c>
    </row>
    <row r="1509" spans="1:12">
      <c r="A1509" t="str">
        <f t="shared" si="23"/>
        <v>76237183</v>
      </c>
      <c r="B1509">
        <v>76237183</v>
      </c>
      <c r="C1509" t="s">
        <v>7218</v>
      </c>
      <c r="D1509" t="s">
        <v>7219</v>
      </c>
      <c r="E1509">
        <v>4508714</v>
      </c>
      <c r="F1509" t="s">
        <v>742</v>
      </c>
      <c r="G1509" t="s">
        <v>743</v>
      </c>
      <c r="H1509" t="s">
        <v>6279</v>
      </c>
      <c r="I1509" s="12">
        <v>45659</v>
      </c>
      <c r="J1509">
        <v>1</v>
      </c>
      <c r="K1509" t="str">
        <f>VLOOKUP(A1509,'TV May Monthly Billing Sites'!$A:$L,1,0)</f>
        <v>76237183</v>
      </c>
    </row>
    <row r="1510" spans="1:12">
      <c r="A1510" t="str">
        <f t="shared" si="23"/>
        <v>76237192</v>
      </c>
      <c r="B1510">
        <v>76237192</v>
      </c>
      <c r="C1510" t="s">
        <v>7220</v>
      </c>
      <c r="D1510" t="s">
        <v>7221</v>
      </c>
      <c r="E1510">
        <v>4508714</v>
      </c>
      <c r="F1510" t="s">
        <v>742</v>
      </c>
      <c r="G1510" t="s">
        <v>743</v>
      </c>
      <c r="H1510" t="s">
        <v>6279</v>
      </c>
      <c r="I1510" s="12">
        <v>45659</v>
      </c>
      <c r="J1510">
        <v>1</v>
      </c>
      <c r="K1510" t="e">
        <f>VLOOKUP(A1510,'TV May Monthly Billing Sites'!$A:$L,1,0)</f>
        <v>#N/A</v>
      </c>
      <c r="L1510" t="str">
        <f>VLOOKUP(D1510,'TV May Monthly Billing Sites'!$B:$L,1,0)</f>
        <v>Garnet Volkswagen Reading</v>
      </c>
    </row>
    <row r="1511" spans="1:12">
      <c r="A1511" t="str">
        <f t="shared" si="23"/>
        <v>76237244</v>
      </c>
      <c r="B1511">
        <v>76237244</v>
      </c>
      <c r="C1511" t="s">
        <v>7222</v>
      </c>
      <c r="D1511" t="s">
        <v>3887</v>
      </c>
      <c r="E1511">
        <v>4508714</v>
      </c>
      <c r="F1511" t="s">
        <v>742</v>
      </c>
      <c r="G1511" t="s">
        <v>743</v>
      </c>
      <c r="H1511" t="s">
        <v>5159</v>
      </c>
      <c r="I1511" s="12">
        <v>45441</v>
      </c>
      <c r="J1511">
        <v>1</v>
      </c>
      <c r="K1511" t="e">
        <f>VLOOKUP(A1511,'TV May Monthly Billing Sites'!$A:$L,1,0)</f>
        <v>#N/A</v>
      </c>
      <c r="L1511" t="str">
        <f>VLOOKUP(D1511,'TV May Monthly Billing Sites'!$B:$L,1,0)</f>
        <v>RICART HYUNDAI</v>
      </c>
    </row>
    <row r="1512" spans="1:12">
      <c r="A1512" t="str">
        <f t="shared" si="23"/>
        <v>76237495</v>
      </c>
      <c r="B1512">
        <v>76237495</v>
      </c>
      <c r="C1512" t="s">
        <v>7223</v>
      </c>
      <c r="D1512" t="s">
        <v>7224</v>
      </c>
      <c r="E1512">
        <v>4408592</v>
      </c>
      <c r="F1512" t="s">
        <v>742</v>
      </c>
      <c r="G1512" t="s">
        <v>823</v>
      </c>
      <c r="H1512" t="s">
        <v>6887</v>
      </c>
      <c r="I1512" s="12">
        <v>45678</v>
      </c>
      <c r="J1512">
        <v>1</v>
      </c>
      <c r="K1512" t="str">
        <f>VLOOKUP(A1512,'TV May Monthly Billing Sites'!$A:$L,1,0)</f>
        <v>76237495</v>
      </c>
    </row>
    <row r="1513" spans="1:12">
      <c r="A1513" t="str">
        <f t="shared" si="23"/>
        <v>76237652</v>
      </c>
      <c r="B1513">
        <v>76237652</v>
      </c>
      <c r="C1513" t="s">
        <v>7225</v>
      </c>
      <c r="D1513" t="s">
        <v>4284</v>
      </c>
      <c r="E1513">
        <v>4508714</v>
      </c>
      <c r="F1513" t="s">
        <v>742</v>
      </c>
      <c r="G1513" t="s">
        <v>743</v>
      </c>
      <c r="H1513" t="s">
        <v>7226</v>
      </c>
      <c r="I1513" s="12">
        <v>46002</v>
      </c>
      <c r="J1513">
        <v>1</v>
      </c>
      <c r="K1513" t="str">
        <f>VLOOKUP(A1513,'TV May Monthly Billing Sites'!$A:$L,1,0)</f>
        <v>76237652</v>
      </c>
    </row>
    <row r="1514" spans="1:12">
      <c r="A1514" t="str">
        <f t="shared" si="23"/>
        <v>76237709</v>
      </c>
      <c r="B1514">
        <v>76237709</v>
      </c>
      <c r="C1514" t="s">
        <v>7227</v>
      </c>
      <c r="D1514" t="s">
        <v>7228</v>
      </c>
      <c r="E1514">
        <v>4408592</v>
      </c>
      <c r="F1514" t="s">
        <v>742</v>
      </c>
      <c r="G1514" t="s">
        <v>823</v>
      </c>
      <c r="H1514" t="s">
        <v>1183</v>
      </c>
      <c r="I1514" s="12">
        <v>45047</v>
      </c>
      <c r="J1514">
        <v>1</v>
      </c>
      <c r="K1514" t="str">
        <f>VLOOKUP(A1514,'TV May Monthly Billing Sites'!$A:$L,1,0)</f>
        <v>76237709</v>
      </c>
    </row>
    <row r="1515" spans="1:12">
      <c r="A1515" t="str">
        <f t="shared" si="23"/>
        <v>76237710</v>
      </c>
      <c r="B1515">
        <v>76237710</v>
      </c>
      <c r="C1515" t="s">
        <v>7229</v>
      </c>
      <c r="D1515" t="s">
        <v>4288</v>
      </c>
      <c r="E1515">
        <v>4408592</v>
      </c>
      <c r="F1515" t="s">
        <v>742</v>
      </c>
      <c r="G1515" t="s">
        <v>823</v>
      </c>
      <c r="H1515" t="s">
        <v>1183</v>
      </c>
      <c r="I1515" s="12">
        <v>45047</v>
      </c>
      <c r="J1515">
        <v>1</v>
      </c>
      <c r="K1515" t="str">
        <f>VLOOKUP(A1515,'TV May Monthly Billing Sites'!$A:$L,1,0)</f>
        <v>76237710</v>
      </c>
    </row>
    <row r="1516" spans="1:12">
      <c r="A1516" t="str">
        <f t="shared" si="23"/>
        <v>76237749</v>
      </c>
      <c r="B1516">
        <v>76237749</v>
      </c>
      <c r="C1516" t="s">
        <v>7230</v>
      </c>
      <c r="D1516" t="s">
        <v>4290</v>
      </c>
      <c r="E1516">
        <v>4408592</v>
      </c>
      <c r="F1516" t="s">
        <v>742</v>
      </c>
      <c r="G1516" t="s">
        <v>823</v>
      </c>
      <c r="H1516" t="s">
        <v>6260</v>
      </c>
      <c r="I1516" s="12">
        <v>46015</v>
      </c>
      <c r="J1516">
        <v>1</v>
      </c>
      <c r="K1516" t="str">
        <f>VLOOKUP(A1516,'TV May Monthly Billing Sites'!$A:$L,1,0)</f>
        <v>76237749</v>
      </c>
    </row>
    <row r="1517" spans="1:12">
      <c r="A1517" t="str">
        <f t="shared" si="23"/>
        <v>76237899</v>
      </c>
      <c r="B1517">
        <v>76237899</v>
      </c>
      <c r="C1517" t="s">
        <v>7231</v>
      </c>
      <c r="D1517" t="s">
        <v>4292</v>
      </c>
      <c r="E1517">
        <v>4508675</v>
      </c>
      <c r="F1517" t="s">
        <v>742</v>
      </c>
      <c r="G1517" t="s">
        <v>828</v>
      </c>
      <c r="H1517" t="s">
        <v>7232</v>
      </c>
      <c r="I1517" s="12">
        <v>45916</v>
      </c>
      <c r="J1517">
        <v>1</v>
      </c>
      <c r="K1517" t="str">
        <f>VLOOKUP(A1517,'TV May Monthly Billing Sites'!$A:$L,1,0)</f>
        <v>76237899</v>
      </c>
    </row>
    <row r="1518" spans="1:12">
      <c r="A1518" t="str">
        <f t="shared" si="23"/>
        <v>76237902</v>
      </c>
      <c r="B1518">
        <v>76237902</v>
      </c>
      <c r="C1518" t="s">
        <v>7233</v>
      </c>
      <c r="D1518" t="s">
        <v>7234</v>
      </c>
      <c r="E1518">
        <v>4508714</v>
      </c>
      <c r="F1518" t="s">
        <v>742</v>
      </c>
      <c r="G1518" t="s">
        <v>743</v>
      </c>
      <c r="H1518" t="s">
        <v>6331</v>
      </c>
      <c r="I1518" s="12">
        <v>45561</v>
      </c>
      <c r="J1518">
        <v>1</v>
      </c>
      <c r="K1518" t="str">
        <f>VLOOKUP(A1518,'TV May Monthly Billing Sites'!$A:$L,1,0)</f>
        <v>76237902</v>
      </c>
    </row>
    <row r="1519" spans="1:12">
      <c r="A1519" t="str">
        <f t="shared" si="23"/>
        <v>76237987</v>
      </c>
      <c r="B1519">
        <v>76237987</v>
      </c>
      <c r="C1519" t="s">
        <v>7235</v>
      </c>
      <c r="D1519" t="s">
        <v>7236</v>
      </c>
      <c r="E1519">
        <v>4408593</v>
      </c>
      <c r="F1519" t="s">
        <v>742</v>
      </c>
      <c r="G1519" t="s">
        <v>782</v>
      </c>
      <c r="H1519" t="s">
        <v>7237</v>
      </c>
      <c r="I1519" s="12">
        <v>45435</v>
      </c>
      <c r="J1519">
        <v>1</v>
      </c>
      <c r="K1519" t="str">
        <f>VLOOKUP(A1519,'TV May Monthly Billing Sites'!$A:$L,1,0)</f>
        <v>76237987</v>
      </c>
    </row>
    <row r="1520" spans="1:12">
      <c r="A1520" t="str">
        <f t="shared" si="23"/>
        <v>76238621</v>
      </c>
      <c r="B1520">
        <v>76238621</v>
      </c>
      <c r="C1520" t="s">
        <v>7238</v>
      </c>
      <c r="D1520" t="s">
        <v>4298</v>
      </c>
      <c r="E1520">
        <v>4508714</v>
      </c>
      <c r="F1520" t="s">
        <v>742</v>
      </c>
      <c r="G1520" t="s">
        <v>743</v>
      </c>
      <c r="H1520" t="s">
        <v>5420</v>
      </c>
      <c r="I1520" s="12">
        <v>45393</v>
      </c>
      <c r="J1520">
        <v>1</v>
      </c>
      <c r="K1520" t="str">
        <f>VLOOKUP(A1520,'TV May Monthly Billing Sites'!$A:$L,1,0)</f>
        <v>76238621</v>
      </c>
    </row>
    <row r="1521" spans="1:12">
      <c r="A1521" t="str">
        <f t="shared" si="23"/>
        <v>76238643</v>
      </c>
      <c r="B1521">
        <v>76238643</v>
      </c>
      <c r="C1521" t="s">
        <v>1140</v>
      </c>
      <c r="D1521" t="s">
        <v>1141</v>
      </c>
      <c r="E1521">
        <v>4508714</v>
      </c>
      <c r="F1521" t="s">
        <v>742</v>
      </c>
      <c r="G1521" t="s">
        <v>743</v>
      </c>
      <c r="H1521" t="s">
        <v>762</v>
      </c>
      <c r="I1521" s="12">
        <v>45622</v>
      </c>
      <c r="J1521">
        <v>1</v>
      </c>
      <c r="K1521" t="e">
        <f>VLOOKUP(A1521,'TV May Monthly Billing Sites'!$A:$L,1,0)</f>
        <v>#N/A</v>
      </c>
      <c r="L1521" t="e">
        <f>VLOOKUP(D1521,'TV May Monthly Billing Sites'!$B:$L,1,0)</f>
        <v>#N/A</v>
      </c>
    </row>
    <row r="1522" spans="1:12">
      <c r="A1522" t="str">
        <f t="shared" si="23"/>
        <v>76238647</v>
      </c>
      <c r="B1522">
        <v>76238647</v>
      </c>
      <c r="C1522" t="s">
        <v>1143</v>
      </c>
      <c r="D1522" t="s">
        <v>1144</v>
      </c>
      <c r="E1522">
        <v>4508714</v>
      </c>
      <c r="F1522" t="s">
        <v>742</v>
      </c>
      <c r="G1522" t="s">
        <v>743</v>
      </c>
      <c r="H1522" t="s">
        <v>762</v>
      </c>
      <c r="I1522" s="12">
        <v>45622</v>
      </c>
      <c r="J1522">
        <v>1</v>
      </c>
      <c r="K1522" t="e">
        <f>VLOOKUP(A1522,'TV May Monthly Billing Sites'!$A:$L,1,0)</f>
        <v>#N/A</v>
      </c>
      <c r="L1522" t="e">
        <f>VLOOKUP(D1522,'TV May Monthly Billing Sites'!$B:$L,1,0)</f>
        <v>#N/A</v>
      </c>
    </row>
    <row r="1523" spans="1:12">
      <c r="A1523" t="str">
        <f t="shared" si="23"/>
        <v>76238658</v>
      </c>
      <c r="B1523">
        <v>76238658</v>
      </c>
      <c r="C1523" t="s">
        <v>7239</v>
      </c>
      <c r="D1523" t="s">
        <v>4300</v>
      </c>
      <c r="E1523">
        <v>4508714</v>
      </c>
      <c r="F1523" t="s">
        <v>742</v>
      </c>
      <c r="G1523" t="s">
        <v>743</v>
      </c>
      <c r="H1523" t="s">
        <v>1096</v>
      </c>
      <c r="I1523" s="12">
        <v>45961</v>
      </c>
      <c r="J1523">
        <v>1</v>
      </c>
      <c r="K1523" t="str">
        <f>VLOOKUP(A1523,'TV May Monthly Billing Sites'!$A:$L,1,0)</f>
        <v>76238658</v>
      </c>
    </row>
    <row r="1524" spans="1:12">
      <c r="A1524" t="str">
        <f t="shared" si="23"/>
        <v>76238686</v>
      </c>
      <c r="B1524">
        <v>76238686</v>
      </c>
      <c r="C1524" t="s">
        <v>7240</v>
      </c>
      <c r="D1524" t="s">
        <v>2394</v>
      </c>
      <c r="E1524">
        <v>4508714</v>
      </c>
      <c r="F1524" t="s">
        <v>742</v>
      </c>
      <c r="G1524" t="s">
        <v>743</v>
      </c>
      <c r="H1524" t="s">
        <v>7241</v>
      </c>
      <c r="I1524" s="12">
        <v>46021</v>
      </c>
      <c r="J1524">
        <v>1</v>
      </c>
      <c r="K1524" t="e">
        <f>VLOOKUP(A1524,'TV May Monthly Billing Sites'!$A:$L,1,0)</f>
        <v>#N/A</v>
      </c>
      <c r="L1524" t="str">
        <f>VLOOKUP(D1524,'TV May Monthly Billing Sites'!$B:$L,1,0)</f>
        <v>TOYOTA DE BAYAMON</v>
      </c>
    </row>
    <row r="1525" spans="1:12">
      <c r="A1525" t="str">
        <f t="shared" si="23"/>
        <v>76238705</v>
      </c>
      <c r="B1525">
        <v>76238705</v>
      </c>
      <c r="C1525" t="s">
        <v>7242</v>
      </c>
      <c r="D1525" t="s">
        <v>7243</v>
      </c>
      <c r="E1525">
        <v>4508714</v>
      </c>
      <c r="F1525" t="s">
        <v>742</v>
      </c>
      <c r="G1525" t="s">
        <v>743</v>
      </c>
      <c r="H1525" t="s">
        <v>5973</v>
      </c>
      <c r="I1525" s="12">
        <v>45776</v>
      </c>
      <c r="J1525">
        <v>1</v>
      </c>
      <c r="K1525" t="str">
        <f>VLOOKUP(A1525,'TV May Monthly Billing Sites'!$A:$L,1,0)</f>
        <v>76238705</v>
      </c>
    </row>
    <row r="1526" spans="1:12">
      <c r="A1526" t="str">
        <f t="shared" si="23"/>
        <v>76238757</v>
      </c>
      <c r="B1526">
        <v>76238757</v>
      </c>
      <c r="C1526" t="s">
        <v>7244</v>
      </c>
      <c r="D1526" t="s">
        <v>4304</v>
      </c>
      <c r="E1526">
        <v>4408592</v>
      </c>
      <c r="F1526" t="s">
        <v>742</v>
      </c>
      <c r="G1526" t="s">
        <v>823</v>
      </c>
      <c r="H1526" t="s">
        <v>6318</v>
      </c>
      <c r="I1526" s="12">
        <v>45125</v>
      </c>
      <c r="J1526">
        <v>1</v>
      </c>
      <c r="K1526" t="str">
        <f>VLOOKUP(A1526,'TV May Monthly Billing Sites'!$A:$L,1,0)</f>
        <v>76238757</v>
      </c>
    </row>
    <row r="1527" spans="1:12">
      <c r="A1527" t="str">
        <f t="shared" si="23"/>
        <v>76238762</v>
      </c>
      <c r="B1527">
        <v>76238762</v>
      </c>
      <c r="C1527" t="s">
        <v>7245</v>
      </c>
      <c r="D1527" t="s">
        <v>4306</v>
      </c>
      <c r="E1527">
        <v>4408592</v>
      </c>
      <c r="F1527" t="s">
        <v>742</v>
      </c>
      <c r="G1527" t="s">
        <v>823</v>
      </c>
      <c r="H1527" t="s">
        <v>6318</v>
      </c>
      <c r="I1527" s="12">
        <v>45125</v>
      </c>
      <c r="J1527">
        <v>1</v>
      </c>
      <c r="K1527" t="str">
        <f>VLOOKUP(A1527,'TV May Monthly Billing Sites'!$A:$L,1,0)</f>
        <v>76238762</v>
      </c>
    </row>
    <row r="1528" spans="1:12">
      <c r="A1528" t="str">
        <f t="shared" si="23"/>
        <v>76238764</v>
      </c>
      <c r="B1528">
        <v>76238764</v>
      </c>
      <c r="C1528" t="s">
        <v>7246</v>
      </c>
      <c r="D1528" t="s">
        <v>4308</v>
      </c>
      <c r="E1528">
        <v>4408592</v>
      </c>
      <c r="F1528" t="s">
        <v>742</v>
      </c>
      <c r="G1528" t="s">
        <v>823</v>
      </c>
      <c r="H1528" t="s">
        <v>6318</v>
      </c>
      <c r="I1528" s="12">
        <v>45125</v>
      </c>
      <c r="J1528">
        <v>1</v>
      </c>
      <c r="K1528" t="str">
        <f>VLOOKUP(A1528,'TV May Monthly Billing Sites'!$A:$L,1,0)</f>
        <v>76238764</v>
      </c>
    </row>
    <row r="1529" spans="1:12">
      <c r="A1529" t="str">
        <f t="shared" si="23"/>
        <v>76238768</v>
      </c>
      <c r="B1529">
        <v>76238768</v>
      </c>
      <c r="C1529" t="s">
        <v>7247</v>
      </c>
      <c r="D1529" t="s">
        <v>4310</v>
      </c>
      <c r="E1529">
        <v>4408593</v>
      </c>
      <c r="F1529" t="s">
        <v>742</v>
      </c>
      <c r="G1529" t="s">
        <v>782</v>
      </c>
      <c r="H1529" t="s">
        <v>6318</v>
      </c>
      <c r="I1529" s="12">
        <v>45625</v>
      </c>
      <c r="J1529">
        <v>1</v>
      </c>
      <c r="K1529" t="str">
        <f>VLOOKUP(A1529,'TV May Monthly Billing Sites'!$A:$L,1,0)</f>
        <v>76238768</v>
      </c>
    </row>
    <row r="1530" spans="1:12">
      <c r="A1530" t="str">
        <f t="shared" si="23"/>
        <v>76239770</v>
      </c>
      <c r="B1530">
        <v>76239770</v>
      </c>
      <c r="C1530" t="s">
        <v>7248</v>
      </c>
      <c r="D1530" t="s">
        <v>4312</v>
      </c>
      <c r="E1530">
        <v>4408592</v>
      </c>
      <c r="F1530" t="s">
        <v>742</v>
      </c>
      <c r="G1530" t="s">
        <v>823</v>
      </c>
      <c r="H1530" t="s">
        <v>6318</v>
      </c>
      <c r="I1530" s="12">
        <v>45125</v>
      </c>
      <c r="J1530">
        <v>1</v>
      </c>
      <c r="K1530" t="str">
        <f>VLOOKUP(A1530,'TV May Monthly Billing Sites'!$A:$L,1,0)</f>
        <v>76239770</v>
      </c>
    </row>
    <row r="1531" spans="1:12">
      <c r="A1531" t="str">
        <f t="shared" si="23"/>
        <v>76240062</v>
      </c>
      <c r="B1531">
        <v>76240062</v>
      </c>
      <c r="C1531" t="s">
        <v>7249</v>
      </c>
      <c r="D1531" t="s">
        <v>4314</v>
      </c>
      <c r="E1531">
        <v>4508714</v>
      </c>
      <c r="F1531" t="s">
        <v>742</v>
      </c>
      <c r="G1531" t="s">
        <v>743</v>
      </c>
      <c r="H1531" t="s">
        <v>6618</v>
      </c>
      <c r="I1531" s="12">
        <v>45603</v>
      </c>
      <c r="J1531">
        <v>1</v>
      </c>
      <c r="K1531" t="str">
        <f>VLOOKUP(A1531,'TV May Monthly Billing Sites'!$A:$L,1,0)</f>
        <v>76240062</v>
      </c>
    </row>
    <row r="1532" spans="1:12">
      <c r="A1532" t="str">
        <f t="shared" si="23"/>
        <v>76240062</v>
      </c>
      <c r="B1532">
        <v>76240062</v>
      </c>
      <c r="C1532" t="s">
        <v>7250</v>
      </c>
      <c r="D1532" t="s">
        <v>4314</v>
      </c>
      <c r="E1532">
        <v>4408593</v>
      </c>
      <c r="F1532" t="s">
        <v>742</v>
      </c>
      <c r="G1532" t="s">
        <v>782</v>
      </c>
      <c r="H1532" t="s">
        <v>6618</v>
      </c>
      <c r="I1532" s="12">
        <v>45624</v>
      </c>
      <c r="J1532">
        <v>1</v>
      </c>
      <c r="K1532" t="str">
        <f>VLOOKUP(A1532,'TV May Monthly Billing Sites'!$A:$L,1,0)</f>
        <v>76240062</v>
      </c>
    </row>
    <row r="1533" spans="1:12">
      <c r="A1533" t="str">
        <f t="shared" si="23"/>
        <v>76240107</v>
      </c>
      <c r="B1533">
        <v>76240107</v>
      </c>
      <c r="C1533" t="s">
        <v>7251</v>
      </c>
      <c r="D1533" t="s">
        <v>7252</v>
      </c>
      <c r="E1533">
        <v>4508714</v>
      </c>
      <c r="F1533" t="s">
        <v>742</v>
      </c>
      <c r="G1533" t="s">
        <v>743</v>
      </c>
      <c r="H1533" t="s">
        <v>860</v>
      </c>
      <c r="I1533" s="12">
        <v>45604</v>
      </c>
      <c r="J1533">
        <v>1</v>
      </c>
      <c r="K1533" t="str">
        <f>VLOOKUP(A1533,'TV May Monthly Billing Sites'!$A:$L,1,0)</f>
        <v>76240107</v>
      </c>
    </row>
    <row r="1534" spans="1:12">
      <c r="A1534" t="str">
        <f t="shared" si="23"/>
        <v>76240127</v>
      </c>
      <c r="B1534">
        <v>76240127</v>
      </c>
      <c r="C1534" t="s">
        <v>7253</v>
      </c>
      <c r="D1534" t="s">
        <v>4318</v>
      </c>
      <c r="E1534">
        <v>4508714</v>
      </c>
      <c r="F1534" t="s">
        <v>742</v>
      </c>
      <c r="G1534" t="s">
        <v>743</v>
      </c>
      <c r="H1534" t="s">
        <v>6861</v>
      </c>
      <c r="I1534" s="12">
        <v>45862</v>
      </c>
      <c r="J1534">
        <v>1</v>
      </c>
      <c r="K1534" t="str">
        <f>VLOOKUP(A1534,'TV May Monthly Billing Sites'!$A:$L,1,0)</f>
        <v>76240127</v>
      </c>
    </row>
    <row r="1535" spans="1:12">
      <c r="A1535" t="str">
        <f t="shared" si="23"/>
        <v>76240202</v>
      </c>
      <c r="B1535">
        <v>76240202</v>
      </c>
      <c r="C1535" t="s">
        <v>7254</v>
      </c>
      <c r="D1535" t="s">
        <v>7255</v>
      </c>
      <c r="E1535">
        <v>4408593</v>
      </c>
      <c r="F1535" t="s">
        <v>742</v>
      </c>
      <c r="G1535" t="s">
        <v>782</v>
      </c>
      <c r="H1535" t="s">
        <v>7256</v>
      </c>
      <c r="I1535" s="12">
        <v>45637</v>
      </c>
      <c r="J1535">
        <v>1</v>
      </c>
      <c r="K1535" t="str">
        <f>VLOOKUP(A1535,'TV May Monthly Billing Sites'!$A:$L,1,0)</f>
        <v>76240202</v>
      </c>
    </row>
    <row r="1536" spans="1:12">
      <c r="A1536" t="str">
        <f t="shared" si="23"/>
        <v>76240384</v>
      </c>
      <c r="B1536">
        <v>76240384</v>
      </c>
      <c r="C1536" t="s">
        <v>7257</v>
      </c>
      <c r="D1536" t="s">
        <v>7258</v>
      </c>
      <c r="E1536">
        <v>4508714</v>
      </c>
      <c r="F1536" t="s">
        <v>742</v>
      </c>
      <c r="G1536" t="s">
        <v>743</v>
      </c>
      <c r="H1536" t="s">
        <v>7259</v>
      </c>
      <c r="I1536" s="12">
        <v>45625</v>
      </c>
      <c r="J1536">
        <v>1</v>
      </c>
      <c r="K1536" t="str">
        <f>VLOOKUP(A1536,'TV May Monthly Billing Sites'!$A:$L,1,0)</f>
        <v>76240384</v>
      </c>
    </row>
    <row r="1537" spans="1:12">
      <c r="A1537" t="str">
        <f t="shared" si="23"/>
        <v>76240412</v>
      </c>
      <c r="B1537">
        <v>76240412</v>
      </c>
      <c r="C1537" t="s">
        <v>7260</v>
      </c>
      <c r="D1537" t="s">
        <v>7261</v>
      </c>
      <c r="E1537">
        <v>4508684</v>
      </c>
      <c r="F1537" t="s">
        <v>742</v>
      </c>
      <c r="G1537" t="s">
        <v>4760</v>
      </c>
      <c r="H1537" t="s">
        <v>5870</v>
      </c>
      <c r="I1537" s="12">
        <v>45901</v>
      </c>
      <c r="J1537">
        <v>1</v>
      </c>
      <c r="K1537" t="str">
        <f>VLOOKUP(A1537,'TV May Monthly Billing Sites'!$A:$L,1,0)</f>
        <v>76240412</v>
      </c>
    </row>
    <row r="1538" spans="1:12">
      <c r="A1538" t="str">
        <f t="shared" ref="A1538:A1601" si="24">TRIM(B1538)</f>
        <v>76240482</v>
      </c>
      <c r="B1538">
        <v>76240482</v>
      </c>
      <c r="C1538" t="s">
        <v>7262</v>
      </c>
      <c r="D1538" t="s">
        <v>4326</v>
      </c>
      <c r="E1538">
        <v>4408592</v>
      </c>
      <c r="F1538" t="s">
        <v>742</v>
      </c>
      <c r="G1538" t="s">
        <v>823</v>
      </c>
      <c r="H1538" t="s">
        <v>7263</v>
      </c>
      <c r="I1538" s="12">
        <v>45565</v>
      </c>
      <c r="J1538">
        <v>1</v>
      </c>
      <c r="K1538" t="str">
        <f>VLOOKUP(A1538,'TV May Monthly Billing Sites'!$A:$L,1,0)</f>
        <v>76240482</v>
      </c>
    </row>
    <row r="1539" spans="1:12">
      <c r="A1539" t="str">
        <f t="shared" si="24"/>
        <v>76240524</v>
      </c>
      <c r="B1539">
        <v>76240524</v>
      </c>
      <c r="C1539" t="s">
        <v>7264</v>
      </c>
      <c r="D1539" t="s">
        <v>4328</v>
      </c>
      <c r="E1539">
        <v>4508714</v>
      </c>
      <c r="F1539" t="s">
        <v>742</v>
      </c>
      <c r="G1539" t="s">
        <v>743</v>
      </c>
      <c r="H1539" t="s">
        <v>1096</v>
      </c>
      <c r="I1539" s="12">
        <v>45961</v>
      </c>
      <c r="J1539">
        <v>1</v>
      </c>
      <c r="K1539" t="str">
        <f>VLOOKUP(A1539,'TV May Monthly Billing Sites'!$A:$L,1,0)</f>
        <v>76240524</v>
      </c>
    </row>
    <row r="1540" spans="1:12">
      <c r="A1540" t="str">
        <f t="shared" si="24"/>
        <v>76240607</v>
      </c>
      <c r="B1540">
        <v>76240607</v>
      </c>
      <c r="C1540" t="s">
        <v>7265</v>
      </c>
      <c r="D1540" t="s">
        <v>7266</v>
      </c>
      <c r="E1540">
        <v>4508714</v>
      </c>
      <c r="F1540" t="s">
        <v>742</v>
      </c>
      <c r="G1540" t="s">
        <v>743</v>
      </c>
      <c r="H1540" t="s">
        <v>7267</v>
      </c>
      <c r="I1540" s="12">
        <v>45624</v>
      </c>
      <c r="J1540">
        <v>1</v>
      </c>
      <c r="K1540" t="str">
        <f>VLOOKUP(A1540,'TV May Monthly Billing Sites'!$A:$L,1,0)</f>
        <v>76240607</v>
      </c>
    </row>
    <row r="1541" spans="1:12">
      <c r="A1541" t="str">
        <f t="shared" si="24"/>
        <v>76240800</v>
      </c>
      <c r="B1541">
        <v>76240800</v>
      </c>
      <c r="C1541" t="s">
        <v>7268</v>
      </c>
      <c r="D1541" t="s">
        <v>4332</v>
      </c>
      <c r="E1541">
        <v>4408592</v>
      </c>
      <c r="F1541" t="s">
        <v>742</v>
      </c>
      <c r="G1541" t="s">
        <v>823</v>
      </c>
      <c r="H1541" t="s">
        <v>6775</v>
      </c>
      <c r="I1541" s="12">
        <v>45168</v>
      </c>
      <c r="J1541">
        <v>1</v>
      </c>
      <c r="K1541" t="str">
        <f>VLOOKUP(A1541,'TV May Monthly Billing Sites'!$A:$L,1,0)</f>
        <v>76240800</v>
      </c>
    </row>
    <row r="1542" spans="1:12">
      <c r="A1542" t="str">
        <f t="shared" si="24"/>
        <v>76240913</v>
      </c>
      <c r="B1542">
        <v>76240913</v>
      </c>
      <c r="C1542" t="s">
        <v>7269</v>
      </c>
      <c r="D1542" t="s">
        <v>7270</v>
      </c>
      <c r="E1542">
        <v>4408593</v>
      </c>
      <c r="F1542" t="s">
        <v>742</v>
      </c>
      <c r="G1542" t="s">
        <v>782</v>
      </c>
      <c r="H1542" t="s">
        <v>7271</v>
      </c>
      <c r="I1542" s="12">
        <v>45586</v>
      </c>
      <c r="J1542">
        <v>1</v>
      </c>
      <c r="K1542" t="str">
        <f>VLOOKUP(A1542,'TV May Monthly Billing Sites'!$A:$L,1,0)</f>
        <v>76240913</v>
      </c>
    </row>
    <row r="1543" spans="1:12">
      <c r="A1543" t="str">
        <f t="shared" si="24"/>
        <v>76240943</v>
      </c>
      <c r="B1543">
        <v>76240943</v>
      </c>
      <c r="C1543" t="s">
        <v>7272</v>
      </c>
      <c r="D1543" t="s">
        <v>7273</v>
      </c>
      <c r="E1543">
        <v>4408592</v>
      </c>
      <c r="F1543" t="s">
        <v>742</v>
      </c>
      <c r="G1543" t="s">
        <v>823</v>
      </c>
      <c r="H1543" t="s">
        <v>4785</v>
      </c>
      <c r="I1543" s="12">
        <v>45456</v>
      </c>
      <c r="J1543">
        <v>1</v>
      </c>
      <c r="K1543" t="str">
        <f>VLOOKUP(A1543,'TV May Monthly Billing Sites'!$A:$L,1,0)</f>
        <v>76240943</v>
      </c>
    </row>
    <row r="1544" spans="1:12">
      <c r="A1544" t="str">
        <f t="shared" si="24"/>
        <v>76240969</v>
      </c>
      <c r="B1544">
        <v>76240969</v>
      </c>
      <c r="C1544" t="s">
        <v>7274</v>
      </c>
      <c r="D1544" t="s">
        <v>7275</v>
      </c>
      <c r="E1544">
        <v>4508714</v>
      </c>
      <c r="F1544" t="s">
        <v>742</v>
      </c>
      <c r="G1544" t="s">
        <v>743</v>
      </c>
      <c r="H1544" t="s">
        <v>5174</v>
      </c>
      <c r="I1544" s="12">
        <v>45967</v>
      </c>
      <c r="J1544">
        <v>1</v>
      </c>
      <c r="K1544" t="str">
        <f>VLOOKUP(A1544,'TV May Monthly Billing Sites'!$A:$L,1,0)</f>
        <v>76240969</v>
      </c>
    </row>
    <row r="1545" spans="1:12">
      <c r="A1545" t="str">
        <f t="shared" si="24"/>
        <v>76241119</v>
      </c>
      <c r="B1545">
        <v>76241119</v>
      </c>
      <c r="C1545" t="s">
        <v>7276</v>
      </c>
      <c r="D1545" t="s">
        <v>4340</v>
      </c>
      <c r="E1545">
        <v>4408593</v>
      </c>
      <c r="F1545" t="s">
        <v>742</v>
      </c>
      <c r="G1545" t="s">
        <v>782</v>
      </c>
      <c r="H1545" t="s">
        <v>5728</v>
      </c>
      <c r="I1545" s="12">
        <v>45170</v>
      </c>
      <c r="J1545">
        <v>1</v>
      </c>
      <c r="K1545" t="str">
        <f>VLOOKUP(A1545,'TV May Monthly Billing Sites'!$A:$L,1,0)</f>
        <v>76241119</v>
      </c>
    </row>
    <row r="1546" spans="1:12">
      <c r="A1546" t="str">
        <f t="shared" si="24"/>
        <v>76241219</v>
      </c>
      <c r="B1546">
        <v>76241219</v>
      </c>
      <c r="C1546" t="s">
        <v>7277</v>
      </c>
      <c r="D1546" t="s">
        <v>7278</v>
      </c>
      <c r="E1546">
        <v>4508714</v>
      </c>
      <c r="F1546" t="s">
        <v>742</v>
      </c>
      <c r="G1546" t="s">
        <v>743</v>
      </c>
      <c r="H1546" t="s">
        <v>1179</v>
      </c>
      <c r="I1546" s="12">
        <v>45646</v>
      </c>
      <c r="J1546">
        <v>1</v>
      </c>
      <c r="K1546" t="str">
        <f>VLOOKUP(A1546,'TV May Monthly Billing Sites'!$A:$L,1,0)</f>
        <v>76241219</v>
      </c>
    </row>
    <row r="1547" spans="1:12">
      <c r="A1547" t="str">
        <f t="shared" si="24"/>
        <v>76241220</v>
      </c>
      <c r="B1547">
        <v>76241220</v>
      </c>
      <c r="C1547" t="s">
        <v>7279</v>
      </c>
      <c r="D1547" t="s">
        <v>4344</v>
      </c>
      <c r="E1547">
        <v>4408593</v>
      </c>
      <c r="F1547" t="s">
        <v>742</v>
      </c>
      <c r="G1547" t="s">
        <v>782</v>
      </c>
      <c r="H1547" t="s">
        <v>5066</v>
      </c>
      <c r="I1547" s="12">
        <v>45638</v>
      </c>
      <c r="J1547">
        <v>1</v>
      </c>
      <c r="K1547" t="str">
        <f>VLOOKUP(A1547,'TV May Monthly Billing Sites'!$A:$L,1,0)</f>
        <v>76241220</v>
      </c>
    </row>
    <row r="1548" spans="1:12">
      <c r="A1548" t="str">
        <f t="shared" si="24"/>
        <v>76241252</v>
      </c>
      <c r="B1548">
        <v>76241252</v>
      </c>
      <c r="C1548" t="s">
        <v>7280</v>
      </c>
      <c r="D1548" t="s">
        <v>7281</v>
      </c>
      <c r="E1548">
        <v>4408592</v>
      </c>
      <c r="F1548" t="s">
        <v>742</v>
      </c>
      <c r="G1548" t="s">
        <v>823</v>
      </c>
      <c r="H1548" t="s">
        <v>6995</v>
      </c>
      <c r="I1548" s="12">
        <v>45198</v>
      </c>
      <c r="J1548">
        <v>1</v>
      </c>
      <c r="K1548" t="str">
        <f>VLOOKUP(A1548,'TV May Monthly Billing Sites'!$A:$L,1,0)</f>
        <v>76241252</v>
      </c>
    </row>
    <row r="1549" spans="1:12">
      <c r="A1549" t="str">
        <f t="shared" si="24"/>
        <v>76241253</v>
      </c>
      <c r="B1549">
        <v>76241253</v>
      </c>
      <c r="C1549" t="s">
        <v>7282</v>
      </c>
      <c r="D1549" t="s">
        <v>7283</v>
      </c>
      <c r="E1549">
        <v>4408592</v>
      </c>
      <c r="F1549" t="s">
        <v>742</v>
      </c>
      <c r="G1549" t="s">
        <v>823</v>
      </c>
      <c r="H1549" t="s">
        <v>6995</v>
      </c>
      <c r="I1549" s="12">
        <v>45198</v>
      </c>
      <c r="J1549">
        <v>1</v>
      </c>
      <c r="K1549" t="str">
        <f>VLOOKUP(A1549,'TV May Monthly Billing Sites'!$A:$L,1,0)</f>
        <v>76241253</v>
      </c>
    </row>
    <row r="1550" spans="1:12">
      <c r="A1550" t="str">
        <f t="shared" si="24"/>
        <v>76241289</v>
      </c>
      <c r="B1550">
        <v>76241289</v>
      </c>
      <c r="C1550" t="s">
        <v>1146</v>
      </c>
      <c r="D1550" t="s">
        <v>1147</v>
      </c>
      <c r="E1550">
        <v>4408592</v>
      </c>
      <c r="F1550" t="s">
        <v>742</v>
      </c>
      <c r="G1550" t="s">
        <v>823</v>
      </c>
      <c r="H1550" t="s">
        <v>1148</v>
      </c>
      <c r="I1550" s="12">
        <v>45198</v>
      </c>
      <c r="J1550">
        <v>1</v>
      </c>
      <c r="K1550" t="e">
        <f>VLOOKUP(A1550,'TV May Monthly Billing Sites'!$A:$L,1,0)</f>
        <v>#N/A</v>
      </c>
      <c r="L1550" t="e">
        <f>VLOOKUP(D1550,'TV May Monthly Billing Sites'!$B:$L,1,0)</f>
        <v>#N/A</v>
      </c>
    </row>
    <row r="1551" spans="1:12">
      <c r="A1551" t="str">
        <f t="shared" si="24"/>
        <v>76241294</v>
      </c>
      <c r="B1551">
        <v>76241294</v>
      </c>
      <c r="C1551" t="s">
        <v>7284</v>
      </c>
      <c r="D1551" t="s">
        <v>7285</v>
      </c>
      <c r="E1551">
        <v>4408592</v>
      </c>
      <c r="F1551" t="s">
        <v>742</v>
      </c>
      <c r="G1551" t="s">
        <v>823</v>
      </c>
      <c r="H1551" t="s">
        <v>7118</v>
      </c>
      <c r="I1551" s="12">
        <v>45195</v>
      </c>
      <c r="J1551">
        <v>1</v>
      </c>
      <c r="K1551" t="str">
        <f>VLOOKUP(A1551,'TV May Monthly Billing Sites'!$A:$L,1,0)</f>
        <v>76241294</v>
      </c>
    </row>
    <row r="1552" spans="1:12">
      <c r="A1552" t="str">
        <f t="shared" si="24"/>
        <v>76241344</v>
      </c>
      <c r="B1552">
        <v>76241344</v>
      </c>
      <c r="C1552" t="s">
        <v>7286</v>
      </c>
      <c r="D1552" t="s">
        <v>7287</v>
      </c>
      <c r="E1552">
        <v>4408593</v>
      </c>
      <c r="F1552" t="s">
        <v>742</v>
      </c>
      <c r="G1552" t="s">
        <v>782</v>
      </c>
      <c r="H1552" t="s">
        <v>7271</v>
      </c>
      <c r="I1552" s="12">
        <v>45586</v>
      </c>
      <c r="J1552">
        <v>1</v>
      </c>
      <c r="K1552" t="str">
        <f>VLOOKUP(A1552,'TV May Monthly Billing Sites'!$A:$L,1,0)</f>
        <v>76241344</v>
      </c>
    </row>
    <row r="1553" spans="1:12">
      <c r="A1553" t="str">
        <f t="shared" si="24"/>
        <v>76241360</v>
      </c>
      <c r="B1553">
        <v>76241360</v>
      </c>
      <c r="C1553" t="s">
        <v>1150</v>
      </c>
      <c r="D1553" t="s">
        <v>1151</v>
      </c>
      <c r="E1553">
        <v>4408593</v>
      </c>
      <c r="F1553" t="s">
        <v>742</v>
      </c>
      <c r="G1553" t="s">
        <v>782</v>
      </c>
      <c r="H1553" t="s">
        <v>1152</v>
      </c>
      <c r="I1553" s="12">
        <v>45786</v>
      </c>
      <c r="J1553">
        <v>1</v>
      </c>
      <c r="K1553" t="e">
        <f>VLOOKUP(A1553,'TV May Monthly Billing Sites'!$A:$L,1,0)</f>
        <v>#N/A</v>
      </c>
      <c r="L1553" t="e">
        <f>VLOOKUP(D1553,'TV May Monthly Billing Sites'!$B:$L,1,0)</f>
        <v>#N/A</v>
      </c>
    </row>
    <row r="1554" spans="1:12">
      <c r="A1554" t="str">
        <f t="shared" si="24"/>
        <v>76241446</v>
      </c>
      <c r="B1554">
        <v>76241446</v>
      </c>
      <c r="C1554" t="s">
        <v>7288</v>
      </c>
      <c r="D1554" t="s">
        <v>7289</v>
      </c>
      <c r="E1554">
        <v>4508714</v>
      </c>
      <c r="F1554" t="s">
        <v>742</v>
      </c>
      <c r="G1554" t="s">
        <v>743</v>
      </c>
      <c r="H1554" t="s">
        <v>1096</v>
      </c>
      <c r="I1554" s="12">
        <v>45961</v>
      </c>
      <c r="J1554">
        <v>1</v>
      </c>
      <c r="K1554" t="str">
        <f>VLOOKUP(A1554,'TV May Monthly Billing Sites'!$A:$L,1,0)</f>
        <v>76241446</v>
      </c>
    </row>
    <row r="1555" spans="1:12">
      <c r="A1555" t="str">
        <f t="shared" si="24"/>
        <v>76241714</v>
      </c>
      <c r="B1555">
        <v>76241714</v>
      </c>
      <c r="C1555" t="s">
        <v>7290</v>
      </c>
      <c r="D1555" t="s">
        <v>7291</v>
      </c>
      <c r="E1555">
        <v>4508714</v>
      </c>
      <c r="F1555" t="s">
        <v>742</v>
      </c>
      <c r="G1555" t="s">
        <v>743</v>
      </c>
      <c r="H1555" t="s">
        <v>4974</v>
      </c>
      <c r="I1555" s="12">
        <v>45638</v>
      </c>
      <c r="J1555">
        <v>1</v>
      </c>
      <c r="K1555" t="str">
        <f>VLOOKUP(A1555,'TV May Monthly Billing Sites'!$A:$L,1,0)</f>
        <v>76241714</v>
      </c>
    </row>
    <row r="1556" spans="1:12">
      <c r="A1556" t="str">
        <f t="shared" si="24"/>
        <v>76241734</v>
      </c>
      <c r="B1556">
        <v>76241734</v>
      </c>
      <c r="C1556" t="s">
        <v>7292</v>
      </c>
      <c r="D1556" t="s">
        <v>4360</v>
      </c>
      <c r="E1556">
        <v>4408593</v>
      </c>
      <c r="F1556" t="s">
        <v>742</v>
      </c>
      <c r="G1556" t="s">
        <v>782</v>
      </c>
      <c r="H1556" t="s">
        <v>6218</v>
      </c>
      <c r="I1556" s="12">
        <v>45691</v>
      </c>
      <c r="J1556">
        <v>1</v>
      </c>
      <c r="K1556" t="str">
        <f>VLOOKUP(A1556,'TV May Monthly Billing Sites'!$A:$L,1,0)</f>
        <v>76241734</v>
      </c>
    </row>
    <row r="1557" spans="1:12">
      <c r="A1557" t="str">
        <f t="shared" si="24"/>
        <v>76241979</v>
      </c>
      <c r="B1557">
        <v>76241979</v>
      </c>
      <c r="C1557" t="s">
        <v>1154</v>
      </c>
      <c r="D1557" t="s">
        <v>1155</v>
      </c>
      <c r="E1557">
        <v>4508714</v>
      </c>
      <c r="F1557" t="s">
        <v>742</v>
      </c>
      <c r="G1557" t="s">
        <v>743</v>
      </c>
      <c r="H1557" t="s">
        <v>1156</v>
      </c>
      <c r="I1557" s="12">
        <v>45628</v>
      </c>
      <c r="J1557">
        <v>1</v>
      </c>
      <c r="K1557" t="e">
        <f>VLOOKUP(A1557,'TV May Monthly Billing Sites'!$A:$L,1,0)</f>
        <v>#N/A</v>
      </c>
      <c r="L1557" t="e">
        <f>VLOOKUP(D1557,'TV May Monthly Billing Sites'!$B:$L,1,0)</f>
        <v>#N/A</v>
      </c>
    </row>
    <row r="1558" spans="1:12">
      <c r="A1558" t="str">
        <f t="shared" si="24"/>
        <v>76242076</v>
      </c>
      <c r="B1558">
        <v>76242076</v>
      </c>
      <c r="C1558" t="s">
        <v>7293</v>
      </c>
      <c r="D1558" t="s">
        <v>4362</v>
      </c>
      <c r="E1558">
        <v>4508714</v>
      </c>
      <c r="F1558" t="s">
        <v>742</v>
      </c>
      <c r="G1558" t="s">
        <v>743</v>
      </c>
      <c r="H1558" t="s">
        <v>1138</v>
      </c>
      <c r="I1558" s="12">
        <v>45764</v>
      </c>
      <c r="J1558">
        <v>1</v>
      </c>
      <c r="K1558" t="str">
        <f>VLOOKUP(A1558,'TV May Monthly Billing Sites'!$A:$L,1,0)</f>
        <v>76242076</v>
      </c>
    </row>
    <row r="1559" spans="1:12">
      <c r="A1559" t="str">
        <f t="shared" si="24"/>
        <v>76242096</v>
      </c>
      <c r="B1559">
        <v>76242096</v>
      </c>
      <c r="C1559" t="s">
        <v>7294</v>
      </c>
      <c r="D1559" t="s">
        <v>4364</v>
      </c>
      <c r="E1559">
        <v>4508714</v>
      </c>
      <c r="F1559" t="s">
        <v>742</v>
      </c>
      <c r="G1559" t="s">
        <v>743</v>
      </c>
      <c r="H1559" t="s">
        <v>7295</v>
      </c>
      <c r="I1559" s="12">
        <v>45625</v>
      </c>
      <c r="J1559">
        <v>1</v>
      </c>
      <c r="K1559" t="str">
        <f>VLOOKUP(A1559,'TV May Monthly Billing Sites'!$A:$L,1,0)</f>
        <v>76242096</v>
      </c>
    </row>
    <row r="1560" spans="1:12">
      <c r="A1560" t="str">
        <f t="shared" si="24"/>
        <v>76242099</v>
      </c>
      <c r="B1560">
        <v>76242099</v>
      </c>
      <c r="C1560" t="s">
        <v>7296</v>
      </c>
      <c r="D1560" t="s">
        <v>7297</v>
      </c>
      <c r="E1560">
        <v>4508714</v>
      </c>
      <c r="F1560" t="s">
        <v>742</v>
      </c>
      <c r="G1560" t="s">
        <v>743</v>
      </c>
      <c r="H1560" t="s">
        <v>7295</v>
      </c>
      <c r="I1560" s="12">
        <v>45625</v>
      </c>
      <c r="J1560">
        <v>1</v>
      </c>
      <c r="K1560" t="str">
        <f>VLOOKUP(A1560,'TV May Monthly Billing Sites'!$A:$L,1,0)</f>
        <v>76242099</v>
      </c>
    </row>
    <row r="1561" spans="1:12">
      <c r="A1561" t="str">
        <f t="shared" si="24"/>
        <v>76242101</v>
      </c>
      <c r="B1561">
        <v>76242101</v>
      </c>
      <c r="C1561" t="s">
        <v>7298</v>
      </c>
      <c r="D1561" t="s">
        <v>7299</v>
      </c>
      <c r="E1561">
        <v>4508714</v>
      </c>
      <c r="F1561" t="s">
        <v>742</v>
      </c>
      <c r="G1561" t="s">
        <v>743</v>
      </c>
      <c r="H1561" t="s">
        <v>7295</v>
      </c>
      <c r="I1561" s="12">
        <v>45625</v>
      </c>
      <c r="J1561">
        <v>1</v>
      </c>
      <c r="K1561" t="str">
        <f>VLOOKUP(A1561,'TV May Monthly Billing Sites'!$A:$L,1,0)</f>
        <v>76242101</v>
      </c>
    </row>
    <row r="1562" spans="1:12">
      <c r="A1562" t="str">
        <f t="shared" si="24"/>
        <v>76242105</v>
      </c>
      <c r="B1562">
        <v>76242105</v>
      </c>
      <c r="C1562" t="s">
        <v>7300</v>
      </c>
      <c r="D1562" t="s">
        <v>4370</v>
      </c>
      <c r="E1562">
        <v>4508714</v>
      </c>
      <c r="F1562" t="s">
        <v>742</v>
      </c>
      <c r="G1562" t="s">
        <v>743</v>
      </c>
      <c r="H1562" t="s">
        <v>7295</v>
      </c>
      <c r="I1562" s="12">
        <v>45625</v>
      </c>
      <c r="J1562">
        <v>1</v>
      </c>
      <c r="K1562" t="str">
        <f>VLOOKUP(A1562,'TV May Monthly Billing Sites'!$A:$L,1,0)</f>
        <v>76242105</v>
      </c>
    </row>
    <row r="1563" spans="1:12">
      <c r="A1563" t="str">
        <f t="shared" si="24"/>
        <v>76242107</v>
      </c>
      <c r="B1563">
        <v>76242107</v>
      </c>
      <c r="C1563" t="s">
        <v>7301</v>
      </c>
      <c r="D1563" t="s">
        <v>7302</v>
      </c>
      <c r="E1563">
        <v>4508714</v>
      </c>
      <c r="F1563" t="s">
        <v>742</v>
      </c>
      <c r="G1563" t="s">
        <v>743</v>
      </c>
      <c r="H1563" t="s">
        <v>7295</v>
      </c>
      <c r="I1563" s="12">
        <v>45625</v>
      </c>
      <c r="J1563">
        <v>1</v>
      </c>
      <c r="K1563" t="str">
        <f>VLOOKUP(A1563,'TV May Monthly Billing Sites'!$A:$L,1,0)</f>
        <v>76242107</v>
      </c>
    </row>
    <row r="1564" spans="1:12">
      <c r="A1564" t="str">
        <f t="shared" si="24"/>
        <v>76242987</v>
      </c>
      <c r="B1564">
        <v>76242987</v>
      </c>
      <c r="C1564" t="s">
        <v>7303</v>
      </c>
      <c r="D1564" t="s">
        <v>7304</v>
      </c>
      <c r="E1564">
        <v>4508714</v>
      </c>
      <c r="F1564" t="s">
        <v>742</v>
      </c>
      <c r="G1564" t="s">
        <v>743</v>
      </c>
      <c r="H1564" t="s">
        <v>7305</v>
      </c>
      <c r="I1564" s="12">
        <v>46055</v>
      </c>
      <c r="J1564">
        <v>1</v>
      </c>
      <c r="K1564" t="str">
        <f>VLOOKUP(A1564,'TV May Monthly Billing Sites'!$A:$L,1,0)</f>
        <v>76242987</v>
      </c>
    </row>
    <row r="1565" spans="1:12">
      <c r="A1565" t="str">
        <f t="shared" si="24"/>
        <v>76243022</v>
      </c>
      <c r="B1565">
        <v>76243022</v>
      </c>
      <c r="C1565" t="s">
        <v>7306</v>
      </c>
      <c r="D1565" t="s">
        <v>4376</v>
      </c>
      <c r="E1565">
        <v>4508714</v>
      </c>
      <c r="F1565" t="s">
        <v>742</v>
      </c>
      <c r="G1565" t="s">
        <v>743</v>
      </c>
      <c r="H1565" t="s">
        <v>1056</v>
      </c>
      <c r="I1565" s="12">
        <v>45963</v>
      </c>
      <c r="J1565">
        <v>1</v>
      </c>
      <c r="K1565" t="str">
        <f>VLOOKUP(A1565,'TV May Monthly Billing Sites'!$A:$L,1,0)</f>
        <v>76243022</v>
      </c>
    </row>
    <row r="1566" spans="1:12">
      <c r="A1566" t="str">
        <f t="shared" si="24"/>
        <v>76243194</v>
      </c>
      <c r="B1566">
        <v>76243194</v>
      </c>
      <c r="C1566" t="s">
        <v>1158</v>
      </c>
      <c r="D1566" t="s">
        <v>1159</v>
      </c>
      <c r="E1566">
        <v>4508675</v>
      </c>
      <c r="F1566" t="s">
        <v>742</v>
      </c>
      <c r="G1566" t="s">
        <v>828</v>
      </c>
      <c r="H1566" t="s">
        <v>1160</v>
      </c>
      <c r="I1566" s="12">
        <v>45264</v>
      </c>
      <c r="J1566">
        <v>1</v>
      </c>
      <c r="K1566" t="e">
        <f>VLOOKUP(A1566,'TV May Monthly Billing Sites'!$A:$L,1,0)</f>
        <v>#N/A</v>
      </c>
      <c r="L1566" t="e">
        <f>VLOOKUP(D1566,'TV May Monthly Billing Sites'!$B:$L,1,0)</f>
        <v>#N/A</v>
      </c>
    </row>
    <row r="1567" spans="1:12">
      <c r="A1567" t="str">
        <f t="shared" si="24"/>
        <v>76243303</v>
      </c>
      <c r="B1567">
        <v>76243303</v>
      </c>
      <c r="C1567" t="s">
        <v>7307</v>
      </c>
      <c r="D1567" t="s">
        <v>7308</v>
      </c>
      <c r="E1567">
        <v>4508714</v>
      </c>
      <c r="F1567" t="s">
        <v>742</v>
      </c>
      <c r="G1567" t="s">
        <v>743</v>
      </c>
      <c r="H1567" t="s">
        <v>7309</v>
      </c>
      <c r="I1567" s="12">
        <v>45898</v>
      </c>
      <c r="J1567">
        <v>1</v>
      </c>
      <c r="K1567" t="str">
        <f>VLOOKUP(A1567,'TV May Monthly Billing Sites'!$A:$L,1,0)</f>
        <v>76243303</v>
      </c>
    </row>
    <row r="1568" spans="1:12">
      <c r="A1568" t="str">
        <f t="shared" si="24"/>
        <v>76243311</v>
      </c>
      <c r="B1568">
        <v>76243311</v>
      </c>
      <c r="C1568" t="s">
        <v>7310</v>
      </c>
      <c r="D1568" t="s">
        <v>7311</v>
      </c>
      <c r="E1568">
        <v>4408592</v>
      </c>
      <c r="F1568" t="s">
        <v>742</v>
      </c>
      <c r="G1568" t="s">
        <v>823</v>
      </c>
      <c r="H1568" t="s">
        <v>6978</v>
      </c>
      <c r="I1568" s="12">
        <v>45733</v>
      </c>
      <c r="J1568">
        <v>1</v>
      </c>
      <c r="K1568" t="str">
        <f>VLOOKUP(A1568,'TV May Monthly Billing Sites'!$A:$L,1,0)</f>
        <v>76243311</v>
      </c>
    </row>
    <row r="1569" spans="1:12">
      <c r="A1569" t="str">
        <f t="shared" si="24"/>
        <v>76243560</v>
      </c>
      <c r="B1569">
        <v>76243560</v>
      </c>
      <c r="C1569" t="s">
        <v>1162</v>
      </c>
      <c r="D1569" t="s">
        <v>1163</v>
      </c>
      <c r="E1569">
        <v>4508675</v>
      </c>
      <c r="F1569" t="s">
        <v>742</v>
      </c>
      <c r="G1569" t="s">
        <v>828</v>
      </c>
      <c r="H1569" t="s">
        <v>1164</v>
      </c>
      <c r="I1569" s="12">
        <v>45910</v>
      </c>
      <c r="J1569">
        <v>1</v>
      </c>
      <c r="K1569" t="e">
        <f>VLOOKUP(A1569,'TV May Monthly Billing Sites'!$A:$L,1,0)</f>
        <v>#N/A</v>
      </c>
      <c r="L1569" t="e">
        <f>VLOOKUP(D1569,'TV May Monthly Billing Sites'!$B:$L,1,0)</f>
        <v>#N/A</v>
      </c>
    </row>
    <row r="1570" spans="1:12">
      <c r="A1570" t="str">
        <f t="shared" si="24"/>
        <v>76243576</v>
      </c>
      <c r="B1570">
        <v>76243576</v>
      </c>
      <c r="C1570" t="s">
        <v>7312</v>
      </c>
      <c r="D1570" t="s">
        <v>4382</v>
      </c>
      <c r="E1570">
        <v>4508714</v>
      </c>
      <c r="F1570" t="s">
        <v>742</v>
      </c>
      <c r="G1570" t="s">
        <v>743</v>
      </c>
      <c r="H1570" t="s">
        <v>5666</v>
      </c>
      <c r="I1570" s="12">
        <v>45965</v>
      </c>
      <c r="J1570">
        <v>1</v>
      </c>
      <c r="K1570" t="str">
        <f>VLOOKUP(A1570,'TV May Monthly Billing Sites'!$A:$L,1,0)</f>
        <v>76243576</v>
      </c>
    </row>
    <row r="1571" spans="1:12">
      <c r="A1571" t="str">
        <f t="shared" si="24"/>
        <v>76243776</v>
      </c>
      <c r="B1571">
        <v>76243776</v>
      </c>
      <c r="C1571" t="s">
        <v>7313</v>
      </c>
      <c r="D1571" t="s">
        <v>4384</v>
      </c>
      <c r="E1571">
        <v>4508675</v>
      </c>
      <c r="F1571" t="s">
        <v>742</v>
      </c>
      <c r="G1571" t="s">
        <v>828</v>
      </c>
      <c r="H1571" t="s">
        <v>7314</v>
      </c>
      <c r="I1571" s="12">
        <v>45657</v>
      </c>
      <c r="J1571">
        <v>1</v>
      </c>
      <c r="K1571" t="str">
        <f>VLOOKUP(A1571,'TV May Monthly Billing Sites'!$A:$L,1,0)</f>
        <v>76243776</v>
      </c>
    </row>
    <row r="1572" spans="1:12">
      <c r="A1572" t="str">
        <f t="shared" si="24"/>
        <v>76243863</v>
      </c>
      <c r="B1572">
        <v>76243863</v>
      </c>
      <c r="C1572" t="s">
        <v>7315</v>
      </c>
      <c r="D1572" t="s">
        <v>7316</v>
      </c>
      <c r="E1572">
        <v>4408593</v>
      </c>
      <c r="F1572" t="s">
        <v>742</v>
      </c>
      <c r="G1572" t="s">
        <v>782</v>
      </c>
      <c r="H1572" t="s">
        <v>6296</v>
      </c>
      <c r="I1572" s="12">
        <v>45653</v>
      </c>
      <c r="J1572">
        <v>1</v>
      </c>
      <c r="K1572" t="str">
        <f>VLOOKUP(A1572,'TV May Monthly Billing Sites'!$A:$L,1,0)</f>
        <v>76243863</v>
      </c>
    </row>
    <row r="1573" spans="1:12">
      <c r="A1573" t="str">
        <f t="shared" si="24"/>
        <v>76243888</v>
      </c>
      <c r="B1573">
        <v>76243888</v>
      </c>
      <c r="C1573" t="s">
        <v>7317</v>
      </c>
      <c r="D1573" t="s">
        <v>7318</v>
      </c>
      <c r="E1573">
        <v>4508714</v>
      </c>
      <c r="F1573" t="s">
        <v>742</v>
      </c>
      <c r="G1573" t="s">
        <v>743</v>
      </c>
      <c r="H1573" t="s">
        <v>6296</v>
      </c>
      <c r="I1573" s="12">
        <v>45653</v>
      </c>
      <c r="J1573">
        <v>1</v>
      </c>
      <c r="K1573" t="str">
        <f>VLOOKUP(A1573,'TV May Monthly Billing Sites'!$A:$L,1,0)</f>
        <v>76243888</v>
      </c>
    </row>
    <row r="1574" spans="1:12">
      <c r="A1574" t="str">
        <f t="shared" si="24"/>
        <v>76243898</v>
      </c>
      <c r="B1574">
        <v>76243898</v>
      </c>
      <c r="C1574" t="s">
        <v>7319</v>
      </c>
      <c r="D1574" t="s">
        <v>7320</v>
      </c>
      <c r="E1574">
        <v>4508714</v>
      </c>
      <c r="F1574" t="s">
        <v>742</v>
      </c>
      <c r="G1574" t="s">
        <v>743</v>
      </c>
      <c r="H1574" t="s">
        <v>6296</v>
      </c>
      <c r="I1574" s="12">
        <v>45653</v>
      </c>
      <c r="J1574">
        <v>1</v>
      </c>
      <c r="K1574" t="str">
        <f>VLOOKUP(A1574,'TV May Monthly Billing Sites'!$A:$L,1,0)</f>
        <v>76243898</v>
      </c>
    </row>
    <row r="1575" spans="1:12">
      <c r="A1575" t="str">
        <f t="shared" si="24"/>
        <v>76243902</v>
      </c>
      <c r="B1575">
        <v>76243902</v>
      </c>
      <c r="C1575" t="s">
        <v>7321</v>
      </c>
      <c r="D1575" t="s">
        <v>7322</v>
      </c>
      <c r="E1575">
        <v>4508714</v>
      </c>
      <c r="F1575" t="s">
        <v>742</v>
      </c>
      <c r="G1575" t="s">
        <v>743</v>
      </c>
      <c r="H1575" t="s">
        <v>6296</v>
      </c>
      <c r="I1575" s="12">
        <v>45653</v>
      </c>
      <c r="J1575">
        <v>1</v>
      </c>
      <c r="K1575" t="str">
        <f>VLOOKUP(A1575,'TV May Monthly Billing Sites'!$A:$L,1,0)</f>
        <v>76243902</v>
      </c>
    </row>
    <row r="1576" spans="1:12">
      <c r="A1576" t="str">
        <f t="shared" si="24"/>
        <v>76244010</v>
      </c>
      <c r="B1576">
        <v>76244010</v>
      </c>
      <c r="C1576" t="s">
        <v>7323</v>
      </c>
      <c r="D1576" t="s">
        <v>4394</v>
      </c>
      <c r="E1576">
        <v>4508714</v>
      </c>
      <c r="F1576" t="s">
        <v>742</v>
      </c>
      <c r="G1576" t="s">
        <v>743</v>
      </c>
      <c r="H1576" t="s">
        <v>5186</v>
      </c>
      <c r="I1576" s="12">
        <v>45839</v>
      </c>
      <c r="J1576">
        <v>1</v>
      </c>
      <c r="K1576" t="str">
        <f>VLOOKUP(A1576,'TV May Monthly Billing Sites'!$A:$L,1,0)</f>
        <v>76244010</v>
      </c>
    </row>
    <row r="1577" spans="1:12">
      <c r="A1577" t="str">
        <f t="shared" si="24"/>
        <v>76244542</v>
      </c>
      <c r="B1577">
        <v>76244542</v>
      </c>
      <c r="C1577" t="s">
        <v>1166</v>
      </c>
      <c r="D1577" t="s">
        <v>1167</v>
      </c>
      <c r="E1577">
        <v>4508714</v>
      </c>
      <c r="F1577" t="s">
        <v>742</v>
      </c>
      <c r="G1577" t="s">
        <v>743</v>
      </c>
      <c r="H1577" t="s">
        <v>852</v>
      </c>
      <c r="I1577" s="12">
        <v>45545</v>
      </c>
      <c r="J1577">
        <v>1</v>
      </c>
      <c r="K1577" t="e">
        <f>VLOOKUP(A1577,'TV May Monthly Billing Sites'!$A:$L,1,0)</f>
        <v>#N/A</v>
      </c>
      <c r="L1577" t="e">
        <f>VLOOKUP(D1577,'TV May Monthly Billing Sites'!$B:$L,1,0)</f>
        <v>#N/A</v>
      </c>
    </row>
    <row r="1578" spans="1:12">
      <c r="A1578" t="str">
        <f t="shared" si="24"/>
        <v>76244565</v>
      </c>
      <c r="B1578">
        <v>76244565</v>
      </c>
      <c r="C1578" t="s">
        <v>7324</v>
      </c>
      <c r="D1578" t="s">
        <v>4396</v>
      </c>
      <c r="E1578">
        <v>4408593</v>
      </c>
      <c r="F1578" t="s">
        <v>742</v>
      </c>
      <c r="G1578" t="s">
        <v>782</v>
      </c>
      <c r="H1578" t="s">
        <v>1096</v>
      </c>
      <c r="I1578" s="12">
        <v>45625</v>
      </c>
      <c r="J1578">
        <v>1</v>
      </c>
      <c r="K1578" t="str">
        <f>VLOOKUP(A1578,'TV May Monthly Billing Sites'!$A:$L,1,0)</f>
        <v>76244565</v>
      </c>
    </row>
    <row r="1579" spans="1:12">
      <c r="A1579" t="str">
        <f t="shared" si="24"/>
        <v>76244565</v>
      </c>
      <c r="B1579">
        <v>76244565</v>
      </c>
      <c r="C1579" t="s">
        <v>7325</v>
      </c>
      <c r="D1579" t="s">
        <v>4396</v>
      </c>
      <c r="E1579">
        <v>4508714</v>
      </c>
      <c r="F1579" t="s">
        <v>742</v>
      </c>
      <c r="G1579" t="s">
        <v>743</v>
      </c>
      <c r="H1579" t="s">
        <v>1096</v>
      </c>
      <c r="I1579" s="12">
        <v>45961</v>
      </c>
      <c r="J1579">
        <v>1</v>
      </c>
      <c r="K1579" t="str">
        <f>VLOOKUP(A1579,'TV May Monthly Billing Sites'!$A:$L,1,0)</f>
        <v>76244565</v>
      </c>
    </row>
    <row r="1580" spans="1:12">
      <c r="A1580" t="str">
        <f t="shared" si="24"/>
        <v>76244599</v>
      </c>
      <c r="B1580">
        <v>76244599</v>
      </c>
      <c r="C1580" t="s">
        <v>1169</v>
      </c>
      <c r="D1580" t="s">
        <v>1170</v>
      </c>
      <c r="E1580">
        <v>4408593</v>
      </c>
      <c r="F1580" t="s">
        <v>742</v>
      </c>
      <c r="G1580" t="s">
        <v>782</v>
      </c>
      <c r="H1580" t="s">
        <v>1171</v>
      </c>
      <c r="I1580" s="12">
        <v>45618</v>
      </c>
      <c r="J1580">
        <v>1</v>
      </c>
      <c r="K1580" t="e">
        <f>VLOOKUP(A1580,'TV May Monthly Billing Sites'!$A:$L,1,0)</f>
        <v>#N/A</v>
      </c>
      <c r="L1580" t="e">
        <f>VLOOKUP(D1580,'TV May Monthly Billing Sites'!$B:$L,1,0)</f>
        <v>#N/A</v>
      </c>
    </row>
    <row r="1581" spans="1:12">
      <c r="A1581" t="str">
        <f t="shared" si="24"/>
        <v>76244695</v>
      </c>
      <c r="B1581">
        <v>76244695</v>
      </c>
      <c r="C1581" t="s">
        <v>1173</v>
      </c>
      <c r="D1581" t="s">
        <v>1174</v>
      </c>
      <c r="E1581">
        <v>4508714</v>
      </c>
      <c r="F1581" t="s">
        <v>742</v>
      </c>
      <c r="G1581" t="s">
        <v>743</v>
      </c>
      <c r="H1581" t="s">
        <v>1175</v>
      </c>
      <c r="I1581" s="12">
        <v>45622</v>
      </c>
      <c r="J1581">
        <v>1</v>
      </c>
      <c r="K1581" t="e">
        <f>VLOOKUP(A1581,'TV May Monthly Billing Sites'!$A:$L,1,0)</f>
        <v>#N/A</v>
      </c>
      <c r="L1581" t="e">
        <f>VLOOKUP(D1581,'TV May Monthly Billing Sites'!$B:$L,1,0)</f>
        <v>#N/A</v>
      </c>
    </row>
    <row r="1582" spans="1:12">
      <c r="A1582" t="str">
        <f t="shared" si="24"/>
        <v>76244702</v>
      </c>
      <c r="B1582">
        <v>76244702</v>
      </c>
      <c r="C1582" t="s">
        <v>7326</v>
      </c>
      <c r="D1582" t="s">
        <v>7327</v>
      </c>
      <c r="E1582">
        <v>4408593</v>
      </c>
      <c r="F1582" t="s">
        <v>742</v>
      </c>
      <c r="G1582" t="s">
        <v>782</v>
      </c>
      <c r="H1582" t="s">
        <v>7113</v>
      </c>
      <c r="I1582" s="12">
        <v>45440</v>
      </c>
      <c r="J1582">
        <v>1</v>
      </c>
      <c r="K1582" t="str">
        <f>VLOOKUP(A1582,'TV May Monthly Billing Sites'!$A:$L,1,0)</f>
        <v>76244702</v>
      </c>
    </row>
    <row r="1583" spans="1:12">
      <c r="A1583" t="str">
        <f t="shared" si="24"/>
        <v>76244703</v>
      </c>
      <c r="B1583">
        <v>76244703</v>
      </c>
      <c r="C1583" t="s">
        <v>7328</v>
      </c>
      <c r="D1583" t="s">
        <v>7329</v>
      </c>
      <c r="E1583">
        <v>4408593</v>
      </c>
      <c r="F1583" t="s">
        <v>742</v>
      </c>
      <c r="G1583" t="s">
        <v>782</v>
      </c>
      <c r="H1583" t="s">
        <v>7113</v>
      </c>
      <c r="I1583" s="12">
        <v>45440</v>
      </c>
      <c r="J1583">
        <v>1</v>
      </c>
      <c r="K1583" t="str">
        <f>VLOOKUP(A1583,'TV May Monthly Billing Sites'!$A:$L,1,0)</f>
        <v>76244703</v>
      </c>
    </row>
    <row r="1584" spans="1:12">
      <c r="A1584" t="str">
        <f t="shared" si="24"/>
        <v>76244766</v>
      </c>
      <c r="B1584">
        <v>76244766</v>
      </c>
      <c r="C1584" t="s">
        <v>7330</v>
      </c>
      <c r="D1584" t="s">
        <v>7331</v>
      </c>
      <c r="E1584">
        <v>4508714</v>
      </c>
      <c r="F1584" t="s">
        <v>742</v>
      </c>
      <c r="G1584" t="s">
        <v>743</v>
      </c>
      <c r="H1584" t="s">
        <v>7332</v>
      </c>
      <c r="I1584" s="12">
        <v>45638</v>
      </c>
      <c r="J1584">
        <v>1</v>
      </c>
      <c r="K1584" t="str">
        <f>VLOOKUP(A1584,'TV May Monthly Billing Sites'!$A:$L,1,0)</f>
        <v>76244766</v>
      </c>
    </row>
    <row r="1585" spans="1:12">
      <c r="A1585" t="str">
        <f t="shared" si="24"/>
        <v>76244770</v>
      </c>
      <c r="B1585">
        <v>76244770</v>
      </c>
      <c r="C1585" t="s">
        <v>7333</v>
      </c>
      <c r="D1585" t="s">
        <v>4404</v>
      </c>
      <c r="E1585">
        <v>4508714</v>
      </c>
      <c r="F1585" t="s">
        <v>742</v>
      </c>
      <c r="G1585" t="s">
        <v>743</v>
      </c>
      <c r="H1585" t="s">
        <v>816</v>
      </c>
      <c r="I1585" s="12">
        <v>45889</v>
      </c>
      <c r="J1585">
        <v>1</v>
      </c>
      <c r="K1585" t="str">
        <f>VLOOKUP(A1585,'TV May Monthly Billing Sites'!$A:$L,1,0)</f>
        <v>76244770</v>
      </c>
    </row>
    <row r="1586" spans="1:12">
      <c r="A1586" t="str">
        <f t="shared" si="24"/>
        <v>76244797</v>
      </c>
      <c r="B1586">
        <v>76244797</v>
      </c>
      <c r="C1586" t="s">
        <v>7334</v>
      </c>
      <c r="D1586" t="s">
        <v>4406</v>
      </c>
      <c r="E1586">
        <v>4508714</v>
      </c>
      <c r="F1586" t="s">
        <v>742</v>
      </c>
      <c r="G1586" t="s">
        <v>743</v>
      </c>
      <c r="H1586" t="s">
        <v>5734</v>
      </c>
      <c r="I1586" s="12">
        <v>45931</v>
      </c>
      <c r="J1586">
        <v>1</v>
      </c>
      <c r="K1586" t="str">
        <f>VLOOKUP(A1586,'TV May Monthly Billing Sites'!$A:$L,1,0)</f>
        <v>76244797</v>
      </c>
    </row>
    <row r="1587" spans="1:12">
      <c r="A1587" t="str">
        <f t="shared" si="24"/>
        <v>76245051</v>
      </c>
      <c r="B1587">
        <v>76245051</v>
      </c>
      <c r="C1587" t="s">
        <v>7335</v>
      </c>
      <c r="D1587" t="s">
        <v>7336</v>
      </c>
      <c r="E1587">
        <v>4508714</v>
      </c>
      <c r="F1587" t="s">
        <v>742</v>
      </c>
      <c r="G1587" t="s">
        <v>743</v>
      </c>
      <c r="H1587" t="s">
        <v>1179</v>
      </c>
      <c r="I1587" s="12">
        <v>45646</v>
      </c>
      <c r="J1587">
        <v>1</v>
      </c>
      <c r="K1587" t="e">
        <f>VLOOKUP(A1587,'TV May Monthly Billing Sites'!$A:$L,1,0)</f>
        <v>#N/A</v>
      </c>
      <c r="L1587" t="str">
        <f>VLOOKUP(D1587,'TV May Monthly Billing Sites'!$B:$L,1,0)</f>
        <v>West Houston Hyundai</v>
      </c>
    </row>
    <row r="1588" spans="1:12">
      <c r="A1588" t="str">
        <f t="shared" si="24"/>
        <v>76245067</v>
      </c>
      <c r="B1588">
        <v>76245067</v>
      </c>
      <c r="C1588" t="s">
        <v>1177</v>
      </c>
      <c r="D1588" t="s">
        <v>1178</v>
      </c>
      <c r="E1588">
        <v>4508714</v>
      </c>
      <c r="F1588" t="s">
        <v>742</v>
      </c>
      <c r="G1588" t="s">
        <v>743</v>
      </c>
      <c r="H1588" t="s">
        <v>1179</v>
      </c>
      <c r="I1588" s="12">
        <v>45635</v>
      </c>
      <c r="J1588">
        <v>1</v>
      </c>
      <c r="K1588" t="e">
        <f>VLOOKUP(A1588,'TV May Monthly Billing Sites'!$A:$L,1,0)</f>
        <v>#N/A</v>
      </c>
      <c r="L1588" t="e">
        <f>VLOOKUP(D1588,'TV May Monthly Billing Sites'!$B:$L,1,0)</f>
        <v>#N/A</v>
      </c>
    </row>
    <row r="1589" spans="1:12">
      <c r="A1589" t="str">
        <f t="shared" si="24"/>
        <v>76245276</v>
      </c>
      <c r="B1589">
        <v>76245276</v>
      </c>
      <c r="C1589" t="s">
        <v>7337</v>
      </c>
      <c r="D1589" t="s">
        <v>7338</v>
      </c>
      <c r="E1589">
        <v>4508714</v>
      </c>
      <c r="F1589" t="s">
        <v>742</v>
      </c>
      <c r="G1589" t="s">
        <v>743</v>
      </c>
      <c r="H1589" t="s">
        <v>6823</v>
      </c>
      <c r="I1589" s="12">
        <v>45581</v>
      </c>
      <c r="J1589">
        <v>1</v>
      </c>
      <c r="K1589" t="str">
        <f>VLOOKUP(A1589,'TV May Monthly Billing Sites'!$A:$L,1,0)</f>
        <v>76245276</v>
      </c>
    </row>
    <row r="1590" spans="1:12">
      <c r="A1590" t="str">
        <f t="shared" si="24"/>
        <v>76245330</v>
      </c>
      <c r="B1590">
        <v>76245330</v>
      </c>
      <c r="C1590" t="s">
        <v>7339</v>
      </c>
      <c r="D1590" t="s">
        <v>4410</v>
      </c>
      <c r="E1590">
        <v>4508714</v>
      </c>
      <c r="F1590" t="s">
        <v>742</v>
      </c>
      <c r="G1590" t="s">
        <v>743</v>
      </c>
      <c r="H1590" t="s">
        <v>6756</v>
      </c>
      <c r="I1590" s="12">
        <v>45838</v>
      </c>
      <c r="J1590">
        <v>1</v>
      </c>
      <c r="K1590" t="str">
        <f>VLOOKUP(A1590,'TV May Monthly Billing Sites'!$A:$L,1,0)</f>
        <v>76245330</v>
      </c>
    </row>
    <row r="1591" spans="1:12">
      <c r="A1591" t="str">
        <f t="shared" si="24"/>
        <v>76245381</v>
      </c>
      <c r="B1591">
        <v>76245381</v>
      </c>
      <c r="C1591" t="s">
        <v>7340</v>
      </c>
      <c r="D1591" t="s">
        <v>3965</v>
      </c>
      <c r="E1591">
        <v>4508714</v>
      </c>
      <c r="F1591" t="s">
        <v>742</v>
      </c>
      <c r="G1591" t="s">
        <v>743</v>
      </c>
      <c r="H1591" t="s">
        <v>1179</v>
      </c>
      <c r="I1591" s="12">
        <v>45636</v>
      </c>
      <c r="J1591">
        <v>1</v>
      </c>
      <c r="K1591" t="e">
        <f>VLOOKUP(A1591,'TV May Monthly Billing Sites'!$A:$L,1,0)</f>
        <v>#N/A</v>
      </c>
      <c r="L1591" t="str">
        <f>VLOOKUP(D1591,'TV May Monthly Billing Sites'!$B:$L,1,0)</f>
        <v>NORTHWEST HYUNDAI</v>
      </c>
    </row>
    <row r="1592" spans="1:12">
      <c r="A1592" t="str">
        <f t="shared" si="24"/>
        <v>76245407</v>
      </c>
      <c r="B1592">
        <v>76245407</v>
      </c>
      <c r="C1592" t="s">
        <v>7341</v>
      </c>
      <c r="D1592" t="s">
        <v>4412</v>
      </c>
      <c r="E1592">
        <v>4508714</v>
      </c>
      <c r="F1592" t="s">
        <v>742</v>
      </c>
      <c r="G1592" t="s">
        <v>743</v>
      </c>
      <c r="H1592" t="s">
        <v>6100</v>
      </c>
      <c r="I1592" s="12">
        <v>45755</v>
      </c>
      <c r="J1592">
        <v>1</v>
      </c>
      <c r="K1592" t="str">
        <f>VLOOKUP(A1592,'TV May Monthly Billing Sites'!$A:$L,1,0)</f>
        <v>76245407</v>
      </c>
    </row>
    <row r="1593" spans="1:12">
      <c r="A1593" t="str">
        <f t="shared" si="24"/>
        <v>76245431</v>
      </c>
      <c r="B1593">
        <v>76245431</v>
      </c>
      <c r="C1593" t="s">
        <v>7342</v>
      </c>
      <c r="D1593" t="s">
        <v>7343</v>
      </c>
      <c r="E1593">
        <v>4508714</v>
      </c>
      <c r="F1593" t="s">
        <v>742</v>
      </c>
      <c r="G1593" t="s">
        <v>743</v>
      </c>
      <c r="H1593" t="s">
        <v>6823</v>
      </c>
      <c r="I1593" s="12">
        <v>45581</v>
      </c>
      <c r="J1593">
        <v>1</v>
      </c>
      <c r="K1593" t="str">
        <f>VLOOKUP(A1593,'TV May Monthly Billing Sites'!$A:$L,1,0)</f>
        <v>76245431</v>
      </c>
    </row>
    <row r="1594" spans="1:12">
      <c r="A1594" t="str">
        <f t="shared" si="24"/>
        <v>76245511</v>
      </c>
      <c r="B1594">
        <v>76245511</v>
      </c>
      <c r="C1594" t="s">
        <v>7344</v>
      </c>
      <c r="D1594" t="s">
        <v>2290</v>
      </c>
      <c r="E1594">
        <v>4408593</v>
      </c>
      <c r="F1594" t="s">
        <v>742</v>
      </c>
      <c r="G1594" t="s">
        <v>782</v>
      </c>
      <c r="H1594" t="s">
        <v>2290</v>
      </c>
      <c r="I1594" s="12">
        <v>45628</v>
      </c>
      <c r="J1594">
        <v>1</v>
      </c>
      <c r="K1594" t="e">
        <f>VLOOKUP(A1594,'TV May Monthly Billing Sites'!$A:$L,1,0)</f>
        <v>#N/A</v>
      </c>
      <c r="L1594" t="str">
        <f>VLOOKUP(D1594,'TV May Monthly Billing Sites'!$B:$L,1,0)</f>
        <v>FRONTIER TOYOTA</v>
      </c>
    </row>
    <row r="1595" spans="1:12">
      <c r="A1595" t="str">
        <f t="shared" si="24"/>
        <v>76245731</v>
      </c>
      <c r="B1595">
        <v>76245731</v>
      </c>
      <c r="C1595" t="s">
        <v>1181</v>
      </c>
      <c r="D1595" t="s">
        <v>1182</v>
      </c>
      <c r="E1595">
        <v>4408593</v>
      </c>
      <c r="F1595" t="s">
        <v>742</v>
      </c>
      <c r="G1595" t="s">
        <v>782</v>
      </c>
      <c r="H1595" t="s">
        <v>1183</v>
      </c>
      <c r="I1595" s="12">
        <v>45441</v>
      </c>
      <c r="J1595">
        <v>1</v>
      </c>
      <c r="K1595" t="e">
        <f>VLOOKUP(A1595,'TV May Monthly Billing Sites'!$A:$L,1,0)</f>
        <v>#N/A</v>
      </c>
      <c r="L1595" t="e">
        <f>VLOOKUP(D1595,'TV May Monthly Billing Sites'!$B:$L,1,0)</f>
        <v>#N/A</v>
      </c>
    </row>
    <row r="1596" spans="1:12">
      <c r="A1596" t="str">
        <f t="shared" si="24"/>
        <v>76245733</v>
      </c>
      <c r="B1596">
        <v>76245733</v>
      </c>
      <c r="C1596" t="s">
        <v>1185</v>
      </c>
      <c r="D1596" t="s">
        <v>1186</v>
      </c>
      <c r="E1596">
        <v>4508714</v>
      </c>
      <c r="F1596" t="s">
        <v>742</v>
      </c>
      <c r="G1596" t="s">
        <v>743</v>
      </c>
      <c r="H1596" t="s">
        <v>812</v>
      </c>
      <c r="I1596" s="12">
        <v>45931</v>
      </c>
      <c r="J1596">
        <v>1</v>
      </c>
      <c r="K1596" t="e">
        <f>VLOOKUP(A1596,'TV May Monthly Billing Sites'!$A:$L,1,0)</f>
        <v>#N/A</v>
      </c>
      <c r="L1596" t="e">
        <f>VLOOKUP(D1596,'TV May Monthly Billing Sites'!$B:$L,1,0)</f>
        <v>#N/A</v>
      </c>
    </row>
    <row r="1597" spans="1:12">
      <c r="A1597" t="str">
        <f t="shared" si="24"/>
        <v>76245916</v>
      </c>
      <c r="B1597">
        <v>76245916</v>
      </c>
      <c r="C1597" t="s">
        <v>7345</v>
      </c>
      <c r="D1597" t="s">
        <v>7346</v>
      </c>
      <c r="E1597">
        <v>4508714</v>
      </c>
      <c r="F1597" t="s">
        <v>742</v>
      </c>
      <c r="G1597" t="s">
        <v>743</v>
      </c>
      <c r="H1597" t="s">
        <v>7347</v>
      </c>
      <c r="I1597" s="12">
        <v>45631</v>
      </c>
      <c r="J1597">
        <v>1</v>
      </c>
      <c r="K1597" t="str">
        <f>VLOOKUP(A1597,'TV May Monthly Billing Sites'!$A:$L,1,0)</f>
        <v>76245916</v>
      </c>
    </row>
    <row r="1598" spans="1:12">
      <c r="A1598" t="str">
        <f t="shared" si="24"/>
        <v>76246007</v>
      </c>
      <c r="B1598">
        <v>76246007</v>
      </c>
      <c r="C1598" t="s">
        <v>7348</v>
      </c>
      <c r="D1598" t="s">
        <v>4418</v>
      </c>
      <c r="E1598">
        <v>4508714</v>
      </c>
      <c r="F1598" t="s">
        <v>742</v>
      </c>
      <c r="G1598" t="s">
        <v>743</v>
      </c>
      <c r="H1598" t="s">
        <v>7349</v>
      </c>
      <c r="I1598" s="12">
        <v>45870</v>
      </c>
      <c r="J1598">
        <v>1</v>
      </c>
      <c r="K1598" t="str">
        <f>VLOOKUP(A1598,'TV May Monthly Billing Sites'!$A:$L,1,0)</f>
        <v>76246007</v>
      </c>
    </row>
    <row r="1599" spans="1:12">
      <c r="A1599" t="str">
        <f t="shared" si="24"/>
        <v>76246239</v>
      </c>
      <c r="B1599">
        <v>76246239</v>
      </c>
      <c r="C1599" t="s">
        <v>7350</v>
      </c>
      <c r="D1599" t="s">
        <v>7351</v>
      </c>
      <c r="E1599">
        <v>4508675</v>
      </c>
      <c r="F1599" t="s">
        <v>742</v>
      </c>
      <c r="G1599" t="s">
        <v>828</v>
      </c>
      <c r="H1599" t="s">
        <v>4785</v>
      </c>
      <c r="I1599" s="12">
        <v>45726</v>
      </c>
      <c r="J1599">
        <v>1</v>
      </c>
      <c r="K1599" t="str">
        <f>VLOOKUP(A1599,'TV May Monthly Billing Sites'!$A:$L,1,0)</f>
        <v>76246239</v>
      </c>
    </row>
    <row r="1600" spans="1:12">
      <c r="A1600" t="str">
        <f t="shared" si="24"/>
        <v>76246348</v>
      </c>
      <c r="B1600">
        <v>76246348</v>
      </c>
      <c r="C1600" t="s">
        <v>7352</v>
      </c>
      <c r="D1600" t="s">
        <v>7353</v>
      </c>
      <c r="E1600">
        <v>4508714</v>
      </c>
      <c r="F1600" t="s">
        <v>742</v>
      </c>
      <c r="G1600" t="s">
        <v>743</v>
      </c>
      <c r="H1600" t="s">
        <v>4422</v>
      </c>
      <c r="I1600" s="12">
        <v>45456</v>
      </c>
      <c r="J1600">
        <v>1</v>
      </c>
      <c r="K1600" t="str">
        <f>VLOOKUP(A1600,'TV May Monthly Billing Sites'!$A:$L,1,0)</f>
        <v>76246348</v>
      </c>
    </row>
    <row r="1601" spans="1:12">
      <c r="A1601" t="str">
        <f t="shared" si="24"/>
        <v>76246443</v>
      </c>
      <c r="B1601">
        <v>76246443</v>
      </c>
      <c r="C1601" t="s">
        <v>7354</v>
      </c>
      <c r="D1601" t="s">
        <v>4424</v>
      </c>
      <c r="E1601">
        <v>4508675</v>
      </c>
      <c r="F1601" t="s">
        <v>742</v>
      </c>
      <c r="G1601" t="s">
        <v>828</v>
      </c>
      <c r="H1601" t="s">
        <v>816</v>
      </c>
      <c r="I1601" s="12">
        <v>45597</v>
      </c>
      <c r="J1601">
        <v>1</v>
      </c>
      <c r="K1601" t="str">
        <f>VLOOKUP(A1601,'TV May Monthly Billing Sites'!$A:$L,1,0)</f>
        <v>76246443</v>
      </c>
    </row>
    <row r="1602" spans="1:12">
      <c r="A1602" t="str">
        <f t="shared" ref="A1602:A1665" si="25">TRIM(B1602)</f>
        <v>76246443</v>
      </c>
      <c r="B1602">
        <v>76246443</v>
      </c>
      <c r="C1602" t="s">
        <v>7355</v>
      </c>
      <c r="D1602" t="s">
        <v>4424</v>
      </c>
      <c r="E1602">
        <v>4408592</v>
      </c>
      <c r="F1602" t="s">
        <v>742</v>
      </c>
      <c r="G1602" t="s">
        <v>823</v>
      </c>
      <c r="H1602" t="s">
        <v>816</v>
      </c>
      <c r="I1602" s="12">
        <v>45673</v>
      </c>
      <c r="J1602">
        <v>1</v>
      </c>
      <c r="K1602" t="str">
        <f>VLOOKUP(A1602,'TV May Monthly Billing Sites'!$A:$L,1,0)</f>
        <v>76246443</v>
      </c>
    </row>
    <row r="1603" spans="1:12">
      <c r="A1603" t="str">
        <f t="shared" si="25"/>
        <v>76246482</v>
      </c>
      <c r="B1603">
        <v>76246482</v>
      </c>
      <c r="C1603" t="s">
        <v>7356</v>
      </c>
      <c r="D1603" t="s">
        <v>4426</v>
      </c>
      <c r="E1603">
        <v>4408592</v>
      </c>
      <c r="F1603" t="s">
        <v>742</v>
      </c>
      <c r="G1603" t="s">
        <v>823</v>
      </c>
      <c r="H1603" t="s">
        <v>7357</v>
      </c>
      <c r="I1603" s="12">
        <v>45562</v>
      </c>
      <c r="J1603">
        <v>1</v>
      </c>
      <c r="K1603" t="str">
        <f>VLOOKUP(A1603,'TV May Monthly Billing Sites'!$A:$L,1,0)</f>
        <v>76246482</v>
      </c>
    </row>
    <row r="1604" spans="1:12">
      <c r="A1604" t="str">
        <f t="shared" si="25"/>
        <v>76246564</v>
      </c>
      <c r="B1604">
        <v>76246564</v>
      </c>
      <c r="C1604" t="s">
        <v>7358</v>
      </c>
      <c r="D1604" t="s">
        <v>4428</v>
      </c>
      <c r="E1604">
        <v>4508714</v>
      </c>
      <c r="F1604" t="s">
        <v>742</v>
      </c>
      <c r="G1604" t="s">
        <v>743</v>
      </c>
      <c r="H1604" t="s">
        <v>1096</v>
      </c>
      <c r="I1604" s="12">
        <v>45961</v>
      </c>
      <c r="J1604">
        <v>1</v>
      </c>
      <c r="K1604" t="str">
        <f>VLOOKUP(A1604,'TV May Monthly Billing Sites'!$A:$L,1,0)</f>
        <v>76246564</v>
      </c>
    </row>
    <row r="1605" spans="1:12">
      <c r="A1605" t="str">
        <f t="shared" si="25"/>
        <v>76246584</v>
      </c>
      <c r="B1605">
        <v>76246584</v>
      </c>
      <c r="C1605" t="s">
        <v>7359</v>
      </c>
      <c r="D1605" t="s">
        <v>7360</v>
      </c>
      <c r="E1605">
        <v>4508714</v>
      </c>
      <c r="F1605" t="s">
        <v>742</v>
      </c>
      <c r="G1605" t="s">
        <v>743</v>
      </c>
      <c r="H1605" t="s">
        <v>1096</v>
      </c>
      <c r="I1605" s="12">
        <v>45961</v>
      </c>
      <c r="J1605">
        <v>1</v>
      </c>
      <c r="K1605" t="str">
        <f>VLOOKUP(A1605,'TV May Monthly Billing Sites'!$A:$L,1,0)</f>
        <v>76246584</v>
      </c>
    </row>
    <row r="1606" spans="1:12">
      <c r="A1606" t="str">
        <f t="shared" si="25"/>
        <v>76246614</v>
      </c>
      <c r="B1606">
        <v>76246614</v>
      </c>
      <c r="C1606" t="s">
        <v>7361</v>
      </c>
      <c r="D1606" t="s">
        <v>7362</v>
      </c>
      <c r="E1606">
        <v>4508714</v>
      </c>
      <c r="F1606" t="s">
        <v>742</v>
      </c>
      <c r="G1606" t="s">
        <v>743</v>
      </c>
      <c r="H1606" t="s">
        <v>1190</v>
      </c>
      <c r="I1606" s="12">
        <v>46106</v>
      </c>
      <c r="J1606">
        <v>1</v>
      </c>
      <c r="K1606" t="e">
        <f>VLOOKUP(A1606,'TV May Monthly Billing Sites'!$A:$L,1,0)</f>
        <v>#N/A</v>
      </c>
      <c r="L1606" t="str">
        <f>VLOOKUP(D1606,'TV May Monthly Billing Sites'!$B:$L,1,0)</f>
        <v>Motor Mile Hyundai</v>
      </c>
    </row>
    <row r="1607" spans="1:12">
      <c r="A1607" t="str">
        <f t="shared" si="25"/>
        <v>76246621</v>
      </c>
      <c r="B1607">
        <v>76246621</v>
      </c>
      <c r="C1607" t="s">
        <v>1188</v>
      </c>
      <c r="D1607" t="s">
        <v>1189</v>
      </c>
      <c r="E1607">
        <v>4508714</v>
      </c>
      <c r="F1607" t="s">
        <v>742</v>
      </c>
      <c r="G1607" t="s">
        <v>743</v>
      </c>
      <c r="H1607" t="s">
        <v>1190</v>
      </c>
      <c r="I1607" s="12">
        <v>46106</v>
      </c>
      <c r="J1607">
        <v>1</v>
      </c>
      <c r="K1607" t="e">
        <f>VLOOKUP(A1607,'TV May Monthly Billing Sites'!$A:$L,1,0)</f>
        <v>#N/A</v>
      </c>
      <c r="L1607" t="e">
        <f>VLOOKUP(D1607,'TV May Monthly Billing Sites'!$B:$L,1,0)</f>
        <v>#N/A</v>
      </c>
    </row>
    <row r="1608" spans="1:12">
      <c r="A1608" t="str">
        <f t="shared" si="25"/>
        <v>76246638</v>
      </c>
      <c r="B1608">
        <v>76246638</v>
      </c>
      <c r="C1608" t="s">
        <v>7363</v>
      </c>
      <c r="D1608" t="s">
        <v>7364</v>
      </c>
      <c r="E1608">
        <v>4508714</v>
      </c>
      <c r="F1608" t="s">
        <v>742</v>
      </c>
      <c r="G1608" t="s">
        <v>743</v>
      </c>
      <c r="H1608" t="s">
        <v>1096</v>
      </c>
      <c r="I1608" s="12">
        <v>45961</v>
      </c>
      <c r="J1608">
        <v>1</v>
      </c>
      <c r="K1608" t="str">
        <f>VLOOKUP(A1608,'TV May Monthly Billing Sites'!$A:$L,1,0)</f>
        <v>76246638</v>
      </c>
    </row>
    <row r="1609" spans="1:12">
      <c r="A1609" t="str">
        <f t="shared" si="25"/>
        <v>76246769</v>
      </c>
      <c r="B1609">
        <v>76246769</v>
      </c>
      <c r="C1609" t="s">
        <v>7365</v>
      </c>
      <c r="D1609" t="s">
        <v>4434</v>
      </c>
      <c r="E1609">
        <v>4508714</v>
      </c>
      <c r="F1609" t="s">
        <v>742</v>
      </c>
      <c r="G1609" t="s">
        <v>743</v>
      </c>
      <c r="H1609" t="s">
        <v>6049</v>
      </c>
      <c r="I1609" s="12">
        <v>46020</v>
      </c>
      <c r="J1609">
        <v>1</v>
      </c>
      <c r="K1609" t="str">
        <f>VLOOKUP(A1609,'TV May Monthly Billing Sites'!$A:$L,1,0)</f>
        <v>76246769</v>
      </c>
    </row>
    <row r="1610" spans="1:12">
      <c r="A1610" t="str">
        <f t="shared" si="25"/>
        <v>76246924</v>
      </c>
      <c r="B1610">
        <v>76246924</v>
      </c>
      <c r="C1610" t="s">
        <v>7366</v>
      </c>
      <c r="D1610" t="s">
        <v>4436</v>
      </c>
      <c r="E1610">
        <v>4408593</v>
      </c>
      <c r="F1610" t="s">
        <v>742</v>
      </c>
      <c r="G1610" t="s">
        <v>782</v>
      </c>
      <c r="H1610" t="s">
        <v>1038</v>
      </c>
      <c r="I1610" s="12">
        <v>45950</v>
      </c>
      <c r="J1610">
        <v>1</v>
      </c>
      <c r="K1610" t="str">
        <f>VLOOKUP(A1610,'TV May Monthly Billing Sites'!$A:$L,1,0)</f>
        <v>76246924</v>
      </c>
    </row>
    <row r="1611" spans="1:12">
      <c r="A1611" t="str">
        <f t="shared" si="25"/>
        <v>76246928</v>
      </c>
      <c r="B1611">
        <v>76246928</v>
      </c>
      <c r="C1611" t="s">
        <v>7367</v>
      </c>
      <c r="D1611" t="s">
        <v>4438</v>
      </c>
      <c r="E1611">
        <v>4508714</v>
      </c>
      <c r="F1611" t="s">
        <v>742</v>
      </c>
      <c r="G1611" t="s">
        <v>743</v>
      </c>
      <c r="H1611" t="s">
        <v>5298</v>
      </c>
      <c r="I1611" s="12">
        <v>45875</v>
      </c>
      <c r="J1611">
        <v>1</v>
      </c>
      <c r="K1611" t="str">
        <f>VLOOKUP(A1611,'TV May Monthly Billing Sites'!$A:$L,1,0)</f>
        <v>76246928</v>
      </c>
    </row>
    <row r="1612" spans="1:12">
      <c r="A1612" t="str">
        <f t="shared" si="25"/>
        <v>76246941</v>
      </c>
      <c r="B1612">
        <v>76246941</v>
      </c>
      <c r="C1612" t="s">
        <v>7368</v>
      </c>
      <c r="D1612" t="s">
        <v>7369</v>
      </c>
      <c r="E1612">
        <v>4508714</v>
      </c>
      <c r="F1612" t="s">
        <v>742</v>
      </c>
      <c r="G1612" t="s">
        <v>743</v>
      </c>
      <c r="H1612" t="s">
        <v>7370</v>
      </c>
      <c r="I1612" s="12">
        <v>45450</v>
      </c>
      <c r="J1612">
        <v>1</v>
      </c>
      <c r="K1612" t="str">
        <f>VLOOKUP(A1612,'TV May Monthly Billing Sites'!$A:$L,1,0)</f>
        <v>76246941</v>
      </c>
    </row>
    <row r="1613" spans="1:12">
      <c r="A1613" t="str">
        <f t="shared" si="25"/>
        <v>76246955</v>
      </c>
      <c r="B1613">
        <v>76246955</v>
      </c>
      <c r="C1613" t="s">
        <v>7371</v>
      </c>
      <c r="D1613" t="s">
        <v>4442</v>
      </c>
      <c r="E1613">
        <v>4508714</v>
      </c>
      <c r="F1613" t="s">
        <v>742</v>
      </c>
      <c r="G1613" t="s">
        <v>743</v>
      </c>
      <c r="H1613" t="s">
        <v>7372</v>
      </c>
      <c r="I1613" s="12">
        <v>45449</v>
      </c>
      <c r="J1613">
        <v>1</v>
      </c>
      <c r="K1613" t="str">
        <f>VLOOKUP(A1613,'TV May Monthly Billing Sites'!$A:$L,1,0)</f>
        <v>76246955</v>
      </c>
    </row>
    <row r="1614" spans="1:12">
      <c r="A1614" t="str">
        <f t="shared" si="25"/>
        <v>76247020</v>
      </c>
      <c r="B1614">
        <v>76247020</v>
      </c>
      <c r="C1614" t="s">
        <v>7373</v>
      </c>
      <c r="D1614" t="s">
        <v>7374</v>
      </c>
      <c r="E1614">
        <v>4408593</v>
      </c>
      <c r="F1614" t="s">
        <v>742</v>
      </c>
      <c r="G1614" t="s">
        <v>782</v>
      </c>
      <c r="H1614" t="s">
        <v>7118</v>
      </c>
      <c r="I1614" s="12">
        <v>45637</v>
      </c>
      <c r="J1614">
        <v>1</v>
      </c>
      <c r="K1614" t="str">
        <f>VLOOKUP(A1614,'TV May Monthly Billing Sites'!$A:$L,1,0)</f>
        <v>76247020</v>
      </c>
    </row>
    <row r="1615" spans="1:12">
      <c r="A1615" t="str">
        <f t="shared" si="25"/>
        <v>76247032</v>
      </c>
      <c r="B1615">
        <v>76247032</v>
      </c>
      <c r="C1615" t="s">
        <v>7375</v>
      </c>
      <c r="D1615" t="s">
        <v>7376</v>
      </c>
      <c r="E1615">
        <v>4508714</v>
      </c>
      <c r="F1615" t="s">
        <v>742</v>
      </c>
      <c r="G1615" t="s">
        <v>743</v>
      </c>
      <c r="H1615" t="s">
        <v>6100</v>
      </c>
      <c r="I1615" s="12">
        <v>45755</v>
      </c>
      <c r="J1615">
        <v>1</v>
      </c>
      <c r="K1615" t="str">
        <f>VLOOKUP(A1615,'TV May Monthly Billing Sites'!$A:$L,1,0)</f>
        <v>76247032</v>
      </c>
    </row>
    <row r="1616" spans="1:12">
      <c r="A1616" t="str">
        <f t="shared" si="25"/>
        <v>76247042</v>
      </c>
      <c r="B1616">
        <v>76247042</v>
      </c>
      <c r="C1616" t="s">
        <v>7377</v>
      </c>
      <c r="D1616" t="s">
        <v>4448</v>
      </c>
      <c r="E1616">
        <v>4508714</v>
      </c>
      <c r="F1616" t="s">
        <v>742</v>
      </c>
      <c r="G1616" t="s">
        <v>743</v>
      </c>
      <c r="H1616" t="s">
        <v>860</v>
      </c>
      <c r="I1616" s="12">
        <v>45604</v>
      </c>
      <c r="J1616">
        <v>1</v>
      </c>
      <c r="K1616" t="str">
        <f>VLOOKUP(A1616,'TV May Monthly Billing Sites'!$A:$L,1,0)</f>
        <v>76247042</v>
      </c>
    </row>
    <row r="1617" spans="1:12">
      <c r="A1617" t="str">
        <f t="shared" si="25"/>
        <v>76247082</v>
      </c>
      <c r="B1617">
        <v>76247082</v>
      </c>
      <c r="C1617" t="s">
        <v>7378</v>
      </c>
      <c r="D1617" t="s">
        <v>4450</v>
      </c>
      <c r="E1617">
        <v>4408593</v>
      </c>
      <c r="F1617" t="s">
        <v>742</v>
      </c>
      <c r="G1617" t="s">
        <v>782</v>
      </c>
      <c r="H1617" t="s">
        <v>7379</v>
      </c>
      <c r="I1617" s="12">
        <v>45750</v>
      </c>
      <c r="J1617">
        <v>1</v>
      </c>
      <c r="K1617" t="str">
        <f>VLOOKUP(A1617,'TV May Monthly Billing Sites'!$A:$L,1,0)</f>
        <v>76247082</v>
      </c>
    </row>
    <row r="1618" spans="1:12">
      <c r="A1618" t="str">
        <f t="shared" si="25"/>
        <v>76247108</v>
      </c>
      <c r="B1618">
        <v>76247108</v>
      </c>
      <c r="C1618" t="s">
        <v>7380</v>
      </c>
      <c r="D1618" t="s">
        <v>4452</v>
      </c>
      <c r="E1618">
        <v>4508714</v>
      </c>
      <c r="F1618" t="s">
        <v>742</v>
      </c>
      <c r="G1618" t="s">
        <v>743</v>
      </c>
      <c r="H1618" t="s">
        <v>5366</v>
      </c>
      <c r="I1618" s="12">
        <v>45559</v>
      </c>
      <c r="J1618">
        <v>1</v>
      </c>
      <c r="K1618" t="str">
        <f>VLOOKUP(A1618,'TV May Monthly Billing Sites'!$A:$L,1,0)</f>
        <v>76247108</v>
      </c>
    </row>
    <row r="1619" spans="1:12">
      <c r="A1619" t="str">
        <f t="shared" si="25"/>
        <v>76250570</v>
      </c>
      <c r="B1619">
        <v>76250570</v>
      </c>
      <c r="C1619" t="s">
        <v>1192</v>
      </c>
      <c r="D1619" t="s">
        <v>1193</v>
      </c>
      <c r="E1619">
        <v>4408592</v>
      </c>
      <c r="F1619" t="s">
        <v>742</v>
      </c>
      <c r="G1619" t="s">
        <v>823</v>
      </c>
      <c r="H1619" t="s">
        <v>1194</v>
      </c>
      <c r="I1619" s="12">
        <v>45505</v>
      </c>
      <c r="J1619">
        <v>1</v>
      </c>
      <c r="K1619" t="e">
        <f>VLOOKUP(A1619,'TV May Monthly Billing Sites'!$A:$L,1,0)</f>
        <v>#N/A</v>
      </c>
      <c r="L1619" t="e">
        <f>VLOOKUP(D1619,'TV May Monthly Billing Sites'!$B:$L,1,0)</f>
        <v>#N/A</v>
      </c>
    </row>
    <row r="1620" spans="1:12">
      <c r="A1620" t="str">
        <f t="shared" si="25"/>
        <v>76250571</v>
      </c>
      <c r="B1620">
        <v>76250571</v>
      </c>
      <c r="C1620" t="s">
        <v>1196</v>
      </c>
      <c r="D1620" t="s">
        <v>1197</v>
      </c>
      <c r="E1620">
        <v>4408592</v>
      </c>
      <c r="F1620" t="s">
        <v>742</v>
      </c>
      <c r="G1620" t="s">
        <v>823</v>
      </c>
      <c r="H1620" t="s">
        <v>1194</v>
      </c>
      <c r="I1620" s="12">
        <v>45505</v>
      </c>
      <c r="J1620">
        <v>1</v>
      </c>
      <c r="K1620" t="e">
        <f>VLOOKUP(A1620,'TV May Monthly Billing Sites'!$A:$L,1,0)</f>
        <v>#N/A</v>
      </c>
      <c r="L1620" t="e">
        <f>VLOOKUP(D1620,'TV May Monthly Billing Sites'!$B:$L,1,0)</f>
        <v>#N/A</v>
      </c>
    </row>
    <row r="1621" spans="1:12">
      <c r="A1621" t="str">
        <f t="shared" si="25"/>
        <v>76250572</v>
      </c>
      <c r="B1621">
        <v>76250572</v>
      </c>
      <c r="C1621" t="s">
        <v>7381</v>
      </c>
      <c r="D1621" t="s">
        <v>4454</v>
      </c>
      <c r="E1621">
        <v>4508714</v>
      </c>
      <c r="F1621" t="s">
        <v>742</v>
      </c>
      <c r="G1621" t="s">
        <v>743</v>
      </c>
      <c r="H1621" t="s">
        <v>5893</v>
      </c>
      <c r="I1621" s="12">
        <v>45876</v>
      </c>
      <c r="J1621">
        <v>1</v>
      </c>
      <c r="K1621" t="str">
        <f>VLOOKUP(A1621,'TV May Monthly Billing Sites'!$A:$L,1,0)</f>
        <v>76250572</v>
      </c>
    </row>
    <row r="1622" spans="1:12">
      <c r="A1622" t="str">
        <f t="shared" si="25"/>
        <v>76250582</v>
      </c>
      <c r="B1622">
        <v>76250582</v>
      </c>
      <c r="C1622" t="s">
        <v>7382</v>
      </c>
      <c r="D1622" t="s">
        <v>7383</v>
      </c>
      <c r="E1622">
        <v>4408593</v>
      </c>
      <c r="F1622" t="s">
        <v>742</v>
      </c>
      <c r="G1622" t="s">
        <v>782</v>
      </c>
      <c r="H1622" t="s">
        <v>7384</v>
      </c>
      <c r="I1622" s="12">
        <v>45569</v>
      </c>
      <c r="J1622">
        <v>1</v>
      </c>
      <c r="K1622" t="str">
        <f>VLOOKUP(A1622,'TV May Monthly Billing Sites'!$A:$L,1,0)</f>
        <v>76250582</v>
      </c>
    </row>
    <row r="1623" spans="1:12">
      <c r="A1623" t="str">
        <f t="shared" si="25"/>
        <v>76250849</v>
      </c>
      <c r="B1623">
        <v>76250849</v>
      </c>
      <c r="C1623" t="s">
        <v>7385</v>
      </c>
      <c r="D1623" t="s">
        <v>7386</v>
      </c>
      <c r="E1623">
        <v>4408593</v>
      </c>
      <c r="F1623" t="s">
        <v>742</v>
      </c>
      <c r="G1623" t="s">
        <v>782</v>
      </c>
      <c r="H1623" t="s">
        <v>7000</v>
      </c>
      <c r="I1623" s="12">
        <v>45576</v>
      </c>
      <c r="J1623">
        <v>1</v>
      </c>
      <c r="K1623" t="str">
        <f>VLOOKUP(A1623,'TV May Monthly Billing Sites'!$A:$L,1,0)</f>
        <v>76250849</v>
      </c>
    </row>
    <row r="1624" spans="1:12">
      <c r="A1624" t="str">
        <f t="shared" si="25"/>
        <v>76250850</v>
      </c>
      <c r="B1624">
        <v>76250850</v>
      </c>
      <c r="C1624" t="s">
        <v>7387</v>
      </c>
      <c r="D1624" t="s">
        <v>7388</v>
      </c>
      <c r="E1624">
        <v>4408593</v>
      </c>
      <c r="F1624" t="s">
        <v>742</v>
      </c>
      <c r="G1624" t="s">
        <v>782</v>
      </c>
      <c r="H1624" t="s">
        <v>7000</v>
      </c>
      <c r="I1624" s="12">
        <v>45562</v>
      </c>
      <c r="J1624">
        <v>1</v>
      </c>
      <c r="K1624" t="str">
        <f>VLOOKUP(A1624,'TV May Monthly Billing Sites'!$A:$L,1,0)</f>
        <v>76250850</v>
      </c>
    </row>
    <row r="1625" spans="1:12">
      <c r="A1625" t="str">
        <f t="shared" si="25"/>
        <v>76250896</v>
      </c>
      <c r="B1625">
        <v>76250896</v>
      </c>
      <c r="C1625" t="s">
        <v>7389</v>
      </c>
      <c r="D1625" t="s">
        <v>7390</v>
      </c>
      <c r="E1625">
        <v>4508714</v>
      </c>
      <c r="F1625" t="s">
        <v>742</v>
      </c>
      <c r="G1625" t="s">
        <v>743</v>
      </c>
      <c r="H1625" t="s">
        <v>5292</v>
      </c>
      <c r="I1625" s="12">
        <v>45527</v>
      </c>
      <c r="J1625">
        <v>1</v>
      </c>
      <c r="K1625" t="str">
        <f>VLOOKUP(A1625,'TV May Monthly Billing Sites'!$A:$L,1,0)</f>
        <v>76250896</v>
      </c>
    </row>
    <row r="1626" spans="1:12">
      <c r="A1626" t="str">
        <f t="shared" si="25"/>
        <v>76250898</v>
      </c>
      <c r="B1626">
        <v>76250898</v>
      </c>
      <c r="C1626" t="s">
        <v>7391</v>
      </c>
      <c r="D1626" t="s">
        <v>4464</v>
      </c>
      <c r="E1626">
        <v>4508714</v>
      </c>
      <c r="F1626" t="s">
        <v>742</v>
      </c>
      <c r="G1626" t="s">
        <v>743</v>
      </c>
      <c r="H1626" t="s">
        <v>7392</v>
      </c>
      <c r="I1626" s="12">
        <v>45566</v>
      </c>
      <c r="J1626">
        <v>1</v>
      </c>
      <c r="K1626" t="str">
        <f>VLOOKUP(A1626,'TV May Monthly Billing Sites'!$A:$L,1,0)</f>
        <v>76250898</v>
      </c>
    </row>
    <row r="1627" spans="1:12">
      <c r="A1627" t="str">
        <f t="shared" si="25"/>
        <v>76250958</v>
      </c>
      <c r="B1627">
        <v>76250958</v>
      </c>
      <c r="C1627" t="s">
        <v>7393</v>
      </c>
      <c r="D1627" t="s">
        <v>4466</v>
      </c>
      <c r="E1627">
        <v>4508714</v>
      </c>
      <c r="F1627" t="s">
        <v>742</v>
      </c>
      <c r="G1627" t="s">
        <v>743</v>
      </c>
      <c r="H1627" t="s">
        <v>1152</v>
      </c>
      <c r="I1627" s="12">
        <v>45786</v>
      </c>
      <c r="J1627">
        <v>1</v>
      </c>
      <c r="K1627" t="str">
        <f>VLOOKUP(A1627,'TV May Monthly Billing Sites'!$A:$L,1,0)</f>
        <v>76250958</v>
      </c>
    </row>
    <row r="1628" spans="1:12">
      <c r="A1628" t="str">
        <f t="shared" si="25"/>
        <v>76251163</v>
      </c>
      <c r="B1628">
        <v>76251163</v>
      </c>
      <c r="C1628" t="s">
        <v>7394</v>
      </c>
      <c r="D1628" t="s">
        <v>7395</v>
      </c>
      <c r="E1628">
        <v>4508675</v>
      </c>
      <c r="F1628" t="s">
        <v>742</v>
      </c>
      <c r="G1628" t="s">
        <v>828</v>
      </c>
      <c r="H1628" t="s">
        <v>7314</v>
      </c>
      <c r="I1628" s="12">
        <v>45657</v>
      </c>
      <c r="J1628">
        <v>1</v>
      </c>
      <c r="K1628" t="str">
        <f>VLOOKUP(A1628,'TV May Monthly Billing Sites'!$A:$L,1,0)</f>
        <v>76251163</v>
      </c>
    </row>
    <row r="1629" spans="1:12">
      <c r="A1629" t="str">
        <f t="shared" si="25"/>
        <v>76251176</v>
      </c>
      <c r="B1629">
        <v>76251176</v>
      </c>
      <c r="C1629" t="s">
        <v>7396</v>
      </c>
      <c r="D1629" t="s">
        <v>4470</v>
      </c>
      <c r="E1629">
        <v>4508714</v>
      </c>
      <c r="F1629" t="s">
        <v>742</v>
      </c>
      <c r="G1629" t="s">
        <v>743</v>
      </c>
      <c r="H1629" t="s">
        <v>5973</v>
      </c>
      <c r="I1629" s="12">
        <v>45558</v>
      </c>
      <c r="J1629">
        <v>1</v>
      </c>
      <c r="K1629" t="str">
        <f>VLOOKUP(A1629,'TV May Monthly Billing Sites'!$A:$L,1,0)</f>
        <v>76251176</v>
      </c>
    </row>
    <row r="1630" spans="1:12">
      <c r="A1630" t="str">
        <f t="shared" si="25"/>
        <v>76251177</v>
      </c>
      <c r="B1630">
        <v>76251177</v>
      </c>
      <c r="C1630" t="s">
        <v>7397</v>
      </c>
      <c r="D1630" t="s">
        <v>4472</v>
      </c>
      <c r="E1630">
        <v>4508714</v>
      </c>
      <c r="F1630" t="s">
        <v>742</v>
      </c>
      <c r="G1630" t="s">
        <v>743</v>
      </c>
      <c r="H1630" t="s">
        <v>5973</v>
      </c>
      <c r="I1630" s="12">
        <v>45558</v>
      </c>
      <c r="J1630">
        <v>1</v>
      </c>
      <c r="K1630" t="str">
        <f>VLOOKUP(A1630,'TV May Monthly Billing Sites'!$A:$L,1,0)</f>
        <v>76251177</v>
      </c>
    </row>
    <row r="1631" spans="1:12">
      <c r="A1631" t="str">
        <f t="shared" si="25"/>
        <v>76251463</v>
      </c>
      <c r="B1631">
        <v>76251463</v>
      </c>
      <c r="C1631" t="s">
        <v>7398</v>
      </c>
      <c r="D1631" t="s">
        <v>7399</v>
      </c>
      <c r="E1631">
        <v>4408592</v>
      </c>
      <c r="F1631" t="s">
        <v>742</v>
      </c>
      <c r="G1631" t="s">
        <v>823</v>
      </c>
      <c r="H1631" t="s">
        <v>6978</v>
      </c>
      <c r="I1631" s="12">
        <v>45735</v>
      </c>
      <c r="J1631">
        <v>1</v>
      </c>
      <c r="K1631" t="str">
        <f>VLOOKUP(A1631,'TV May Monthly Billing Sites'!$A:$L,1,0)</f>
        <v>76251463</v>
      </c>
    </row>
    <row r="1632" spans="1:12">
      <c r="A1632" t="str">
        <f t="shared" si="25"/>
        <v>76251465</v>
      </c>
      <c r="B1632">
        <v>76251465</v>
      </c>
      <c r="C1632" t="s">
        <v>7400</v>
      </c>
      <c r="D1632" t="s">
        <v>7401</v>
      </c>
      <c r="E1632">
        <v>4408592</v>
      </c>
      <c r="F1632" t="s">
        <v>742</v>
      </c>
      <c r="G1632" t="s">
        <v>823</v>
      </c>
      <c r="H1632" t="s">
        <v>6978</v>
      </c>
      <c r="I1632" s="12">
        <v>45638</v>
      </c>
      <c r="J1632">
        <v>1</v>
      </c>
      <c r="K1632" t="str">
        <f>VLOOKUP(A1632,'TV May Monthly Billing Sites'!$A:$L,1,0)</f>
        <v>76251465</v>
      </c>
    </row>
    <row r="1633" spans="1:12">
      <c r="A1633" t="str">
        <f t="shared" si="25"/>
        <v>76251551</v>
      </c>
      <c r="B1633">
        <v>76251551</v>
      </c>
      <c r="C1633" t="s">
        <v>7402</v>
      </c>
      <c r="D1633" t="s">
        <v>4480</v>
      </c>
      <c r="E1633">
        <v>4408592</v>
      </c>
      <c r="F1633" t="s">
        <v>742</v>
      </c>
      <c r="G1633" t="s">
        <v>823</v>
      </c>
      <c r="H1633" t="s">
        <v>6978</v>
      </c>
      <c r="I1633" s="12">
        <v>45656</v>
      </c>
      <c r="J1633">
        <v>1</v>
      </c>
      <c r="K1633" t="str">
        <f>VLOOKUP(A1633,'TV May Monthly Billing Sites'!$A:$L,1,0)</f>
        <v>76251551</v>
      </c>
    </row>
    <row r="1634" spans="1:12">
      <c r="A1634" t="str">
        <f t="shared" si="25"/>
        <v>76251560</v>
      </c>
      <c r="B1634">
        <v>76251560</v>
      </c>
      <c r="C1634" t="s">
        <v>7403</v>
      </c>
      <c r="D1634" t="s">
        <v>4356</v>
      </c>
      <c r="E1634">
        <v>4508714</v>
      </c>
      <c r="F1634" t="s">
        <v>742</v>
      </c>
      <c r="G1634" t="s">
        <v>743</v>
      </c>
      <c r="H1634" t="s">
        <v>1179</v>
      </c>
      <c r="I1634" s="12">
        <v>45582</v>
      </c>
      <c r="J1634">
        <v>1</v>
      </c>
      <c r="K1634" t="e">
        <f>VLOOKUP(A1634,'TV May Monthly Billing Sites'!$A:$L,1,0)</f>
        <v>#N/A</v>
      </c>
      <c r="L1634" t="str">
        <f>VLOOKUP(D1634,'TV May Monthly Billing Sites'!$B:$L,1,0)</f>
        <v>KEATING CHEVROLET</v>
      </c>
    </row>
    <row r="1635" spans="1:12">
      <c r="A1635" t="str">
        <f t="shared" si="25"/>
        <v>76251607</v>
      </c>
      <c r="B1635">
        <v>76251607</v>
      </c>
      <c r="C1635" t="s">
        <v>7404</v>
      </c>
      <c r="D1635" t="s">
        <v>4482</v>
      </c>
      <c r="E1635">
        <v>4508714</v>
      </c>
      <c r="F1635" t="s">
        <v>742</v>
      </c>
      <c r="G1635" t="s">
        <v>743</v>
      </c>
      <c r="H1635" t="s">
        <v>6854</v>
      </c>
      <c r="I1635" s="12">
        <v>45926</v>
      </c>
      <c r="J1635">
        <v>1</v>
      </c>
      <c r="K1635" t="str">
        <f>VLOOKUP(A1635,'TV May Monthly Billing Sites'!$A:$L,1,0)</f>
        <v>76251607</v>
      </c>
    </row>
    <row r="1636" spans="1:12">
      <c r="A1636" t="str">
        <f t="shared" si="25"/>
        <v>76251645</v>
      </c>
      <c r="B1636">
        <v>76251645</v>
      </c>
      <c r="C1636" t="s">
        <v>7405</v>
      </c>
      <c r="D1636" t="s">
        <v>4484</v>
      </c>
      <c r="E1636">
        <v>4508714</v>
      </c>
      <c r="F1636" t="s">
        <v>742</v>
      </c>
      <c r="G1636" t="s">
        <v>743</v>
      </c>
      <c r="H1636" t="s">
        <v>1179</v>
      </c>
      <c r="I1636" s="12">
        <v>45565</v>
      </c>
      <c r="J1636">
        <v>1</v>
      </c>
      <c r="K1636" t="str">
        <f>VLOOKUP(A1636,'TV May Monthly Billing Sites'!$A:$L,1,0)</f>
        <v>76251645</v>
      </c>
    </row>
    <row r="1637" spans="1:12">
      <c r="A1637" t="str">
        <f t="shared" si="25"/>
        <v>76251793</v>
      </c>
      <c r="B1637">
        <v>76251793</v>
      </c>
      <c r="C1637" t="s">
        <v>7406</v>
      </c>
      <c r="D1637" t="s">
        <v>7407</v>
      </c>
      <c r="E1637">
        <v>4408592</v>
      </c>
      <c r="F1637" t="s">
        <v>742</v>
      </c>
      <c r="G1637" t="s">
        <v>823</v>
      </c>
      <c r="H1637" t="s">
        <v>7407</v>
      </c>
      <c r="I1637" s="12">
        <v>45762</v>
      </c>
      <c r="J1637">
        <v>1</v>
      </c>
      <c r="K1637" t="str">
        <f>VLOOKUP(A1637,'TV May Monthly Billing Sites'!$A:$L,1,0)</f>
        <v>76251793</v>
      </c>
    </row>
    <row r="1638" spans="1:12">
      <c r="A1638" t="str">
        <f t="shared" si="25"/>
        <v>76251823</v>
      </c>
      <c r="B1638">
        <v>76251823</v>
      </c>
      <c r="C1638" t="s">
        <v>7408</v>
      </c>
      <c r="D1638" t="s">
        <v>4488</v>
      </c>
      <c r="E1638">
        <v>4508714</v>
      </c>
      <c r="F1638" t="s">
        <v>742</v>
      </c>
      <c r="G1638" t="s">
        <v>743</v>
      </c>
      <c r="H1638" t="s">
        <v>6823</v>
      </c>
      <c r="I1638" s="12">
        <v>45582</v>
      </c>
      <c r="J1638">
        <v>1</v>
      </c>
      <c r="K1638" t="str">
        <f>VLOOKUP(A1638,'TV May Monthly Billing Sites'!$A:$L,1,0)</f>
        <v>76251823</v>
      </c>
    </row>
    <row r="1639" spans="1:12">
      <c r="A1639" t="str">
        <f t="shared" si="25"/>
        <v>76251856</v>
      </c>
      <c r="B1639">
        <v>76251856</v>
      </c>
      <c r="C1639" t="s">
        <v>7409</v>
      </c>
      <c r="D1639" t="s">
        <v>7410</v>
      </c>
      <c r="E1639">
        <v>4508714</v>
      </c>
      <c r="F1639" t="s">
        <v>742</v>
      </c>
      <c r="G1639" t="s">
        <v>743</v>
      </c>
      <c r="H1639" t="s">
        <v>5216</v>
      </c>
      <c r="I1639" s="12">
        <v>45786</v>
      </c>
      <c r="J1639">
        <v>1</v>
      </c>
      <c r="K1639" t="str">
        <f>VLOOKUP(A1639,'TV May Monthly Billing Sites'!$A:$L,1,0)</f>
        <v>76251856</v>
      </c>
    </row>
    <row r="1640" spans="1:12">
      <c r="A1640" t="str">
        <f t="shared" si="25"/>
        <v>76251883</v>
      </c>
      <c r="B1640">
        <v>76251883</v>
      </c>
      <c r="C1640" t="s">
        <v>7411</v>
      </c>
      <c r="D1640" t="s">
        <v>4492</v>
      </c>
      <c r="E1640">
        <v>4508714</v>
      </c>
      <c r="F1640" t="s">
        <v>742</v>
      </c>
      <c r="G1640" t="s">
        <v>743</v>
      </c>
      <c r="H1640" t="s">
        <v>5366</v>
      </c>
      <c r="I1640" s="12">
        <v>45574</v>
      </c>
      <c r="J1640">
        <v>1</v>
      </c>
      <c r="K1640" t="str">
        <f>VLOOKUP(A1640,'TV May Monthly Billing Sites'!$A:$L,1,0)</f>
        <v>76251883</v>
      </c>
    </row>
    <row r="1641" spans="1:12">
      <c r="A1641" t="str">
        <f t="shared" si="25"/>
        <v>76251901</v>
      </c>
      <c r="B1641">
        <v>76251901</v>
      </c>
      <c r="C1641" t="s">
        <v>7412</v>
      </c>
      <c r="D1641" t="s">
        <v>7413</v>
      </c>
      <c r="E1641">
        <v>4408592</v>
      </c>
      <c r="F1641" t="s">
        <v>742</v>
      </c>
      <c r="G1641" t="s">
        <v>823</v>
      </c>
      <c r="H1641" t="s">
        <v>7413</v>
      </c>
      <c r="I1641" s="12">
        <v>45777</v>
      </c>
      <c r="J1641">
        <v>1</v>
      </c>
      <c r="K1641" t="str">
        <f>VLOOKUP(A1641,'TV May Monthly Billing Sites'!$A:$L,1,0)</f>
        <v>76251901</v>
      </c>
    </row>
    <row r="1642" spans="1:12">
      <c r="A1642" t="str">
        <f t="shared" si="25"/>
        <v>76252038</v>
      </c>
      <c r="B1642">
        <v>76252038</v>
      </c>
      <c r="C1642" t="s">
        <v>7414</v>
      </c>
      <c r="D1642" t="s">
        <v>4496</v>
      </c>
      <c r="E1642">
        <v>4508714</v>
      </c>
      <c r="F1642" t="s">
        <v>742</v>
      </c>
      <c r="G1642" t="s">
        <v>743</v>
      </c>
      <c r="H1642" t="s">
        <v>7415</v>
      </c>
      <c r="I1642" s="12">
        <v>45592</v>
      </c>
      <c r="J1642">
        <v>1</v>
      </c>
      <c r="K1642" t="str">
        <f>VLOOKUP(A1642,'TV May Monthly Billing Sites'!$A:$L,1,0)</f>
        <v>76252038</v>
      </c>
    </row>
    <row r="1643" spans="1:12">
      <c r="A1643" t="str">
        <f t="shared" si="25"/>
        <v>76252059</v>
      </c>
      <c r="B1643">
        <v>76252059</v>
      </c>
      <c r="C1643" t="s">
        <v>7416</v>
      </c>
      <c r="D1643" t="s">
        <v>4498</v>
      </c>
      <c r="E1643">
        <v>4508714</v>
      </c>
      <c r="F1643" t="s">
        <v>742</v>
      </c>
      <c r="G1643" t="s">
        <v>743</v>
      </c>
      <c r="H1643" t="s">
        <v>4498</v>
      </c>
      <c r="I1643" s="12">
        <v>45657</v>
      </c>
      <c r="J1643">
        <v>1</v>
      </c>
      <c r="K1643" t="str">
        <f>VLOOKUP(A1643,'TV May Monthly Billing Sites'!$A:$L,1,0)</f>
        <v>76252059</v>
      </c>
    </row>
    <row r="1644" spans="1:12">
      <c r="A1644" t="str">
        <f t="shared" si="25"/>
        <v>76252069</v>
      </c>
      <c r="B1644">
        <v>76252069</v>
      </c>
      <c r="C1644" t="s">
        <v>7417</v>
      </c>
      <c r="D1644" t="s">
        <v>7418</v>
      </c>
      <c r="E1644">
        <v>4408593</v>
      </c>
      <c r="F1644" t="s">
        <v>742</v>
      </c>
      <c r="G1644" t="s">
        <v>782</v>
      </c>
      <c r="H1644" t="s">
        <v>7418</v>
      </c>
      <c r="I1644" s="12">
        <v>45595</v>
      </c>
      <c r="J1644">
        <v>1</v>
      </c>
      <c r="K1644" t="str">
        <f>VLOOKUP(A1644,'TV May Monthly Billing Sites'!$A:$L,1,0)</f>
        <v>76252069</v>
      </c>
    </row>
    <row r="1645" spans="1:12">
      <c r="A1645" t="str">
        <f t="shared" si="25"/>
        <v>76252135</v>
      </c>
      <c r="B1645">
        <v>76252135</v>
      </c>
      <c r="C1645" t="s">
        <v>7419</v>
      </c>
      <c r="D1645" t="s">
        <v>4501</v>
      </c>
      <c r="E1645">
        <v>4408593</v>
      </c>
      <c r="F1645" t="s">
        <v>742</v>
      </c>
      <c r="G1645" t="s">
        <v>782</v>
      </c>
      <c r="H1645" t="s">
        <v>6289</v>
      </c>
      <c r="I1645" s="12">
        <v>45670</v>
      </c>
      <c r="J1645">
        <v>1</v>
      </c>
      <c r="K1645" t="str">
        <f>VLOOKUP(A1645,'TV May Monthly Billing Sites'!$A:$L,1,0)</f>
        <v>76252135</v>
      </c>
    </row>
    <row r="1646" spans="1:12">
      <c r="A1646" t="str">
        <f t="shared" si="25"/>
        <v>76252222</v>
      </c>
      <c r="B1646">
        <v>76252222</v>
      </c>
      <c r="C1646" t="s">
        <v>7420</v>
      </c>
      <c r="D1646" t="s">
        <v>4503</v>
      </c>
      <c r="E1646">
        <v>4508714</v>
      </c>
      <c r="F1646" t="s">
        <v>742</v>
      </c>
      <c r="G1646" t="s">
        <v>743</v>
      </c>
      <c r="H1646" t="s">
        <v>7421</v>
      </c>
      <c r="I1646" s="12">
        <v>45618</v>
      </c>
      <c r="J1646">
        <v>1</v>
      </c>
      <c r="K1646" t="str">
        <f>VLOOKUP(A1646,'TV May Monthly Billing Sites'!$A:$L,1,0)</f>
        <v>76252222</v>
      </c>
    </row>
    <row r="1647" spans="1:12">
      <c r="A1647" t="str">
        <f t="shared" si="25"/>
        <v>76252265</v>
      </c>
      <c r="B1647">
        <v>76252265</v>
      </c>
      <c r="C1647" t="s">
        <v>7422</v>
      </c>
      <c r="D1647" t="s">
        <v>7423</v>
      </c>
      <c r="E1647">
        <v>4508714</v>
      </c>
      <c r="F1647" t="s">
        <v>742</v>
      </c>
      <c r="G1647" t="s">
        <v>743</v>
      </c>
      <c r="H1647" t="s">
        <v>7424</v>
      </c>
      <c r="I1647" s="12">
        <v>45761</v>
      </c>
      <c r="J1647">
        <v>1</v>
      </c>
      <c r="K1647" t="str">
        <f>VLOOKUP(A1647,'TV May Monthly Billing Sites'!$A:$L,1,0)</f>
        <v>76252265</v>
      </c>
    </row>
    <row r="1648" spans="1:12">
      <c r="A1648" t="str">
        <f t="shared" si="25"/>
        <v>76252357</v>
      </c>
      <c r="B1648">
        <v>76252357</v>
      </c>
      <c r="C1648" t="s">
        <v>7425</v>
      </c>
      <c r="D1648" t="s">
        <v>7426</v>
      </c>
      <c r="E1648">
        <v>4508714</v>
      </c>
      <c r="F1648" t="s">
        <v>742</v>
      </c>
      <c r="G1648" t="s">
        <v>743</v>
      </c>
      <c r="H1648" t="s">
        <v>7295</v>
      </c>
      <c r="I1648" s="12">
        <v>45628</v>
      </c>
      <c r="J1648">
        <v>1</v>
      </c>
      <c r="K1648" t="str">
        <f>VLOOKUP(A1648,'TV May Monthly Billing Sites'!$A:$L,1,0)</f>
        <v>76252357</v>
      </c>
    </row>
    <row r="1649" spans="1:12">
      <c r="A1649" t="str">
        <f t="shared" si="25"/>
        <v>76252397</v>
      </c>
      <c r="B1649">
        <v>76252397</v>
      </c>
      <c r="C1649" t="s">
        <v>7427</v>
      </c>
      <c r="D1649" t="s">
        <v>4509</v>
      </c>
      <c r="E1649">
        <v>4508714</v>
      </c>
      <c r="F1649" t="s">
        <v>742</v>
      </c>
      <c r="G1649" t="s">
        <v>743</v>
      </c>
      <c r="H1649" t="s">
        <v>5742</v>
      </c>
      <c r="I1649" s="12">
        <v>45643</v>
      </c>
      <c r="J1649">
        <v>1</v>
      </c>
      <c r="K1649" t="str">
        <f>VLOOKUP(A1649,'TV May Monthly Billing Sites'!$A:$L,1,0)</f>
        <v>76252397</v>
      </c>
    </row>
    <row r="1650" spans="1:12">
      <c r="A1650" t="str">
        <f t="shared" si="25"/>
        <v>76252505</v>
      </c>
      <c r="B1650">
        <v>76252505</v>
      </c>
      <c r="C1650" t="s">
        <v>7428</v>
      </c>
      <c r="D1650" t="s">
        <v>2352</v>
      </c>
      <c r="E1650">
        <v>4408593</v>
      </c>
      <c r="F1650" t="s">
        <v>742</v>
      </c>
      <c r="G1650" t="s">
        <v>782</v>
      </c>
      <c r="H1650" t="s">
        <v>7429</v>
      </c>
      <c r="I1650" s="12">
        <v>45646</v>
      </c>
      <c r="J1650">
        <v>1</v>
      </c>
      <c r="K1650" t="e">
        <f>VLOOKUP(A1650,'TV May Monthly Billing Sites'!$A:$L,1,0)</f>
        <v>#N/A</v>
      </c>
      <c r="L1650" t="str">
        <f>VLOOKUP(D1650,'TV May Monthly Billing Sites'!$B:$L,1,0)</f>
        <v>PREMIER TOYOTA</v>
      </c>
    </row>
    <row r="1651" spans="1:12">
      <c r="A1651" t="str">
        <f t="shared" si="25"/>
        <v>76252718</v>
      </c>
      <c r="B1651">
        <v>76252718</v>
      </c>
      <c r="C1651" t="s">
        <v>7430</v>
      </c>
      <c r="D1651" t="s">
        <v>4511</v>
      </c>
      <c r="E1651">
        <v>4508714</v>
      </c>
      <c r="F1651" t="s">
        <v>742</v>
      </c>
      <c r="G1651" t="s">
        <v>743</v>
      </c>
      <c r="H1651" t="s">
        <v>883</v>
      </c>
      <c r="I1651" s="12">
        <v>45748</v>
      </c>
      <c r="J1651">
        <v>1</v>
      </c>
      <c r="K1651" t="str">
        <f>VLOOKUP(A1651,'TV May Monthly Billing Sites'!$A:$L,1,0)</f>
        <v>76252718</v>
      </c>
    </row>
    <row r="1652" spans="1:12">
      <c r="A1652" t="str">
        <f t="shared" si="25"/>
        <v>76252743</v>
      </c>
      <c r="B1652">
        <v>76252743</v>
      </c>
      <c r="C1652" t="s">
        <v>1199</v>
      </c>
      <c r="D1652" t="s">
        <v>1200</v>
      </c>
      <c r="E1652">
        <v>4508714</v>
      </c>
      <c r="F1652" t="s">
        <v>742</v>
      </c>
      <c r="G1652" t="s">
        <v>743</v>
      </c>
      <c r="H1652" t="s">
        <v>1179</v>
      </c>
      <c r="I1652" s="12">
        <v>45645</v>
      </c>
      <c r="J1652">
        <v>1</v>
      </c>
      <c r="K1652" t="e">
        <f>VLOOKUP(A1652,'TV May Monthly Billing Sites'!$A:$L,1,0)</f>
        <v>#N/A</v>
      </c>
      <c r="L1652" t="e">
        <f>VLOOKUP(D1652,'TV May Monthly Billing Sites'!$B:$L,1,0)</f>
        <v>#N/A</v>
      </c>
    </row>
    <row r="1653" spans="1:12">
      <c r="A1653" t="str">
        <f t="shared" si="25"/>
        <v>76252750</v>
      </c>
      <c r="B1653">
        <v>76252750</v>
      </c>
      <c r="C1653" t="s">
        <v>7431</v>
      </c>
      <c r="D1653" t="s">
        <v>4513</v>
      </c>
      <c r="E1653">
        <v>4508714</v>
      </c>
      <c r="F1653" t="s">
        <v>742</v>
      </c>
      <c r="G1653" t="s">
        <v>743</v>
      </c>
      <c r="H1653" t="s">
        <v>7432</v>
      </c>
      <c r="I1653" s="12">
        <v>45644</v>
      </c>
      <c r="J1653">
        <v>1</v>
      </c>
      <c r="K1653" t="str">
        <f>VLOOKUP(A1653,'TV May Monthly Billing Sites'!$A:$L,1,0)</f>
        <v>76252750</v>
      </c>
    </row>
    <row r="1654" spans="1:12">
      <c r="A1654" t="str">
        <f t="shared" si="25"/>
        <v>76252854</v>
      </c>
      <c r="B1654">
        <v>76252854</v>
      </c>
      <c r="C1654" t="s">
        <v>7433</v>
      </c>
      <c r="D1654" t="s">
        <v>7434</v>
      </c>
      <c r="E1654">
        <v>4508714</v>
      </c>
      <c r="F1654" t="s">
        <v>742</v>
      </c>
      <c r="G1654" t="s">
        <v>743</v>
      </c>
      <c r="H1654" t="s">
        <v>4910</v>
      </c>
      <c r="I1654" s="12">
        <v>45957</v>
      </c>
      <c r="J1654">
        <v>1</v>
      </c>
      <c r="K1654" t="str">
        <f>VLOOKUP(A1654,'TV May Monthly Billing Sites'!$A:$L,1,0)</f>
        <v>76252854</v>
      </c>
    </row>
    <row r="1655" spans="1:12">
      <c r="A1655" t="str">
        <f t="shared" si="25"/>
        <v>76252938</v>
      </c>
      <c r="B1655">
        <v>76252938</v>
      </c>
      <c r="C1655" t="s">
        <v>7435</v>
      </c>
      <c r="D1655" t="s">
        <v>4517</v>
      </c>
      <c r="E1655">
        <v>4508714</v>
      </c>
      <c r="F1655" t="s">
        <v>742</v>
      </c>
      <c r="G1655" t="s">
        <v>743</v>
      </c>
      <c r="H1655" t="s">
        <v>4517</v>
      </c>
      <c r="I1655" s="12">
        <v>45657</v>
      </c>
      <c r="J1655">
        <v>1</v>
      </c>
      <c r="K1655" t="str">
        <f>VLOOKUP(A1655,'TV May Monthly Billing Sites'!$A:$L,1,0)</f>
        <v>76252938</v>
      </c>
    </row>
    <row r="1656" spans="1:12">
      <c r="A1656" t="str">
        <f t="shared" si="25"/>
        <v>76252940</v>
      </c>
      <c r="B1656">
        <v>76252940</v>
      </c>
      <c r="C1656" t="s">
        <v>7436</v>
      </c>
      <c r="D1656" t="s">
        <v>7437</v>
      </c>
      <c r="E1656">
        <v>4508714</v>
      </c>
      <c r="F1656" t="s">
        <v>742</v>
      </c>
      <c r="G1656" t="s">
        <v>743</v>
      </c>
      <c r="H1656" t="s">
        <v>1232</v>
      </c>
      <c r="I1656" s="12">
        <v>45671</v>
      </c>
      <c r="J1656">
        <v>1</v>
      </c>
      <c r="K1656" t="str">
        <f>VLOOKUP(A1656,'TV May Monthly Billing Sites'!$A:$L,1,0)</f>
        <v>76252940</v>
      </c>
    </row>
    <row r="1657" spans="1:12">
      <c r="A1657" t="str">
        <f t="shared" si="25"/>
        <v>76252980</v>
      </c>
      <c r="B1657">
        <v>76252980</v>
      </c>
      <c r="C1657" t="s">
        <v>7438</v>
      </c>
      <c r="D1657" t="s">
        <v>7439</v>
      </c>
      <c r="E1657">
        <v>4508714</v>
      </c>
      <c r="F1657" t="s">
        <v>742</v>
      </c>
      <c r="G1657" t="s">
        <v>743</v>
      </c>
      <c r="H1657" t="s">
        <v>1232</v>
      </c>
      <c r="I1657" s="12">
        <v>45671</v>
      </c>
      <c r="J1657">
        <v>1</v>
      </c>
      <c r="K1657" t="str">
        <f>VLOOKUP(A1657,'TV May Monthly Billing Sites'!$A:$L,1,0)</f>
        <v>76252980</v>
      </c>
    </row>
    <row r="1658" spans="1:12">
      <c r="A1658" t="str">
        <f t="shared" si="25"/>
        <v>76253254</v>
      </c>
      <c r="B1658">
        <v>76253254</v>
      </c>
      <c r="C1658" t="s">
        <v>7440</v>
      </c>
      <c r="D1658" t="s">
        <v>7441</v>
      </c>
      <c r="E1658">
        <v>4508714</v>
      </c>
      <c r="F1658" t="s">
        <v>742</v>
      </c>
      <c r="G1658" t="s">
        <v>743</v>
      </c>
      <c r="H1658" t="s">
        <v>7442</v>
      </c>
      <c r="I1658" s="12">
        <v>45702</v>
      </c>
      <c r="J1658">
        <v>1</v>
      </c>
      <c r="K1658" t="str">
        <f>VLOOKUP(A1658,'TV May Monthly Billing Sites'!$A:$L,1,0)</f>
        <v>76253254</v>
      </c>
    </row>
    <row r="1659" spans="1:12">
      <c r="A1659" t="str">
        <f t="shared" si="25"/>
        <v>76253262</v>
      </c>
      <c r="B1659">
        <v>76253262</v>
      </c>
      <c r="C1659" t="s">
        <v>7443</v>
      </c>
      <c r="D1659" t="s">
        <v>7444</v>
      </c>
      <c r="E1659">
        <v>4508675</v>
      </c>
      <c r="F1659" t="s">
        <v>742</v>
      </c>
      <c r="G1659" t="s">
        <v>828</v>
      </c>
      <c r="H1659" t="s">
        <v>7445</v>
      </c>
      <c r="I1659" s="12">
        <v>45910</v>
      </c>
      <c r="J1659">
        <v>1</v>
      </c>
      <c r="K1659" t="str">
        <f>VLOOKUP(A1659,'TV May Monthly Billing Sites'!$A:$L,1,0)</f>
        <v>76253262</v>
      </c>
    </row>
    <row r="1660" spans="1:12">
      <c r="A1660" t="str">
        <f t="shared" si="25"/>
        <v>76253347</v>
      </c>
      <c r="B1660">
        <v>76253347</v>
      </c>
      <c r="C1660" t="s">
        <v>7446</v>
      </c>
      <c r="D1660" t="s">
        <v>4527</v>
      </c>
      <c r="E1660">
        <v>4508714</v>
      </c>
      <c r="F1660" t="s">
        <v>742</v>
      </c>
      <c r="G1660" t="s">
        <v>743</v>
      </c>
      <c r="H1660" t="s">
        <v>4527</v>
      </c>
      <c r="I1660" s="12">
        <v>45713</v>
      </c>
      <c r="J1660">
        <v>1</v>
      </c>
      <c r="K1660" t="str">
        <f>VLOOKUP(A1660,'TV May Monthly Billing Sites'!$A:$L,1,0)</f>
        <v>76253347</v>
      </c>
    </row>
    <row r="1661" spans="1:12">
      <c r="A1661" t="str">
        <f t="shared" si="25"/>
        <v>76253389</v>
      </c>
      <c r="B1661">
        <v>76253389</v>
      </c>
      <c r="C1661" t="s">
        <v>7447</v>
      </c>
      <c r="D1661" t="s">
        <v>7448</v>
      </c>
      <c r="E1661">
        <v>4508714</v>
      </c>
      <c r="F1661" t="s">
        <v>742</v>
      </c>
      <c r="G1661" t="s">
        <v>743</v>
      </c>
      <c r="H1661" t="s">
        <v>5515</v>
      </c>
      <c r="I1661" s="12">
        <v>45692</v>
      </c>
      <c r="J1661">
        <v>1</v>
      </c>
      <c r="K1661" t="str">
        <f>VLOOKUP(A1661,'TV May Monthly Billing Sites'!$A:$L,1,0)</f>
        <v>76253389</v>
      </c>
    </row>
    <row r="1662" spans="1:12">
      <c r="A1662" t="str">
        <f t="shared" si="25"/>
        <v>76253402</v>
      </c>
      <c r="B1662">
        <v>76253402</v>
      </c>
      <c r="C1662" t="s">
        <v>7449</v>
      </c>
      <c r="D1662" t="s">
        <v>4531</v>
      </c>
      <c r="E1662">
        <v>4508714</v>
      </c>
      <c r="F1662" t="s">
        <v>742</v>
      </c>
      <c r="G1662" t="s">
        <v>743</v>
      </c>
      <c r="H1662" t="s">
        <v>5327</v>
      </c>
      <c r="I1662" s="12">
        <v>45715</v>
      </c>
      <c r="J1662">
        <v>1</v>
      </c>
      <c r="K1662" t="str">
        <f>VLOOKUP(A1662,'TV May Monthly Billing Sites'!$A:$L,1,0)</f>
        <v>76253402</v>
      </c>
    </row>
    <row r="1663" spans="1:12">
      <c r="A1663" t="str">
        <f t="shared" si="25"/>
        <v>76253419</v>
      </c>
      <c r="B1663">
        <v>76253419</v>
      </c>
      <c r="C1663" t="s">
        <v>7450</v>
      </c>
      <c r="D1663" t="s">
        <v>7451</v>
      </c>
      <c r="E1663">
        <v>4508685</v>
      </c>
      <c r="F1663" t="s">
        <v>742</v>
      </c>
      <c r="G1663" t="s">
        <v>904</v>
      </c>
      <c r="H1663" t="s">
        <v>7451</v>
      </c>
      <c r="I1663" s="12">
        <v>45688</v>
      </c>
      <c r="J1663">
        <v>1</v>
      </c>
      <c r="K1663" t="str">
        <f>VLOOKUP(A1663,'TV May Monthly Billing Sites'!$A:$L,1,0)</f>
        <v>76253419</v>
      </c>
    </row>
    <row r="1664" spans="1:12">
      <c r="A1664" t="str">
        <f t="shared" si="25"/>
        <v>76253535</v>
      </c>
      <c r="B1664">
        <v>76253535</v>
      </c>
      <c r="C1664" t="s">
        <v>7452</v>
      </c>
      <c r="D1664" t="s">
        <v>7453</v>
      </c>
      <c r="E1664">
        <v>4508675</v>
      </c>
      <c r="F1664" t="s">
        <v>742</v>
      </c>
      <c r="G1664" t="s">
        <v>828</v>
      </c>
      <c r="H1664" t="s">
        <v>7216</v>
      </c>
      <c r="I1664" s="12">
        <v>45736</v>
      </c>
      <c r="J1664">
        <v>1</v>
      </c>
      <c r="K1664" t="str">
        <f>VLOOKUP(A1664,'TV May Monthly Billing Sites'!$A:$L,1,0)</f>
        <v>76253535</v>
      </c>
    </row>
    <row r="1665" spans="1:12">
      <c r="A1665" t="str">
        <f t="shared" si="25"/>
        <v>76253645</v>
      </c>
      <c r="B1665">
        <v>76253645</v>
      </c>
      <c r="C1665" t="s">
        <v>7454</v>
      </c>
      <c r="D1665" t="s">
        <v>7455</v>
      </c>
      <c r="E1665">
        <v>4508714</v>
      </c>
      <c r="F1665" t="s">
        <v>742</v>
      </c>
      <c r="G1665" t="s">
        <v>743</v>
      </c>
      <c r="H1665" t="s">
        <v>7455</v>
      </c>
      <c r="I1665" s="12">
        <v>45749</v>
      </c>
      <c r="J1665">
        <v>1</v>
      </c>
      <c r="K1665" t="str">
        <f>VLOOKUP(A1665,'TV May Monthly Billing Sites'!$A:$L,1,0)</f>
        <v>76253645</v>
      </c>
    </row>
    <row r="1666" spans="1:12">
      <c r="A1666" t="str">
        <f t="shared" ref="A1666:A1729" si="26">TRIM(B1666)</f>
        <v>76253966</v>
      </c>
      <c r="B1666">
        <v>76253966</v>
      </c>
      <c r="C1666" t="s">
        <v>7456</v>
      </c>
      <c r="D1666" t="s">
        <v>7457</v>
      </c>
      <c r="E1666">
        <v>4508714</v>
      </c>
      <c r="F1666" t="s">
        <v>742</v>
      </c>
      <c r="G1666" t="s">
        <v>743</v>
      </c>
      <c r="H1666" t="s">
        <v>7457</v>
      </c>
      <c r="I1666" s="12">
        <v>45930</v>
      </c>
      <c r="J1666">
        <v>1</v>
      </c>
      <c r="K1666" t="str">
        <f>VLOOKUP(A1666,'TV May Monthly Billing Sites'!$A:$L,1,0)</f>
        <v>76253966</v>
      </c>
    </row>
    <row r="1667" spans="1:12">
      <c r="A1667" t="str">
        <f t="shared" si="26"/>
        <v>76253973</v>
      </c>
      <c r="B1667">
        <v>76253973</v>
      </c>
      <c r="C1667" t="s">
        <v>7458</v>
      </c>
      <c r="D1667" t="s">
        <v>4541</v>
      </c>
      <c r="E1667">
        <v>4408593</v>
      </c>
      <c r="F1667" t="s">
        <v>742</v>
      </c>
      <c r="G1667" t="s">
        <v>782</v>
      </c>
      <c r="H1667" t="s">
        <v>7459</v>
      </c>
      <c r="I1667" s="12">
        <v>45796</v>
      </c>
      <c r="J1667">
        <v>1</v>
      </c>
      <c r="K1667" t="str">
        <f>VLOOKUP(A1667,'TV May Monthly Billing Sites'!$A:$L,1,0)</f>
        <v>76253973</v>
      </c>
    </row>
    <row r="1668" spans="1:12">
      <c r="A1668" t="str">
        <f t="shared" si="26"/>
        <v>76254045</v>
      </c>
      <c r="B1668">
        <v>76254045</v>
      </c>
      <c r="C1668" t="s">
        <v>7460</v>
      </c>
      <c r="D1668" t="s">
        <v>7461</v>
      </c>
      <c r="E1668">
        <v>4508714</v>
      </c>
      <c r="F1668" t="s">
        <v>742</v>
      </c>
      <c r="G1668" t="s">
        <v>743</v>
      </c>
      <c r="H1668" t="s">
        <v>7462</v>
      </c>
      <c r="I1668" s="12">
        <v>45741</v>
      </c>
      <c r="J1668">
        <v>1</v>
      </c>
      <c r="K1668" t="e">
        <f>VLOOKUP(A1668,'TV May Monthly Billing Sites'!$A:$L,1,0)</f>
        <v>#N/A</v>
      </c>
      <c r="L1668" t="str">
        <f>VLOOKUP(D1668,'TV May Monthly Billing Sites'!$B:$L,1,0)</f>
        <v>Chuck Hutton Chevrolet</v>
      </c>
    </row>
    <row r="1669" spans="1:12">
      <c r="A1669" t="str">
        <f t="shared" si="26"/>
        <v>76254172</v>
      </c>
      <c r="B1669">
        <v>76254172</v>
      </c>
      <c r="C1669" t="s">
        <v>7463</v>
      </c>
      <c r="D1669" t="s">
        <v>4543</v>
      </c>
      <c r="E1669">
        <v>4408593</v>
      </c>
      <c r="F1669" t="s">
        <v>742</v>
      </c>
      <c r="G1669" t="s">
        <v>782</v>
      </c>
      <c r="H1669" t="s">
        <v>6289</v>
      </c>
      <c r="I1669" s="12">
        <v>45740</v>
      </c>
      <c r="J1669">
        <v>1</v>
      </c>
      <c r="K1669" t="str">
        <f>VLOOKUP(A1669,'TV May Monthly Billing Sites'!$A:$L,1,0)</f>
        <v>76254172</v>
      </c>
    </row>
    <row r="1670" spans="1:12">
      <c r="A1670" t="str">
        <f t="shared" si="26"/>
        <v>76254215</v>
      </c>
      <c r="B1670">
        <v>76254215</v>
      </c>
      <c r="C1670" t="s">
        <v>1202</v>
      </c>
      <c r="D1670" t="s">
        <v>1203</v>
      </c>
      <c r="E1670">
        <v>4508691</v>
      </c>
      <c r="F1670" t="s">
        <v>742</v>
      </c>
      <c r="G1670" t="s">
        <v>1204</v>
      </c>
      <c r="H1670" t="s">
        <v>1205</v>
      </c>
      <c r="I1670" s="12">
        <v>45975</v>
      </c>
      <c r="J1670">
        <v>1</v>
      </c>
      <c r="K1670" t="e">
        <f>VLOOKUP(A1670,'TV May Monthly Billing Sites'!$A:$L,1,0)</f>
        <v>#N/A</v>
      </c>
      <c r="L1670" t="e">
        <f>VLOOKUP(D1670,'TV May Monthly Billing Sites'!$B:$L,1,0)</f>
        <v>#N/A</v>
      </c>
    </row>
    <row r="1671" spans="1:12">
      <c r="A1671" t="str">
        <f t="shared" si="26"/>
        <v>76254233</v>
      </c>
      <c r="B1671">
        <v>76254233</v>
      </c>
      <c r="C1671" t="s">
        <v>7464</v>
      </c>
      <c r="D1671" t="s">
        <v>7465</v>
      </c>
      <c r="E1671">
        <v>4408593</v>
      </c>
      <c r="F1671" t="s">
        <v>742</v>
      </c>
      <c r="G1671" t="s">
        <v>782</v>
      </c>
      <c r="H1671" t="s">
        <v>6289</v>
      </c>
      <c r="I1671" s="12">
        <v>45740</v>
      </c>
      <c r="J1671">
        <v>1</v>
      </c>
      <c r="K1671" t="str">
        <f>VLOOKUP(A1671,'TV May Monthly Billing Sites'!$A:$L,1,0)</f>
        <v>76254233</v>
      </c>
    </row>
    <row r="1672" spans="1:12">
      <c r="A1672" t="str">
        <f t="shared" si="26"/>
        <v>76254334</v>
      </c>
      <c r="B1672">
        <v>76254334</v>
      </c>
      <c r="C1672" t="s">
        <v>7466</v>
      </c>
      <c r="D1672" t="s">
        <v>4547</v>
      </c>
      <c r="E1672">
        <v>4508714</v>
      </c>
      <c r="F1672" t="s">
        <v>742</v>
      </c>
      <c r="G1672" t="s">
        <v>743</v>
      </c>
      <c r="H1672" t="s">
        <v>4974</v>
      </c>
      <c r="I1672" s="12">
        <v>45740</v>
      </c>
      <c r="J1672">
        <v>1</v>
      </c>
      <c r="K1672" t="str">
        <f>VLOOKUP(A1672,'TV May Monthly Billing Sites'!$A:$L,1,0)</f>
        <v>76254334</v>
      </c>
    </row>
    <row r="1673" spans="1:12">
      <c r="A1673" t="str">
        <f t="shared" si="26"/>
        <v>76254483</v>
      </c>
      <c r="B1673">
        <v>76254483</v>
      </c>
      <c r="C1673" t="s">
        <v>7467</v>
      </c>
      <c r="D1673" t="s">
        <v>4549</v>
      </c>
      <c r="E1673">
        <v>4408593</v>
      </c>
      <c r="F1673" t="s">
        <v>742</v>
      </c>
      <c r="G1673" t="s">
        <v>782</v>
      </c>
      <c r="H1673" t="s">
        <v>4549</v>
      </c>
      <c r="I1673" s="12">
        <v>45750</v>
      </c>
      <c r="J1673">
        <v>1</v>
      </c>
      <c r="K1673" t="str">
        <f>VLOOKUP(A1673,'TV May Monthly Billing Sites'!$A:$L,1,0)</f>
        <v>76254483</v>
      </c>
    </row>
    <row r="1674" spans="1:12">
      <c r="A1674" t="str">
        <f t="shared" si="26"/>
        <v>76254533</v>
      </c>
      <c r="B1674">
        <v>76254533</v>
      </c>
      <c r="C1674" t="s">
        <v>1207</v>
      </c>
      <c r="D1674" t="s">
        <v>1208</v>
      </c>
      <c r="E1674">
        <v>4408592</v>
      </c>
      <c r="F1674" t="s">
        <v>742</v>
      </c>
      <c r="G1674" t="s">
        <v>823</v>
      </c>
      <c r="H1674" t="s">
        <v>1209</v>
      </c>
      <c r="I1674" s="12">
        <v>45775</v>
      </c>
      <c r="J1674">
        <v>1</v>
      </c>
      <c r="K1674" t="e">
        <f>VLOOKUP(A1674,'TV May Monthly Billing Sites'!$A:$L,1,0)</f>
        <v>#N/A</v>
      </c>
      <c r="L1674" t="e">
        <f>VLOOKUP(D1674,'TV May Monthly Billing Sites'!$B:$L,1,0)</f>
        <v>#N/A</v>
      </c>
    </row>
    <row r="1675" spans="1:12">
      <c r="A1675" t="str">
        <f t="shared" si="26"/>
        <v>76254620</v>
      </c>
      <c r="B1675">
        <v>76254620</v>
      </c>
      <c r="C1675" t="s">
        <v>1211</v>
      </c>
      <c r="D1675" t="s">
        <v>1212</v>
      </c>
      <c r="E1675">
        <v>4408593</v>
      </c>
      <c r="F1675" t="s">
        <v>742</v>
      </c>
      <c r="G1675" t="s">
        <v>782</v>
      </c>
      <c r="H1675" t="s">
        <v>1213</v>
      </c>
      <c r="I1675" s="12">
        <v>45804</v>
      </c>
      <c r="J1675">
        <v>1</v>
      </c>
      <c r="K1675" t="e">
        <f>VLOOKUP(A1675,'TV May Monthly Billing Sites'!$A:$L,1,0)</f>
        <v>#N/A</v>
      </c>
      <c r="L1675" t="e">
        <f>VLOOKUP(D1675,'TV May Monthly Billing Sites'!$B:$L,1,0)</f>
        <v>#N/A</v>
      </c>
    </row>
    <row r="1676" spans="1:12">
      <c r="A1676" t="str">
        <f t="shared" si="26"/>
        <v>76254740</v>
      </c>
      <c r="B1676">
        <v>76254740</v>
      </c>
      <c r="C1676" t="s">
        <v>7468</v>
      </c>
      <c r="D1676" t="s">
        <v>7469</v>
      </c>
      <c r="E1676">
        <v>4508714</v>
      </c>
      <c r="F1676" t="s">
        <v>742</v>
      </c>
      <c r="G1676" t="s">
        <v>743</v>
      </c>
      <c r="H1676" t="s">
        <v>5626</v>
      </c>
      <c r="I1676" s="12">
        <v>45968</v>
      </c>
      <c r="J1676">
        <v>1</v>
      </c>
      <c r="K1676" t="str">
        <f>VLOOKUP(A1676,'TV May Monthly Billing Sites'!$A:$L,1,0)</f>
        <v>76254740</v>
      </c>
    </row>
    <row r="1677" spans="1:12">
      <c r="A1677" t="str">
        <f t="shared" si="26"/>
        <v>76254751</v>
      </c>
      <c r="B1677">
        <v>76254751</v>
      </c>
      <c r="C1677" t="s">
        <v>7470</v>
      </c>
      <c r="D1677" t="s">
        <v>4553</v>
      </c>
      <c r="E1677">
        <v>4508714</v>
      </c>
      <c r="F1677" t="s">
        <v>742</v>
      </c>
      <c r="G1677" t="s">
        <v>743</v>
      </c>
      <c r="H1677" t="s">
        <v>1179</v>
      </c>
      <c r="I1677" s="12">
        <v>45776</v>
      </c>
      <c r="J1677">
        <v>1</v>
      </c>
      <c r="K1677" t="str">
        <f>VLOOKUP(A1677,'TV May Monthly Billing Sites'!$A:$L,1,0)</f>
        <v>76254751</v>
      </c>
    </row>
    <row r="1678" spans="1:12">
      <c r="A1678" t="str">
        <f t="shared" si="26"/>
        <v>76255008</v>
      </c>
      <c r="B1678">
        <v>76255008</v>
      </c>
      <c r="C1678" t="s">
        <v>7471</v>
      </c>
      <c r="D1678" t="s">
        <v>7472</v>
      </c>
      <c r="E1678">
        <v>4508714</v>
      </c>
      <c r="F1678" t="s">
        <v>742</v>
      </c>
      <c r="G1678" t="s">
        <v>743</v>
      </c>
      <c r="H1678" t="s">
        <v>7473</v>
      </c>
      <c r="I1678" s="12">
        <v>45960</v>
      </c>
      <c r="J1678">
        <v>1</v>
      </c>
      <c r="K1678" t="str">
        <f>VLOOKUP(A1678,'TV May Monthly Billing Sites'!$A:$L,1,0)</f>
        <v>76255008</v>
      </c>
    </row>
    <row r="1679" spans="1:12">
      <c r="A1679" t="str">
        <f t="shared" si="26"/>
        <v>76255151</v>
      </c>
      <c r="B1679">
        <v>76255151</v>
      </c>
      <c r="C1679" t="s">
        <v>7474</v>
      </c>
      <c r="D1679" t="s">
        <v>4557</v>
      </c>
      <c r="E1679">
        <v>4508714</v>
      </c>
      <c r="F1679" t="s">
        <v>742</v>
      </c>
      <c r="G1679" t="s">
        <v>743</v>
      </c>
      <c r="H1679" t="s">
        <v>7475</v>
      </c>
      <c r="I1679" s="12">
        <v>45791</v>
      </c>
      <c r="J1679">
        <v>1</v>
      </c>
      <c r="K1679" t="str">
        <f>VLOOKUP(A1679,'TV May Monthly Billing Sites'!$A:$L,1,0)</f>
        <v>76255151</v>
      </c>
    </row>
    <row r="1680" spans="1:12">
      <c r="A1680" t="str">
        <f t="shared" si="26"/>
        <v>76255194</v>
      </c>
      <c r="B1680">
        <v>76255194</v>
      </c>
      <c r="C1680" t="s">
        <v>7476</v>
      </c>
      <c r="D1680" t="s">
        <v>4559</v>
      </c>
      <c r="E1680">
        <v>4508714</v>
      </c>
      <c r="F1680" t="s">
        <v>742</v>
      </c>
      <c r="G1680" t="s">
        <v>743</v>
      </c>
      <c r="H1680" t="s">
        <v>7477</v>
      </c>
      <c r="I1680" s="12">
        <v>46037</v>
      </c>
      <c r="J1680">
        <v>1</v>
      </c>
      <c r="K1680" t="str">
        <f>VLOOKUP(A1680,'TV May Monthly Billing Sites'!$A:$L,1,0)</f>
        <v>76255194</v>
      </c>
    </row>
    <row r="1681" spans="1:12">
      <c r="A1681" t="str">
        <f t="shared" si="26"/>
        <v>76255234</v>
      </c>
      <c r="B1681">
        <v>76255234</v>
      </c>
      <c r="C1681" t="s">
        <v>7478</v>
      </c>
      <c r="D1681" t="s">
        <v>7479</v>
      </c>
      <c r="E1681">
        <v>4508714</v>
      </c>
      <c r="F1681" t="s">
        <v>742</v>
      </c>
      <c r="G1681" t="s">
        <v>743</v>
      </c>
      <c r="H1681" t="s">
        <v>7479</v>
      </c>
      <c r="I1681" s="12">
        <v>45793</v>
      </c>
      <c r="J1681">
        <v>1</v>
      </c>
      <c r="K1681" t="str">
        <f>VLOOKUP(A1681,'TV May Monthly Billing Sites'!$A:$L,1,0)</f>
        <v>76255234</v>
      </c>
    </row>
    <row r="1682" spans="1:12">
      <c r="A1682" t="str">
        <f t="shared" si="26"/>
        <v>76255281</v>
      </c>
      <c r="B1682">
        <v>76255281</v>
      </c>
      <c r="C1682" t="s">
        <v>7480</v>
      </c>
      <c r="D1682" t="s">
        <v>4563</v>
      </c>
      <c r="E1682">
        <v>4508714</v>
      </c>
      <c r="F1682" t="s">
        <v>742</v>
      </c>
      <c r="G1682" t="s">
        <v>743</v>
      </c>
      <c r="H1682" t="s">
        <v>6492</v>
      </c>
      <c r="I1682" s="12">
        <v>45853</v>
      </c>
      <c r="J1682">
        <v>1</v>
      </c>
      <c r="K1682" t="str">
        <f>VLOOKUP(A1682,'TV May Monthly Billing Sites'!$A:$L,1,0)</f>
        <v>76255281</v>
      </c>
    </row>
    <row r="1683" spans="1:12">
      <c r="A1683" t="str">
        <f t="shared" si="26"/>
        <v>76255303</v>
      </c>
      <c r="B1683">
        <v>76255303</v>
      </c>
      <c r="C1683" t="s">
        <v>7481</v>
      </c>
      <c r="D1683" t="s">
        <v>7482</v>
      </c>
      <c r="E1683">
        <v>4408593</v>
      </c>
      <c r="F1683" t="s">
        <v>742</v>
      </c>
      <c r="G1683" t="s">
        <v>782</v>
      </c>
      <c r="H1683" t="s">
        <v>6966</v>
      </c>
      <c r="I1683" s="12">
        <v>45800</v>
      </c>
      <c r="J1683">
        <v>1</v>
      </c>
      <c r="K1683" t="str">
        <f>VLOOKUP(A1683,'TV May Monthly Billing Sites'!$A:$L,1,0)</f>
        <v>76255303</v>
      </c>
    </row>
    <row r="1684" spans="1:12">
      <c r="A1684" t="str">
        <f t="shared" si="26"/>
        <v>76255384</v>
      </c>
      <c r="B1684">
        <v>76255384</v>
      </c>
      <c r="C1684" t="s">
        <v>7483</v>
      </c>
      <c r="D1684" t="s">
        <v>7484</v>
      </c>
      <c r="E1684">
        <v>4508714</v>
      </c>
      <c r="F1684" t="s">
        <v>742</v>
      </c>
      <c r="G1684" t="s">
        <v>743</v>
      </c>
      <c r="H1684" t="s">
        <v>7485</v>
      </c>
      <c r="I1684" s="12">
        <v>45806</v>
      </c>
      <c r="J1684">
        <v>1</v>
      </c>
      <c r="K1684" t="str">
        <f>VLOOKUP(A1684,'TV May Monthly Billing Sites'!$A:$L,1,0)</f>
        <v>76255384</v>
      </c>
    </row>
    <row r="1685" spans="1:12">
      <c r="A1685" t="str">
        <f t="shared" si="26"/>
        <v>76255390</v>
      </c>
      <c r="B1685">
        <v>76255390</v>
      </c>
      <c r="C1685" t="s">
        <v>7486</v>
      </c>
      <c r="D1685" t="s">
        <v>4569</v>
      </c>
      <c r="E1685">
        <v>4508714</v>
      </c>
      <c r="F1685" t="s">
        <v>742</v>
      </c>
      <c r="G1685" t="s">
        <v>743</v>
      </c>
      <c r="H1685" t="s">
        <v>7485</v>
      </c>
      <c r="I1685" s="12">
        <v>45806</v>
      </c>
      <c r="J1685">
        <v>1</v>
      </c>
      <c r="K1685" t="str">
        <f>VLOOKUP(A1685,'TV May Monthly Billing Sites'!$A:$L,1,0)</f>
        <v>76255390</v>
      </c>
    </row>
    <row r="1686" spans="1:12">
      <c r="A1686" t="str">
        <f t="shared" si="26"/>
        <v>76255648</v>
      </c>
      <c r="B1686">
        <v>76255648</v>
      </c>
      <c r="C1686" t="s">
        <v>7487</v>
      </c>
      <c r="D1686" t="s">
        <v>4571</v>
      </c>
      <c r="E1686">
        <v>4508714</v>
      </c>
      <c r="F1686" t="s">
        <v>742</v>
      </c>
      <c r="G1686" t="s">
        <v>743</v>
      </c>
      <c r="H1686" t="s">
        <v>860</v>
      </c>
      <c r="I1686" s="12">
        <v>45812</v>
      </c>
      <c r="J1686">
        <v>1</v>
      </c>
      <c r="K1686" t="str">
        <f>VLOOKUP(A1686,'TV May Monthly Billing Sites'!$A:$L,1,0)</f>
        <v>76255648</v>
      </c>
    </row>
    <row r="1687" spans="1:12">
      <c r="A1687" t="str">
        <f t="shared" si="26"/>
        <v>76255685</v>
      </c>
      <c r="B1687">
        <v>76255685</v>
      </c>
      <c r="C1687" t="s">
        <v>1215</v>
      </c>
      <c r="D1687" t="s">
        <v>1216</v>
      </c>
      <c r="E1687">
        <v>4508714</v>
      </c>
      <c r="F1687" t="s">
        <v>742</v>
      </c>
      <c r="G1687" t="s">
        <v>743</v>
      </c>
      <c r="H1687" t="s">
        <v>1217</v>
      </c>
      <c r="I1687" s="12">
        <v>45824</v>
      </c>
      <c r="J1687">
        <v>1</v>
      </c>
      <c r="K1687" t="e">
        <f>VLOOKUP(A1687,'TV May Monthly Billing Sites'!$A:$L,1,0)</f>
        <v>#N/A</v>
      </c>
      <c r="L1687" t="e">
        <f>VLOOKUP(D1687,'TV May Monthly Billing Sites'!$B:$L,1,0)</f>
        <v>#N/A</v>
      </c>
    </row>
    <row r="1688" spans="1:12">
      <c r="A1688" t="str">
        <f t="shared" si="26"/>
        <v>76255694</v>
      </c>
      <c r="B1688">
        <v>76255694</v>
      </c>
      <c r="C1688" t="s">
        <v>7488</v>
      </c>
      <c r="D1688" t="s">
        <v>7489</v>
      </c>
      <c r="E1688">
        <v>4508675</v>
      </c>
      <c r="F1688" t="s">
        <v>742</v>
      </c>
      <c r="G1688" t="s">
        <v>828</v>
      </c>
      <c r="H1688" t="s">
        <v>5552</v>
      </c>
      <c r="I1688" s="12">
        <v>45836</v>
      </c>
      <c r="J1688">
        <v>1</v>
      </c>
      <c r="K1688" t="str">
        <f>VLOOKUP(A1688,'TV May Monthly Billing Sites'!$A:$L,1,0)</f>
        <v>76255694</v>
      </c>
    </row>
    <row r="1689" spans="1:12">
      <c r="A1689" t="str">
        <f t="shared" si="26"/>
        <v>76255877</v>
      </c>
      <c r="B1689">
        <v>76255877</v>
      </c>
      <c r="C1689" t="s">
        <v>7490</v>
      </c>
      <c r="D1689" t="s">
        <v>7491</v>
      </c>
      <c r="E1689">
        <v>4508714</v>
      </c>
      <c r="F1689" t="s">
        <v>742</v>
      </c>
      <c r="G1689" t="s">
        <v>743</v>
      </c>
      <c r="H1689" t="s">
        <v>4734</v>
      </c>
      <c r="I1689" s="12">
        <v>45833</v>
      </c>
      <c r="J1689">
        <v>1</v>
      </c>
      <c r="K1689" t="str">
        <f>VLOOKUP(A1689,'TV May Monthly Billing Sites'!$A:$L,1,0)</f>
        <v>76255877</v>
      </c>
    </row>
    <row r="1690" spans="1:12">
      <c r="A1690" t="str">
        <f t="shared" si="26"/>
        <v>76255914</v>
      </c>
      <c r="B1690">
        <v>76255914</v>
      </c>
      <c r="C1690" t="s">
        <v>1219</v>
      </c>
      <c r="D1690" t="s">
        <v>1220</v>
      </c>
      <c r="E1690">
        <v>4408592</v>
      </c>
      <c r="F1690" t="s">
        <v>742</v>
      </c>
      <c r="G1690" t="s">
        <v>823</v>
      </c>
      <c r="H1690" t="s">
        <v>1221</v>
      </c>
      <c r="I1690" s="12">
        <v>45852</v>
      </c>
      <c r="J1690">
        <v>1</v>
      </c>
      <c r="K1690" t="e">
        <f>VLOOKUP(A1690,'TV May Monthly Billing Sites'!$A:$L,1,0)</f>
        <v>#N/A</v>
      </c>
      <c r="L1690" t="e">
        <f>VLOOKUP(D1690,'TV May Monthly Billing Sites'!$B:$L,1,0)</f>
        <v>#N/A</v>
      </c>
    </row>
    <row r="1691" spans="1:12">
      <c r="A1691" t="str">
        <f t="shared" si="26"/>
        <v>76255929</v>
      </c>
      <c r="B1691">
        <v>76255929</v>
      </c>
      <c r="C1691" t="s">
        <v>7492</v>
      </c>
      <c r="D1691" t="s">
        <v>7493</v>
      </c>
      <c r="E1691">
        <v>4508714</v>
      </c>
      <c r="F1691" t="s">
        <v>742</v>
      </c>
      <c r="G1691" t="s">
        <v>743</v>
      </c>
      <c r="H1691" t="s">
        <v>852</v>
      </c>
      <c r="I1691" s="12">
        <v>45826</v>
      </c>
      <c r="J1691">
        <v>1</v>
      </c>
      <c r="K1691" t="str">
        <f>VLOOKUP(A1691,'TV May Monthly Billing Sites'!$A:$L,1,0)</f>
        <v>76255929</v>
      </c>
    </row>
    <row r="1692" spans="1:12">
      <c r="A1692" t="str">
        <f t="shared" si="26"/>
        <v>76255953</v>
      </c>
      <c r="B1692">
        <v>76255953</v>
      </c>
      <c r="C1692" t="s">
        <v>7494</v>
      </c>
      <c r="D1692" t="s">
        <v>4579</v>
      </c>
      <c r="E1692">
        <v>4508714</v>
      </c>
      <c r="F1692" t="s">
        <v>742</v>
      </c>
      <c r="G1692" t="s">
        <v>743</v>
      </c>
      <c r="H1692" t="s">
        <v>7495</v>
      </c>
      <c r="I1692" s="12">
        <v>45831</v>
      </c>
      <c r="J1692">
        <v>1</v>
      </c>
      <c r="K1692" t="str">
        <f>VLOOKUP(A1692,'TV May Monthly Billing Sites'!$A:$L,1,0)</f>
        <v>76255953</v>
      </c>
    </row>
    <row r="1693" spans="1:12">
      <c r="A1693" t="str">
        <f t="shared" si="26"/>
        <v>76256088</v>
      </c>
      <c r="B1693">
        <v>76256088</v>
      </c>
      <c r="C1693" t="s">
        <v>7496</v>
      </c>
      <c r="D1693" t="s">
        <v>4581</v>
      </c>
      <c r="E1693">
        <v>4508714</v>
      </c>
      <c r="F1693" t="s">
        <v>742</v>
      </c>
      <c r="G1693" t="s">
        <v>743</v>
      </c>
      <c r="H1693" t="s">
        <v>7497</v>
      </c>
      <c r="I1693" s="12">
        <v>45835</v>
      </c>
      <c r="J1693">
        <v>1</v>
      </c>
      <c r="K1693" t="str">
        <f>VLOOKUP(A1693,'TV May Monthly Billing Sites'!$A:$L,1,0)</f>
        <v>76256088</v>
      </c>
    </row>
    <row r="1694" spans="1:12">
      <c r="A1694" t="str">
        <f t="shared" si="26"/>
        <v>76256229</v>
      </c>
      <c r="B1694">
        <v>76256229</v>
      </c>
      <c r="C1694" t="s">
        <v>1223</v>
      </c>
      <c r="D1694" t="s">
        <v>1224</v>
      </c>
      <c r="E1694">
        <v>4508714</v>
      </c>
      <c r="F1694" t="s">
        <v>742</v>
      </c>
      <c r="G1694" t="s">
        <v>743</v>
      </c>
      <c r="H1694" t="s">
        <v>1224</v>
      </c>
      <c r="I1694" s="12">
        <v>45849</v>
      </c>
      <c r="J1694">
        <v>1</v>
      </c>
      <c r="K1694" t="e">
        <f>VLOOKUP(A1694,'TV May Monthly Billing Sites'!$A:$L,1,0)</f>
        <v>#N/A</v>
      </c>
      <c r="L1694" t="e">
        <f>VLOOKUP(D1694,'TV May Monthly Billing Sites'!$B:$L,1,0)</f>
        <v>#N/A</v>
      </c>
    </row>
    <row r="1695" spans="1:12">
      <c r="A1695" t="str">
        <f t="shared" si="26"/>
        <v>76256300</v>
      </c>
      <c r="B1695">
        <v>76256300</v>
      </c>
      <c r="C1695" t="s">
        <v>1226</v>
      </c>
      <c r="D1695" t="s">
        <v>1227</v>
      </c>
      <c r="E1695">
        <v>4508714</v>
      </c>
      <c r="F1695" t="s">
        <v>742</v>
      </c>
      <c r="G1695" t="s">
        <v>743</v>
      </c>
      <c r="H1695" t="s">
        <v>1228</v>
      </c>
      <c r="I1695" s="12">
        <v>45896</v>
      </c>
      <c r="J1695">
        <v>1</v>
      </c>
      <c r="K1695" t="e">
        <f>VLOOKUP(A1695,'TV May Monthly Billing Sites'!$A:$L,1,0)</f>
        <v>#N/A</v>
      </c>
      <c r="L1695" t="e">
        <f>VLOOKUP(D1695,'TV May Monthly Billing Sites'!$B:$L,1,0)</f>
        <v>#N/A</v>
      </c>
    </row>
    <row r="1696" spans="1:12">
      <c r="A1696" t="str">
        <f t="shared" si="26"/>
        <v>76256315</v>
      </c>
      <c r="B1696">
        <v>76256315</v>
      </c>
      <c r="C1696" t="s">
        <v>7498</v>
      </c>
      <c r="D1696" t="s">
        <v>7499</v>
      </c>
      <c r="E1696">
        <v>4508714</v>
      </c>
      <c r="F1696" t="s">
        <v>742</v>
      </c>
      <c r="G1696" t="s">
        <v>743</v>
      </c>
      <c r="H1696" t="s">
        <v>883</v>
      </c>
      <c r="I1696" s="12">
        <v>46000</v>
      </c>
      <c r="J1696">
        <v>1</v>
      </c>
      <c r="K1696" t="str">
        <f>VLOOKUP(A1696,'TV May Monthly Billing Sites'!$A:$L,1,0)</f>
        <v>76256315</v>
      </c>
    </row>
    <row r="1697" spans="1:12">
      <c r="A1697" t="str">
        <f t="shared" si="26"/>
        <v>76256403</v>
      </c>
      <c r="B1697">
        <v>76256403</v>
      </c>
      <c r="C1697" t="s">
        <v>7500</v>
      </c>
      <c r="D1697" t="s">
        <v>7501</v>
      </c>
      <c r="E1697">
        <v>4508714</v>
      </c>
      <c r="F1697" t="s">
        <v>742</v>
      </c>
      <c r="G1697" t="s">
        <v>743</v>
      </c>
      <c r="H1697" t="s">
        <v>6667</v>
      </c>
      <c r="I1697" s="12">
        <v>45902</v>
      </c>
      <c r="J1697">
        <v>1</v>
      </c>
      <c r="K1697" t="str">
        <f>VLOOKUP(A1697,'TV May Monthly Billing Sites'!$A:$L,1,0)</f>
        <v>76256403</v>
      </c>
    </row>
    <row r="1698" spans="1:12">
      <c r="A1698" t="str">
        <f t="shared" si="26"/>
        <v>76256601</v>
      </c>
      <c r="B1698">
        <v>76256601</v>
      </c>
      <c r="C1698" t="s">
        <v>7502</v>
      </c>
      <c r="D1698" t="s">
        <v>4587</v>
      </c>
      <c r="E1698">
        <v>4508714</v>
      </c>
      <c r="F1698" t="s">
        <v>742</v>
      </c>
      <c r="G1698" t="s">
        <v>743</v>
      </c>
      <c r="H1698" t="s">
        <v>4587</v>
      </c>
      <c r="I1698" s="12">
        <v>45869</v>
      </c>
      <c r="J1698">
        <v>1</v>
      </c>
      <c r="K1698" t="str">
        <f>VLOOKUP(A1698,'TV May Monthly Billing Sites'!$A:$L,1,0)</f>
        <v>76256601</v>
      </c>
    </row>
    <row r="1699" spans="1:12">
      <c r="A1699" t="str">
        <f t="shared" si="26"/>
        <v>76256626</v>
      </c>
      <c r="B1699">
        <v>76256626</v>
      </c>
      <c r="C1699" t="s">
        <v>1230</v>
      </c>
      <c r="D1699" t="s">
        <v>1231</v>
      </c>
      <c r="E1699">
        <v>4508714</v>
      </c>
      <c r="F1699" t="s">
        <v>742</v>
      </c>
      <c r="G1699" t="s">
        <v>743</v>
      </c>
      <c r="H1699" t="s">
        <v>1232</v>
      </c>
      <c r="I1699" s="12">
        <v>45904</v>
      </c>
      <c r="J1699">
        <v>1</v>
      </c>
      <c r="K1699" t="e">
        <f>VLOOKUP(A1699,'TV May Monthly Billing Sites'!$A:$L,1,0)</f>
        <v>#N/A</v>
      </c>
      <c r="L1699" t="e">
        <f>VLOOKUP(D1699,'TV May Monthly Billing Sites'!$B:$L,1,0)</f>
        <v>#N/A</v>
      </c>
    </row>
    <row r="1700" spans="1:12">
      <c r="A1700" t="str">
        <f t="shared" si="26"/>
        <v>76256631</v>
      </c>
      <c r="B1700">
        <v>76256631</v>
      </c>
      <c r="C1700" t="s">
        <v>1234</v>
      </c>
      <c r="D1700" t="s">
        <v>1235</v>
      </c>
      <c r="E1700">
        <v>4508714</v>
      </c>
      <c r="F1700" t="s">
        <v>742</v>
      </c>
      <c r="G1700" t="s">
        <v>743</v>
      </c>
      <c r="H1700" t="s">
        <v>1232</v>
      </c>
      <c r="I1700" s="12">
        <v>45904</v>
      </c>
      <c r="J1700">
        <v>1</v>
      </c>
      <c r="K1700" t="e">
        <f>VLOOKUP(A1700,'TV May Monthly Billing Sites'!$A:$L,1,0)</f>
        <v>#N/A</v>
      </c>
      <c r="L1700" t="e">
        <f>VLOOKUP(D1700,'TV May Monthly Billing Sites'!$B:$L,1,0)</f>
        <v>#N/A</v>
      </c>
    </row>
    <row r="1701" spans="1:12">
      <c r="A1701" t="str">
        <f t="shared" si="26"/>
        <v>76256639</v>
      </c>
      <c r="B1701">
        <v>76256639</v>
      </c>
      <c r="C1701" t="s">
        <v>1237</v>
      </c>
      <c r="D1701" t="s">
        <v>1238</v>
      </c>
      <c r="E1701">
        <v>4508714</v>
      </c>
      <c r="F1701" t="s">
        <v>742</v>
      </c>
      <c r="G1701" t="s">
        <v>743</v>
      </c>
      <c r="H1701" t="s">
        <v>1232</v>
      </c>
      <c r="I1701" s="12">
        <v>45904</v>
      </c>
      <c r="J1701">
        <v>1</v>
      </c>
      <c r="K1701" t="e">
        <f>VLOOKUP(A1701,'TV May Monthly Billing Sites'!$A:$L,1,0)</f>
        <v>#N/A</v>
      </c>
      <c r="L1701" t="e">
        <f>VLOOKUP(D1701,'TV May Monthly Billing Sites'!$B:$L,1,0)</f>
        <v>#N/A</v>
      </c>
    </row>
    <row r="1702" spans="1:12">
      <c r="A1702" t="str">
        <f t="shared" si="26"/>
        <v>76256661</v>
      </c>
      <c r="B1702">
        <v>76256661</v>
      </c>
      <c r="C1702" t="s">
        <v>7503</v>
      </c>
      <c r="D1702" t="s">
        <v>7504</v>
      </c>
      <c r="E1702">
        <v>4508714</v>
      </c>
      <c r="F1702" t="s">
        <v>742</v>
      </c>
      <c r="G1702" t="s">
        <v>743</v>
      </c>
      <c r="H1702" t="s">
        <v>1232</v>
      </c>
      <c r="I1702" s="12">
        <v>46010</v>
      </c>
      <c r="J1702">
        <v>1</v>
      </c>
      <c r="K1702" t="str">
        <f>VLOOKUP(A1702,'TV May Monthly Billing Sites'!$A:$L,1,0)</f>
        <v>76256661</v>
      </c>
    </row>
    <row r="1703" spans="1:12">
      <c r="A1703" t="str">
        <f t="shared" si="26"/>
        <v>76256714</v>
      </c>
      <c r="B1703">
        <v>76256714</v>
      </c>
      <c r="C1703" t="s">
        <v>7505</v>
      </c>
      <c r="D1703" t="s">
        <v>4591</v>
      </c>
      <c r="E1703">
        <v>4408593</v>
      </c>
      <c r="F1703" t="s">
        <v>742</v>
      </c>
      <c r="G1703" t="s">
        <v>782</v>
      </c>
      <c r="H1703" t="s">
        <v>6049</v>
      </c>
      <c r="I1703" s="12">
        <v>45971</v>
      </c>
      <c r="J1703">
        <v>1</v>
      </c>
      <c r="K1703" t="str">
        <f>VLOOKUP(A1703,'TV May Monthly Billing Sites'!$A:$L,1,0)</f>
        <v>76256714</v>
      </c>
    </row>
    <row r="1704" spans="1:12">
      <c r="A1704" t="str">
        <f t="shared" si="26"/>
        <v>76256754</v>
      </c>
      <c r="B1704">
        <v>76256754</v>
      </c>
      <c r="C1704" t="s">
        <v>7506</v>
      </c>
      <c r="D1704" t="s">
        <v>4593</v>
      </c>
      <c r="E1704">
        <v>4508714</v>
      </c>
      <c r="F1704" t="s">
        <v>742</v>
      </c>
      <c r="G1704" t="s">
        <v>743</v>
      </c>
      <c r="H1704" t="s">
        <v>4593</v>
      </c>
      <c r="I1704" s="12">
        <v>45883</v>
      </c>
      <c r="J1704">
        <v>1</v>
      </c>
      <c r="K1704" t="str">
        <f>VLOOKUP(A1704,'TV May Monthly Billing Sites'!$A:$L,1,0)</f>
        <v>76256754</v>
      </c>
    </row>
    <row r="1705" spans="1:12">
      <c r="A1705" t="str">
        <f t="shared" si="26"/>
        <v>76256807</v>
      </c>
      <c r="B1705">
        <v>76256807</v>
      </c>
      <c r="C1705" t="s">
        <v>7507</v>
      </c>
      <c r="D1705" t="s">
        <v>7508</v>
      </c>
      <c r="E1705">
        <v>4508714</v>
      </c>
      <c r="F1705" t="s">
        <v>742</v>
      </c>
      <c r="G1705" t="s">
        <v>743</v>
      </c>
      <c r="H1705" t="s">
        <v>7509</v>
      </c>
      <c r="I1705" s="12">
        <v>45894</v>
      </c>
      <c r="J1705">
        <v>1</v>
      </c>
      <c r="K1705" t="str">
        <f>VLOOKUP(A1705,'TV May Monthly Billing Sites'!$A:$L,1,0)</f>
        <v>76256807</v>
      </c>
    </row>
    <row r="1706" spans="1:12">
      <c r="A1706" t="str">
        <f t="shared" si="26"/>
        <v>76256834</v>
      </c>
      <c r="B1706">
        <v>76256834</v>
      </c>
      <c r="C1706" t="s">
        <v>7510</v>
      </c>
      <c r="D1706" t="s">
        <v>4597</v>
      </c>
      <c r="E1706">
        <v>4408592</v>
      </c>
      <c r="F1706" t="s">
        <v>742</v>
      </c>
      <c r="G1706" t="s">
        <v>823</v>
      </c>
      <c r="H1706" t="s">
        <v>6978</v>
      </c>
      <c r="I1706" s="12">
        <v>45883</v>
      </c>
      <c r="J1706">
        <v>1</v>
      </c>
      <c r="K1706" t="str">
        <f>VLOOKUP(A1706,'TV May Monthly Billing Sites'!$A:$L,1,0)</f>
        <v>76256834</v>
      </c>
    </row>
    <row r="1707" spans="1:12">
      <c r="A1707" t="str">
        <f t="shared" si="26"/>
        <v>76256842</v>
      </c>
      <c r="B1707">
        <v>76256842</v>
      </c>
      <c r="C1707" t="s">
        <v>7511</v>
      </c>
      <c r="D1707" t="s">
        <v>4599</v>
      </c>
      <c r="E1707">
        <v>4408592</v>
      </c>
      <c r="F1707" t="s">
        <v>742</v>
      </c>
      <c r="G1707" t="s">
        <v>823</v>
      </c>
      <c r="H1707" t="s">
        <v>6978</v>
      </c>
      <c r="I1707" s="12">
        <v>45883</v>
      </c>
      <c r="J1707">
        <v>1</v>
      </c>
      <c r="K1707" t="str">
        <f>VLOOKUP(A1707,'TV May Monthly Billing Sites'!$A:$L,1,0)</f>
        <v>76256842</v>
      </c>
    </row>
    <row r="1708" spans="1:12">
      <c r="A1708" t="str">
        <f t="shared" si="26"/>
        <v>76257011</v>
      </c>
      <c r="B1708">
        <v>76257011</v>
      </c>
      <c r="C1708" t="s">
        <v>7512</v>
      </c>
      <c r="D1708" t="s">
        <v>4601</v>
      </c>
      <c r="E1708">
        <v>4508714</v>
      </c>
      <c r="F1708" t="s">
        <v>742</v>
      </c>
      <c r="G1708" t="s">
        <v>743</v>
      </c>
      <c r="H1708" t="s">
        <v>5973</v>
      </c>
      <c r="I1708" s="12">
        <v>45958</v>
      </c>
      <c r="J1708">
        <v>1</v>
      </c>
      <c r="K1708" t="str">
        <f>VLOOKUP(A1708,'TV May Monthly Billing Sites'!$A:$L,1,0)</f>
        <v>76257011</v>
      </c>
    </row>
    <row r="1709" spans="1:12">
      <c r="A1709" t="str">
        <f t="shared" si="26"/>
        <v>76257049</v>
      </c>
      <c r="B1709">
        <v>76257049</v>
      </c>
      <c r="C1709" t="s">
        <v>7513</v>
      </c>
      <c r="D1709" t="s">
        <v>7514</v>
      </c>
      <c r="E1709">
        <v>4408593</v>
      </c>
      <c r="F1709" t="s">
        <v>742</v>
      </c>
      <c r="G1709" t="s">
        <v>782</v>
      </c>
      <c r="H1709" t="s">
        <v>6897</v>
      </c>
      <c r="I1709" s="12">
        <v>45909</v>
      </c>
      <c r="J1709">
        <v>1</v>
      </c>
      <c r="K1709" t="str">
        <f>VLOOKUP(A1709,'TV May Monthly Billing Sites'!$A:$L,1,0)</f>
        <v>76257049</v>
      </c>
    </row>
    <row r="1710" spans="1:12">
      <c r="A1710" t="str">
        <f t="shared" si="26"/>
        <v>76257075</v>
      </c>
      <c r="B1710">
        <v>76257075</v>
      </c>
      <c r="C1710" t="s">
        <v>7515</v>
      </c>
      <c r="D1710" t="s">
        <v>4605</v>
      </c>
      <c r="E1710">
        <v>4508714</v>
      </c>
      <c r="F1710" t="s">
        <v>742</v>
      </c>
      <c r="G1710" t="s">
        <v>743</v>
      </c>
      <c r="H1710" t="s">
        <v>4605</v>
      </c>
      <c r="I1710" s="12">
        <v>45898</v>
      </c>
      <c r="J1710">
        <v>1</v>
      </c>
      <c r="K1710" t="str">
        <f>VLOOKUP(A1710,'TV May Monthly Billing Sites'!$A:$L,1,0)</f>
        <v>76257075</v>
      </c>
    </row>
    <row r="1711" spans="1:12">
      <c r="A1711" t="str">
        <f t="shared" si="26"/>
        <v>76257216</v>
      </c>
      <c r="B1711">
        <v>76257216</v>
      </c>
      <c r="C1711" t="s">
        <v>7516</v>
      </c>
      <c r="D1711" t="s">
        <v>7517</v>
      </c>
      <c r="E1711">
        <v>4508714</v>
      </c>
      <c r="F1711" t="s">
        <v>742</v>
      </c>
      <c r="G1711" t="s">
        <v>743</v>
      </c>
      <c r="H1711" t="s">
        <v>6779</v>
      </c>
      <c r="I1711" s="12">
        <v>45925</v>
      </c>
      <c r="J1711">
        <v>1</v>
      </c>
      <c r="K1711" t="str">
        <f>VLOOKUP(A1711,'TV May Monthly Billing Sites'!$A:$L,1,0)</f>
        <v>76257216</v>
      </c>
    </row>
    <row r="1712" spans="1:12">
      <c r="A1712" t="str">
        <f t="shared" si="26"/>
        <v>76257238</v>
      </c>
      <c r="B1712">
        <v>76257238</v>
      </c>
      <c r="C1712" t="s">
        <v>7518</v>
      </c>
      <c r="D1712" t="s">
        <v>4609</v>
      </c>
      <c r="E1712">
        <v>4508714</v>
      </c>
      <c r="F1712" t="s">
        <v>742</v>
      </c>
      <c r="G1712" t="s">
        <v>743</v>
      </c>
      <c r="H1712" t="s">
        <v>7519</v>
      </c>
      <c r="I1712" s="12">
        <v>45911</v>
      </c>
      <c r="J1712">
        <v>1</v>
      </c>
      <c r="K1712" t="str">
        <f>VLOOKUP(A1712,'TV May Monthly Billing Sites'!$A:$L,1,0)</f>
        <v>76257238</v>
      </c>
    </row>
    <row r="1713" spans="1:12">
      <c r="A1713" t="str">
        <f t="shared" si="26"/>
        <v>76257241</v>
      </c>
      <c r="B1713">
        <v>76257241</v>
      </c>
      <c r="C1713" t="s">
        <v>7520</v>
      </c>
      <c r="D1713" t="s">
        <v>4611</v>
      </c>
      <c r="E1713">
        <v>4508714</v>
      </c>
      <c r="F1713" t="s">
        <v>742</v>
      </c>
      <c r="G1713" t="s">
        <v>743</v>
      </c>
      <c r="H1713" t="s">
        <v>4986</v>
      </c>
      <c r="I1713" s="12">
        <v>45992</v>
      </c>
      <c r="J1713">
        <v>1</v>
      </c>
      <c r="K1713" t="str">
        <f>VLOOKUP(A1713,'TV May Monthly Billing Sites'!$A:$L,1,0)</f>
        <v>76257241</v>
      </c>
    </row>
    <row r="1714" spans="1:12">
      <c r="A1714" t="str">
        <f t="shared" si="26"/>
        <v>76257313</v>
      </c>
      <c r="B1714">
        <v>76257313</v>
      </c>
      <c r="C1714" t="s">
        <v>1240</v>
      </c>
      <c r="D1714" t="s">
        <v>1241</v>
      </c>
      <c r="E1714">
        <v>4508714</v>
      </c>
      <c r="F1714" t="s">
        <v>742</v>
      </c>
      <c r="G1714" t="s">
        <v>743</v>
      </c>
      <c r="H1714" t="s">
        <v>1241</v>
      </c>
      <c r="I1714" s="12">
        <v>45940</v>
      </c>
      <c r="J1714">
        <v>1</v>
      </c>
      <c r="K1714" t="e">
        <f>VLOOKUP(A1714,'TV May Monthly Billing Sites'!$A:$L,1,0)</f>
        <v>#N/A</v>
      </c>
      <c r="L1714" t="e">
        <f>VLOOKUP(D1714,'TV May Monthly Billing Sites'!$B:$L,1,0)</f>
        <v>#N/A</v>
      </c>
    </row>
    <row r="1715" spans="1:12">
      <c r="A1715" t="str">
        <f t="shared" si="26"/>
        <v>76257430</v>
      </c>
      <c r="B1715">
        <v>76257430</v>
      </c>
      <c r="C1715" t="s">
        <v>7521</v>
      </c>
      <c r="D1715" t="s">
        <v>7522</v>
      </c>
      <c r="E1715">
        <v>4508714</v>
      </c>
      <c r="F1715" t="s">
        <v>742</v>
      </c>
      <c r="G1715" t="s">
        <v>743</v>
      </c>
      <c r="H1715" t="s">
        <v>1096</v>
      </c>
      <c r="I1715" s="12">
        <v>46002</v>
      </c>
      <c r="J1715">
        <v>1</v>
      </c>
      <c r="K1715" t="str">
        <f>VLOOKUP(A1715,'TV May Monthly Billing Sites'!$A:$L,1,0)</f>
        <v>76257430</v>
      </c>
    </row>
    <row r="1716" spans="1:12">
      <c r="A1716" t="str">
        <f t="shared" si="26"/>
        <v>76257461</v>
      </c>
      <c r="B1716">
        <v>76257461</v>
      </c>
      <c r="C1716" t="s">
        <v>7523</v>
      </c>
      <c r="D1716" t="s">
        <v>4615</v>
      </c>
      <c r="E1716">
        <v>4508714</v>
      </c>
      <c r="F1716" t="s">
        <v>742</v>
      </c>
      <c r="G1716" t="s">
        <v>743</v>
      </c>
      <c r="H1716" t="s">
        <v>5624</v>
      </c>
      <c r="I1716" s="12">
        <v>45987</v>
      </c>
      <c r="J1716">
        <v>1</v>
      </c>
      <c r="K1716" t="str">
        <f>VLOOKUP(A1716,'TV May Monthly Billing Sites'!$A:$L,1,0)</f>
        <v>76257461</v>
      </c>
    </row>
    <row r="1717" spans="1:12">
      <c r="A1717" t="str">
        <f t="shared" si="26"/>
        <v>76257496</v>
      </c>
      <c r="B1717">
        <v>76257496</v>
      </c>
      <c r="C1717" t="s">
        <v>7524</v>
      </c>
      <c r="D1717" t="s">
        <v>4617</v>
      </c>
      <c r="E1717">
        <v>4508714</v>
      </c>
      <c r="F1717" t="s">
        <v>742</v>
      </c>
      <c r="G1717" t="s">
        <v>743</v>
      </c>
      <c r="H1717" t="s">
        <v>4617</v>
      </c>
      <c r="I1717" s="12">
        <v>45937</v>
      </c>
      <c r="J1717">
        <v>1</v>
      </c>
      <c r="K1717" t="str">
        <f>VLOOKUP(A1717,'TV May Monthly Billing Sites'!$A:$L,1,0)</f>
        <v>76257496</v>
      </c>
    </row>
    <row r="1718" spans="1:12">
      <c r="A1718" t="str">
        <f t="shared" si="26"/>
        <v>76257541</v>
      </c>
      <c r="B1718">
        <v>76257541</v>
      </c>
      <c r="C1718" t="s">
        <v>7525</v>
      </c>
      <c r="D1718" t="s">
        <v>3939</v>
      </c>
      <c r="E1718">
        <v>4508675</v>
      </c>
      <c r="F1718" t="s">
        <v>742</v>
      </c>
      <c r="G1718" t="s">
        <v>828</v>
      </c>
      <c r="H1718" t="s">
        <v>3939</v>
      </c>
      <c r="I1718" s="12">
        <v>45986</v>
      </c>
      <c r="J1718">
        <v>1</v>
      </c>
      <c r="K1718" t="e">
        <f>VLOOKUP(A1718,'TV May Monthly Billing Sites'!$A:$L,1,0)</f>
        <v>#N/A</v>
      </c>
      <c r="L1718" t="str">
        <f>VLOOKUP(D1718,'TV May Monthly Billing Sites'!$B:$L,1,0)</f>
        <v>FULLERTON FORD</v>
      </c>
    </row>
    <row r="1719" spans="1:12">
      <c r="A1719" t="str">
        <f t="shared" si="26"/>
        <v>76257541</v>
      </c>
      <c r="B1719">
        <v>76257541</v>
      </c>
      <c r="C1719" t="s">
        <v>7526</v>
      </c>
      <c r="D1719" t="s">
        <v>3939</v>
      </c>
      <c r="E1719">
        <v>4508714</v>
      </c>
      <c r="F1719" t="s">
        <v>742</v>
      </c>
      <c r="G1719" t="s">
        <v>743</v>
      </c>
      <c r="H1719" t="s">
        <v>3939</v>
      </c>
      <c r="I1719" s="12">
        <v>46009</v>
      </c>
      <c r="J1719">
        <v>1</v>
      </c>
      <c r="K1719" t="e">
        <f>VLOOKUP(A1719,'TV May Monthly Billing Sites'!$A:$L,1,0)</f>
        <v>#N/A</v>
      </c>
      <c r="L1719" t="str">
        <f>VLOOKUP(D1719,'TV May Monthly Billing Sites'!$B:$L,1,0)</f>
        <v>FULLERTON FORD</v>
      </c>
    </row>
    <row r="1720" spans="1:12">
      <c r="A1720" t="str">
        <f t="shared" si="26"/>
        <v>76257564</v>
      </c>
      <c r="B1720">
        <v>76257564</v>
      </c>
      <c r="C1720" t="s">
        <v>7527</v>
      </c>
      <c r="D1720" t="s">
        <v>7528</v>
      </c>
      <c r="E1720">
        <v>4508714</v>
      </c>
      <c r="F1720" t="s">
        <v>742</v>
      </c>
      <c r="G1720" t="s">
        <v>743</v>
      </c>
      <c r="H1720" t="s">
        <v>7529</v>
      </c>
      <c r="I1720" s="12">
        <v>45960</v>
      </c>
      <c r="J1720">
        <v>1</v>
      </c>
      <c r="K1720" t="str">
        <f>VLOOKUP(A1720,'TV May Monthly Billing Sites'!$A:$L,1,0)</f>
        <v>76257564</v>
      </c>
    </row>
    <row r="1721" spans="1:12">
      <c r="A1721" t="str">
        <f t="shared" si="26"/>
        <v>76257603</v>
      </c>
      <c r="B1721">
        <v>76257603</v>
      </c>
      <c r="C1721" t="s">
        <v>7530</v>
      </c>
      <c r="D1721" t="s">
        <v>7531</v>
      </c>
      <c r="E1721">
        <v>4408592</v>
      </c>
      <c r="F1721" t="s">
        <v>742</v>
      </c>
      <c r="G1721" t="s">
        <v>823</v>
      </c>
      <c r="H1721" t="s">
        <v>6318</v>
      </c>
      <c r="I1721" s="12">
        <v>46049</v>
      </c>
      <c r="J1721">
        <v>1</v>
      </c>
      <c r="K1721" t="str">
        <f>VLOOKUP(A1721,'TV May Monthly Billing Sites'!$A:$L,1,0)</f>
        <v>76257603</v>
      </c>
    </row>
    <row r="1722" spans="1:12">
      <c r="A1722" t="str">
        <f t="shared" si="26"/>
        <v>76257603</v>
      </c>
      <c r="B1722">
        <v>76257603</v>
      </c>
      <c r="C1722" t="s">
        <v>7532</v>
      </c>
      <c r="D1722" t="s">
        <v>7531</v>
      </c>
      <c r="E1722">
        <v>4408593</v>
      </c>
      <c r="F1722" t="s">
        <v>742</v>
      </c>
      <c r="G1722" t="s">
        <v>782</v>
      </c>
      <c r="H1722" t="s">
        <v>6318</v>
      </c>
      <c r="I1722" s="12">
        <v>46084</v>
      </c>
      <c r="J1722">
        <v>1</v>
      </c>
      <c r="K1722" t="str">
        <f>VLOOKUP(A1722,'TV May Monthly Billing Sites'!$A:$L,1,0)</f>
        <v>76257603</v>
      </c>
    </row>
    <row r="1723" spans="1:12">
      <c r="A1723" t="str">
        <f t="shared" si="26"/>
        <v>76257614</v>
      </c>
      <c r="B1723">
        <v>76257614</v>
      </c>
      <c r="C1723" t="s">
        <v>7533</v>
      </c>
      <c r="D1723" t="s">
        <v>4623</v>
      </c>
      <c r="E1723">
        <v>4508714</v>
      </c>
      <c r="F1723" t="s">
        <v>742</v>
      </c>
      <c r="G1723" t="s">
        <v>743</v>
      </c>
      <c r="H1723" t="s">
        <v>6943</v>
      </c>
      <c r="I1723" s="12">
        <v>45964</v>
      </c>
      <c r="J1723">
        <v>1</v>
      </c>
      <c r="K1723" t="str">
        <f>VLOOKUP(A1723,'TV May Monthly Billing Sites'!$A:$L,1,0)</f>
        <v>76257614</v>
      </c>
    </row>
    <row r="1724" spans="1:12">
      <c r="A1724" t="str">
        <f t="shared" si="26"/>
        <v>76257640</v>
      </c>
      <c r="B1724">
        <v>76257640</v>
      </c>
      <c r="C1724" t="s">
        <v>7534</v>
      </c>
      <c r="D1724" t="s">
        <v>4625</v>
      </c>
      <c r="E1724">
        <v>4508714</v>
      </c>
      <c r="F1724" t="s">
        <v>742</v>
      </c>
      <c r="G1724" t="s">
        <v>743</v>
      </c>
      <c r="H1724" t="s">
        <v>6823</v>
      </c>
      <c r="I1724" s="12">
        <v>45958</v>
      </c>
      <c r="J1724">
        <v>1</v>
      </c>
      <c r="K1724" t="str">
        <f>VLOOKUP(A1724,'TV May Monthly Billing Sites'!$A:$L,1,0)</f>
        <v>76257640</v>
      </c>
    </row>
    <row r="1725" spans="1:12">
      <c r="A1725" t="str">
        <f t="shared" si="26"/>
        <v>76258017</v>
      </c>
      <c r="B1725">
        <v>76258017</v>
      </c>
      <c r="C1725" t="s">
        <v>1243</v>
      </c>
      <c r="D1725" t="s">
        <v>1244</v>
      </c>
      <c r="E1725">
        <v>4508714</v>
      </c>
      <c r="F1725" t="s">
        <v>742</v>
      </c>
      <c r="G1725" t="s">
        <v>743</v>
      </c>
      <c r="H1725" t="s">
        <v>1245</v>
      </c>
      <c r="I1725" s="12">
        <v>45978</v>
      </c>
      <c r="J1725">
        <v>1</v>
      </c>
      <c r="K1725" t="e">
        <f>VLOOKUP(A1725,'TV May Monthly Billing Sites'!$A:$L,1,0)</f>
        <v>#N/A</v>
      </c>
      <c r="L1725" t="e">
        <f>VLOOKUP(D1725,'TV May Monthly Billing Sites'!$B:$L,1,0)</f>
        <v>#N/A</v>
      </c>
    </row>
    <row r="1726" spans="1:12">
      <c r="A1726" t="str">
        <f t="shared" si="26"/>
        <v>76258179</v>
      </c>
      <c r="B1726">
        <v>76258179</v>
      </c>
      <c r="C1726" t="s">
        <v>7535</v>
      </c>
      <c r="D1726" t="s">
        <v>4627</v>
      </c>
      <c r="E1726">
        <v>4508714</v>
      </c>
      <c r="F1726" t="s">
        <v>742</v>
      </c>
      <c r="G1726" t="s">
        <v>743</v>
      </c>
      <c r="H1726" t="s">
        <v>7309</v>
      </c>
      <c r="I1726" s="12">
        <v>45989</v>
      </c>
      <c r="J1726">
        <v>1</v>
      </c>
      <c r="K1726" t="str">
        <f>VLOOKUP(A1726,'TV May Monthly Billing Sites'!$A:$L,1,0)</f>
        <v>76258179</v>
      </c>
    </row>
    <row r="1727" spans="1:12">
      <c r="A1727" t="str">
        <f t="shared" si="26"/>
        <v>76258275</v>
      </c>
      <c r="B1727">
        <v>76258275</v>
      </c>
      <c r="C1727" t="s">
        <v>7536</v>
      </c>
      <c r="D1727" t="s">
        <v>4629</v>
      </c>
      <c r="E1727">
        <v>4508714</v>
      </c>
      <c r="F1727" t="s">
        <v>742</v>
      </c>
      <c r="G1727" t="s">
        <v>743</v>
      </c>
      <c r="H1727" t="s">
        <v>5942</v>
      </c>
      <c r="I1727" s="12">
        <v>46014</v>
      </c>
      <c r="J1727">
        <v>1</v>
      </c>
      <c r="K1727" t="str">
        <f>VLOOKUP(A1727,'TV May Monthly Billing Sites'!$A:$L,1,0)</f>
        <v>76258275</v>
      </c>
    </row>
    <row r="1728" spans="1:12">
      <c r="A1728" t="str">
        <f t="shared" si="26"/>
        <v>76258379</v>
      </c>
      <c r="B1728">
        <v>76258379</v>
      </c>
      <c r="C1728" t="s">
        <v>7537</v>
      </c>
      <c r="D1728" t="s">
        <v>7538</v>
      </c>
      <c r="E1728">
        <v>4508714</v>
      </c>
      <c r="F1728" t="s">
        <v>742</v>
      </c>
      <c r="G1728" t="s">
        <v>743</v>
      </c>
      <c r="H1728" t="s">
        <v>7539</v>
      </c>
      <c r="I1728" s="12">
        <v>45992</v>
      </c>
      <c r="J1728">
        <v>1</v>
      </c>
      <c r="K1728" t="str">
        <f>VLOOKUP(A1728,'TV May Monthly Billing Sites'!$A:$L,1,0)</f>
        <v>76258379</v>
      </c>
    </row>
    <row r="1729" spans="1:12">
      <c r="A1729" t="str">
        <f t="shared" si="26"/>
        <v>76258384</v>
      </c>
      <c r="B1729">
        <v>76258384</v>
      </c>
      <c r="C1729" t="s">
        <v>1247</v>
      </c>
      <c r="D1729" t="s">
        <v>1248</v>
      </c>
      <c r="E1729">
        <v>4508714</v>
      </c>
      <c r="F1729" t="s">
        <v>742</v>
      </c>
      <c r="G1729" t="s">
        <v>743</v>
      </c>
      <c r="H1729" t="s">
        <v>1249</v>
      </c>
      <c r="I1729" s="12">
        <v>46019</v>
      </c>
      <c r="J1729">
        <v>1</v>
      </c>
      <c r="K1729" t="e">
        <f>VLOOKUP(A1729,'TV May Monthly Billing Sites'!$A:$L,1,0)</f>
        <v>#N/A</v>
      </c>
      <c r="L1729" t="e">
        <f>VLOOKUP(D1729,'TV May Monthly Billing Sites'!$B:$L,1,0)</f>
        <v>#N/A</v>
      </c>
    </row>
    <row r="1730" spans="1:12">
      <c r="A1730" t="str">
        <f t="shared" ref="A1730:A1744" si="27">TRIM(B1730)</f>
        <v>76258429</v>
      </c>
      <c r="B1730">
        <v>76258429</v>
      </c>
      <c r="C1730" t="s">
        <v>7540</v>
      </c>
      <c r="D1730" t="s">
        <v>7541</v>
      </c>
      <c r="E1730">
        <v>4508684</v>
      </c>
      <c r="F1730" t="s">
        <v>742</v>
      </c>
      <c r="G1730" t="s">
        <v>4760</v>
      </c>
      <c r="H1730" t="s">
        <v>7542</v>
      </c>
      <c r="I1730" s="12">
        <v>45989</v>
      </c>
      <c r="J1730">
        <v>1</v>
      </c>
      <c r="K1730" t="str">
        <f>VLOOKUP(A1730,'TV May Monthly Billing Sites'!$A:$L,1,0)</f>
        <v>76258429</v>
      </c>
    </row>
    <row r="1731" spans="1:12">
      <c r="A1731" t="str">
        <f t="shared" si="27"/>
        <v>76258460</v>
      </c>
      <c r="B1731">
        <v>76258460</v>
      </c>
      <c r="C1731" t="s">
        <v>7543</v>
      </c>
      <c r="D1731" t="s">
        <v>4635</v>
      </c>
      <c r="E1731">
        <v>4508714</v>
      </c>
      <c r="F1731" t="s">
        <v>742</v>
      </c>
      <c r="G1731" t="s">
        <v>743</v>
      </c>
      <c r="H1731" t="s">
        <v>5973</v>
      </c>
      <c r="I1731" s="12">
        <v>46030</v>
      </c>
      <c r="J1731">
        <v>1</v>
      </c>
      <c r="K1731" t="str">
        <f>VLOOKUP(A1731,'TV May Monthly Billing Sites'!$A:$L,1,0)</f>
        <v>76258460</v>
      </c>
    </row>
    <row r="1732" spans="1:12">
      <c r="A1732" t="str">
        <f t="shared" si="27"/>
        <v>76258480</v>
      </c>
      <c r="B1732">
        <v>76258480</v>
      </c>
      <c r="C1732" t="s">
        <v>7544</v>
      </c>
      <c r="D1732" t="s">
        <v>4474</v>
      </c>
      <c r="E1732">
        <v>4508714</v>
      </c>
      <c r="F1732" t="s">
        <v>742</v>
      </c>
      <c r="G1732" t="s">
        <v>743</v>
      </c>
      <c r="H1732" t="s">
        <v>7305</v>
      </c>
      <c r="I1732" s="12">
        <v>46022</v>
      </c>
      <c r="J1732">
        <v>1</v>
      </c>
      <c r="K1732" t="e">
        <f>VLOOKUP(A1732,'TV May Monthly Billing Sites'!$A:$L,1,0)</f>
        <v>#N/A</v>
      </c>
      <c r="L1732" t="str">
        <f>VLOOKUP(D1732,'TV May Monthly Billing Sites'!$B:$L,1,0)</f>
        <v>FERRARI RANCHO MIRAGE</v>
      </c>
    </row>
    <row r="1733" spans="1:12">
      <c r="A1733" t="str">
        <f t="shared" si="27"/>
        <v>76258908</v>
      </c>
      <c r="B1733">
        <v>76258908</v>
      </c>
      <c r="C1733" t="s">
        <v>7545</v>
      </c>
      <c r="D1733" t="s">
        <v>7546</v>
      </c>
      <c r="E1733">
        <v>4508714</v>
      </c>
      <c r="F1733" t="s">
        <v>742</v>
      </c>
      <c r="G1733" t="s">
        <v>743</v>
      </c>
      <c r="H1733" t="s">
        <v>7547</v>
      </c>
      <c r="I1733" s="12">
        <v>46078</v>
      </c>
      <c r="J1733">
        <v>1</v>
      </c>
      <c r="K1733" t="str">
        <f>VLOOKUP(A1733,'TV May Monthly Billing Sites'!$A:$L,1,0)</f>
        <v>76258908</v>
      </c>
    </row>
    <row r="1734" spans="1:12">
      <c r="A1734" t="str">
        <f t="shared" si="27"/>
        <v>76258911</v>
      </c>
      <c r="B1734">
        <v>76258911</v>
      </c>
      <c r="C1734" t="s">
        <v>7548</v>
      </c>
      <c r="D1734" t="s">
        <v>7549</v>
      </c>
      <c r="E1734">
        <v>4508714</v>
      </c>
      <c r="F1734" t="s">
        <v>742</v>
      </c>
      <c r="G1734" t="s">
        <v>743</v>
      </c>
      <c r="H1734" t="s">
        <v>7547</v>
      </c>
      <c r="I1734" s="12">
        <v>46078</v>
      </c>
      <c r="J1734">
        <v>1</v>
      </c>
      <c r="K1734" t="str">
        <f>VLOOKUP(A1734,'TV May Monthly Billing Sites'!$A:$L,1,0)</f>
        <v>76258911</v>
      </c>
    </row>
    <row r="1735" spans="1:12">
      <c r="A1735" t="str">
        <f t="shared" si="27"/>
        <v>76259092</v>
      </c>
      <c r="B1735">
        <v>76259092</v>
      </c>
      <c r="C1735" t="s">
        <v>7550</v>
      </c>
      <c r="D1735" t="s">
        <v>3227</v>
      </c>
      <c r="E1735">
        <v>4508714</v>
      </c>
      <c r="F1735" t="s">
        <v>742</v>
      </c>
      <c r="G1735" t="s">
        <v>743</v>
      </c>
      <c r="H1735" t="s">
        <v>7551</v>
      </c>
      <c r="I1735" s="12">
        <v>46064</v>
      </c>
      <c r="J1735">
        <v>1</v>
      </c>
      <c r="K1735" t="e">
        <f>VLOOKUP(A1735,'TV May Monthly Billing Sites'!$A:$L,1,0)</f>
        <v>#N/A</v>
      </c>
      <c r="L1735" t="str">
        <f>VLOOKUP(D1735,'TV May Monthly Billing Sites'!$B:$L,1,0)</f>
        <v>AUDI GAINESVILLE</v>
      </c>
    </row>
    <row r="1736" spans="1:12">
      <c r="A1736" t="str">
        <f t="shared" si="27"/>
        <v>76259155</v>
      </c>
      <c r="B1736">
        <v>76259155</v>
      </c>
      <c r="C1736" t="s">
        <v>7552</v>
      </c>
      <c r="D1736" t="s">
        <v>7553</v>
      </c>
      <c r="E1736">
        <v>4508714</v>
      </c>
      <c r="F1736" t="s">
        <v>742</v>
      </c>
      <c r="G1736" t="s">
        <v>743</v>
      </c>
      <c r="H1736" t="s">
        <v>7305</v>
      </c>
      <c r="I1736" s="12">
        <v>46057</v>
      </c>
      <c r="J1736">
        <v>1</v>
      </c>
      <c r="K1736" t="str">
        <f>VLOOKUP(A1736,'TV May Monthly Billing Sites'!$A:$L,1,0)</f>
        <v>76259155</v>
      </c>
    </row>
    <row r="1737" spans="1:12">
      <c r="A1737" t="str">
        <f t="shared" si="27"/>
        <v>76259156</v>
      </c>
      <c r="B1737">
        <v>76259156</v>
      </c>
      <c r="C1737" t="s">
        <v>7554</v>
      </c>
      <c r="D1737" t="s">
        <v>7555</v>
      </c>
      <c r="E1737">
        <v>4508714</v>
      </c>
      <c r="F1737" t="s">
        <v>742</v>
      </c>
      <c r="G1737" t="s">
        <v>743</v>
      </c>
      <c r="H1737" t="s">
        <v>7305</v>
      </c>
      <c r="I1737" s="12">
        <v>46057</v>
      </c>
      <c r="J1737">
        <v>1</v>
      </c>
      <c r="K1737" t="str">
        <f>VLOOKUP(A1737,'TV May Monthly Billing Sites'!$A:$L,1,0)</f>
        <v>76259156</v>
      </c>
    </row>
    <row r="1738" spans="1:12">
      <c r="A1738" t="str">
        <f t="shared" si="27"/>
        <v>76259165</v>
      </c>
      <c r="B1738">
        <v>76259165</v>
      </c>
      <c r="C1738" t="s">
        <v>7556</v>
      </c>
      <c r="D1738" t="s">
        <v>4645</v>
      </c>
      <c r="E1738">
        <v>4508714</v>
      </c>
      <c r="F1738" t="s">
        <v>742</v>
      </c>
      <c r="G1738" t="s">
        <v>743</v>
      </c>
      <c r="H1738" t="s">
        <v>7305</v>
      </c>
      <c r="I1738" s="12">
        <v>46057</v>
      </c>
      <c r="J1738">
        <v>1</v>
      </c>
      <c r="K1738" t="str">
        <f>VLOOKUP(A1738,'TV May Monthly Billing Sites'!$A:$L,1,0)</f>
        <v>76259165</v>
      </c>
    </row>
    <row r="1739" spans="1:12">
      <c r="A1739" t="str">
        <f t="shared" si="27"/>
        <v>76259166</v>
      </c>
      <c r="B1739">
        <v>76259166</v>
      </c>
      <c r="C1739" t="s">
        <v>7557</v>
      </c>
      <c r="D1739" t="s">
        <v>4647</v>
      </c>
      <c r="E1739">
        <v>4508714</v>
      </c>
      <c r="F1739" t="s">
        <v>742</v>
      </c>
      <c r="G1739" t="s">
        <v>743</v>
      </c>
      <c r="H1739" t="s">
        <v>7305</v>
      </c>
      <c r="I1739" s="12">
        <v>46057</v>
      </c>
      <c r="J1739">
        <v>1</v>
      </c>
      <c r="K1739" t="str">
        <f>VLOOKUP(A1739,'TV May Monthly Billing Sites'!$A:$L,1,0)</f>
        <v>76259166</v>
      </c>
    </row>
    <row r="1740" spans="1:12">
      <c r="A1740" t="str">
        <f t="shared" si="27"/>
        <v>76259305</v>
      </c>
      <c r="B1740">
        <v>76259305</v>
      </c>
      <c r="C1740" t="s">
        <v>7558</v>
      </c>
      <c r="D1740" t="s">
        <v>7559</v>
      </c>
      <c r="E1740">
        <v>4508714</v>
      </c>
      <c r="F1740" t="s">
        <v>742</v>
      </c>
      <c r="G1740" t="s">
        <v>743</v>
      </c>
      <c r="H1740" t="s">
        <v>7547</v>
      </c>
      <c r="I1740" s="12">
        <v>46078</v>
      </c>
      <c r="J1740">
        <v>1</v>
      </c>
      <c r="K1740" t="str">
        <f>VLOOKUP(A1740,'TV May Monthly Billing Sites'!$A:$L,1,0)</f>
        <v>76259305</v>
      </c>
    </row>
    <row r="1741" spans="1:12">
      <c r="A1741" t="str">
        <f t="shared" si="27"/>
        <v>76259370</v>
      </c>
      <c r="B1741">
        <v>76259370</v>
      </c>
      <c r="C1741" t="s">
        <v>7560</v>
      </c>
      <c r="D1741" t="s">
        <v>7561</v>
      </c>
      <c r="E1741">
        <v>4508714</v>
      </c>
      <c r="F1741" t="s">
        <v>742</v>
      </c>
      <c r="G1741" t="s">
        <v>743</v>
      </c>
      <c r="H1741" t="s">
        <v>6751</v>
      </c>
      <c r="I1741" s="12">
        <v>46066</v>
      </c>
      <c r="J1741">
        <v>1</v>
      </c>
      <c r="K1741" t="str">
        <f>VLOOKUP(A1741,'TV May Monthly Billing Sites'!$A:$L,1,0)</f>
        <v>76259370</v>
      </c>
    </row>
    <row r="1742" spans="1:12">
      <c r="A1742" t="str">
        <f t="shared" si="27"/>
        <v>76259838</v>
      </c>
      <c r="B1742">
        <v>76259838</v>
      </c>
      <c r="C1742" t="s">
        <v>1251</v>
      </c>
      <c r="D1742" t="s">
        <v>1252</v>
      </c>
      <c r="E1742">
        <v>4508714</v>
      </c>
      <c r="F1742" t="s">
        <v>742</v>
      </c>
      <c r="G1742" t="s">
        <v>743</v>
      </c>
      <c r="H1742" t="s">
        <v>1253</v>
      </c>
      <c r="I1742" s="12">
        <v>46101</v>
      </c>
      <c r="J1742">
        <v>1</v>
      </c>
      <c r="K1742" t="e">
        <f>VLOOKUP(A1742,'TV May Monthly Billing Sites'!$A:$L,1,0)</f>
        <v>#N/A</v>
      </c>
      <c r="L1742" t="e">
        <f>VLOOKUP(D1742,'TV May Monthly Billing Sites'!$B:$L,1,0)</f>
        <v>#N/A</v>
      </c>
    </row>
    <row r="1743" spans="1:12">
      <c r="A1743" t="str">
        <f t="shared" si="27"/>
        <v>76259847</v>
      </c>
      <c r="B1743">
        <v>76259847</v>
      </c>
      <c r="C1743" t="s">
        <v>1255</v>
      </c>
      <c r="D1743" t="s">
        <v>1256</v>
      </c>
      <c r="E1743">
        <v>4508714</v>
      </c>
      <c r="F1743" t="s">
        <v>742</v>
      </c>
      <c r="G1743" t="s">
        <v>743</v>
      </c>
      <c r="H1743" t="s">
        <v>1253</v>
      </c>
      <c r="I1743" s="12">
        <v>46101</v>
      </c>
      <c r="J1743">
        <v>1</v>
      </c>
      <c r="K1743" t="e">
        <f>VLOOKUP(A1743,'TV May Monthly Billing Sites'!$A:$L,1,0)</f>
        <v>#N/A</v>
      </c>
      <c r="L1743" t="e">
        <f>VLOOKUP(D1743,'TV May Monthly Billing Sites'!$B:$L,1,0)</f>
        <v>#N/A</v>
      </c>
    </row>
    <row r="1744" spans="1:12">
      <c r="A1744" t="str">
        <f t="shared" si="27"/>
        <v>76260184</v>
      </c>
      <c r="B1744">
        <v>76260184</v>
      </c>
      <c r="C1744" t="s">
        <v>7562</v>
      </c>
      <c r="D1744" t="s">
        <v>7563</v>
      </c>
      <c r="E1744">
        <v>4508714</v>
      </c>
      <c r="F1744" t="s">
        <v>742</v>
      </c>
      <c r="G1744" t="s">
        <v>743</v>
      </c>
      <c r="H1744" t="s">
        <v>5970</v>
      </c>
      <c r="I1744" s="12">
        <v>46118</v>
      </c>
      <c r="J1744">
        <v>1</v>
      </c>
      <c r="K1744" t="e">
        <f>VLOOKUP(A1744,'TV May Monthly Billing Sites'!$A:$L,1,0)</f>
        <v>#N/A</v>
      </c>
      <c r="L1744" t="str">
        <f>VLOOKUP(D1744,'TV May Monthly Billing Sites'!$B:$L,1,0)</f>
        <v>Premier Ford of Lamesa</v>
      </c>
    </row>
    <row r="1745" spans="2:10">
      <c r="B1745" t="s">
        <v>7564</v>
      </c>
      <c r="J1745">
        <v>1749</v>
      </c>
    </row>
  </sheetData>
  <autoFilter ref="A1:L1745" xr:uid="{BA405628-A493-4011-A9F7-1076D5097925}"/>
  <sortState xmlns:xlrd2="http://schemas.microsoft.com/office/spreadsheetml/2017/richdata2" ref="A2:K1745">
    <sortCondition ref="B2:B1745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D3A25-4AA9-48D9-B710-879B3BA76F20}">
  <dimension ref="A1:J484"/>
  <sheetViews>
    <sheetView topLeftCell="C325" workbookViewId="0">
      <selection activeCell="F480" sqref="F480"/>
    </sheetView>
  </sheetViews>
  <sheetFormatPr defaultRowHeight="15"/>
  <cols>
    <col min="1" max="1" width="15.28515625" customWidth="1"/>
    <col min="2" max="2" width="12.28515625" bestFit="1" customWidth="1"/>
    <col min="3" max="3" width="20.5703125" bestFit="1" customWidth="1"/>
    <col min="4" max="4" width="51.85546875" customWidth="1"/>
    <col min="5" max="5" width="20.5703125" bestFit="1" customWidth="1"/>
    <col min="6" max="6" width="14.5703125" bestFit="1" customWidth="1"/>
    <col min="7" max="7" width="41.7109375" bestFit="1" customWidth="1"/>
    <col min="8" max="8" width="5.28515625" bestFit="1" customWidth="1"/>
    <col min="9" max="9" width="15.28515625" style="12" bestFit="1" customWidth="1"/>
    <col min="10" max="10" width="5.28515625" bestFit="1" customWidth="1"/>
    <col min="12" max="13" width="24.42578125" bestFit="1" customWidth="1"/>
  </cols>
  <sheetData>
    <row r="1" spans="1:10">
      <c r="A1" t="s">
        <v>25</v>
      </c>
    </row>
    <row r="2" spans="1:10">
      <c r="A2" t="str">
        <f t="shared" ref="A2:A65" si="0">TRIM(B2)</f>
        <v>01012201</v>
      </c>
      <c r="B2" t="s">
        <v>378</v>
      </c>
      <c r="C2" t="s">
        <v>7565</v>
      </c>
      <c r="D2" t="s">
        <v>7566</v>
      </c>
      <c r="E2">
        <v>4508714</v>
      </c>
      <c r="F2" t="s">
        <v>4653</v>
      </c>
      <c r="G2" t="s">
        <v>743</v>
      </c>
      <c r="H2" t="s">
        <v>7567</v>
      </c>
      <c r="I2" s="12">
        <v>46009</v>
      </c>
      <c r="J2">
        <v>1</v>
      </c>
    </row>
    <row r="3" spans="1:10">
      <c r="A3" t="str">
        <f t="shared" si="0"/>
        <v>01012202</v>
      </c>
      <c r="B3" t="s">
        <v>381</v>
      </c>
      <c r="C3" t="s">
        <v>7568</v>
      </c>
      <c r="D3" t="s">
        <v>382</v>
      </c>
      <c r="E3">
        <v>4508714</v>
      </c>
      <c r="F3" t="s">
        <v>4653</v>
      </c>
      <c r="G3" t="s">
        <v>743</v>
      </c>
      <c r="H3" t="s">
        <v>7567</v>
      </c>
      <c r="I3" s="12">
        <v>46009</v>
      </c>
      <c r="J3">
        <v>1</v>
      </c>
    </row>
    <row r="4" spans="1:10">
      <c r="A4" t="str">
        <f t="shared" si="0"/>
        <v>01013501</v>
      </c>
      <c r="B4" t="s">
        <v>384</v>
      </c>
      <c r="C4" t="s">
        <v>7569</v>
      </c>
      <c r="D4" t="s">
        <v>7570</v>
      </c>
      <c r="E4">
        <v>4508714</v>
      </c>
      <c r="F4" t="s">
        <v>4653</v>
      </c>
      <c r="G4" t="s">
        <v>743</v>
      </c>
      <c r="H4" t="s">
        <v>7571</v>
      </c>
      <c r="I4" s="12">
        <v>46052</v>
      </c>
      <c r="J4">
        <v>1</v>
      </c>
    </row>
    <row r="5" spans="1:10">
      <c r="A5" t="str">
        <f t="shared" si="0"/>
        <v>01013502</v>
      </c>
      <c r="B5" t="s">
        <v>387</v>
      </c>
      <c r="C5" t="s">
        <v>7572</v>
      </c>
      <c r="D5" t="s">
        <v>7573</v>
      </c>
      <c r="E5">
        <v>4508714</v>
      </c>
      <c r="F5" t="s">
        <v>4653</v>
      </c>
      <c r="G5" t="s">
        <v>743</v>
      </c>
      <c r="H5" t="s">
        <v>7571</v>
      </c>
      <c r="I5" s="12">
        <v>46052</v>
      </c>
      <c r="J5">
        <v>1</v>
      </c>
    </row>
    <row r="6" spans="1:10">
      <c r="A6" t="str">
        <f t="shared" si="0"/>
        <v>01029501</v>
      </c>
      <c r="B6" t="s">
        <v>390</v>
      </c>
      <c r="C6" t="s">
        <v>7574</v>
      </c>
      <c r="D6" t="s">
        <v>7575</v>
      </c>
      <c r="E6">
        <v>4508714</v>
      </c>
      <c r="F6" t="s">
        <v>4653</v>
      </c>
      <c r="G6" t="s">
        <v>743</v>
      </c>
      <c r="H6" t="s">
        <v>7576</v>
      </c>
      <c r="I6" s="12">
        <v>46015</v>
      </c>
      <c r="J6">
        <v>1</v>
      </c>
    </row>
    <row r="7" spans="1:10">
      <c r="A7" t="str">
        <f t="shared" si="0"/>
        <v>01192201</v>
      </c>
      <c r="B7" t="s">
        <v>7577</v>
      </c>
      <c r="C7" t="s">
        <v>7578</v>
      </c>
      <c r="D7" t="s">
        <v>7579</v>
      </c>
      <c r="E7">
        <v>4508714</v>
      </c>
      <c r="F7" t="s">
        <v>4653</v>
      </c>
      <c r="G7" t="s">
        <v>743</v>
      </c>
      <c r="H7" t="s">
        <v>7580</v>
      </c>
      <c r="I7" s="12">
        <v>46023</v>
      </c>
      <c r="J7">
        <v>1</v>
      </c>
    </row>
    <row r="8" spans="1:10">
      <c r="A8" t="str">
        <f t="shared" si="0"/>
        <v>01325739</v>
      </c>
      <c r="B8" t="s">
        <v>393</v>
      </c>
      <c r="C8" t="s">
        <v>7581</v>
      </c>
      <c r="D8" t="s">
        <v>394</v>
      </c>
      <c r="E8">
        <v>4408593</v>
      </c>
      <c r="F8" t="s">
        <v>4653</v>
      </c>
      <c r="G8" t="s">
        <v>782</v>
      </c>
      <c r="H8" t="s">
        <v>7582</v>
      </c>
      <c r="I8" s="12">
        <v>45845</v>
      </c>
      <c r="J8">
        <v>1</v>
      </c>
    </row>
    <row r="9" spans="1:10">
      <c r="A9" t="str">
        <f t="shared" si="0"/>
        <v>01326145</v>
      </c>
      <c r="B9" t="s">
        <v>396</v>
      </c>
      <c r="C9" t="s">
        <v>7583</v>
      </c>
      <c r="D9" t="s">
        <v>7584</v>
      </c>
      <c r="E9">
        <v>4508714</v>
      </c>
      <c r="F9" t="s">
        <v>4653</v>
      </c>
      <c r="G9" t="s">
        <v>743</v>
      </c>
      <c r="H9" t="s">
        <v>4775</v>
      </c>
      <c r="I9" s="12">
        <v>46055</v>
      </c>
      <c r="J9">
        <v>1</v>
      </c>
    </row>
    <row r="10" spans="1:10">
      <c r="A10" t="str">
        <f t="shared" si="0"/>
        <v>05400127</v>
      </c>
      <c r="B10" t="s">
        <v>7585</v>
      </c>
      <c r="C10" t="s">
        <v>7586</v>
      </c>
      <c r="D10" t="s">
        <v>7587</v>
      </c>
      <c r="E10">
        <v>4508714</v>
      </c>
      <c r="F10" t="s">
        <v>4653</v>
      </c>
      <c r="G10" t="s">
        <v>743</v>
      </c>
      <c r="H10" t="s">
        <v>7588</v>
      </c>
      <c r="I10" s="12">
        <v>46107</v>
      </c>
      <c r="J10">
        <v>1</v>
      </c>
    </row>
    <row r="11" spans="1:10">
      <c r="A11" t="str">
        <f t="shared" si="0"/>
        <v>05400206</v>
      </c>
      <c r="B11" t="s">
        <v>7589</v>
      </c>
      <c r="C11" t="s">
        <v>7590</v>
      </c>
      <c r="D11" t="s">
        <v>7591</v>
      </c>
      <c r="E11">
        <v>4508714</v>
      </c>
      <c r="F11" t="s">
        <v>4653</v>
      </c>
      <c r="G11" t="s">
        <v>743</v>
      </c>
      <c r="H11" t="s">
        <v>5248</v>
      </c>
      <c r="I11" s="12">
        <v>46002</v>
      </c>
      <c r="J11">
        <v>1</v>
      </c>
    </row>
    <row r="12" spans="1:10">
      <c r="A12" t="str">
        <f t="shared" si="0"/>
        <v>05700227</v>
      </c>
      <c r="B12" t="s">
        <v>7592</v>
      </c>
      <c r="C12" t="s">
        <v>7593</v>
      </c>
      <c r="D12" t="s">
        <v>7594</v>
      </c>
      <c r="E12">
        <v>4508714</v>
      </c>
      <c r="F12" t="s">
        <v>4653</v>
      </c>
      <c r="G12" t="s">
        <v>743</v>
      </c>
      <c r="H12" t="s">
        <v>7595</v>
      </c>
      <c r="I12" s="12">
        <v>45961</v>
      </c>
      <c r="J12">
        <v>1</v>
      </c>
    </row>
    <row r="13" spans="1:10">
      <c r="A13" t="str">
        <f t="shared" si="0"/>
        <v>08300388</v>
      </c>
      <c r="B13" t="s">
        <v>7596</v>
      </c>
      <c r="C13" t="s">
        <v>7597</v>
      </c>
      <c r="D13" t="s">
        <v>7598</v>
      </c>
      <c r="E13">
        <v>4508714</v>
      </c>
      <c r="F13" t="s">
        <v>4653</v>
      </c>
      <c r="G13" t="s">
        <v>743</v>
      </c>
      <c r="H13" t="s">
        <v>778</v>
      </c>
      <c r="I13" s="12">
        <v>46077</v>
      </c>
      <c r="J13">
        <v>1</v>
      </c>
    </row>
    <row r="14" spans="1:10">
      <c r="A14" t="str">
        <f t="shared" si="0"/>
        <v>08320081</v>
      </c>
      <c r="B14" t="s">
        <v>399</v>
      </c>
      <c r="C14" t="s">
        <v>7599</v>
      </c>
      <c r="D14" t="s">
        <v>7600</v>
      </c>
      <c r="E14">
        <v>4408593</v>
      </c>
      <c r="F14" t="s">
        <v>4653</v>
      </c>
      <c r="G14" t="s">
        <v>782</v>
      </c>
      <c r="H14" t="s">
        <v>7601</v>
      </c>
      <c r="I14" s="12">
        <v>45707</v>
      </c>
      <c r="J14">
        <v>1</v>
      </c>
    </row>
    <row r="15" spans="1:10">
      <c r="A15" t="str">
        <f t="shared" si="0"/>
        <v>08320100</v>
      </c>
      <c r="B15" t="s">
        <v>7602</v>
      </c>
      <c r="C15" t="s">
        <v>7603</v>
      </c>
      <c r="D15" t="s">
        <v>7604</v>
      </c>
      <c r="E15">
        <v>4508714</v>
      </c>
      <c r="F15" t="s">
        <v>4653</v>
      </c>
      <c r="G15" t="s">
        <v>743</v>
      </c>
      <c r="H15" t="s">
        <v>7604</v>
      </c>
      <c r="I15" s="12">
        <v>46064</v>
      </c>
      <c r="J15">
        <v>1</v>
      </c>
    </row>
    <row r="16" spans="1:10">
      <c r="A16" t="str">
        <f t="shared" si="0"/>
        <v>09025902</v>
      </c>
      <c r="B16" t="s">
        <v>402</v>
      </c>
      <c r="C16" t="s">
        <v>7605</v>
      </c>
      <c r="D16" t="s">
        <v>7606</v>
      </c>
      <c r="E16">
        <v>4508714</v>
      </c>
      <c r="F16" t="s">
        <v>4653</v>
      </c>
      <c r="G16" t="s">
        <v>743</v>
      </c>
      <c r="H16" t="s">
        <v>403</v>
      </c>
      <c r="I16" s="12">
        <v>46080</v>
      </c>
      <c r="J16">
        <v>1</v>
      </c>
    </row>
    <row r="17" spans="1:10">
      <c r="A17" t="str">
        <f t="shared" si="0"/>
        <v>09126701</v>
      </c>
      <c r="B17" t="s">
        <v>7607</v>
      </c>
      <c r="C17" t="s">
        <v>7608</v>
      </c>
      <c r="D17" t="s">
        <v>7609</v>
      </c>
      <c r="E17">
        <v>4508714</v>
      </c>
      <c r="F17" t="s">
        <v>4653</v>
      </c>
      <c r="G17" t="s">
        <v>743</v>
      </c>
      <c r="H17" t="s">
        <v>5289</v>
      </c>
      <c r="I17" s="12">
        <v>46139</v>
      </c>
      <c r="J17">
        <v>1</v>
      </c>
    </row>
    <row r="18" spans="1:10">
      <c r="A18" t="str">
        <f t="shared" si="0"/>
        <v>09130701</v>
      </c>
      <c r="B18" t="s">
        <v>7610</v>
      </c>
      <c r="C18" t="s">
        <v>7611</v>
      </c>
      <c r="D18" t="s">
        <v>7612</v>
      </c>
      <c r="E18">
        <v>4508714</v>
      </c>
      <c r="F18" t="s">
        <v>4653</v>
      </c>
      <c r="G18" t="s">
        <v>743</v>
      </c>
      <c r="H18" t="s">
        <v>7612</v>
      </c>
      <c r="I18" s="12">
        <v>46143</v>
      </c>
      <c r="J18">
        <v>1</v>
      </c>
    </row>
    <row r="19" spans="1:10">
      <c r="A19" t="str">
        <f t="shared" si="0"/>
        <v>09187655</v>
      </c>
      <c r="B19" t="s">
        <v>7613</v>
      </c>
      <c r="C19" t="s">
        <v>7614</v>
      </c>
      <c r="D19" t="s">
        <v>7615</v>
      </c>
      <c r="E19">
        <v>4508714</v>
      </c>
      <c r="F19" t="s">
        <v>4653</v>
      </c>
      <c r="G19" t="s">
        <v>743</v>
      </c>
      <c r="H19" t="s">
        <v>7615</v>
      </c>
      <c r="I19" s="12">
        <v>46045</v>
      </c>
      <c r="J19">
        <v>1</v>
      </c>
    </row>
    <row r="20" spans="1:10">
      <c r="A20" t="str">
        <f t="shared" si="0"/>
        <v>13388601</v>
      </c>
      <c r="B20">
        <v>13388601</v>
      </c>
      <c r="C20" t="s">
        <v>7616</v>
      </c>
      <c r="D20" t="s">
        <v>7617</v>
      </c>
      <c r="E20">
        <v>4508714</v>
      </c>
      <c r="F20" t="s">
        <v>4653</v>
      </c>
      <c r="G20" t="s">
        <v>743</v>
      </c>
      <c r="H20" t="s">
        <v>7588</v>
      </c>
      <c r="I20" s="12">
        <v>46107</v>
      </c>
      <c r="J20">
        <v>1</v>
      </c>
    </row>
    <row r="21" spans="1:10">
      <c r="A21" t="str">
        <f t="shared" si="0"/>
        <v>13438701</v>
      </c>
      <c r="B21">
        <v>13438701</v>
      </c>
      <c r="C21" t="s">
        <v>7618</v>
      </c>
      <c r="D21" t="s">
        <v>7619</v>
      </c>
      <c r="E21">
        <v>4508714</v>
      </c>
      <c r="F21" t="s">
        <v>4653</v>
      </c>
      <c r="G21" t="s">
        <v>743</v>
      </c>
      <c r="H21" t="s">
        <v>7256</v>
      </c>
      <c r="I21" s="12">
        <v>46143</v>
      </c>
      <c r="J21">
        <v>1</v>
      </c>
    </row>
    <row r="22" spans="1:10">
      <c r="A22" t="str">
        <f t="shared" si="0"/>
        <v>13497233</v>
      </c>
      <c r="B22">
        <v>13497233</v>
      </c>
      <c r="C22" t="s">
        <v>7620</v>
      </c>
      <c r="D22" t="s">
        <v>7621</v>
      </c>
      <c r="E22">
        <v>4508714</v>
      </c>
      <c r="F22" t="s">
        <v>4653</v>
      </c>
      <c r="G22" t="s">
        <v>743</v>
      </c>
      <c r="H22" t="s">
        <v>7588</v>
      </c>
      <c r="I22" s="12">
        <v>46107</v>
      </c>
      <c r="J22">
        <v>1</v>
      </c>
    </row>
    <row r="23" spans="1:10">
      <c r="A23" t="str">
        <f t="shared" si="0"/>
        <v>13497407</v>
      </c>
      <c r="B23">
        <v>13497407</v>
      </c>
      <c r="C23" t="s">
        <v>7622</v>
      </c>
      <c r="D23" t="s">
        <v>7623</v>
      </c>
      <c r="E23">
        <v>4508714</v>
      </c>
      <c r="F23" t="s">
        <v>4653</v>
      </c>
      <c r="G23" t="s">
        <v>743</v>
      </c>
      <c r="H23" t="s">
        <v>7256</v>
      </c>
      <c r="I23" s="12">
        <v>46143</v>
      </c>
      <c r="J23">
        <v>1</v>
      </c>
    </row>
    <row r="24" spans="1:10">
      <c r="A24" t="str">
        <f>TRIM(B24)</f>
        <v>13497898</v>
      </c>
      <c r="B24">
        <v>13497898</v>
      </c>
      <c r="C24" t="s">
        <v>7624</v>
      </c>
      <c r="D24" t="s">
        <v>7625</v>
      </c>
      <c r="E24">
        <v>4508714</v>
      </c>
      <c r="F24" t="s">
        <v>4653</v>
      </c>
      <c r="G24" t="s">
        <v>743</v>
      </c>
      <c r="H24" t="s">
        <v>7625</v>
      </c>
      <c r="I24" s="12">
        <v>46098</v>
      </c>
      <c r="J24">
        <v>1</v>
      </c>
    </row>
    <row r="25" spans="1:10">
      <c r="A25" t="str">
        <f t="shared" si="0"/>
        <v>13498058</v>
      </c>
      <c r="B25">
        <v>13498058</v>
      </c>
      <c r="C25" t="s">
        <v>7626</v>
      </c>
      <c r="D25" t="s">
        <v>7627</v>
      </c>
      <c r="E25">
        <v>4508714</v>
      </c>
      <c r="F25" t="s">
        <v>4653</v>
      </c>
      <c r="G25" t="s">
        <v>743</v>
      </c>
      <c r="H25" t="s">
        <v>406</v>
      </c>
      <c r="I25" s="12">
        <v>46079</v>
      </c>
      <c r="J25">
        <v>1</v>
      </c>
    </row>
    <row r="26" spans="1:10">
      <c r="A26" t="str">
        <f t="shared" si="0"/>
        <v>13498091</v>
      </c>
      <c r="B26">
        <v>13498091</v>
      </c>
      <c r="C26" t="s">
        <v>7628</v>
      </c>
      <c r="D26" t="s">
        <v>1749</v>
      </c>
      <c r="E26">
        <v>4508714</v>
      </c>
      <c r="F26" t="s">
        <v>4653</v>
      </c>
      <c r="G26" t="s">
        <v>743</v>
      </c>
      <c r="H26" t="s">
        <v>5008</v>
      </c>
      <c r="I26" s="12">
        <v>46125</v>
      </c>
      <c r="J26">
        <v>1</v>
      </c>
    </row>
    <row r="27" spans="1:10">
      <c r="A27" t="str">
        <f t="shared" si="0"/>
        <v>17175701</v>
      </c>
      <c r="B27">
        <v>17175701</v>
      </c>
      <c r="C27" t="s">
        <v>7629</v>
      </c>
      <c r="D27" t="s">
        <v>7630</v>
      </c>
      <c r="E27">
        <v>4508714</v>
      </c>
      <c r="F27" t="s">
        <v>4653</v>
      </c>
      <c r="G27" t="s">
        <v>743</v>
      </c>
      <c r="H27" t="s">
        <v>5637</v>
      </c>
      <c r="I27" s="12">
        <v>46083</v>
      </c>
      <c r="J27">
        <v>1</v>
      </c>
    </row>
    <row r="28" spans="1:10">
      <c r="A28" t="str">
        <f t="shared" si="0"/>
        <v>17175702</v>
      </c>
      <c r="B28">
        <v>17175702</v>
      </c>
      <c r="C28" t="s">
        <v>7631</v>
      </c>
      <c r="D28" t="s">
        <v>7632</v>
      </c>
      <c r="E28">
        <v>4508714</v>
      </c>
      <c r="F28" t="s">
        <v>4653</v>
      </c>
      <c r="G28" t="s">
        <v>743</v>
      </c>
      <c r="H28" t="s">
        <v>5637</v>
      </c>
      <c r="I28" s="12">
        <v>46083</v>
      </c>
      <c r="J28">
        <v>1</v>
      </c>
    </row>
    <row r="29" spans="1:10">
      <c r="A29" t="str">
        <f t="shared" si="0"/>
        <v>17237901</v>
      </c>
      <c r="B29">
        <v>17237901</v>
      </c>
      <c r="C29" t="s">
        <v>7633</v>
      </c>
      <c r="D29" t="s">
        <v>7634</v>
      </c>
      <c r="E29">
        <v>4508714</v>
      </c>
      <c r="F29" t="s">
        <v>4653</v>
      </c>
      <c r="G29" t="s">
        <v>743</v>
      </c>
      <c r="H29" t="s">
        <v>5808</v>
      </c>
      <c r="I29" s="12">
        <v>46073</v>
      </c>
      <c r="J29">
        <v>1</v>
      </c>
    </row>
    <row r="30" spans="1:10">
      <c r="A30" t="str">
        <f t="shared" si="0"/>
        <v>17249901</v>
      </c>
      <c r="B30">
        <v>17249901</v>
      </c>
      <c r="C30" t="s">
        <v>7635</v>
      </c>
      <c r="D30" t="s">
        <v>7636</v>
      </c>
      <c r="E30">
        <v>4508714</v>
      </c>
      <c r="F30" t="s">
        <v>4653</v>
      </c>
      <c r="G30" t="s">
        <v>743</v>
      </c>
      <c r="H30" t="s">
        <v>6751</v>
      </c>
      <c r="I30" s="12">
        <v>46020</v>
      </c>
      <c r="J30">
        <v>1</v>
      </c>
    </row>
    <row r="31" spans="1:10">
      <c r="A31" t="str">
        <f t="shared" si="0"/>
        <v>17314673</v>
      </c>
      <c r="B31">
        <v>17314673</v>
      </c>
      <c r="C31" t="s">
        <v>7637</v>
      </c>
      <c r="D31" t="s">
        <v>7638</v>
      </c>
      <c r="E31">
        <v>4508714</v>
      </c>
      <c r="F31" t="s">
        <v>4653</v>
      </c>
      <c r="G31" t="s">
        <v>743</v>
      </c>
      <c r="H31" t="s">
        <v>6885</v>
      </c>
      <c r="I31" s="12">
        <v>46112</v>
      </c>
      <c r="J31">
        <v>1</v>
      </c>
    </row>
    <row r="32" spans="1:10">
      <c r="A32" t="str">
        <f t="shared" si="0"/>
        <v>17315796</v>
      </c>
      <c r="B32">
        <v>17315796</v>
      </c>
      <c r="C32" t="s">
        <v>7639</v>
      </c>
      <c r="D32" t="s">
        <v>7640</v>
      </c>
      <c r="E32">
        <v>4508714</v>
      </c>
      <c r="F32" t="s">
        <v>4653</v>
      </c>
      <c r="G32" t="s">
        <v>743</v>
      </c>
      <c r="H32" t="s">
        <v>7641</v>
      </c>
      <c r="I32" s="12">
        <v>46051</v>
      </c>
      <c r="J32">
        <v>1</v>
      </c>
    </row>
    <row r="33" spans="1:10">
      <c r="A33" t="str">
        <f t="shared" si="0"/>
        <v>17315848</v>
      </c>
      <c r="B33">
        <v>17315848</v>
      </c>
      <c r="C33" t="s">
        <v>7642</v>
      </c>
      <c r="D33" t="s">
        <v>7643</v>
      </c>
      <c r="E33">
        <v>4508714</v>
      </c>
      <c r="F33" t="s">
        <v>4653</v>
      </c>
      <c r="G33" t="s">
        <v>743</v>
      </c>
      <c r="H33" t="s">
        <v>7644</v>
      </c>
      <c r="I33" s="12">
        <v>46142</v>
      </c>
      <c r="J33">
        <v>1</v>
      </c>
    </row>
    <row r="34" spans="1:10">
      <c r="A34" t="str">
        <f t="shared" si="0"/>
        <v>25003301</v>
      </c>
      <c r="B34">
        <v>25003301</v>
      </c>
      <c r="C34" t="s">
        <v>7645</v>
      </c>
      <c r="D34" t="s">
        <v>7646</v>
      </c>
      <c r="E34">
        <v>4508714</v>
      </c>
      <c r="F34" t="s">
        <v>4653</v>
      </c>
      <c r="G34" t="s">
        <v>743</v>
      </c>
      <c r="H34" t="s">
        <v>7646</v>
      </c>
      <c r="I34" s="12">
        <v>46142</v>
      </c>
      <c r="J34">
        <v>1</v>
      </c>
    </row>
    <row r="35" spans="1:10">
      <c r="A35" t="str">
        <f t="shared" si="0"/>
        <v>25111201</v>
      </c>
      <c r="B35">
        <v>25111201</v>
      </c>
      <c r="C35" t="s">
        <v>7647</v>
      </c>
      <c r="D35" t="s">
        <v>412</v>
      </c>
      <c r="E35">
        <v>4508714</v>
      </c>
      <c r="F35" t="s">
        <v>4653</v>
      </c>
      <c r="G35" t="s">
        <v>743</v>
      </c>
      <c r="H35" t="s">
        <v>7648</v>
      </c>
      <c r="I35" s="12">
        <v>46022</v>
      </c>
      <c r="J35">
        <v>1</v>
      </c>
    </row>
    <row r="36" spans="1:10">
      <c r="A36" t="str">
        <f t="shared" si="0"/>
        <v>25149301</v>
      </c>
      <c r="B36">
        <v>25149301</v>
      </c>
      <c r="C36" t="s">
        <v>7649</v>
      </c>
      <c r="D36" t="s">
        <v>1265</v>
      </c>
      <c r="E36">
        <v>4508714</v>
      </c>
      <c r="F36" t="s">
        <v>4653</v>
      </c>
      <c r="G36" t="s">
        <v>743</v>
      </c>
      <c r="H36" t="s">
        <v>5086</v>
      </c>
      <c r="I36" s="12">
        <v>46140</v>
      </c>
      <c r="J36">
        <v>1</v>
      </c>
    </row>
    <row r="37" spans="1:10">
      <c r="A37" t="str">
        <f t="shared" si="0"/>
        <v>25149302</v>
      </c>
      <c r="B37">
        <v>25149302</v>
      </c>
      <c r="C37" t="s">
        <v>7650</v>
      </c>
      <c r="D37" t="s">
        <v>415</v>
      </c>
      <c r="E37">
        <v>4508714</v>
      </c>
      <c r="F37" t="s">
        <v>4653</v>
      </c>
      <c r="G37" t="s">
        <v>743</v>
      </c>
      <c r="H37" t="s">
        <v>5086</v>
      </c>
      <c r="I37" s="12">
        <v>46141</v>
      </c>
      <c r="J37">
        <v>1</v>
      </c>
    </row>
    <row r="38" spans="1:10">
      <c r="A38" t="str">
        <f t="shared" si="0"/>
        <v>25149306</v>
      </c>
      <c r="B38">
        <v>25149306</v>
      </c>
      <c r="C38" t="s">
        <v>7651</v>
      </c>
      <c r="D38" t="s">
        <v>1268</v>
      </c>
      <c r="E38">
        <v>4508714</v>
      </c>
      <c r="F38" t="s">
        <v>4653</v>
      </c>
      <c r="G38" t="s">
        <v>743</v>
      </c>
      <c r="H38" t="s">
        <v>5086</v>
      </c>
      <c r="I38" s="12">
        <v>46141</v>
      </c>
      <c r="J38">
        <v>1</v>
      </c>
    </row>
    <row r="39" spans="1:10">
      <c r="A39" t="str">
        <f t="shared" si="0"/>
        <v>25155812</v>
      </c>
      <c r="B39">
        <v>25155812</v>
      </c>
      <c r="C39" t="s">
        <v>7652</v>
      </c>
      <c r="D39" t="s">
        <v>1821</v>
      </c>
      <c r="E39">
        <v>4408593</v>
      </c>
      <c r="F39" t="s">
        <v>4653</v>
      </c>
      <c r="G39" t="s">
        <v>782</v>
      </c>
      <c r="H39" t="s">
        <v>5088</v>
      </c>
      <c r="I39" s="12">
        <v>46139</v>
      </c>
      <c r="J39">
        <v>1</v>
      </c>
    </row>
    <row r="40" spans="1:10">
      <c r="A40" t="str">
        <f t="shared" si="0"/>
        <v>25202101</v>
      </c>
      <c r="B40">
        <v>25202101</v>
      </c>
      <c r="C40" t="s">
        <v>7653</v>
      </c>
      <c r="D40" t="s">
        <v>7654</v>
      </c>
      <c r="E40">
        <v>4508714</v>
      </c>
      <c r="F40" t="s">
        <v>4653</v>
      </c>
      <c r="G40" t="s">
        <v>743</v>
      </c>
      <c r="H40" t="s">
        <v>7655</v>
      </c>
      <c r="I40" s="12">
        <v>45836</v>
      </c>
      <c r="J40">
        <v>1</v>
      </c>
    </row>
    <row r="41" spans="1:10">
      <c r="A41" t="str">
        <f t="shared" si="0"/>
        <v>25212501</v>
      </c>
      <c r="B41">
        <v>25212501</v>
      </c>
      <c r="C41" t="s">
        <v>7656</v>
      </c>
      <c r="D41" t="s">
        <v>418</v>
      </c>
      <c r="E41">
        <v>4508714</v>
      </c>
      <c r="F41" t="s">
        <v>4653</v>
      </c>
      <c r="G41" t="s">
        <v>743</v>
      </c>
      <c r="H41" t="s">
        <v>5672</v>
      </c>
      <c r="I41" s="12">
        <v>46099</v>
      </c>
      <c r="J41">
        <v>1</v>
      </c>
    </row>
    <row r="42" spans="1:10">
      <c r="A42" t="str">
        <f t="shared" si="0"/>
        <v>25286001</v>
      </c>
      <c r="B42">
        <v>25286001</v>
      </c>
      <c r="C42" t="s">
        <v>7657</v>
      </c>
      <c r="D42" t="s">
        <v>7658</v>
      </c>
      <c r="E42">
        <v>4508714</v>
      </c>
      <c r="F42" t="s">
        <v>4653</v>
      </c>
      <c r="G42" t="s">
        <v>743</v>
      </c>
      <c r="H42" t="s">
        <v>7659</v>
      </c>
      <c r="I42" s="12">
        <v>45820</v>
      </c>
      <c r="J42">
        <v>1</v>
      </c>
    </row>
    <row r="43" spans="1:10">
      <c r="A43" t="str">
        <f t="shared" si="0"/>
        <v>25298903</v>
      </c>
      <c r="B43">
        <v>25298903</v>
      </c>
      <c r="C43" t="s">
        <v>7660</v>
      </c>
      <c r="D43" t="s">
        <v>7661</v>
      </c>
      <c r="E43">
        <v>4508675</v>
      </c>
      <c r="F43" t="s">
        <v>4653</v>
      </c>
      <c r="G43" t="s">
        <v>828</v>
      </c>
      <c r="H43" t="s">
        <v>5121</v>
      </c>
      <c r="I43" s="12">
        <v>46073</v>
      </c>
      <c r="J43">
        <v>1</v>
      </c>
    </row>
    <row r="44" spans="1:10">
      <c r="A44" t="str">
        <f t="shared" si="0"/>
        <v>25298998</v>
      </c>
      <c r="B44">
        <v>25298998</v>
      </c>
      <c r="C44" t="s">
        <v>7662</v>
      </c>
      <c r="D44" t="s">
        <v>421</v>
      </c>
      <c r="E44">
        <v>4508714</v>
      </c>
      <c r="F44" t="s">
        <v>4653</v>
      </c>
      <c r="G44" t="s">
        <v>743</v>
      </c>
      <c r="H44" t="s">
        <v>421</v>
      </c>
      <c r="I44" s="12">
        <v>45936</v>
      </c>
      <c r="J44">
        <v>1</v>
      </c>
    </row>
    <row r="45" spans="1:10">
      <c r="A45" t="str">
        <f t="shared" si="0"/>
        <v>25300610</v>
      </c>
      <c r="B45">
        <v>25300610</v>
      </c>
      <c r="C45" t="s">
        <v>7663</v>
      </c>
      <c r="D45" t="s">
        <v>7664</v>
      </c>
      <c r="E45">
        <v>4508714</v>
      </c>
      <c r="F45" t="s">
        <v>4653</v>
      </c>
      <c r="G45" t="s">
        <v>743</v>
      </c>
      <c r="H45" t="s">
        <v>778</v>
      </c>
      <c r="I45" s="12">
        <v>46077</v>
      </c>
      <c r="J45">
        <v>1</v>
      </c>
    </row>
    <row r="46" spans="1:10">
      <c r="A46" t="str">
        <f t="shared" si="0"/>
        <v>29115799</v>
      </c>
      <c r="B46">
        <v>29115799</v>
      </c>
      <c r="C46" t="s">
        <v>7665</v>
      </c>
      <c r="D46" t="s">
        <v>7666</v>
      </c>
      <c r="E46">
        <v>4408593</v>
      </c>
      <c r="F46" t="s">
        <v>4653</v>
      </c>
      <c r="G46" t="s">
        <v>782</v>
      </c>
      <c r="H46" t="s">
        <v>7667</v>
      </c>
      <c r="I46" s="12">
        <v>46119</v>
      </c>
      <c r="J46">
        <v>1</v>
      </c>
    </row>
    <row r="47" spans="1:10">
      <c r="A47" t="str">
        <f t="shared" si="0"/>
        <v>33010201</v>
      </c>
      <c r="B47">
        <v>33010201</v>
      </c>
      <c r="C47" t="s">
        <v>7668</v>
      </c>
      <c r="D47" t="s">
        <v>7669</v>
      </c>
      <c r="E47">
        <v>4508714</v>
      </c>
      <c r="F47" t="s">
        <v>4653</v>
      </c>
      <c r="G47" t="s">
        <v>743</v>
      </c>
      <c r="H47" t="s">
        <v>4986</v>
      </c>
      <c r="I47" s="12">
        <v>46118</v>
      </c>
      <c r="J47">
        <v>1</v>
      </c>
    </row>
    <row r="48" spans="1:10">
      <c r="A48" t="str">
        <f t="shared" si="0"/>
        <v>40000630</v>
      </c>
      <c r="B48">
        <v>40000630</v>
      </c>
      <c r="C48" t="s">
        <v>7670</v>
      </c>
      <c r="D48" t="s">
        <v>7671</v>
      </c>
      <c r="E48">
        <v>4508714</v>
      </c>
      <c r="F48" t="s">
        <v>4653</v>
      </c>
      <c r="G48" t="s">
        <v>743</v>
      </c>
      <c r="H48" t="s">
        <v>6478</v>
      </c>
      <c r="I48" s="12">
        <v>46022</v>
      </c>
      <c r="J48">
        <v>1</v>
      </c>
    </row>
    <row r="49" spans="1:10">
      <c r="A49" t="str">
        <f t="shared" si="0"/>
        <v>41002701</v>
      </c>
      <c r="B49">
        <v>41002701</v>
      </c>
      <c r="C49" t="s">
        <v>7672</v>
      </c>
      <c r="D49" t="s">
        <v>7673</v>
      </c>
      <c r="E49">
        <v>4508714</v>
      </c>
      <c r="F49" t="s">
        <v>4653</v>
      </c>
      <c r="G49" t="s">
        <v>743</v>
      </c>
      <c r="H49" t="s">
        <v>7309</v>
      </c>
      <c r="I49" s="12">
        <v>46092</v>
      </c>
      <c r="J49">
        <v>1</v>
      </c>
    </row>
    <row r="50" spans="1:10">
      <c r="A50" t="str">
        <f t="shared" si="0"/>
        <v>42744701</v>
      </c>
      <c r="B50">
        <v>42744701</v>
      </c>
      <c r="C50" t="s">
        <v>7674</v>
      </c>
      <c r="D50" t="s">
        <v>7675</v>
      </c>
      <c r="E50">
        <v>4508714</v>
      </c>
      <c r="F50" t="s">
        <v>4653</v>
      </c>
      <c r="G50" t="s">
        <v>743</v>
      </c>
      <c r="H50" t="s">
        <v>7676</v>
      </c>
      <c r="I50" s="12">
        <v>46133</v>
      </c>
      <c r="J50">
        <v>1</v>
      </c>
    </row>
    <row r="51" spans="1:10">
      <c r="A51" t="str">
        <f t="shared" si="0"/>
        <v>43202801</v>
      </c>
      <c r="B51">
        <v>43202801</v>
      </c>
      <c r="C51" t="s">
        <v>7677</v>
      </c>
      <c r="D51" t="s">
        <v>7678</v>
      </c>
      <c r="E51">
        <v>4508714</v>
      </c>
      <c r="F51" t="s">
        <v>4653</v>
      </c>
      <c r="G51" t="s">
        <v>743</v>
      </c>
      <c r="H51" t="s">
        <v>4990</v>
      </c>
      <c r="I51" s="12">
        <v>46142</v>
      </c>
      <c r="J51">
        <v>1</v>
      </c>
    </row>
    <row r="52" spans="1:10">
      <c r="A52" t="str">
        <f t="shared" si="0"/>
        <v>44737301</v>
      </c>
      <c r="B52">
        <v>44737301</v>
      </c>
      <c r="C52" t="s">
        <v>7679</v>
      </c>
      <c r="D52" t="s">
        <v>7680</v>
      </c>
      <c r="E52">
        <v>4508714</v>
      </c>
      <c r="F52" t="s">
        <v>4653</v>
      </c>
      <c r="G52" t="s">
        <v>743</v>
      </c>
      <c r="H52" t="s">
        <v>7681</v>
      </c>
      <c r="I52" s="12">
        <v>46098</v>
      </c>
      <c r="J52">
        <v>1</v>
      </c>
    </row>
    <row r="53" spans="1:10">
      <c r="A53" t="str">
        <f t="shared" si="0"/>
        <v>44780001</v>
      </c>
      <c r="B53">
        <v>44780001</v>
      </c>
      <c r="C53" t="s">
        <v>7682</v>
      </c>
      <c r="D53" t="s">
        <v>427</v>
      </c>
      <c r="E53">
        <v>4508714</v>
      </c>
      <c r="F53" t="s">
        <v>4653</v>
      </c>
      <c r="G53" t="s">
        <v>743</v>
      </c>
      <c r="H53" t="s">
        <v>7683</v>
      </c>
      <c r="I53" s="12">
        <v>46080</v>
      </c>
      <c r="J53">
        <v>1</v>
      </c>
    </row>
    <row r="54" spans="1:10">
      <c r="A54" t="str">
        <f t="shared" si="0"/>
        <v>45602701</v>
      </c>
      <c r="B54">
        <v>45602701</v>
      </c>
      <c r="C54" t="s">
        <v>7684</v>
      </c>
      <c r="D54" t="s">
        <v>7685</v>
      </c>
      <c r="E54">
        <v>4508714</v>
      </c>
      <c r="F54" t="s">
        <v>4653</v>
      </c>
      <c r="G54" t="s">
        <v>743</v>
      </c>
      <c r="H54" t="s">
        <v>6478</v>
      </c>
      <c r="I54" s="12">
        <v>46022</v>
      </c>
      <c r="J54">
        <v>1</v>
      </c>
    </row>
    <row r="55" spans="1:10">
      <c r="A55" t="str">
        <f t="shared" si="0"/>
        <v>52082501</v>
      </c>
      <c r="B55">
        <v>52082501</v>
      </c>
      <c r="C55" t="s">
        <v>7686</v>
      </c>
      <c r="D55" t="s">
        <v>5239</v>
      </c>
      <c r="E55">
        <v>4508714</v>
      </c>
      <c r="F55" t="s">
        <v>4653</v>
      </c>
      <c r="G55" t="s">
        <v>743</v>
      </c>
      <c r="H55" t="s">
        <v>5240</v>
      </c>
      <c r="I55" s="12">
        <v>46092</v>
      </c>
      <c r="J55">
        <v>1</v>
      </c>
    </row>
    <row r="56" spans="1:10">
      <c r="A56" t="str">
        <f t="shared" si="0"/>
        <v>52359001</v>
      </c>
      <c r="B56">
        <v>52359001</v>
      </c>
      <c r="C56" t="s">
        <v>7687</v>
      </c>
      <c r="D56" t="s">
        <v>7688</v>
      </c>
      <c r="E56">
        <v>4508714</v>
      </c>
      <c r="F56" t="s">
        <v>4653</v>
      </c>
      <c r="G56" t="s">
        <v>743</v>
      </c>
      <c r="H56" t="s">
        <v>6943</v>
      </c>
      <c r="I56" s="12">
        <v>46142</v>
      </c>
      <c r="J56">
        <v>1</v>
      </c>
    </row>
    <row r="57" spans="1:10">
      <c r="A57" t="str">
        <f t="shared" si="0"/>
        <v>52457801</v>
      </c>
      <c r="B57">
        <v>52457801</v>
      </c>
      <c r="C57" t="s">
        <v>7689</v>
      </c>
      <c r="D57" t="s">
        <v>7690</v>
      </c>
      <c r="E57">
        <v>4508714</v>
      </c>
      <c r="F57" t="s">
        <v>4653</v>
      </c>
      <c r="G57" t="s">
        <v>743</v>
      </c>
      <c r="H57" t="s">
        <v>7690</v>
      </c>
      <c r="I57" s="12">
        <v>46133</v>
      </c>
      <c r="J57">
        <v>1</v>
      </c>
    </row>
    <row r="58" spans="1:10">
      <c r="A58" t="str">
        <f t="shared" si="0"/>
        <v>71034933</v>
      </c>
      <c r="B58">
        <v>71034933</v>
      </c>
      <c r="C58" t="s">
        <v>7691</v>
      </c>
      <c r="D58" t="s">
        <v>7692</v>
      </c>
      <c r="E58">
        <v>4508714</v>
      </c>
      <c r="F58" t="s">
        <v>4653</v>
      </c>
      <c r="G58" t="s">
        <v>743</v>
      </c>
      <c r="H58" t="s">
        <v>7571</v>
      </c>
      <c r="I58" s="12">
        <v>46052</v>
      </c>
      <c r="J58">
        <v>1</v>
      </c>
    </row>
    <row r="59" spans="1:10">
      <c r="A59" t="str">
        <f t="shared" si="0"/>
        <v>71040180</v>
      </c>
      <c r="B59">
        <v>71040180</v>
      </c>
      <c r="C59" t="s">
        <v>7693</v>
      </c>
      <c r="D59" t="s">
        <v>5288</v>
      </c>
      <c r="E59">
        <v>4508714</v>
      </c>
      <c r="F59" t="s">
        <v>4653</v>
      </c>
      <c r="G59" t="s">
        <v>743</v>
      </c>
      <c r="H59" t="s">
        <v>5289</v>
      </c>
      <c r="I59" s="12">
        <v>46141</v>
      </c>
      <c r="J59">
        <v>1</v>
      </c>
    </row>
    <row r="60" spans="1:10">
      <c r="A60" t="str">
        <f t="shared" si="0"/>
        <v>71041393</v>
      </c>
      <c r="B60">
        <v>71041393</v>
      </c>
      <c r="C60" t="s">
        <v>7694</v>
      </c>
      <c r="D60" t="s">
        <v>7695</v>
      </c>
      <c r="E60">
        <v>4508714</v>
      </c>
      <c r="F60" t="s">
        <v>4653</v>
      </c>
      <c r="G60" t="s">
        <v>743</v>
      </c>
      <c r="H60" t="s">
        <v>7696</v>
      </c>
      <c r="I60" s="12">
        <v>46115</v>
      </c>
      <c r="J60">
        <v>1</v>
      </c>
    </row>
    <row r="61" spans="1:10">
      <c r="A61" t="str">
        <f t="shared" si="0"/>
        <v>71042196</v>
      </c>
      <c r="B61">
        <v>71042196</v>
      </c>
      <c r="C61" t="s">
        <v>7697</v>
      </c>
      <c r="D61" t="s">
        <v>7698</v>
      </c>
      <c r="E61">
        <v>4508714</v>
      </c>
      <c r="F61" t="s">
        <v>4653</v>
      </c>
      <c r="G61" t="s">
        <v>743</v>
      </c>
      <c r="H61" t="s">
        <v>7698</v>
      </c>
      <c r="I61" s="12">
        <v>46091</v>
      </c>
      <c r="J61">
        <v>1</v>
      </c>
    </row>
    <row r="62" spans="1:10">
      <c r="A62" t="str">
        <f t="shared" si="0"/>
        <v>71042415</v>
      </c>
      <c r="B62">
        <v>71042415</v>
      </c>
      <c r="C62" t="s">
        <v>7699</v>
      </c>
      <c r="D62" t="s">
        <v>7700</v>
      </c>
      <c r="E62">
        <v>4508714</v>
      </c>
      <c r="F62" t="s">
        <v>4653</v>
      </c>
      <c r="G62" t="s">
        <v>743</v>
      </c>
      <c r="H62" t="s">
        <v>5312</v>
      </c>
      <c r="I62" s="12">
        <v>45937</v>
      </c>
      <c r="J62">
        <v>1</v>
      </c>
    </row>
    <row r="63" spans="1:10">
      <c r="A63" t="str">
        <f t="shared" si="0"/>
        <v>71046210</v>
      </c>
      <c r="B63">
        <v>71046210</v>
      </c>
      <c r="C63" t="s">
        <v>7701</v>
      </c>
      <c r="D63" t="s">
        <v>436</v>
      </c>
      <c r="E63">
        <v>4508685</v>
      </c>
      <c r="F63" t="s">
        <v>4653</v>
      </c>
      <c r="G63" t="s">
        <v>904</v>
      </c>
      <c r="H63" t="s">
        <v>905</v>
      </c>
      <c r="I63" s="12">
        <v>46024</v>
      </c>
      <c r="J63">
        <v>1</v>
      </c>
    </row>
    <row r="64" spans="1:10">
      <c r="A64" t="str">
        <f t="shared" si="0"/>
        <v>71046598</v>
      </c>
      <c r="B64">
        <v>71046598</v>
      </c>
      <c r="C64" t="s">
        <v>7702</v>
      </c>
      <c r="D64" t="s">
        <v>5360</v>
      </c>
      <c r="E64">
        <v>4508714</v>
      </c>
      <c r="F64" t="s">
        <v>4653</v>
      </c>
      <c r="G64" t="s">
        <v>743</v>
      </c>
      <c r="H64" t="s">
        <v>5361</v>
      </c>
      <c r="I64" s="12">
        <v>46038</v>
      </c>
      <c r="J64">
        <v>1</v>
      </c>
    </row>
    <row r="65" spans="1:10">
      <c r="A65" t="str">
        <f t="shared" si="0"/>
        <v>71047545</v>
      </c>
      <c r="B65">
        <v>71047545</v>
      </c>
      <c r="C65" t="s">
        <v>7703</v>
      </c>
      <c r="D65" t="s">
        <v>440</v>
      </c>
      <c r="E65">
        <v>4508714</v>
      </c>
      <c r="F65" t="s">
        <v>4653</v>
      </c>
      <c r="G65" t="s">
        <v>743</v>
      </c>
      <c r="H65" t="s">
        <v>7576</v>
      </c>
      <c r="I65" s="12">
        <v>46015</v>
      </c>
      <c r="J65">
        <v>1</v>
      </c>
    </row>
    <row r="66" spans="1:10">
      <c r="A66" t="str">
        <f t="shared" ref="A66:A129" si="1">TRIM(B66)</f>
        <v>71051352</v>
      </c>
      <c r="B66">
        <v>71051352</v>
      </c>
      <c r="C66" t="s">
        <v>7704</v>
      </c>
      <c r="D66" t="s">
        <v>7705</v>
      </c>
      <c r="E66">
        <v>4508714</v>
      </c>
      <c r="F66" t="s">
        <v>4653</v>
      </c>
      <c r="G66" t="s">
        <v>743</v>
      </c>
      <c r="H66" t="s">
        <v>4842</v>
      </c>
      <c r="I66" s="12">
        <v>46100</v>
      </c>
      <c r="J66">
        <v>1</v>
      </c>
    </row>
    <row r="67" spans="1:10">
      <c r="A67" t="str">
        <f t="shared" si="1"/>
        <v>71052261</v>
      </c>
      <c r="B67">
        <v>71052261</v>
      </c>
      <c r="C67" t="s">
        <v>7706</v>
      </c>
      <c r="D67" t="s">
        <v>443</v>
      </c>
      <c r="E67">
        <v>4508714</v>
      </c>
      <c r="F67" t="s">
        <v>4653</v>
      </c>
      <c r="G67" t="s">
        <v>743</v>
      </c>
      <c r="H67" t="s">
        <v>5386</v>
      </c>
      <c r="I67" s="12">
        <v>46044</v>
      </c>
      <c r="J67">
        <v>1</v>
      </c>
    </row>
    <row r="68" spans="1:10">
      <c r="A68" t="str">
        <f t="shared" si="1"/>
        <v>71052393</v>
      </c>
      <c r="B68">
        <v>71052393</v>
      </c>
      <c r="C68" t="s">
        <v>7707</v>
      </c>
      <c r="D68" t="s">
        <v>7708</v>
      </c>
      <c r="E68">
        <v>4508714</v>
      </c>
      <c r="F68" t="s">
        <v>4653</v>
      </c>
      <c r="G68" t="s">
        <v>743</v>
      </c>
      <c r="H68" t="s">
        <v>778</v>
      </c>
      <c r="I68" s="12">
        <v>46077</v>
      </c>
      <c r="J68">
        <v>1</v>
      </c>
    </row>
    <row r="69" spans="1:10">
      <c r="A69" t="str">
        <f t="shared" si="1"/>
        <v>71055061</v>
      </c>
      <c r="B69">
        <v>71055061</v>
      </c>
      <c r="C69" t="s">
        <v>7709</v>
      </c>
      <c r="D69" t="s">
        <v>7710</v>
      </c>
      <c r="E69">
        <v>4508714</v>
      </c>
      <c r="F69" t="s">
        <v>4653</v>
      </c>
      <c r="G69" t="s">
        <v>743</v>
      </c>
      <c r="H69" t="s">
        <v>5218</v>
      </c>
      <c r="I69" s="12">
        <v>45992</v>
      </c>
      <c r="J69">
        <v>1</v>
      </c>
    </row>
    <row r="70" spans="1:10">
      <c r="A70" t="str">
        <f t="shared" si="1"/>
        <v>71055062</v>
      </c>
      <c r="B70">
        <v>71055062</v>
      </c>
      <c r="C70" t="s">
        <v>7711</v>
      </c>
      <c r="D70" t="s">
        <v>7712</v>
      </c>
      <c r="E70">
        <v>4508714</v>
      </c>
      <c r="F70" t="s">
        <v>4653</v>
      </c>
      <c r="G70" t="s">
        <v>743</v>
      </c>
      <c r="H70" t="s">
        <v>5218</v>
      </c>
      <c r="I70" s="12">
        <v>45992</v>
      </c>
      <c r="J70">
        <v>1</v>
      </c>
    </row>
    <row r="71" spans="1:10">
      <c r="A71" t="str">
        <f t="shared" si="1"/>
        <v>71055063</v>
      </c>
      <c r="B71">
        <v>71055063</v>
      </c>
      <c r="C71" t="s">
        <v>7713</v>
      </c>
      <c r="D71" t="s">
        <v>7714</v>
      </c>
      <c r="E71">
        <v>4508714</v>
      </c>
      <c r="F71" t="s">
        <v>4653</v>
      </c>
      <c r="G71" t="s">
        <v>743</v>
      </c>
      <c r="H71" t="s">
        <v>5218</v>
      </c>
      <c r="I71" s="12">
        <v>45992</v>
      </c>
      <c r="J71">
        <v>1</v>
      </c>
    </row>
    <row r="72" spans="1:10">
      <c r="A72" t="str">
        <f t="shared" si="1"/>
        <v>71059338</v>
      </c>
      <c r="B72">
        <v>71059338</v>
      </c>
      <c r="C72" t="s">
        <v>7715</v>
      </c>
      <c r="D72" t="s">
        <v>7716</v>
      </c>
      <c r="E72">
        <v>4508714</v>
      </c>
      <c r="F72" t="s">
        <v>4653</v>
      </c>
      <c r="G72" t="s">
        <v>743</v>
      </c>
      <c r="H72" t="s">
        <v>7576</v>
      </c>
      <c r="I72" s="12">
        <v>46015</v>
      </c>
      <c r="J72">
        <v>1</v>
      </c>
    </row>
    <row r="73" spans="1:10">
      <c r="A73" t="str">
        <f t="shared" si="1"/>
        <v>71059471</v>
      </c>
      <c r="B73">
        <v>71059471</v>
      </c>
      <c r="C73" t="s">
        <v>7717</v>
      </c>
      <c r="D73" t="s">
        <v>7718</v>
      </c>
      <c r="E73">
        <v>4508714</v>
      </c>
      <c r="F73" t="s">
        <v>4653</v>
      </c>
      <c r="G73" t="s">
        <v>743</v>
      </c>
      <c r="H73" t="s">
        <v>7309</v>
      </c>
      <c r="I73" s="12">
        <v>46092</v>
      </c>
      <c r="J73">
        <v>1</v>
      </c>
    </row>
    <row r="74" spans="1:10">
      <c r="A74" t="str">
        <f t="shared" si="1"/>
        <v>71059959</v>
      </c>
      <c r="B74">
        <v>71059959</v>
      </c>
      <c r="C74" t="s">
        <v>7719</v>
      </c>
      <c r="D74" t="s">
        <v>7720</v>
      </c>
      <c r="E74">
        <v>4508714</v>
      </c>
      <c r="F74" t="s">
        <v>4653</v>
      </c>
      <c r="G74" t="s">
        <v>743</v>
      </c>
      <c r="H74" t="s">
        <v>7721</v>
      </c>
      <c r="I74" s="12">
        <v>46066</v>
      </c>
      <c r="J74">
        <v>1</v>
      </c>
    </row>
    <row r="75" spans="1:10">
      <c r="A75" t="str">
        <f t="shared" si="1"/>
        <v>71060280</v>
      </c>
      <c r="B75">
        <v>71060280</v>
      </c>
      <c r="C75" t="s">
        <v>7722</v>
      </c>
      <c r="D75" t="s">
        <v>7723</v>
      </c>
      <c r="E75">
        <v>4508714</v>
      </c>
      <c r="F75" t="s">
        <v>4653</v>
      </c>
      <c r="G75" t="s">
        <v>743</v>
      </c>
      <c r="H75" t="s">
        <v>7723</v>
      </c>
      <c r="I75" s="12">
        <v>46134</v>
      </c>
      <c r="J75">
        <v>1</v>
      </c>
    </row>
    <row r="76" spans="1:10">
      <c r="A76" t="str">
        <f t="shared" si="1"/>
        <v>71060595</v>
      </c>
      <c r="B76">
        <v>71060595</v>
      </c>
      <c r="C76" t="s">
        <v>7724</v>
      </c>
      <c r="D76" t="s">
        <v>7725</v>
      </c>
      <c r="E76">
        <v>4508714</v>
      </c>
      <c r="F76" t="s">
        <v>4653</v>
      </c>
      <c r="G76" t="s">
        <v>743</v>
      </c>
      <c r="H76" t="s">
        <v>7588</v>
      </c>
      <c r="I76" s="12">
        <v>46107</v>
      </c>
      <c r="J76">
        <v>1</v>
      </c>
    </row>
    <row r="77" spans="1:10">
      <c r="A77" t="str">
        <f t="shared" si="1"/>
        <v>71061110</v>
      </c>
      <c r="B77">
        <v>71061110</v>
      </c>
      <c r="C77" t="s">
        <v>7726</v>
      </c>
      <c r="D77" t="s">
        <v>7727</v>
      </c>
      <c r="E77">
        <v>4508714</v>
      </c>
      <c r="F77" t="s">
        <v>4653</v>
      </c>
      <c r="G77" t="s">
        <v>743</v>
      </c>
      <c r="H77" t="s">
        <v>4775</v>
      </c>
      <c r="I77" s="12">
        <v>46055</v>
      </c>
      <c r="J77">
        <v>1</v>
      </c>
    </row>
    <row r="78" spans="1:10">
      <c r="A78" t="str">
        <f t="shared" si="1"/>
        <v>71061453</v>
      </c>
      <c r="B78">
        <v>71061453</v>
      </c>
      <c r="C78" t="s">
        <v>7728</v>
      </c>
      <c r="D78" t="s">
        <v>449</v>
      </c>
      <c r="E78">
        <v>4508714</v>
      </c>
      <c r="F78" t="s">
        <v>4653</v>
      </c>
      <c r="G78" t="s">
        <v>743</v>
      </c>
      <c r="H78" t="s">
        <v>5134</v>
      </c>
      <c r="I78" s="12">
        <v>46076</v>
      </c>
      <c r="J78">
        <v>1</v>
      </c>
    </row>
    <row r="79" spans="1:10">
      <c r="A79" t="str">
        <f t="shared" si="1"/>
        <v>71061612</v>
      </c>
      <c r="B79">
        <v>71061612</v>
      </c>
      <c r="C79" t="s">
        <v>7729</v>
      </c>
      <c r="D79" t="s">
        <v>7730</v>
      </c>
      <c r="E79">
        <v>4508714</v>
      </c>
      <c r="F79" t="s">
        <v>4653</v>
      </c>
      <c r="G79" t="s">
        <v>743</v>
      </c>
      <c r="H79" t="s">
        <v>5218</v>
      </c>
      <c r="I79" s="12">
        <v>45992</v>
      </c>
      <c r="J79">
        <v>1</v>
      </c>
    </row>
    <row r="80" spans="1:10">
      <c r="A80" t="str">
        <f t="shared" si="1"/>
        <v>71062571</v>
      </c>
      <c r="B80">
        <v>71062571</v>
      </c>
      <c r="C80" t="s">
        <v>7731</v>
      </c>
      <c r="D80" t="s">
        <v>620</v>
      </c>
      <c r="E80">
        <v>4508685</v>
      </c>
      <c r="F80" t="s">
        <v>4653</v>
      </c>
      <c r="G80" t="s">
        <v>904</v>
      </c>
      <c r="H80" t="s">
        <v>905</v>
      </c>
      <c r="I80" s="12">
        <v>46024</v>
      </c>
      <c r="J80">
        <v>1</v>
      </c>
    </row>
    <row r="81" spans="1:10">
      <c r="A81" t="str">
        <f t="shared" si="1"/>
        <v>71064116</v>
      </c>
      <c r="B81">
        <v>71064116</v>
      </c>
      <c r="C81" t="s">
        <v>7732</v>
      </c>
      <c r="D81" t="s">
        <v>452</v>
      </c>
      <c r="E81">
        <v>4508714</v>
      </c>
      <c r="F81" t="s">
        <v>4653</v>
      </c>
      <c r="G81" t="s">
        <v>743</v>
      </c>
      <c r="H81" t="s">
        <v>7226</v>
      </c>
      <c r="I81" s="12">
        <v>46073</v>
      </c>
      <c r="J81">
        <v>1</v>
      </c>
    </row>
    <row r="82" spans="1:10">
      <c r="A82" t="str">
        <f t="shared" si="1"/>
        <v>71064158</v>
      </c>
      <c r="B82">
        <v>71064158</v>
      </c>
      <c r="C82" t="s">
        <v>7733</v>
      </c>
      <c r="D82" t="s">
        <v>455</v>
      </c>
      <c r="E82">
        <v>4508714</v>
      </c>
      <c r="F82" t="s">
        <v>4653</v>
      </c>
      <c r="G82" t="s">
        <v>743</v>
      </c>
      <c r="H82" t="s">
        <v>883</v>
      </c>
      <c r="I82" s="12">
        <v>45748</v>
      </c>
      <c r="J82">
        <v>1</v>
      </c>
    </row>
    <row r="83" spans="1:10">
      <c r="A83" t="str">
        <f t="shared" si="1"/>
        <v>71064489</v>
      </c>
      <c r="B83">
        <v>71064489</v>
      </c>
      <c r="C83" t="s">
        <v>7734</v>
      </c>
      <c r="D83" t="s">
        <v>7735</v>
      </c>
      <c r="E83">
        <v>4508714</v>
      </c>
      <c r="F83" t="s">
        <v>4653</v>
      </c>
      <c r="G83" t="s">
        <v>743</v>
      </c>
      <c r="H83" t="s">
        <v>5358</v>
      </c>
      <c r="I83" s="12">
        <v>46050</v>
      </c>
      <c r="J83">
        <v>1</v>
      </c>
    </row>
    <row r="84" spans="1:10">
      <c r="A84" t="str">
        <f t="shared" si="1"/>
        <v>71064496</v>
      </c>
      <c r="B84">
        <v>71064496</v>
      </c>
      <c r="C84" t="s">
        <v>7736</v>
      </c>
      <c r="D84" t="s">
        <v>7737</v>
      </c>
      <c r="E84">
        <v>4508714</v>
      </c>
      <c r="F84" t="s">
        <v>4653</v>
      </c>
      <c r="G84" t="s">
        <v>743</v>
      </c>
      <c r="H84" t="s">
        <v>7738</v>
      </c>
      <c r="I84" s="12">
        <v>46071</v>
      </c>
      <c r="J84">
        <v>1</v>
      </c>
    </row>
    <row r="85" spans="1:10">
      <c r="A85" t="str">
        <f t="shared" si="1"/>
        <v>76002263</v>
      </c>
      <c r="B85">
        <v>76002263</v>
      </c>
      <c r="C85" t="s">
        <v>7739</v>
      </c>
      <c r="D85" t="s">
        <v>7740</v>
      </c>
      <c r="E85">
        <v>4508714</v>
      </c>
      <c r="F85" t="s">
        <v>4653</v>
      </c>
      <c r="G85" t="s">
        <v>743</v>
      </c>
      <c r="H85" t="s">
        <v>7741</v>
      </c>
      <c r="I85" s="12">
        <v>45898</v>
      </c>
      <c r="J85">
        <v>1</v>
      </c>
    </row>
    <row r="86" spans="1:10">
      <c r="A86" t="str">
        <f t="shared" si="1"/>
        <v>76002613</v>
      </c>
      <c r="B86">
        <v>76002613</v>
      </c>
      <c r="C86" t="s">
        <v>7742</v>
      </c>
      <c r="D86" t="s">
        <v>7743</v>
      </c>
      <c r="E86">
        <v>4508714</v>
      </c>
      <c r="F86" t="s">
        <v>4653</v>
      </c>
      <c r="G86" t="s">
        <v>743</v>
      </c>
      <c r="H86" t="s">
        <v>7744</v>
      </c>
      <c r="I86" s="12">
        <v>46141</v>
      </c>
      <c r="J86">
        <v>1</v>
      </c>
    </row>
    <row r="87" spans="1:10">
      <c r="A87" t="str">
        <f t="shared" si="1"/>
        <v>76003334</v>
      </c>
      <c r="B87">
        <v>76003334</v>
      </c>
      <c r="C87" t="s">
        <v>7745</v>
      </c>
      <c r="D87" t="s">
        <v>458</v>
      </c>
      <c r="E87">
        <v>4508714</v>
      </c>
      <c r="F87" t="s">
        <v>4653</v>
      </c>
      <c r="G87" t="s">
        <v>743</v>
      </c>
      <c r="H87" t="s">
        <v>7746</v>
      </c>
      <c r="I87" s="12">
        <v>46020</v>
      </c>
      <c r="J87">
        <v>1</v>
      </c>
    </row>
    <row r="88" spans="1:10">
      <c r="A88" t="str">
        <f t="shared" si="1"/>
        <v>76005139</v>
      </c>
      <c r="B88">
        <v>76005139</v>
      </c>
      <c r="C88" t="s">
        <v>7747</v>
      </c>
      <c r="D88" t="s">
        <v>7748</v>
      </c>
      <c r="E88">
        <v>4508714</v>
      </c>
      <c r="F88" t="s">
        <v>4653</v>
      </c>
      <c r="G88" t="s">
        <v>743</v>
      </c>
      <c r="H88" t="s">
        <v>6114</v>
      </c>
      <c r="I88" s="12">
        <v>46141</v>
      </c>
      <c r="J88">
        <v>1</v>
      </c>
    </row>
    <row r="89" spans="1:10">
      <c r="A89" t="str">
        <f t="shared" si="1"/>
        <v>76011372</v>
      </c>
      <c r="B89">
        <v>76011372</v>
      </c>
      <c r="C89" t="s">
        <v>7749</v>
      </c>
      <c r="D89" t="s">
        <v>7750</v>
      </c>
      <c r="E89">
        <v>4508714</v>
      </c>
      <c r="F89" t="s">
        <v>4653</v>
      </c>
      <c r="G89" t="s">
        <v>743</v>
      </c>
      <c r="H89" t="s">
        <v>4775</v>
      </c>
      <c r="I89" s="12">
        <v>46055</v>
      </c>
      <c r="J89">
        <v>1</v>
      </c>
    </row>
    <row r="90" spans="1:10">
      <c r="A90" t="str">
        <f t="shared" si="1"/>
        <v>76020142</v>
      </c>
      <c r="B90">
        <v>76020142</v>
      </c>
      <c r="C90" t="s">
        <v>7751</v>
      </c>
      <c r="D90" t="s">
        <v>7752</v>
      </c>
      <c r="E90">
        <v>4508714</v>
      </c>
      <c r="F90" t="s">
        <v>4653</v>
      </c>
      <c r="G90" t="s">
        <v>743</v>
      </c>
      <c r="H90" t="s">
        <v>6885</v>
      </c>
      <c r="I90" s="12">
        <v>46112</v>
      </c>
      <c r="J90">
        <v>1</v>
      </c>
    </row>
    <row r="91" spans="1:10">
      <c r="A91" t="str">
        <f t="shared" si="1"/>
        <v>76020558</v>
      </c>
      <c r="B91">
        <v>76020558</v>
      </c>
      <c r="C91" t="s">
        <v>7753</v>
      </c>
      <c r="D91" t="s">
        <v>7754</v>
      </c>
      <c r="E91">
        <v>4508714</v>
      </c>
      <c r="F91" t="s">
        <v>4653</v>
      </c>
      <c r="G91" t="s">
        <v>743</v>
      </c>
      <c r="H91" t="s">
        <v>778</v>
      </c>
      <c r="I91" s="12">
        <v>46077</v>
      </c>
      <c r="J91">
        <v>1</v>
      </c>
    </row>
    <row r="92" spans="1:10">
      <c r="A92" t="str">
        <f t="shared" si="1"/>
        <v>76020804</v>
      </c>
      <c r="B92">
        <v>76020804</v>
      </c>
      <c r="C92" t="s">
        <v>7755</v>
      </c>
      <c r="D92" t="s">
        <v>7756</v>
      </c>
      <c r="E92">
        <v>4508714</v>
      </c>
      <c r="F92" t="s">
        <v>4653</v>
      </c>
      <c r="G92" t="s">
        <v>743</v>
      </c>
      <c r="H92" t="s">
        <v>7309</v>
      </c>
      <c r="I92" s="12">
        <v>46092</v>
      </c>
      <c r="J92">
        <v>1</v>
      </c>
    </row>
    <row r="93" spans="1:10">
      <c r="A93" t="str">
        <f t="shared" si="1"/>
        <v>76023629</v>
      </c>
      <c r="B93">
        <v>76023629</v>
      </c>
      <c r="C93" t="s">
        <v>7757</v>
      </c>
      <c r="D93" t="s">
        <v>7758</v>
      </c>
      <c r="E93">
        <v>4508714</v>
      </c>
      <c r="F93" t="s">
        <v>4653</v>
      </c>
      <c r="G93" t="s">
        <v>743</v>
      </c>
      <c r="H93" t="s">
        <v>6751</v>
      </c>
      <c r="I93" s="12">
        <v>46020</v>
      </c>
      <c r="J93">
        <v>1</v>
      </c>
    </row>
    <row r="94" spans="1:10">
      <c r="A94" t="str">
        <f t="shared" si="1"/>
        <v>76023630</v>
      </c>
      <c r="B94">
        <v>76023630</v>
      </c>
      <c r="C94" t="s">
        <v>7759</v>
      </c>
      <c r="D94" t="s">
        <v>7760</v>
      </c>
      <c r="E94">
        <v>4508714</v>
      </c>
      <c r="F94" t="s">
        <v>4653</v>
      </c>
      <c r="G94" t="s">
        <v>743</v>
      </c>
      <c r="H94" t="s">
        <v>6751</v>
      </c>
      <c r="I94" s="12">
        <v>46020</v>
      </c>
      <c r="J94">
        <v>1</v>
      </c>
    </row>
    <row r="95" spans="1:10">
      <c r="A95" t="str">
        <f t="shared" si="1"/>
        <v>76025664</v>
      </c>
      <c r="B95">
        <v>76025664</v>
      </c>
      <c r="C95" t="s">
        <v>7761</v>
      </c>
      <c r="D95" t="s">
        <v>7762</v>
      </c>
      <c r="E95">
        <v>4508714</v>
      </c>
      <c r="F95" t="s">
        <v>4653</v>
      </c>
      <c r="G95" t="s">
        <v>743</v>
      </c>
      <c r="H95" t="s">
        <v>5218</v>
      </c>
      <c r="I95" s="12">
        <v>45992</v>
      </c>
      <c r="J95">
        <v>1</v>
      </c>
    </row>
    <row r="96" spans="1:10">
      <c r="A96" t="str">
        <f t="shared" si="1"/>
        <v>76027826</v>
      </c>
      <c r="B96">
        <v>76027826</v>
      </c>
      <c r="C96" t="s">
        <v>7763</v>
      </c>
      <c r="D96" t="s">
        <v>7764</v>
      </c>
      <c r="E96">
        <v>4508714</v>
      </c>
      <c r="F96" t="s">
        <v>4653</v>
      </c>
      <c r="G96" t="s">
        <v>743</v>
      </c>
      <c r="H96" t="s">
        <v>7256</v>
      </c>
      <c r="I96" s="12">
        <v>46143</v>
      </c>
      <c r="J96">
        <v>1</v>
      </c>
    </row>
    <row r="97" spans="1:10">
      <c r="A97" t="str">
        <f t="shared" si="1"/>
        <v>76029201</v>
      </c>
      <c r="B97">
        <v>76029201</v>
      </c>
      <c r="C97" t="s">
        <v>7765</v>
      </c>
      <c r="D97" t="s">
        <v>7766</v>
      </c>
      <c r="E97">
        <v>4508714</v>
      </c>
      <c r="F97" t="s">
        <v>4653</v>
      </c>
      <c r="G97" t="s">
        <v>743</v>
      </c>
      <c r="H97" t="s">
        <v>7767</v>
      </c>
      <c r="I97" s="12">
        <v>46105</v>
      </c>
      <c r="J97">
        <v>1</v>
      </c>
    </row>
    <row r="98" spans="1:10">
      <c r="A98" t="str">
        <f t="shared" si="1"/>
        <v>76031206</v>
      </c>
      <c r="B98">
        <v>76031206</v>
      </c>
      <c r="C98" t="s">
        <v>7768</v>
      </c>
      <c r="D98" t="s">
        <v>7769</v>
      </c>
      <c r="E98">
        <v>4508714</v>
      </c>
      <c r="F98" t="s">
        <v>4653</v>
      </c>
      <c r="G98" t="s">
        <v>743</v>
      </c>
      <c r="H98" t="s">
        <v>7024</v>
      </c>
      <c r="I98" s="12">
        <v>46056</v>
      </c>
      <c r="J98">
        <v>1</v>
      </c>
    </row>
    <row r="99" spans="1:10">
      <c r="A99" t="str">
        <f t="shared" si="1"/>
        <v>76032559</v>
      </c>
      <c r="B99">
        <v>76032559</v>
      </c>
      <c r="C99" t="s">
        <v>7770</v>
      </c>
      <c r="D99" t="s">
        <v>7771</v>
      </c>
      <c r="E99">
        <v>4508714</v>
      </c>
      <c r="F99" t="s">
        <v>4653</v>
      </c>
      <c r="G99" t="s">
        <v>743</v>
      </c>
      <c r="H99" t="s">
        <v>7772</v>
      </c>
      <c r="I99" s="12">
        <v>46024</v>
      </c>
      <c r="J99">
        <v>1</v>
      </c>
    </row>
    <row r="100" spans="1:10">
      <c r="A100" t="str">
        <f t="shared" si="1"/>
        <v>76032644</v>
      </c>
      <c r="B100">
        <v>76032644</v>
      </c>
      <c r="C100" t="s">
        <v>7773</v>
      </c>
      <c r="D100" t="s">
        <v>7774</v>
      </c>
      <c r="E100">
        <v>4508714</v>
      </c>
      <c r="F100" t="s">
        <v>4653</v>
      </c>
      <c r="G100" t="s">
        <v>743</v>
      </c>
      <c r="H100" t="s">
        <v>7775</v>
      </c>
      <c r="I100" s="12">
        <v>45979</v>
      </c>
      <c r="J100">
        <v>1</v>
      </c>
    </row>
    <row r="101" spans="1:10">
      <c r="A101" t="str">
        <f t="shared" si="1"/>
        <v>76032748</v>
      </c>
      <c r="B101">
        <v>76032748</v>
      </c>
      <c r="C101" t="s">
        <v>7776</v>
      </c>
      <c r="D101" t="s">
        <v>464</v>
      </c>
      <c r="E101">
        <v>4508714</v>
      </c>
      <c r="F101" t="s">
        <v>4653</v>
      </c>
      <c r="G101" t="s">
        <v>743</v>
      </c>
      <c r="H101" t="s">
        <v>4986</v>
      </c>
      <c r="I101" s="12">
        <v>45992</v>
      </c>
      <c r="J101">
        <v>1</v>
      </c>
    </row>
    <row r="102" spans="1:10">
      <c r="A102" t="str">
        <f t="shared" si="1"/>
        <v>76035671</v>
      </c>
      <c r="B102">
        <v>76035671</v>
      </c>
      <c r="C102" t="s">
        <v>7777</v>
      </c>
      <c r="D102" t="s">
        <v>7778</v>
      </c>
      <c r="E102">
        <v>4508714</v>
      </c>
      <c r="F102" t="s">
        <v>4653</v>
      </c>
      <c r="G102" t="s">
        <v>743</v>
      </c>
      <c r="H102" t="s">
        <v>7744</v>
      </c>
      <c r="I102" s="12">
        <v>46141</v>
      </c>
      <c r="J102">
        <v>1</v>
      </c>
    </row>
    <row r="103" spans="1:10">
      <c r="A103" t="str">
        <f t="shared" si="1"/>
        <v>76036137</v>
      </c>
      <c r="B103">
        <v>76036137</v>
      </c>
      <c r="C103" t="s">
        <v>7779</v>
      </c>
      <c r="D103" t="s">
        <v>7780</v>
      </c>
      <c r="E103">
        <v>4508714</v>
      </c>
      <c r="F103" t="s">
        <v>4653</v>
      </c>
      <c r="G103" t="s">
        <v>743</v>
      </c>
      <c r="H103" t="s">
        <v>6478</v>
      </c>
      <c r="I103" s="12">
        <v>46022</v>
      </c>
      <c r="J103">
        <v>1</v>
      </c>
    </row>
    <row r="104" spans="1:10">
      <c r="A104" t="str">
        <f t="shared" si="1"/>
        <v>76036160</v>
      </c>
      <c r="B104">
        <v>76036160</v>
      </c>
      <c r="C104" t="s">
        <v>7781</v>
      </c>
      <c r="D104" t="s">
        <v>7782</v>
      </c>
      <c r="E104">
        <v>4508714</v>
      </c>
      <c r="F104" t="s">
        <v>4653</v>
      </c>
      <c r="G104" t="s">
        <v>743</v>
      </c>
      <c r="H104" t="s">
        <v>7783</v>
      </c>
      <c r="I104" s="12">
        <v>46099</v>
      </c>
      <c r="J104">
        <v>1</v>
      </c>
    </row>
    <row r="105" spans="1:10">
      <c r="A105" t="str">
        <f t="shared" si="1"/>
        <v>76036162</v>
      </c>
      <c r="B105">
        <v>76036162</v>
      </c>
      <c r="C105" t="s">
        <v>7784</v>
      </c>
      <c r="D105" t="s">
        <v>7785</v>
      </c>
      <c r="E105">
        <v>4508714</v>
      </c>
      <c r="F105" t="s">
        <v>4653</v>
      </c>
      <c r="G105" t="s">
        <v>743</v>
      </c>
      <c r="H105" t="s">
        <v>7783</v>
      </c>
      <c r="I105" s="12">
        <v>46099</v>
      </c>
      <c r="J105">
        <v>1</v>
      </c>
    </row>
    <row r="106" spans="1:10">
      <c r="A106" t="str">
        <f t="shared" si="1"/>
        <v>76037577</v>
      </c>
      <c r="B106">
        <v>76037577</v>
      </c>
      <c r="C106" t="s">
        <v>7786</v>
      </c>
      <c r="D106" t="s">
        <v>7787</v>
      </c>
      <c r="E106">
        <v>4508714</v>
      </c>
      <c r="F106" t="s">
        <v>4653</v>
      </c>
      <c r="G106" t="s">
        <v>743</v>
      </c>
      <c r="H106" t="s">
        <v>7788</v>
      </c>
      <c r="I106" s="12">
        <v>46077</v>
      </c>
      <c r="J106">
        <v>1</v>
      </c>
    </row>
    <row r="107" spans="1:10">
      <c r="A107" t="str">
        <f t="shared" si="1"/>
        <v>76037591</v>
      </c>
      <c r="B107">
        <v>76037591</v>
      </c>
      <c r="C107" t="s">
        <v>7789</v>
      </c>
      <c r="D107" t="s">
        <v>473</v>
      </c>
      <c r="E107">
        <v>4508714</v>
      </c>
      <c r="F107" t="s">
        <v>4653</v>
      </c>
      <c r="G107" t="s">
        <v>743</v>
      </c>
      <c r="H107" t="s">
        <v>7519</v>
      </c>
      <c r="I107" s="12">
        <v>46104</v>
      </c>
      <c r="J107">
        <v>1</v>
      </c>
    </row>
    <row r="108" spans="1:10">
      <c r="A108" t="str">
        <f t="shared" si="1"/>
        <v>76038389</v>
      </c>
      <c r="B108">
        <v>76038389</v>
      </c>
      <c r="C108" t="s">
        <v>7790</v>
      </c>
      <c r="D108" t="s">
        <v>7791</v>
      </c>
      <c r="E108">
        <v>4508714</v>
      </c>
      <c r="F108" t="s">
        <v>4653</v>
      </c>
      <c r="G108" t="s">
        <v>743</v>
      </c>
      <c r="H108" t="s">
        <v>7580</v>
      </c>
      <c r="I108" s="12">
        <v>46023</v>
      </c>
      <c r="J108">
        <v>1</v>
      </c>
    </row>
    <row r="109" spans="1:10">
      <c r="A109" t="str">
        <f t="shared" si="1"/>
        <v>76038422</v>
      </c>
      <c r="B109">
        <v>76038422</v>
      </c>
      <c r="C109" t="s">
        <v>7792</v>
      </c>
      <c r="D109" t="s">
        <v>476</v>
      </c>
      <c r="E109">
        <v>4508714</v>
      </c>
      <c r="F109" t="s">
        <v>4653</v>
      </c>
      <c r="G109" t="s">
        <v>743</v>
      </c>
      <c r="H109" t="s">
        <v>7793</v>
      </c>
      <c r="I109" s="12">
        <v>46097</v>
      </c>
      <c r="J109">
        <v>1</v>
      </c>
    </row>
    <row r="110" spans="1:10">
      <c r="A110" t="str">
        <f t="shared" si="1"/>
        <v>76039024</v>
      </c>
      <c r="B110">
        <v>76039024</v>
      </c>
      <c r="C110" t="s">
        <v>7794</v>
      </c>
      <c r="D110" t="s">
        <v>2468</v>
      </c>
      <c r="E110">
        <v>4508714</v>
      </c>
      <c r="F110" t="s">
        <v>4653</v>
      </c>
      <c r="G110" t="s">
        <v>743</v>
      </c>
      <c r="H110" t="s">
        <v>5728</v>
      </c>
      <c r="I110" s="12">
        <v>46142</v>
      </c>
      <c r="J110">
        <v>1</v>
      </c>
    </row>
    <row r="111" spans="1:10">
      <c r="A111" t="str">
        <f t="shared" si="1"/>
        <v>76039050</v>
      </c>
      <c r="B111">
        <v>76039050</v>
      </c>
      <c r="C111" t="s">
        <v>7795</v>
      </c>
      <c r="D111" t="s">
        <v>2472</v>
      </c>
      <c r="E111">
        <v>4508714</v>
      </c>
      <c r="F111" t="s">
        <v>4653</v>
      </c>
      <c r="G111" t="s">
        <v>743</v>
      </c>
      <c r="H111" t="s">
        <v>5728</v>
      </c>
      <c r="I111" s="12">
        <v>46142</v>
      </c>
      <c r="J111">
        <v>1</v>
      </c>
    </row>
    <row r="112" spans="1:10">
      <c r="A112" t="str">
        <f t="shared" si="1"/>
        <v>76039060</v>
      </c>
      <c r="B112">
        <v>76039060</v>
      </c>
      <c r="C112" t="s">
        <v>7796</v>
      </c>
      <c r="D112" t="s">
        <v>2474</v>
      </c>
      <c r="E112">
        <v>4508714</v>
      </c>
      <c r="F112" t="s">
        <v>4653</v>
      </c>
      <c r="G112" t="s">
        <v>743</v>
      </c>
      <c r="H112" t="s">
        <v>5728</v>
      </c>
      <c r="I112" s="12">
        <v>46142</v>
      </c>
      <c r="J112">
        <v>1</v>
      </c>
    </row>
    <row r="113" spans="1:10">
      <c r="A113" t="str">
        <f t="shared" si="1"/>
        <v>76039334</v>
      </c>
      <c r="B113">
        <v>76039334</v>
      </c>
      <c r="C113" t="s">
        <v>7797</v>
      </c>
      <c r="D113" t="s">
        <v>7798</v>
      </c>
      <c r="E113">
        <v>4508714</v>
      </c>
      <c r="F113" t="s">
        <v>4653</v>
      </c>
      <c r="G113" t="s">
        <v>743</v>
      </c>
      <c r="H113" t="s">
        <v>7799</v>
      </c>
      <c r="I113" s="12">
        <v>46111</v>
      </c>
      <c r="J113">
        <v>1</v>
      </c>
    </row>
    <row r="114" spans="1:10">
      <c r="A114" t="str">
        <f t="shared" si="1"/>
        <v>76039534</v>
      </c>
      <c r="B114">
        <v>76039534</v>
      </c>
      <c r="C114" t="s">
        <v>7800</v>
      </c>
      <c r="D114" t="s">
        <v>7801</v>
      </c>
      <c r="E114">
        <v>4508714</v>
      </c>
      <c r="F114" t="s">
        <v>4653</v>
      </c>
      <c r="G114" t="s">
        <v>743</v>
      </c>
      <c r="H114" t="s">
        <v>7802</v>
      </c>
      <c r="I114" s="12">
        <v>46086</v>
      </c>
      <c r="J114">
        <v>1</v>
      </c>
    </row>
    <row r="115" spans="1:10">
      <c r="A115" t="str">
        <f t="shared" si="1"/>
        <v>76040505</v>
      </c>
      <c r="B115">
        <v>76040505</v>
      </c>
      <c r="C115" t="s">
        <v>7803</v>
      </c>
      <c r="D115" t="s">
        <v>5738</v>
      </c>
      <c r="E115">
        <v>4408593</v>
      </c>
      <c r="F115" t="s">
        <v>4653</v>
      </c>
      <c r="G115" t="s">
        <v>782</v>
      </c>
      <c r="H115" t="s">
        <v>4982</v>
      </c>
      <c r="I115" s="12">
        <v>45985</v>
      </c>
      <c r="J115">
        <v>1</v>
      </c>
    </row>
    <row r="116" spans="1:10">
      <c r="A116" t="str">
        <f t="shared" si="1"/>
        <v>76040896</v>
      </c>
      <c r="B116">
        <v>76040896</v>
      </c>
      <c r="C116" t="s">
        <v>7804</v>
      </c>
      <c r="D116" t="s">
        <v>7805</v>
      </c>
      <c r="E116">
        <v>4508714</v>
      </c>
      <c r="F116" t="s">
        <v>4653</v>
      </c>
      <c r="G116" t="s">
        <v>743</v>
      </c>
      <c r="H116" t="s">
        <v>7806</v>
      </c>
      <c r="I116" s="12">
        <v>46143</v>
      </c>
      <c r="J116">
        <v>1</v>
      </c>
    </row>
    <row r="117" spans="1:10">
      <c r="A117" t="str">
        <f t="shared" si="1"/>
        <v>76041534</v>
      </c>
      <c r="B117">
        <v>76041534</v>
      </c>
      <c r="C117" t="s">
        <v>7807</v>
      </c>
      <c r="D117" t="s">
        <v>7808</v>
      </c>
      <c r="E117">
        <v>4508685</v>
      </c>
      <c r="F117" t="s">
        <v>4653</v>
      </c>
      <c r="G117" t="s">
        <v>904</v>
      </c>
      <c r="H117" t="s">
        <v>905</v>
      </c>
      <c r="I117" s="12">
        <v>45581</v>
      </c>
      <c r="J117">
        <v>2</v>
      </c>
    </row>
    <row r="118" spans="1:10">
      <c r="A118" t="str">
        <f t="shared" si="1"/>
        <v>76041534</v>
      </c>
      <c r="B118">
        <v>76041534</v>
      </c>
      <c r="C118" t="s">
        <v>7809</v>
      </c>
      <c r="D118" t="s">
        <v>7808</v>
      </c>
      <c r="E118">
        <v>4508685</v>
      </c>
      <c r="F118" t="s">
        <v>4653</v>
      </c>
      <c r="G118" t="s">
        <v>904</v>
      </c>
      <c r="H118" t="s">
        <v>905</v>
      </c>
      <c r="I118" s="12">
        <v>46024</v>
      </c>
      <c r="J118">
        <v>1</v>
      </c>
    </row>
    <row r="119" spans="1:10">
      <c r="A119" t="str">
        <f t="shared" si="1"/>
        <v>76041535</v>
      </c>
      <c r="B119">
        <v>76041535</v>
      </c>
      <c r="C119" t="s">
        <v>7810</v>
      </c>
      <c r="D119" t="s">
        <v>479</v>
      </c>
      <c r="E119">
        <v>4508685</v>
      </c>
      <c r="F119" t="s">
        <v>4653</v>
      </c>
      <c r="G119" t="s">
        <v>904</v>
      </c>
      <c r="H119" t="s">
        <v>905</v>
      </c>
      <c r="I119" s="12">
        <v>46024</v>
      </c>
      <c r="J119">
        <v>1</v>
      </c>
    </row>
    <row r="120" spans="1:10">
      <c r="A120" t="str">
        <f t="shared" si="1"/>
        <v>76042856</v>
      </c>
      <c r="B120">
        <v>76042856</v>
      </c>
      <c r="C120" t="s">
        <v>7811</v>
      </c>
      <c r="D120" t="s">
        <v>7812</v>
      </c>
      <c r="E120">
        <v>4508714</v>
      </c>
      <c r="F120" t="s">
        <v>4653</v>
      </c>
      <c r="G120" t="s">
        <v>743</v>
      </c>
      <c r="H120" t="s">
        <v>5312</v>
      </c>
      <c r="I120" s="12">
        <v>45937</v>
      </c>
      <c r="J120">
        <v>1</v>
      </c>
    </row>
    <row r="121" spans="1:10">
      <c r="A121" t="str">
        <f t="shared" si="1"/>
        <v>76042860</v>
      </c>
      <c r="B121">
        <v>76042860</v>
      </c>
      <c r="C121" t="s">
        <v>7813</v>
      </c>
      <c r="D121" t="s">
        <v>7814</v>
      </c>
      <c r="E121">
        <v>4508714</v>
      </c>
      <c r="F121" t="s">
        <v>4653</v>
      </c>
      <c r="G121" t="s">
        <v>743</v>
      </c>
      <c r="H121" t="s">
        <v>5312</v>
      </c>
      <c r="I121" s="12">
        <v>45937</v>
      </c>
      <c r="J121">
        <v>1</v>
      </c>
    </row>
    <row r="122" spans="1:10">
      <c r="A122" t="str">
        <f t="shared" si="1"/>
        <v>76043449</v>
      </c>
      <c r="B122">
        <v>76043449</v>
      </c>
      <c r="C122" t="s">
        <v>7815</v>
      </c>
      <c r="D122" t="s">
        <v>482</v>
      </c>
      <c r="E122">
        <v>4508714</v>
      </c>
      <c r="F122" t="s">
        <v>4653</v>
      </c>
      <c r="G122" t="s">
        <v>743</v>
      </c>
      <c r="H122" t="s">
        <v>5501</v>
      </c>
      <c r="I122" s="12">
        <v>46024</v>
      </c>
      <c r="J122">
        <v>1</v>
      </c>
    </row>
    <row r="123" spans="1:10">
      <c r="A123" t="str">
        <f t="shared" si="1"/>
        <v>76043451</v>
      </c>
      <c r="B123">
        <v>76043451</v>
      </c>
      <c r="C123" t="s">
        <v>7816</v>
      </c>
      <c r="D123" t="s">
        <v>485</v>
      </c>
      <c r="E123">
        <v>4508714</v>
      </c>
      <c r="F123" t="s">
        <v>4653</v>
      </c>
      <c r="G123" t="s">
        <v>743</v>
      </c>
      <c r="H123" t="s">
        <v>5501</v>
      </c>
      <c r="I123" s="12">
        <v>46024</v>
      </c>
      <c r="J123">
        <v>1</v>
      </c>
    </row>
    <row r="124" spans="1:10">
      <c r="A124" t="str">
        <f t="shared" si="1"/>
        <v>76043453</v>
      </c>
      <c r="B124">
        <v>76043453</v>
      </c>
      <c r="C124" t="s">
        <v>7817</v>
      </c>
      <c r="D124" t="s">
        <v>488</v>
      </c>
      <c r="E124">
        <v>4508714</v>
      </c>
      <c r="F124" t="s">
        <v>4653</v>
      </c>
      <c r="G124" t="s">
        <v>743</v>
      </c>
      <c r="H124" t="s">
        <v>5501</v>
      </c>
      <c r="I124" s="12">
        <v>46024</v>
      </c>
      <c r="J124">
        <v>1</v>
      </c>
    </row>
    <row r="125" spans="1:10">
      <c r="A125" t="str">
        <f t="shared" si="1"/>
        <v>76043455</v>
      </c>
      <c r="B125">
        <v>76043455</v>
      </c>
      <c r="C125" t="s">
        <v>7818</v>
      </c>
      <c r="D125" t="s">
        <v>491</v>
      </c>
      <c r="E125">
        <v>4508714</v>
      </c>
      <c r="F125" t="s">
        <v>4653</v>
      </c>
      <c r="G125" t="s">
        <v>743</v>
      </c>
      <c r="H125" t="s">
        <v>5501</v>
      </c>
      <c r="I125" s="12">
        <v>46024</v>
      </c>
      <c r="J125">
        <v>1</v>
      </c>
    </row>
    <row r="126" spans="1:10">
      <c r="A126" t="str">
        <f t="shared" si="1"/>
        <v>76043468</v>
      </c>
      <c r="B126">
        <v>76043468</v>
      </c>
      <c r="C126" t="s">
        <v>7819</v>
      </c>
      <c r="D126" t="s">
        <v>7820</v>
      </c>
      <c r="E126">
        <v>4508714</v>
      </c>
      <c r="F126" t="s">
        <v>4653</v>
      </c>
      <c r="G126" t="s">
        <v>743</v>
      </c>
      <c r="H126" t="s">
        <v>494</v>
      </c>
      <c r="I126" s="12">
        <v>46090</v>
      </c>
      <c r="J126">
        <v>1</v>
      </c>
    </row>
    <row r="127" spans="1:10">
      <c r="A127" t="str">
        <f t="shared" si="1"/>
        <v>76044062</v>
      </c>
      <c r="B127">
        <v>76044062</v>
      </c>
      <c r="C127" t="s">
        <v>7821</v>
      </c>
      <c r="D127" t="s">
        <v>497</v>
      </c>
      <c r="E127">
        <v>4508714</v>
      </c>
      <c r="F127" t="s">
        <v>4653</v>
      </c>
      <c r="G127" t="s">
        <v>743</v>
      </c>
      <c r="H127" t="s">
        <v>5386</v>
      </c>
      <c r="I127" s="12">
        <v>46044</v>
      </c>
      <c r="J127">
        <v>1</v>
      </c>
    </row>
    <row r="128" spans="1:10">
      <c r="A128" t="str">
        <f t="shared" si="1"/>
        <v>76044432</v>
      </c>
      <c r="B128">
        <v>76044432</v>
      </c>
      <c r="C128" t="s">
        <v>7822</v>
      </c>
      <c r="D128" t="s">
        <v>7823</v>
      </c>
      <c r="E128">
        <v>4508714</v>
      </c>
      <c r="F128" t="s">
        <v>4653</v>
      </c>
      <c r="G128" t="s">
        <v>743</v>
      </c>
      <c r="H128" t="s">
        <v>4986</v>
      </c>
      <c r="I128" s="12">
        <v>45992</v>
      </c>
      <c r="J128">
        <v>1</v>
      </c>
    </row>
    <row r="129" spans="1:10">
      <c r="A129" t="str">
        <f t="shared" si="1"/>
        <v>76045034</v>
      </c>
      <c r="B129">
        <v>76045034</v>
      </c>
      <c r="C129" t="s">
        <v>7824</v>
      </c>
      <c r="D129" t="s">
        <v>7825</v>
      </c>
      <c r="E129">
        <v>4508714</v>
      </c>
      <c r="F129" t="s">
        <v>4653</v>
      </c>
      <c r="G129" t="s">
        <v>743</v>
      </c>
      <c r="H129" t="s">
        <v>4775</v>
      </c>
      <c r="I129" s="12">
        <v>46055</v>
      </c>
      <c r="J129">
        <v>1</v>
      </c>
    </row>
    <row r="130" spans="1:10">
      <c r="A130" t="str">
        <f t="shared" ref="A130:A193" si="2">TRIM(B130)</f>
        <v>76048066</v>
      </c>
      <c r="B130">
        <v>76048066</v>
      </c>
      <c r="C130" t="s">
        <v>7826</v>
      </c>
      <c r="D130" t="s">
        <v>7827</v>
      </c>
      <c r="E130">
        <v>4508714</v>
      </c>
      <c r="F130" t="s">
        <v>4653</v>
      </c>
      <c r="G130" t="s">
        <v>743</v>
      </c>
      <c r="H130" t="s">
        <v>7595</v>
      </c>
      <c r="I130" s="12">
        <v>45961</v>
      </c>
      <c r="J130">
        <v>1</v>
      </c>
    </row>
    <row r="131" spans="1:10">
      <c r="A131" t="str">
        <f t="shared" si="2"/>
        <v>76055246</v>
      </c>
      <c r="B131">
        <v>76055246</v>
      </c>
      <c r="C131" t="s">
        <v>7828</v>
      </c>
      <c r="D131" t="s">
        <v>7829</v>
      </c>
      <c r="E131">
        <v>4508714</v>
      </c>
      <c r="F131" t="s">
        <v>4653</v>
      </c>
      <c r="G131" t="s">
        <v>743</v>
      </c>
      <c r="H131" t="s">
        <v>7830</v>
      </c>
      <c r="I131" s="12">
        <v>46140</v>
      </c>
      <c r="J131">
        <v>1</v>
      </c>
    </row>
    <row r="132" spans="1:10">
      <c r="A132" t="str">
        <f t="shared" si="2"/>
        <v>76055662</v>
      </c>
      <c r="B132">
        <v>76055662</v>
      </c>
      <c r="C132" t="s">
        <v>7831</v>
      </c>
      <c r="D132" t="s">
        <v>7832</v>
      </c>
      <c r="E132">
        <v>4508714</v>
      </c>
      <c r="F132" t="s">
        <v>4653</v>
      </c>
      <c r="G132" t="s">
        <v>743</v>
      </c>
      <c r="H132" t="s">
        <v>7832</v>
      </c>
      <c r="I132" s="12">
        <v>46056</v>
      </c>
      <c r="J132">
        <v>1</v>
      </c>
    </row>
    <row r="133" spans="1:10">
      <c r="A133" t="str">
        <f t="shared" si="2"/>
        <v>76055664</v>
      </c>
      <c r="B133">
        <v>76055664</v>
      </c>
      <c r="C133" t="s">
        <v>7833</v>
      </c>
      <c r="D133" t="s">
        <v>7834</v>
      </c>
      <c r="E133">
        <v>4508714</v>
      </c>
      <c r="F133" t="s">
        <v>4653</v>
      </c>
      <c r="G133" t="s">
        <v>743</v>
      </c>
      <c r="H133" t="s">
        <v>7832</v>
      </c>
      <c r="I133" s="12">
        <v>46056</v>
      </c>
      <c r="J133">
        <v>1</v>
      </c>
    </row>
    <row r="134" spans="1:10">
      <c r="A134" t="str">
        <f t="shared" si="2"/>
        <v>76056643</v>
      </c>
      <c r="B134">
        <v>76056643</v>
      </c>
      <c r="C134" t="s">
        <v>7835</v>
      </c>
      <c r="D134" t="s">
        <v>7836</v>
      </c>
      <c r="E134">
        <v>4508714</v>
      </c>
      <c r="F134" t="s">
        <v>4653</v>
      </c>
      <c r="G134" t="s">
        <v>743</v>
      </c>
      <c r="H134" t="s">
        <v>1190</v>
      </c>
      <c r="I134" s="12">
        <v>46106</v>
      </c>
      <c r="J134">
        <v>1</v>
      </c>
    </row>
    <row r="135" spans="1:10">
      <c r="A135" t="str">
        <f t="shared" si="2"/>
        <v>76057753</v>
      </c>
      <c r="B135">
        <v>76057753</v>
      </c>
      <c r="C135" t="s">
        <v>7837</v>
      </c>
      <c r="D135" t="s">
        <v>7838</v>
      </c>
      <c r="E135">
        <v>4508714</v>
      </c>
      <c r="F135" t="s">
        <v>4653</v>
      </c>
      <c r="G135" t="s">
        <v>743</v>
      </c>
      <c r="H135" t="s">
        <v>7309</v>
      </c>
      <c r="I135" s="12">
        <v>46092</v>
      </c>
      <c r="J135">
        <v>1</v>
      </c>
    </row>
    <row r="136" spans="1:10">
      <c r="A136" t="str">
        <f t="shared" si="2"/>
        <v>76059368</v>
      </c>
      <c r="B136">
        <v>76059368</v>
      </c>
      <c r="C136" t="s">
        <v>7839</v>
      </c>
      <c r="D136" t="s">
        <v>7840</v>
      </c>
      <c r="E136">
        <v>4508714</v>
      </c>
      <c r="F136" t="s">
        <v>4653</v>
      </c>
      <c r="G136" t="s">
        <v>743</v>
      </c>
      <c r="H136" t="s">
        <v>7841</v>
      </c>
      <c r="I136" s="12">
        <v>46024</v>
      </c>
      <c r="J136">
        <v>1</v>
      </c>
    </row>
    <row r="137" spans="1:10">
      <c r="A137" t="str">
        <f t="shared" si="2"/>
        <v>76061024</v>
      </c>
      <c r="B137">
        <v>76061024</v>
      </c>
      <c r="C137" t="s">
        <v>7842</v>
      </c>
      <c r="D137" t="s">
        <v>7843</v>
      </c>
      <c r="E137">
        <v>4508714</v>
      </c>
      <c r="F137" t="s">
        <v>4653</v>
      </c>
      <c r="G137" t="s">
        <v>743</v>
      </c>
      <c r="H137" t="s">
        <v>7738</v>
      </c>
      <c r="I137" s="12">
        <v>46071</v>
      </c>
      <c r="J137">
        <v>1</v>
      </c>
    </row>
    <row r="138" spans="1:10">
      <c r="A138" t="str">
        <f t="shared" si="2"/>
        <v>76061837</v>
      </c>
      <c r="B138">
        <v>76061837</v>
      </c>
      <c r="C138" t="s">
        <v>7844</v>
      </c>
      <c r="D138" t="s">
        <v>7845</v>
      </c>
      <c r="E138">
        <v>4508714</v>
      </c>
      <c r="F138" t="s">
        <v>4653</v>
      </c>
      <c r="G138" t="s">
        <v>743</v>
      </c>
      <c r="H138" t="s">
        <v>5742</v>
      </c>
      <c r="I138" s="12">
        <v>46107</v>
      </c>
      <c r="J138">
        <v>1</v>
      </c>
    </row>
    <row r="139" spans="1:10">
      <c r="A139" t="str">
        <f t="shared" si="2"/>
        <v>76061892</v>
      </c>
      <c r="B139">
        <v>76061892</v>
      </c>
      <c r="C139" t="s">
        <v>7846</v>
      </c>
      <c r="D139" t="s">
        <v>7847</v>
      </c>
      <c r="E139">
        <v>4508714</v>
      </c>
      <c r="F139" t="s">
        <v>4653</v>
      </c>
      <c r="G139" t="s">
        <v>743</v>
      </c>
      <c r="H139" t="s">
        <v>4775</v>
      </c>
      <c r="I139" s="12">
        <v>46055</v>
      </c>
      <c r="J139">
        <v>1</v>
      </c>
    </row>
    <row r="140" spans="1:10">
      <c r="A140" t="str">
        <f t="shared" si="2"/>
        <v>76063126</v>
      </c>
      <c r="B140">
        <v>76063126</v>
      </c>
      <c r="C140" t="s">
        <v>7848</v>
      </c>
      <c r="D140" t="s">
        <v>7849</v>
      </c>
      <c r="E140">
        <v>4408593</v>
      </c>
      <c r="F140" t="s">
        <v>4653</v>
      </c>
      <c r="G140" t="s">
        <v>782</v>
      </c>
      <c r="H140" t="s">
        <v>7806</v>
      </c>
      <c r="I140" s="12">
        <v>46143</v>
      </c>
      <c r="J140">
        <v>1</v>
      </c>
    </row>
    <row r="141" spans="1:10">
      <c r="A141" t="str">
        <f t="shared" si="2"/>
        <v>76066297</v>
      </c>
      <c r="B141">
        <v>76066297</v>
      </c>
      <c r="C141" t="s">
        <v>7850</v>
      </c>
      <c r="D141" t="s">
        <v>7851</v>
      </c>
      <c r="E141">
        <v>4408593</v>
      </c>
      <c r="F141" t="s">
        <v>4653</v>
      </c>
      <c r="G141" t="s">
        <v>782</v>
      </c>
      <c r="H141" t="s">
        <v>7851</v>
      </c>
      <c r="I141" s="12">
        <v>46064</v>
      </c>
      <c r="J141">
        <v>1</v>
      </c>
    </row>
    <row r="142" spans="1:10">
      <c r="A142" t="str">
        <f t="shared" si="2"/>
        <v>76067272</v>
      </c>
      <c r="B142">
        <v>76067272</v>
      </c>
      <c r="C142" t="s">
        <v>7852</v>
      </c>
      <c r="D142" t="s">
        <v>7853</v>
      </c>
      <c r="E142">
        <v>4508714</v>
      </c>
      <c r="F142" t="s">
        <v>4653</v>
      </c>
      <c r="G142" t="s">
        <v>743</v>
      </c>
      <c r="H142" t="s">
        <v>7854</v>
      </c>
      <c r="I142" s="12">
        <v>46119</v>
      </c>
      <c r="J142">
        <v>1</v>
      </c>
    </row>
    <row r="143" spans="1:10">
      <c r="A143" t="str">
        <f t="shared" si="2"/>
        <v>76067490</v>
      </c>
      <c r="B143">
        <v>76067490</v>
      </c>
      <c r="C143" t="s">
        <v>7855</v>
      </c>
      <c r="D143" t="s">
        <v>7856</v>
      </c>
      <c r="E143">
        <v>4508714</v>
      </c>
      <c r="F143" t="s">
        <v>4653</v>
      </c>
      <c r="G143" t="s">
        <v>743</v>
      </c>
      <c r="H143" t="s">
        <v>883</v>
      </c>
      <c r="I143" s="12">
        <v>45748</v>
      </c>
      <c r="J143">
        <v>1</v>
      </c>
    </row>
    <row r="144" spans="1:10">
      <c r="A144" t="str">
        <f t="shared" si="2"/>
        <v>76067783</v>
      </c>
      <c r="B144">
        <v>76067783</v>
      </c>
      <c r="C144" t="s">
        <v>7857</v>
      </c>
      <c r="D144" t="s">
        <v>7858</v>
      </c>
      <c r="E144">
        <v>4508714</v>
      </c>
      <c r="F144" t="s">
        <v>4653</v>
      </c>
      <c r="G144" t="s">
        <v>743</v>
      </c>
      <c r="H144" t="s">
        <v>7806</v>
      </c>
      <c r="I144" s="12">
        <v>46143</v>
      </c>
      <c r="J144">
        <v>1</v>
      </c>
    </row>
    <row r="145" spans="1:10">
      <c r="A145" t="str">
        <f t="shared" si="2"/>
        <v>76067908</v>
      </c>
      <c r="B145">
        <v>76067908</v>
      </c>
      <c r="C145" t="s">
        <v>7859</v>
      </c>
      <c r="D145" t="s">
        <v>7860</v>
      </c>
      <c r="E145">
        <v>4508714</v>
      </c>
      <c r="F145" t="s">
        <v>4653</v>
      </c>
      <c r="G145" t="s">
        <v>743</v>
      </c>
      <c r="H145" t="s">
        <v>7861</v>
      </c>
      <c r="I145" s="12">
        <v>46118</v>
      </c>
      <c r="J145">
        <v>1</v>
      </c>
    </row>
    <row r="146" spans="1:10">
      <c r="A146" t="str">
        <f t="shared" si="2"/>
        <v>76070688</v>
      </c>
      <c r="B146">
        <v>76070688</v>
      </c>
      <c r="C146" t="s">
        <v>7862</v>
      </c>
      <c r="D146" t="s">
        <v>7863</v>
      </c>
      <c r="E146">
        <v>4508714</v>
      </c>
      <c r="F146" t="s">
        <v>4653</v>
      </c>
      <c r="G146" t="s">
        <v>743</v>
      </c>
      <c r="H146" t="s">
        <v>7863</v>
      </c>
      <c r="I146" s="12">
        <v>45873</v>
      </c>
      <c r="J146">
        <v>1</v>
      </c>
    </row>
    <row r="147" spans="1:10">
      <c r="A147" t="str">
        <f t="shared" si="2"/>
        <v>76070797</v>
      </c>
      <c r="B147">
        <v>76070797</v>
      </c>
      <c r="C147" t="s">
        <v>7864</v>
      </c>
      <c r="D147" t="s">
        <v>7865</v>
      </c>
      <c r="E147">
        <v>4508714</v>
      </c>
      <c r="F147" t="s">
        <v>4653</v>
      </c>
      <c r="G147" t="s">
        <v>743</v>
      </c>
      <c r="H147" t="s">
        <v>7866</v>
      </c>
      <c r="I147" s="12">
        <v>46113</v>
      </c>
      <c r="J147">
        <v>1</v>
      </c>
    </row>
    <row r="148" spans="1:10">
      <c r="A148" t="str">
        <f t="shared" si="2"/>
        <v>76072064</v>
      </c>
      <c r="B148">
        <v>76072064</v>
      </c>
      <c r="C148" t="s">
        <v>7867</v>
      </c>
      <c r="D148" t="s">
        <v>7868</v>
      </c>
      <c r="E148">
        <v>4408593</v>
      </c>
      <c r="F148" t="s">
        <v>4653</v>
      </c>
      <c r="G148" t="s">
        <v>782</v>
      </c>
      <c r="H148" t="s">
        <v>6289</v>
      </c>
      <c r="I148" s="12">
        <v>46107</v>
      </c>
      <c r="J148">
        <v>1</v>
      </c>
    </row>
    <row r="149" spans="1:10">
      <c r="A149" t="str">
        <f t="shared" si="2"/>
        <v>76073131</v>
      </c>
      <c r="B149">
        <v>76073131</v>
      </c>
      <c r="C149" t="s">
        <v>7869</v>
      </c>
      <c r="D149" t="s">
        <v>7870</v>
      </c>
      <c r="E149">
        <v>4508714</v>
      </c>
      <c r="F149" t="s">
        <v>4653</v>
      </c>
      <c r="G149" t="s">
        <v>743</v>
      </c>
      <c r="H149" t="s">
        <v>778</v>
      </c>
      <c r="I149" s="12">
        <v>46077</v>
      </c>
      <c r="J149">
        <v>1</v>
      </c>
    </row>
    <row r="150" spans="1:10">
      <c r="A150" t="str">
        <f t="shared" si="2"/>
        <v>76073778</v>
      </c>
      <c r="B150">
        <v>76073778</v>
      </c>
      <c r="C150" t="s">
        <v>7871</v>
      </c>
      <c r="D150" t="s">
        <v>7872</v>
      </c>
      <c r="E150">
        <v>4508714</v>
      </c>
      <c r="F150" t="s">
        <v>4653</v>
      </c>
      <c r="G150" t="s">
        <v>743</v>
      </c>
      <c r="H150" t="s">
        <v>7873</v>
      </c>
      <c r="I150" s="12">
        <v>46020</v>
      </c>
      <c r="J150">
        <v>1</v>
      </c>
    </row>
    <row r="151" spans="1:10">
      <c r="A151" t="str">
        <f t="shared" si="2"/>
        <v>76073990</v>
      </c>
      <c r="B151">
        <v>76073990</v>
      </c>
      <c r="C151" t="s">
        <v>7874</v>
      </c>
      <c r="D151" t="s">
        <v>7875</v>
      </c>
      <c r="E151">
        <v>4508714</v>
      </c>
      <c r="F151" t="s">
        <v>4653</v>
      </c>
      <c r="G151" t="s">
        <v>743</v>
      </c>
      <c r="H151" t="s">
        <v>7806</v>
      </c>
      <c r="I151" s="12">
        <v>46143</v>
      </c>
      <c r="J151">
        <v>1</v>
      </c>
    </row>
    <row r="152" spans="1:10">
      <c r="A152" t="str">
        <f t="shared" si="2"/>
        <v>76074029</v>
      </c>
      <c r="B152">
        <v>76074029</v>
      </c>
      <c r="C152" t="s">
        <v>7876</v>
      </c>
      <c r="D152" t="s">
        <v>7877</v>
      </c>
      <c r="E152">
        <v>4508714</v>
      </c>
      <c r="F152" t="s">
        <v>4653</v>
      </c>
      <c r="G152" t="s">
        <v>743</v>
      </c>
      <c r="H152" t="s">
        <v>7806</v>
      </c>
      <c r="I152" s="12">
        <v>46143</v>
      </c>
      <c r="J152">
        <v>1</v>
      </c>
    </row>
    <row r="153" spans="1:10">
      <c r="A153" t="str">
        <f t="shared" si="2"/>
        <v>76074237</v>
      </c>
      <c r="B153">
        <v>76074237</v>
      </c>
      <c r="C153" t="s">
        <v>7878</v>
      </c>
      <c r="D153" t="s">
        <v>7879</v>
      </c>
      <c r="E153">
        <v>4508714</v>
      </c>
      <c r="F153" t="s">
        <v>4653</v>
      </c>
      <c r="G153" t="s">
        <v>743</v>
      </c>
      <c r="H153" t="s">
        <v>5501</v>
      </c>
      <c r="I153" s="12">
        <v>46024</v>
      </c>
      <c r="J153">
        <v>1</v>
      </c>
    </row>
    <row r="154" spans="1:10">
      <c r="A154" t="str">
        <f t="shared" si="2"/>
        <v>76074276</v>
      </c>
      <c r="B154">
        <v>76074276</v>
      </c>
      <c r="C154" t="s">
        <v>7880</v>
      </c>
      <c r="D154" t="s">
        <v>903</v>
      </c>
      <c r="E154">
        <v>4508685</v>
      </c>
      <c r="F154" t="s">
        <v>4653</v>
      </c>
      <c r="G154" t="s">
        <v>904</v>
      </c>
      <c r="H154" t="s">
        <v>905</v>
      </c>
      <c r="I154" s="12">
        <v>46024</v>
      </c>
      <c r="J154">
        <v>1</v>
      </c>
    </row>
    <row r="155" spans="1:10">
      <c r="A155" t="str">
        <f t="shared" si="2"/>
        <v>76074791</v>
      </c>
      <c r="B155">
        <v>76074791</v>
      </c>
      <c r="C155" t="s">
        <v>7881</v>
      </c>
      <c r="D155" t="s">
        <v>7882</v>
      </c>
      <c r="E155">
        <v>4508714</v>
      </c>
      <c r="F155" t="s">
        <v>4653</v>
      </c>
      <c r="G155" t="s">
        <v>743</v>
      </c>
      <c r="H155" t="s">
        <v>509</v>
      </c>
      <c r="I155" s="12">
        <v>46071</v>
      </c>
      <c r="J155">
        <v>1</v>
      </c>
    </row>
    <row r="156" spans="1:10">
      <c r="A156" t="str">
        <f t="shared" si="2"/>
        <v>76076427</v>
      </c>
      <c r="B156">
        <v>76076427</v>
      </c>
      <c r="C156" t="s">
        <v>7883</v>
      </c>
      <c r="D156" t="s">
        <v>7604</v>
      </c>
      <c r="E156">
        <v>4508714</v>
      </c>
      <c r="F156" t="s">
        <v>4653</v>
      </c>
      <c r="G156" t="s">
        <v>743</v>
      </c>
      <c r="H156" t="s">
        <v>7604</v>
      </c>
      <c r="I156" s="12">
        <v>46064</v>
      </c>
      <c r="J156">
        <v>1</v>
      </c>
    </row>
    <row r="157" spans="1:10">
      <c r="A157" t="str">
        <f t="shared" si="2"/>
        <v>76124458</v>
      </c>
      <c r="B157">
        <v>76124458</v>
      </c>
      <c r="C157" t="s">
        <v>7884</v>
      </c>
      <c r="D157" t="s">
        <v>7885</v>
      </c>
      <c r="E157">
        <v>4508714</v>
      </c>
      <c r="F157" t="s">
        <v>4653</v>
      </c>
      <c r="G157" t="s">
        <v>743</v>
      </c>
      <c r="H157" t="s">
        <v>7659</v>
      </c>
      <c r="I157" s="12">
        <v>45820</v>
      </c>
      <c r="J157">
        <v>1</v>
      </c>
    </row>
    <row r="158" spans="1:10">
      <c r="A158" t="str">
        <f t="shared" si="2"/>
        <v>76129598</v>
      </c>
      <c r="B158">
        <v>76129598</v>
      </c>
      <c r="C158" t="s">
        <v>7886</v>
      </c>
      <c r="D158" t="s">
        <v>7887</v>
      </c>
      <c r="E158">
        <v>4508714</v>
      </c>
      <c r="F158" t="s">
        <v>4653</v>
      </c>
      <c r="G158" t="s">
        <v>743</v>
      </c>
      <c r="H158" t="s">
        <v>7888</v>
      </c>
      <c r="I158" s="12">
        <v>46120</v>
      </c>
      <c r="J158">
        <v>1</v>
      </c>
    </row>
    <row r="159" spans="1:10">
      <c r="A159" t="str">
        <f t="shared" si="2"/>
        <v>76135790</v>
      </c>
      <c r="B159">
        <v>76135790</v>
      </c>
      <c r="C159" t="s">
        <v>7889</v>
      </c>
      <c r="D159" t="s">
        <v>515</v>
      </c>
      <c r="E159">
        <v>4508714</v>
      </c>
      <c r="F159" t="s">
        <v>4653</v>
      </c>
      <c r="G159" t="s">
        <v>743</v>
      </c>
      <c r="H159" t="s">
        <v>515</v>
      </c>
      <c r="I159" s="12">
        <v>46098</v>
      </c>
      <c r="J159">
        <v>1</v>
      </c>
    </row>
    <row r="160" spans="1:10">
      <c r="A160" t="str">
        <f t="shared" si="2"/>
        <v>76137842</v>
      </c>
      <c r="B160">
        <v>76137842</v>
      </c>
      <c r="C160" t="s">
        <v>7890</v>
      </c>
      <c r="D160" t="s">
        <v>7891</v>
      </c>
      <c r="E160">
        <v>4508714</v>
      </c>
      <c r="F160" t="s">
        <v>4653</v>
      </c>
      <c r="G160" t="s">
        <v>743</v>
      </c>
      <c r="H160" t="s">
        <v>7891</v>
      </c>
      <c r="I160" s="12">
        <v>46007</v>
      </c>
      <c r="J160">
        <v>1</v>
      </c>
    </row>
    <row r="161" spans="1:10">
      <c r="A161" t="str">
        <f t="shared" si="2"/>
        <v>76139931</v>
      </c>
      <c r="B161">
        <v>76139931</v>
      </c>
      <c r="C161" t="s">
        <v>7892</v>
      </c>
      <c r="D161" t="s">
        <v>7893</v>
      </c>
      <c r="E161">
        <v>4508685</v>
      </c>
      <c r="F161" t="s">
        <v>4653</v>
      </c>
      <c r="G161" t="s">
        <v>904</v>
      </c>
      <c r="H161" t="s">
        <v>905</v>
      </c>
      <c r="I161" s="12">
        <v>45581</v>
      </c>
      <c r="J161">
        <v>2</v>
      </c>
    </row>
    <row r="162" spans="1:10">
      <c r="A162" t="str">
        <f t="shared" si="2"/>
        <v>76139931</v>
      </c>
      <c r="B162">
        <v>76139931</v>
      </c>
      <c r="C162" t="s">
        <v>7894</v>
      </c>
      <c r="D162" t="s">
        <v>7893</v>
      </c>
      <c r="E162">
        <v>4508685</v>
      </c>
      <c r="F162" t="s">
        <v>4653</v>
      </c>
      <c r="G162" t="s">
        <v>904</v>
      </c>
      <c r="H162" t="s">
        <v>905</v>
      </c>
      <c r="I162" s="12">
        <v>46024</v>
      </c>
      <c r="J162">
        <v>1</v>
      </c>
    </row>
    <row r="163" spans="1:10">
      <c r="A163" t="str">
        <f t="shared" si="2"/>
        <v>76141857</v>
      </c>
      <c r="B163">
        <v>76141857</v>
      </c>
      <c r="C163" t="s">
        <v>7895</v>
      </c>
      <c r="D163" t="s">
        <v>7896</v>
      </c>
      <c r="E163">
        <v>4508714</v>
      </c>
      <c r="F163" t="s">
        <v>4653</v>
      </c>
      <c r="G163" t="s">
        <v>743</v>
      </c>
      <c r="H163" t="s">
        <v>6751</v>
      </c>
      <c r="I163" s="12">
        <v>46020</v>
      </c>
      <c r="J163">
        <v>1</v>
      </c>
    </row>
    <row r="164" spans="1:10">
      <c r="A164" t="str">
        <f t="shared" si="2"/>
        <v>76142029</v>
      </c>
      <c r="B164">
        <v>76142029</v>
      </c>
      <c r="C164" t="s">
        <v>7897</v>
      </c>
      <c r="D164" t="s">
        <v>7898</v>
      </c>
      <c r="E164">
        <v>4408593</v>
      </c>
      <c r="F164" t="s">
        <v>4653</v>
      </c>
      <c r="G164" t="s">
        <v>782</v>
      </c>
      <c r="H164" t="s">
        <v>6913</v>
      </c>
      <c r="I164" s="12">
        <v>45828</v>
      </c>
      <c r="J164">
        <v>1</v>
      </c>
    </row>
    <row r="165" spans="1:10">
      <c r="A165" t="str">
        <f t="shared" si="2"/>
        <v>76142030</v>
      </c>
      <c r="B165">
        <v>76142030</v>
      </c>
      <c r="C165" t="s">
        <v>7899</v>
      </c>
      <c r="D165" t="s">
        <v>7900</v>
      </c>
      <c r="E165">
        <v>4408593</v>
      </c>
      <c r="F165" t="s">
        <v>4653</v>
      </c>
      <c r="G165" t="s">
        <v>782</v>
      </c>
      <c r="H165" t="s">
        <v>6913</v>
      </c>
      <c r="I165" s="12">
        <v>45828</v>
      </c>
      <c r="J165">
        <v>1</v>
      </c>
    </row>
    <row r="166" spans="1:10">
      <c r="A166" t="str">
        <f t="shared" si="2"/>
        <v>76143011</v>
      </c>
      <c r="B166">
        <v>76143011</v>
      </c>
      <c r="C166" t="s">
        <v>7901</v>
      </c>
      <c r="D166" t="s">
        <v>7902</v>
      </c>
      <c r="E166">
        <v>4408593</v>
      </c>
      <c r="F166" t="s">
        <v>4653</v>
      </c>
      <c r="G166" t="s">
        <v>782</v>
      </c>
      <c r="H166" t="s">
        <v>7903</v>
      </c>
      <c r="I166" s="12">
        <v>45719</v>
      </c>
      <c r="J166">
        <v>1</v>
      </c>
    </row>
    <row r="167" spans="1:10">
      <c r="A167" t="str">
        <f t="shared" si="2"/>
        <v>76143293</v>
      </c>
      <c r="B167">
        <v>76143293</v>
      </c>
      <c r="C167" t="s">
        <v>7904</v>
      </c>
      <c r="D167" t="s">
        <v>518</v>
      </c>
      <c r="E167">
        <v>4508714</v>
      </c>
      <c r="F167" t="s">
        <v>4653</v>
      </c>
      <c r="G167" t="s">
        <v>743</v>
      </c>
      <c r="H167" t="s">
        <v>7659</v>
      </c>
      <c r="I167" s="12">
        <v>45820</v>
      </c>
      <c r="J167">
        <v>1</v>
      </c>
    </row>
    <row r="168" spans="1:10">
      <c r="A168" t="str">
        <f t="shared" si="2"/>
        <v>76143376</v>
      </c>
      <c r="B168">
        <v>76143376</v>
      </c>
      <c r="C168" t="s">
        <v>7905</v>
      </c>
      <c r="D168" t="s">
        <v>521</v>
      </c>
      <c r="E168">
        <v>4408593</v>
      </c>
      <c r="F168" t="s">
        <v>4653</v>
      </c>
      <c r="G168" t="s">
        <v>782</v>
      </c>
      <c r="H168" t="s">
        <v>7906</v>
      </c>
      <c r="I168" s="12">
        <v>46080</v>
      </c>
      <c r="J168">
        <v>1</v>
      </c>
    </row>
    <row r="169" spans="1:10">
      <c r="A169" t="str">
        <f t="shared" si="2"/>
        <v>76144136</v>
      </c>
      <c r="B169">
        <v>76144136</v>
      </c>
      <c r="C169" t="s">
        <v>7907</v>
      </c>
      <c r="D169" t="s">
        <v>7908</v>
      </c>
      <c r="E169">
        <v>4508714</v>
      </c>
      <c r="F169" t="s">
        <v>4653</v>
      </c>
      <c r="G169" t="s">
        <v>743</v>
      </c>
      <c r="H169" t="s">
        <v>7909</v>
      </c>
      <c r="I169" s="12">
        <v>46099</v>
      </c>
      <c r="J169">
        <v>1</v>
      </c>
    </row>
    <row r="170" spans="1:10">
      <c r="A170" t="str">
        <f t="shared" si="2"/>
        <v>76145944</v>
      </c>
      <c r="B170">
        <v>76145944</v>
      </c>
      <c r="C170" t="s">
        <v>7910</v>
      </c>
      <c r="D170" t="s">
        <v>7911</v>
      </c>
      <c r="E170">
        <v>4508714</v>
      </c>
      <c r="F170" t="s">
        <v>4653</v>
      </c>
      <c r="G170" t="s">
        <v>743</v>
      </c>
      <c r="H170" t="s">
        <v>7588</v>
      </c>
      <c r="I170" s="12">
        <v>46107</v>
      </c>
      <c r="J170">
        <v>1</v>
      </c>
    </row>
    <row r="171" spans="1:10">
      <c r="A171" t="str">
        <f t="shared" si="2"/>
        <v>76146342</v>
      </c>
      <c r="B171">
        <v>76146342</v>
      </c>
      <c r="C171" t="s">
        <v>7912</v>
      </c>
      <c r="D171" t="s">
        <v>7913</v>
      </c>
      <c r="E171">
        <v>4508714</v>
      </c>
      <c r="F171" t="s">
        <v>4653</v>
      </c>
      <c r="G171" t="s">
        <v>743</v>
      </c>
      <c r="H171" t="s">
        <v>7309</v>
      </c>
      <c r="I171" s="12">
        <v>46092</v>
      </c>
      <c r="J171">
        <v>1</v>
      </c>
    </row>
    <row r="172" spans="1:10">
      <c r="A172" t="str">
        <f t="shared" si="2"/>
        <v>76146343</v>
      </c>
      <c r="B172">
        <v>76146343</v>
      </c>
      <c r="C172" t="s">
        <v>7914</v>
      </c>
      <c r="D172" t="s">
        <v>7915</v>
      </c>
      <c r="E172">
        <v>4508714</v>
      </c>
      <c r="F172" t="s">
        <v>4653</v>
      </c>
      <c r="G172" t="s">
        <v>743</v>
      </c>
      <c r="H172" t="s">
        <v>7309</v>
      </c>
      <c r="I172" s="12">
        <v>46092</v>
      </c>
      <c r="J172">
        <v>1</v>
      </c>
    </row>
    <row r="173" spans="1:10">
      <c r="A173" t="str">
        <f t="shared" si="2"/>
        <v>76146344</v>
      </c>
      <c r="B173">
        <v>76146344</v>
      </c>
      <c r="C173" t="s">
        <v>7916</v>
      </c>
      <c r="D173" t="s">
        <v>7917</v>
      </c>
      <c r="E173">
        <v>4508714</v>
      </c>
      <c r="F173" t="s">
        <v>4653</v>
      </c>
      <c r="G173" t="s">
        <v>743</v>
      </c>
      <c r="H173" t="s">
        <v>7309</v>
      </c>
      <c r="I173" s="12">
        <v>46092</v>
      </c>
      <c r="J173">
        <v>1</v>
      </c>
    </row>
    <row r="174" spans="1:10">
      <c r="A174" t="str">
        <f t="shared" si="2"/>
        <v>76146350</v>
      </c>
      <c r="B174">
        <v>76146350</v>
      </c>
      <c r="C174" t="s">
        <v>7918</v>
      </c>
      <c r="D174" t="s">
        <v>7919</v>
      </c>
      <c r="E174">
        <v>4408592</v>
      </c>
      <c r="F174" t="s">
        <v>4653</v>
      </c>
      <c r="G174" t="s">
        <v>823</v>
      </c>
      <c r="H174" t="s">
        <v>7309</v>
      </c>
      <c r="I174" s="12">
        <v>45764</v>
      </c>
      <c r="J174">
        <v>1</v>
      </c>
    </row>
    <row r="175" spans="1:10">
      <c r="A175" t="str">
        <f t="shared" si="2"/>
        <v>76146351</v>
      </c>
      <c r="B175">
        <v>76146351</v>
      </c>
      <c r="C175" t="s">
        <v>7920</v>
      </c>
      <c r="D175" t="s">
        <v>7921</v>
      </c>
      <c r="E175">
        <v>4508714</v>
      </c>
      <c r="F175" t="s">
        <v>4653</v>
      </c>
      <c r="G175" t="s">
        <v>743</v>
      </c>
      <c r="H175" t="s">
        <v>7309</v>
      </c>
      <c r="I175" s="12">
        <v>46090</v>
      </c>
      <c r="J175">
        <v>1</v>
      </c>
    </row>
    <row r="176" spans="1:10">
      <c r="A176" t="str">
        <f t="shared" si="2"/>
        <v>76146353</v>
      </c>
      <c r="B176">
        <v>76146353</v>
      </c>
      <c r="C176" t="s">
        <v>7922</v>
      </c>
      <c r="D176" t="s">
        <v>7923</v>
      </c>
      <c r="E176">
        <v>4508714</v>
      </c>
      <c r="F176" t="s">
        <v>4653</v>
      </c>
      <c r="G176" t="s">
        <v>743</v>
      </c>
      <c r="H176" t="s">
        <v>7309</v>
      </c>
      <c r="I176" s="12">
        <v>46091</v>
      </c>
      <c r="J176">
        <v>1</v>
      </c>
    </row>
    <row r="177" spans="1:10">
      <c r="A177" t="str">
        <f t="shared" si="2"/>
        <v>76147698</v>
      </c>
      <c r="B177">
        <v>76147698</v>
      </c>
      <c r="C177" t="s">
        <v>7924</v>
      </c>
      <c r="D177" t="s">
        <v>7925</v>
      </c>
      <c r="E177">
        <v>4508714</v>
      </c>
      <c r="F177" t="s">
        <v>4653</v>
      </c>
      <c r="G177" t="s">
        <v>743</v>
      </c>
      <c r="H177" t="s">
        <v>7873</v>
      </c>
      <c r="I177" s="12">
        <v>46020</v>
      </c>
      <c r="J177">
        <v>1</v>
      </c>
    </row>
    <row r="178" spans="1:10">
      <c r="A178" t="str">
        <f t="shared" si="2"/>
        <v>76149136</v>
      </c>
      <c r="B178">
        <v>76149136</v>
      </c>
      <c r="C178" t="s">
        <v>7926</v>
      </c>
      <c r="D178" t="s">
        <v>2925</v>
      </c>
      <c r="E178">
        <v>4408593</v>
      </c>
      <c r="F178" t="s">
        <v>4653</v>
      </c>
      <c r="G178" t="s">
        <v>782</v>
      </c>
      <c r="H178" t="s">
        <v>6124</v>
      </c>
      <c r="I178" s="12">
        <v>46078</v>
      </c>
      <c r="J178">
        <v>1</v>
      </c>
    </row>
    <row r="179" spans="1:10">
      <c r="A179" t="str">
        <f t="shared" si="2"/>
        <v>76149153</v>
      </c>
      <c r="B179">
        <v>76149153</v>
      </c>
      <c r="C179" t="s">
        <v>7927</v>
      </c>
      <c r="D179" t="s">
        <v>7928</v>
      </c>
      <c r="E179">
        <v>4508714</v>
      </c>
      <c r="F179" t="s">
        <v>4653</v>
      </c>
      <c r="G179" t="s">
        <v>743</v>
      </c>
      <c r="H179" t="s">
        <v>5629</v>
      </c>
      <c r="I179" s="12">
        <v>45748</v>
      </c>
      <c r="J179">
        <v>1</v>
      </c>
    </row>
    <row r="180" spans="1:10">
      <c r="A180" t="str">
        <f t="shared" si="2"/>
        <v>76149720</v>
      </c>
      <c r="B180">
        <v>76149720</v>
      </c>
      <c r="C180" t="s">
        <v>7929</v>
      </c>
      <c r="D180" t="s">
        <v>7930</v>
      </c>
      <c r="E180">
        <v>4508714</v>
      </c>
      <c r="F180" t="s">
        <v>4653</v>
      </c>
      <c r="G180" t="s">
        <v>743</v>
      </c>
      <c r="H180" t="s">
        <v>4775</v>
      </c>
      <c r="I180" s="12">
        <v>46055</v>
      </c>
      <c r="J180">
        <v>1</v>
      </c>
    </row>
    <row r="181" spans="1:10">
      <c r="A181" t="str">
        <f t="shared" si="2"/>
        <v>76150199</v>
      </c>
      <c r="B181">
        <v>76150199</v>
      </c>
      <c r="C181" t="s">
        <v>7931</v>
      </c>
      <c r="D181" t="s">
        <v>7932</v>
      </c>
      <c r="E181">
        <v>4508714</v>
      </c>
      <c r="F181" t="s">
        <v>4653</v>
      </c>
      <c r="G181" t="s">
        <v>743</v>
      </c>
      <c r="H181" t="s">
        <v>4775</v>
      </c>
      <c r="I181" s="12">
        <v>46055</v>
      </c>
      <c r="J181">
        <v>1</v>
      </c>
    </row>
    <row r="182" spans="1:10">
      <c r="A182" t="str">
        <f t="shared" si="2"/>
        <v>76152148</v>
      </c>
      <c r="B182">
        <v>76152148</v>
      </c>
      <c r="C182" t="s">
        <v>7933</v>
      </c>
      <c r="D182" t="s">
        <v>7934</v>
      </c>
      <c r="E182">
        <v>4508714</v>
      </c>
      <c r="F182" t="s">
        <v>4653</v>
      </c>
      <c r="G182" t="s">
        <v>743</v>
      </c>
      <c r="H182" t="s">
        <v>7934</v>
      </c>
      <c r="I182" s="12">
        <v>46098</v>
      </c>
      <c r="J182">
        <v>1</v>
      </c>
    </row>
    <row r="183" spans="1:10">
      <c r="A183" t="str">
        <f t="shared" si="2"/>
        <v>76152344</v>
      </c>
      <c r="B183">
        <v>76152344</v>
      </c>
      <c r="C183" t="s">
        <v>7935</v>
      </c>
      <c r="D183" t="s">
        <v>7936</v>
      </c>
      <c r="E183">
        <v>4408593</v>
      </c>
      <c r="F183" t="s">
        <v>4653</v>
      </c>
      <c r="G183" t="s">
        <v>782</v>
      </c>
      <c r="H183" t="s">
        <v>6913</v>
      </c>
      <c r="I183" s="12">
        <v>45828</v>
      </c>
      <c r="J183">
        <v>1</v>
      </c>
    </row>
    <row r="184" spans="1:10">
      <c r="A184" t="str">
        <f t="shared" si="2"/>
        <v>76152997</v>
      </c>
      <c r="B184">
        <v>76152997</v>
      </c>
      <c r="C184" t="s">
        <v>7937</v>
      </c>
      <c r="D184" t="s">
        <v>7938</v>
      </c>
      <c r="E184">
        <v>4508685</v>
      </c>
      <c r="F184" t="s">
        <v>4653</v>
      </c>
      <c r="G184" t="s">
        <v>904</v>
      </c>
      <c r="H184" t="s">
        <v>905</v>
      </c>
      <c r="I184" s="12">
        <v>45581</v>
      </c>
      <c r="J184">
        <v>2</v>
      </c>
    </row>
    <row r="185" spans="1:10">
      <c r="A185" t="str">
        <f t="shared" si="2"/>
        <v>76152997</v>
      </c>
      <c r="B185">
        <v>76152997</v>
      </c>
      <c r="C185" t="s">
        <v>7939</v>
      </c>
      <c r="D185" t="s">
        <v>7938</v>
      </c>
      <c r="E185">
        <v>4508685</v>
      </c>
      <c r="F185" t="s">
        <v>4653</v>
      </c>
      <c r="G185" t="s">
        <v>904</v>
      </c>
      <c r="H185" t="s">
        <v>905</v>
      </c>
      <c r="I185" s="12">
        <v>46024</v>
      </c>
      <c r="J185">
        <v>1</v>
      </c>
    </row>
    <row r="186" spans="1:10">
      <c r="A186" t="str">
        <f t="shared" si="2"/>
        <v>76153003</v>
      </c>
      <c r="B186">
        <v>76153003</v>
      </c>
      <c r="C186" t="s">
        <v>7940</v>
      </c>
      <c r="D186" t="s">
        <v>7941</v>
      </c>
      <c r="E186">
        <v>4508685</v>
      </c>
      <c r="F186" t="s">
        <v>4653</v>
      </c>
      <c r="G186" t="s">
        <v>904</v>
      </c>
      <c r="H186" t="s">
        <v>905</v>
      </c>
      <c r="I186" s="12">
        <v>45581</v>
      </c>
      <c r="J186">
        <v>2</v>
      </c>
    </row>
    <row r="187" spans="1:10">
      <c r="A187" t="str">
        <f t="shared" si="2"/>
        <v>76153003</v>
      </c>
      <c r="B187">
        <v>76153003</v>
      </c>
      <c r="C187" t="s">
        <v>7942</v>
      </c>
      <c r="D187" t="s">
        <v>7941</v>
      </c>
      <c r="E187">
        <v>4508685</v>
      </c>
      <c r="F187" t="s">
        <v>4653</v>
      </c>
      <c r="G187" t="s">
        <v>904</v>
      </c>
      <c r="H187" t="s">
        <v>905</v>
      </c>
      <c r="I187" s="12">
        <v>46024</v>
      </c>
      <c r="J187">
        <v>1</v>
      </c>
    </row>
    <row r="188" spans="1:10">
      <c r="A188" t="str">
        <f t="shared" si="2"/>
        <v>76153054</v>
      </c>
      <c r="B188">
        <v>76153054</v>
      </c>
      <c r="C188" t="s">
        <v>7943</v>
      </c>
      <c r="D188" t="s">
        <v>7944</v>
      </c>
      <c r="E188">
        <v>4408592</v>
      </c>
      <c r="F188" t="s">
        <v>4653</v>
      </c>
      <c r="G188" t="s">
        <v>823</v>
      </c>
      <c r="H188" t="s">
        <v>7945</v>
      </c>
      <c r="I188" s="12">
        <v>46126</v>
      </c>
      <c r="J188">
        <v>1</v>
      </c>
    </row>
    <row r="189" spans="1:10">
      <c r="A189" t="str">
        <f t="shared" si="2"/>
        <v>76153438</v>
      </c>
      <c r="B189">
        <v>76153438</v>
      </c>
      <c r="C189" t="s">
        <v>7946</v>
      </c>
      <c r="D189" t="s">
        <v>7947</v>
      </c>
      <c r="E189">
        <v>4508714</v>
      </c>
      <c r="F189" t="s">
        <v>4653</v>
      </c>
      <c r="G189" t="s">
        <v>743</v>
      </c>
      <c r="H189" t="s">
        <v>6478</v>
      </c>
      <c r="I189" s="12">
        <v>46022</v>
      </c>
      <c r="J189">
        <v>1</v>
      </c>
    </row>
    <row r="190" spans="1:10">
      <c r="A190" t="str">
        <f t="shared" si="2"/>
        <v>76153589</v>
      </c>
      <c r="B190">
        <v>76153589</v>
      </c>
      <c r="C190" t="s">
        <v>7948</v>
      </c>
      <c r="D190" t="s">
        <v>7949</v>
      </c>
      <c r="E190">
        <v>4508714</v>
      </c>
      <c r="F190" t="s">
        <v>4653</v>
      </c>
      <c r="G190" t="s">
        <v>743</v>
      </c>
      <c r="H190" t="s">
        <v>7950</v>
      </c>
      <c r="I190" s="12">
        <v>46097</v>
      </c>
      <c r="J190">
        <v>1</v>
      </c>
    </row>
    <row r="191" spans="1:10">
      <c r="A191" t="str">
        <f t="shared" si="2"/>
        <v>76154059</v>
      </c>
      <c r="B191">
        <v>76154059</v>
      </c>
      <c r="C191" t="s">
        <v>7951</v>
      </c>
      <c r="D191" t="s">
        <v>7952</v>
      </c>
      <c r="E191">
        <v>4508714</v>
      </c>
      <c r="F191" t="s">
        <v>4653</v>
      </c>
      <c r="G191" t="s">
        <v>743</v>
      </c>
      <c r="H191" t="s">
        <v>6943</v>
      </c>
      <c r="I191" s="12">
        <v>46142</v>
      </c>
      <c r="J191">
        <v>1</v>
      </c>
    </row>
    <row r="192" spans="1:10">
      <c r="A192" t="str">
        <f t="shared" si="2"/>
        <v>76154558</v>
      </c>
      <c r="B192">
        <v>76154558</v>
      </c>
      <c r="C192" t="s">
        <v>7953</v>
      </c>
      <c r="D192" t="s">
        <v>7954</v>
      </c>
      <c r="E192">
        <v>4508714</v>
      </c>
      <c r="F192" t="s">
        <v>4653</v>
      </c>
      <c r="G192" t="s">
        <v>743</v>
      </c>
      <c r="H192" t="s">
        <v>7588</v>
      </c>
      <c r="I192" s="12">
        <v>46107</v>
      </c>
      <c r="J192">
        <v>1</v>
      </c>
    </row>
    <row r="193" spans="1:10">
      <c r="A193" t="str">
        <f t="shared" si="2"/>
        <v>76154600</v>
      </c>
      <c r="B193">
        <v>76154600</v>
      </c>
      <c r="C193" t="s">
        <v>7955</v>
      </c>
      <c r="D193" t="s">
        <v>7956</v>
      </c>
      <c r="E193">
        <v>4508714</v>
      </c>
      <c r="F193" t="s">
        <v>4653</v>
      </c>
      <c r="G193" t="s">
        <v>743</v>
      </c>
      <c r="H193" t="s">
        <v>7309</v>
      </c>
      <c r="I193" s="12">
        <v>46092</v>
      </c>
      <c r="J193">
        <v>1</v>
      </c>
    </row>
    <row r="194" spans="1:10">
      <c r="A194" t="str">
        <f t="shared" ref="A194:A257" si="3">TRIM(B194)</f>
        <v>76156293</v>
      </c>
      <c r="B194">
        <v>76156293</v>
      </c>
      <c r="C194" t="s">
        <v>7957</v>
      </c>
      <c r="D194" t="s">
        <v>7958</v>
      </c>
      <c r="E194">
        <v>4508714</v>
      </c>
      <c r="F194" t="s">
        <v>4653</v>
      </c>
      <c r="G194" t="s">
        <v>743</v>
      </c>
      <c r="H194" t="s">
        <v>7309</v>
      </c>
      <c r="I194" s="12">
        <v>46092</v>
      </c>
      <c r="J194">
        <v>1</v>
      </c>
    </row>
    <row r="195" spans="1:10">
      <c r="A195" t="str">
        <f t="shared" si="3"/>
        <v>76157694</v>
      </c>
      <c r="B195">
        <v>76157694</v>
      </c>
      <c r="C195" t="s">
        <v>7959</v>
      </c>
      <c r="D195" t="s">
        <v>7960</v>
      </c>
      <c r="E195">
        <v>4408592</v>
      </c>
      <c r="F195" t="s">
        <v>4653</v>
      </c>
      <c r="G195" t="s">
        <v>823</v>
      </c>
      <c r="H195" t="s">
        <v>530</v>
      </c>
      <c r="I195" s="12">
        <v>45757</v>
      </c>
      <c r="J195">
        <v>1</v>
      </c>
    </row>
    <row r="196" spans="1:10">
      <c r="A196" t="str">
        <f t="shared" si="3"/>
        <v>76159225</v>
      </c>
      <c r="B196">
        <v>76159225</v>
      </c>
      <c r="C196" t="s">
        <v>7961</v>
      </c>
      <c r="D196" t="s">
        <v>533</v>
      </c>
      <c r="E196">
        <v>4408592</v>
      </c>
      <c r="F196" t="s">
        <v>4653</v>
      </c>
      <c r="G196" t="s">
        <v>823</v>
      </c>
      <c r="H196" t="s">
        <v>7962</v>
      </c>
      <c r="I196" s="12">
        <v>46128</v>
      </c>
      <c r="J196">
        <v>1</v>
      </c>
    </row>
    <row r="197" spans="1:10">
      <c r="A197" t="str">
        <f t="shared" si="3"/>
        <v>76159389</v>
      </c>
      <c r="B197">
        <v>76159389</v>
      </c>
      <c r="C197" t="s">
        <v>7963</v>
      </c>
      <c r="D197" t="s">
        <v>7964</v>
      </c>
      <c r="E197">
        <v>4508714</v>
      </c>
      <c r="F197" t="s">
        <v>4653</v>
      </c>
      <c r="G197" t="s">
        <v>743</v>
      </c>
      <c r="H197" t="s">
        <v>5358</v>
      </c>
      <c r="I197" s="12">
        <v>46050</v>
      </c>
      <c r="J197">
        <v>1</v>
      </c>
    </row>
    <row r="198" spans="1:10">
      <c r="A198" t="str">
        <f t="shared" si="3"/>
        <v>76159913</v>
      </c>
      <c r="B198">
        <v>76159913</v>
      </c>
      <c r="C198" t="s">
        <v>7965</v>
      </c>
      <c r="D198" t="s">
        <v>7966</v>
      </c>
      <c r="E198">
        <v>4508714</v>
      </c>
      <c r="F198" t="s">
        <v>4653</v>
      </c>
      <c r="G198" t="s">
        <v>743</v>
      </c>
      <c r="H198" t="s">
        <v>4775</v>
      </c>
      <c r="I198" s="12">
        <v>46055</v>
      </c>
      <c r="J198">
        <v>1</v>
      </c>
    </row>
    <row r="199" spans="1:10">
      <c r="A199" t="str">
        <f t="shared" si="3"/>
        <v>76163860</v>
      </c>
      <c r="B199">
        <v>76163860</v>
      </c>
      <c r="C199" t="s">
        <v>7967</v>
      </c>
      <c r="D199" t="s">
        <v>7968</v>
      </c>
      <c r="E199">
        <v>4508714</v>
      </c>
      <c r="F199" t="s">
        <v>4653</v>
      </c>
      <c r="G199" t="s">
        <v>743</v>
      </c>
      <c r="H199" t="s">
        <v>5358</v>
      </c>
      <c r="I199" s="12">
        <v>46050</v>
      </c>
      <c r="J199">
        <v>1</v>
      </c>
    </row>
    <row r="200" spans="1:10">
      <c r="A200" t="str">
        <f t="shared" si="3"/>
        <v>76164480</v>
      </c>
      <c r="B200">
        <v>76164480</v>
      </c>
      <c r="C200" t="s">
        <v>7969</v>
      </c>
      <c r="D200" t="s">
        <v>539</v>
      </c>
      <c r="E200">
        <v>4408592</v>
      </c>
      <c r="F200" t="s">
        <v>4653</v>
      </c>
      <c r="G200" t="s">
        <v>823</v>
      </c>
      <c r="H200" t="s">
        <v>5758</v>
      </c>
      <c r="I200" s="12">
        <v>45897</v>
      </c>
      <c r="J200">
        <v>1</v>
      </c>
    </row>
    <row r="201" spans="1:10">
      <c r="A201" t="str">
        <f t="shared" si="3"/>
        <v>76164480</v>
      </c>
      <c r="B201">
        <v>76164480</v>
      </c>
      <c r="C201" t="s">
        <v>7970</v>
      </c>
      <c r="D201" t="s">
        <v>539</v>
      </c>
      <c r="E201">
        <v>4508714</v>
      </c>
      <c r="F201" t="s">
        <v>4653</v>
      </c>
      <c r="G201" t="s">
        <v>743</v>
      </c>
      <c r="H201" t="s">
        <v>5758</v>
      </c>
      <c r="I201" s="12">
        <v>46098</v>
      </c>
      <c r="J201">
        <v>1</v>
      </c>
    </row>
    <row r="202" spans="1:10">
      <c r="A202" t="str">
        <f t="shared" si="3"/>
        <v>76164765</v>
      </c>
      <c r="B202">
        <v>76164765</v>
      </c>
      <c r="C202" t="s">
        <v>7971</v>
      </c>
      <c r="D202" t="s">
        <v>542</v>
      </c>
      <c r="E202">
        <v>4508714</v>
      </c>
      <c r="F202" t="s">
        <v>4653</v>
      </c>
      <c r="G202" t="s">
        <v>743</v>
      </c>
      <c r="H202" t="s">
        <v>7576</v>
      </c>
      <c r="I202" s="12">
        <v>46015</v>
      </c>
      <c r="J202">
        <v>1</v>
      </c>
    </row>
    <row r="203" spans="1:10">
      <c r="A203" t="str">
        <f t="shared" si="3"/>
        <v>76165787</v>
      </c>
      <c r="B203">
        <v>76165787</v>
      </c>
      <c r="C203" t="s">
        <v>7972</v>
      </c>
      <c r="D203" t="s">
        <v>7973</v>
      </c>
      <c r="E203">
        <v>4408593</v>
      </c>
      <c r="F203" t="s">
        <v>4653</v>
      </c>
      <c r="G203" t="s">
        <v>782</v>
      </c>
      <c r="H203" t="s">
        <v>6913</v>
      </c>
      <c r="I203" s="12">
        <v>45828</v>
      </c>
      <c r="J203">
        <v>1</v>
      </c>
    </row>
    <row r="204" spans="1:10">
      <c r="A204" t="str">
        <f t="shared" si="3"/>
        <v>76166864</v>
      </c>
      <c r="B204">
        <v>76166864</v>
      </c>
      <c r="C204" t="s">
        <v>7974</v>
      </c>
      <c r="D204" t="s">
        <v>7975</v>
      </c>
      <c r="E204">
        <v>4508714</v>
      </c>
      <c r="F204" t="s">
        <v>4653</v>
      </c>
      <c r="G204" t="s">
        <v>743</v>
      </c>
      <c r="H204" t="s">
        <v>7976</v>
      </c>
      <c r="I204" s="12">
        <v>46115</v>
      </c>
      <c r="J204">
        <v>1</v>
      </c>
    </row>
    <row r="205" spans="1:10">
      <c r="A205" t="str">
        <f t="shared" si="3"/>
        <v>76168451</v>
      </c>
      <c r="B205">
        <v>76168451</v>
      </c>
      <c r="C205" t="s">
        <v>7977</v>
      </c>
      <c r="D205" t="s">
        <v>7978</v>
      </c>
      <c r="E205">
        <v>4508714</v>
      </c>
      <c r="F205" t="s">
        <v>4653</v>
      </c>
      <c r="G205" t="s">
        <v>743</v>
      </c>
      <c r="H205" t="s">
        <v>7567</v>
      </c>
      <c r="I205" s="12">
        <v>46009</v>
      </c>
      <c r="J205">
        <v>1</v>
      </c>
    </row>
    <row r="206" spans="1:10">
      <c r="A206" t="str">
        <f t="shared" si="3"/>
        <v>76168581</v>
      </c>
      <c r="B206">
        <v>76168581</v>
      </c>
      <c r="C206" t="s">
        <v>7979</v>
      </c>
      <c r="D206" t="s">
        <v>7980</v>
      </c>
      <c r="E206">
        <v>4508714</v>
      </c>
      <c r="F206" t="s">
        <v>4653</v>
      </c>
      <c r="G206" t="s">
        <v>743</v>
      </c>
      <c r="H206" t="s">
        <v>7981</v>
      </c>
      <c r="I206" s="12">
        <v>46048</v>
      </c>
      <c r="J206">
        <v>1</v>
      </c>
    </row>
    <row r="207" spans="1:10">
      <c r="A207" t="str">
        <f t="shared" si="3"/>
        <v>76169148</v>
      </c>
      <c r="B207">
        <v>76169148</v>
      </c>
      <c r="C207" t="s">
        <v>7982</v>
      </c>
      <c r="D207" t="s">
        <v>545</v>
      </c>
      <c r="E207">
        <v>4508714</v>
      </c>
      <c r="F207" t="s">
        <v>4653</v>
      </c>
      <c r="G207" t="s">
        <v>743</v>
      </c>
      <c r="H207" t="s">
        <v>7576</v>
      </c>
      <c r="I207" s="12">
        <v>46015</v>
      </c>
      <c r="J207">
        <v>1</v>
      </c>
    </row>
    <row r="208" spans="1:10">
      <c r="A208" t="str">
        <f t="shared" si="3"/>
        <v>76169687</v>
      </c>
      <c r="B208">
        <v>76169687</v>
      </c>
      <c r="C208" t="s">
        <v>7983</v>
      </c>
      <c r="D208" t="s">
        <v>7984</v>
      </c>
      <c r="E208">
        <v>4508714</v>
      </c>
      <c r="F208" t="s">
        <v>4653</v>
      </c>
      <c r="G208" t="s">
        <v>743</v>
      </c>
      <c r="H208" t="s">
        <v>7985</v>
      </c>
      <c r="I208" s="12">
        <v>46139</v>
      </c>
      <c r="J208">
        <v>1</v>
      </c>
    </row>
    <row r="209" spans="1:10">
      <c r="A209" t="str">
        <f t="shared" si="3"/>
        <v>76169736</v>
      </c>
      <c r="B209">
        <v>76169736</v>
      </c>
      <c r="C209" t="s">
        <v>7986</v>
      </c>
      <c r="D209" t="s">
        <v>7987</v>
      </c>
      <c r="E209">
        <v>4508714</v>
      </c>
      <c r="F209" t="s">
        <v>4653</v>
      </c>
      <c r="G209" t="s">
        <v>743</v>
      </c>
      <c r="H209" t="s">
        <v>6478</v>
      </c>
      <c r="I209" s="12">
        <v>46022</v>
      </c>
      <c r="J209">
        <v>1</v>
      </c>
    </row>
    <row r="210" spans="1:10">
      <c r="A210" t="str">
        <f t="shared" si="3"/>
        <v>76170921</v>
      </c>
      <c r="B210">
        <v>76170921</v>
      </c>
      <c r="C210" t="s">
        <v>7988</v>
      </c>
      <c r="D210" t="s">
        <v>548</v>
      </c>
      <c r="E210">
        <v>4508685</v>
      </c>
      <c r="F210" t="s">
        <v>4653</v>
      </c>
      <c r="G210" t="s">
        <v>904</v>
      </c>
      <c r="H210" t="s">
        <v>905</v>
      </c>
      <c r="I210" s="12">
        <v>46024</v>
      </c>
      <c r="J210">
        <v>1</v>
      </c>
    </row>
    <row r="211" spans="1:10">
      <c r="A211" t="str">
        <f t="shared" si="3"/>
        <v>76170923</v>
      </c>
      <c r="B211">
        <v>76170923</v>
      </c>
      <c r="C211" t="s">
        <v>7989</v>
      </c>
      <c r="D211" t="s">
        <v>7990</v>
      </c>
      <c r="E211">
        <v>4508685</v>
      </c>
      <c r="F211" t="s">
        <v>4653</v>
      </c>
      <c r="G211" t="s">
        <v>904</v>
      </c>
      <c r="H211" t="s">
        <v>905</v>
      </c>
      <c r="I211" s="12">
        <v>45581</v>
      </c>
      <c r="J211">
        <v>2</v>
      </c>
    </row>
    <row r="212" spans="1:10">
      <c r="A212" t="str">
        <f t="shared" si="3"/>
        <v>76170923</v>
      </c>
      <c r="B212">
        <v>76170923</v>
      </c>
      <c r="C212" t="s">
        <v>7991</v>
      </c>
      <c r="D212" t="s">
        <v>7990</v>
      </c>
      <c r="E212">
        <v>4508685</v>
      </c>
      <c r="F212" t="s">
        <v>4653</v>
      </c>
      <c r="G212" t="s">
        <v>904</v>
      </c>
      <c r="H212" t="s">
        <v>905</v>
      </c>
      <c r="I212" s="12">
        <v>46024</v>
      </c>
      <c r="J212">
        <v>1</v>
      </c>
    </row>
    <row r="213" spans="1:10">
      <c r="A213" t="str">
        <f t="shared" si="3"/>
        <v>76171400</v>
      </c>
      <c r="B213">
        <v>76171400</v>
      </c>
      <c r="C213" t="s">
        <v>7992</v>
      </c>
      <c r="D213" t="s">
        <v>7993</v>
      </c>
      <c r="E213">
        <v>4408592</v>
      </c>
      <c r="F213" t="s">
        <v>4653</v>
      </c>
      <c r="G213" t="s">
        <v>823</v>
      </c>
      <c r="H213" t="s">
        <v>7994</v>
      </c>
      <c r="I213" s="12">
        <v>45923</v>
      </c>
      <c r="J213">
        <v>1</v>
      </c>
    </row>
    <row r="214" spans="1:10">
      <c r="A214" t="str">
        <f t="shared" si="3"/>
        <v>76171640</v>
      </c>
      <c r="B214">
        <v>76171640</v>
      </c>
      <c r="C214" t="s">
        <v>7995</v>
      </c>
      <c r="D214" t="s">
        <v>7996</v>
      </c>
      <c r="E214">
        <v>4508714</v>
      </c>
      <c r="F214" t="s">
        <v>4653</v>
      </c>
      <c r="G214" t="s">
        <v>743</v>
      </c>
      <c r="H214" t="s">
        <v>5626</v>
      </c>
      <c r="I214" s="12">
        <v>45968</v>
      </c>
      <c r="J214">
        <v>1</v>
      </c>
    </row>
    <row r="215" spans="1:10">
      <c r="A215" t="str">
        <f t="shared" si="3"/>
        <v>76174651</v>
      </c>
      <c r="B215">
        <v>76174651</v>
      </c>
      <c r="C215" t="s">
        <v>7997</v>
      </c>
      <c r="D215" t="s">
        <v>7998</v>
      </c>
      <c r="E215">
        <v>4408593</v>
      </c>
      <c r="F215" t="s">
        <v>4653</v>
      </c>
      <c r="G215" t="s">
        <v>782</v>
      </c>
      <c r="H215" t="s">
        <v>6861</v>
      </c>
      <c r="I215" s="12">
        <v>45960</v>
      </c>
      <c r="J215">
        <v>1</v>
      </c>
    </row>
    <row r="216" spans="1:10">
      <c r="A216" t="str">
        <f t="shared" si="3"/>
        <v>76177704</v>
      </c>
      <c r="B216">
        <v>76177704</v>
      </c>
      <c r="C216" t="s">
        <v>7999</v>
      </c>
      <c r="D216" t="s">
        <v>8000</v>
      </c>
      <c r="E216">
        <v>4508714</v>
      </c>
      <c r="F216" t="s">
        <v>4653</v>
      </c>
      <c r="G216" t="s">
        <v>743</v>
      </c>
      <c r="H216" t="s">
        <v>5861</v>
      </c>
      <c r="I216" s="12">
        <v>46077</v>
      </c>
      <c r="J216">
        <v>1</v>
      </c>
    </row>
    <row r="217" spans="1:10">
      <c r="A217" t="str">
        <f t="shared" si="3"/>
        <v>76179173</v>
      </c>
      <c r="B217">
        <v>76179173</v>
      </c>
      <c r="C217" t="s">
        <v>8001</v>
      </c>
      <c r="D217" t="s">
        <v>8002</v>
      </c>
      <c r="E217">
        <v>4508714</v>
      </c>
      <c r="F217" t="s">
        <v>4653</v>
      </c>
      <c r="G217" t="s">
        <v>743</v>
      </c>
      <c r="H217" t="s">
        <v>5298</v>
      </c>
      <c r="I217" s="12">
        <v>45875</v>
      </c>
      <c r="J217">
        <v>1</v>
      </c>
    </row>
    <row r="218" spans="1:10">
      <c r="A218" t="str">
        <f t="shared" si="3"/>
        <v>76179180</v>
      </c>
      <c r="B218">
        <v>76179180</v>
      </c>
      <c r="C218" t="s">
        <v>8003</v>
      </c>
      <c r="D218" t="s">
        <v>8004</v>
      </c>
      <c r="E218">
        <v>4508714</v>
      </c>
      <c r="F218" t="s">
        <v>4653</v>
      </c>
      <c r="G218" t="s">
        <v>743</v>
      </c>
      <c r="H218" t="s">
        <v>5418</v>
      </c>
      <c r="I218" s="12">
        <v>46015</v>
      </c>
      <c r="J218">
        <v>1</v>
      </c>
    </row>
    <row r="219" spans="1:10">
      <c r="A219" t="str">
        <f t="shared" si="3"/>
        <v>76179625</v>
      </c>
      <c r="B219">
        <v>76179625</v>
      </c>
      <c r="C219" t="s">
        <v>8005</v>
      </c>
      <c r="D219" t="s">
        <v>8006</v>
      </c>
      <c r="E219">
        <v>4408593</v>
      </c>
      <c r="F219" t="s">
        <v>4653</v>
      </c>
      <c r="G219" t="s">
        <v>782</v>
      </c>
      <c r="H219" t="s">
        <v>4764</v>
      </c>
      <c r="I219" s="12">
        <v>45900</v>
      </c>
      <c r="J219">
        <v>1</v>
      </c>
    </row>
    <row r="220" spans="1:10">
      <c r="A220" t="str">
        <f t="shared" si="3"/>
        <v>76179757</v>
      </c>
      <c r="B220">
        <v>76179757</v>
      </c>
      <c r="C220" t="s">
        <v>8007</v>
      </c>
      <c r="D220" t="s">
        <v>8008</v>
      </c>
      <c r="E220">
        <v>4508714</v>
      </c>
      <c r="F220" t="s">
        <v>4653</v>
      </c>
      <c r="G220" t="s">
        <v>743</v>
      </c>
      <c r="H220" t="s">
        <v>7888</v>
      </c>
      <c r="I220" s="12">
        <v>46120</v>
      </c>
      <c r="J220">
        <v>1</v>
      </c>
    </row>
    <row r="221" spans="1:10">
      <c r="A221" t="str">
        <f t="shared" si="3"/>
        <v>76180102</v>
      </c>
      <c r="B221">
        <v>76180102</v>
      </c>
      <c r="C221" t="s">
        <v>8009</v>
      </c>
      <c r="D221" t="s">
        <v>8010</v>
      </c>
      <c r="E221">
        <v>4408593</v>
      </c>
      <c r="F221" t="s">
        <v>4653</v>
      </c>
      <c r="G221" t="s">
        <v>782</v>
      </c>
      <c r="H221" t="s">
        <v>6289</v>
      </c>
      <c r="I221" s="12">
        <v>46107</v>
      </c>
      <c r="J221">
        <v>1</v>
      </c>
    </row>
    <row r="222" spans="1:10">
      <c r="A222" t="str">
        <f t="shared" si="3"/>
        <v>76180832</v>
      </c>
      <c r="B222">
        <v>76180832</v>
      </c>
      <c r="C222" t="s">
        <v>8011</v>
      </c>
      <c r="D222" t="s">
        <v>8012</v>
      </c>
      <c r="E222">
        <v>4508714</v>
      </c>
      <c r="F222" t="s">
        <v>4653</v>
      </c>
      <c r="G222" t="s">
        <v>743</v>
      </c>
      <c r="H222" t="s">
        <v>6478</v>
      </c>
      <c r="I222" s="12">
        <v>46022</v>
      </c>
      <c r="J222">
        <v>1</v>
      </c>
    </row>
    <row r="223" spans="1:10">
      <c r="A223" t="str">
        <f t="shared" si="3"/>
        <v>76181397</v>
      </c>
      <c r="B223">
        <v>76181397</v>
      </c>
      <c r="C223" t="s">
        <v>8013</v>
      </c>
      <c r="D223" t="s">
        <v>8014</v>
      </c>
      <c r="E223">
        <v>4508714</v>
      </c>
      <c r="F223" t="s">
        <v>4653</v>
      </c>
      <c r="G223" t="s">
        <v>743</v>
      </c>
      <c r="H223" t="s">
        <v>5218</v>
      </c>
      <c r="I223" s="12">
        <v>45992</v>
      </c>
      <c r="J223">
        <v>1</v>
      </c>
    </row>
    <row r="224" spans="1:10">
      <c r="A224" t="str">
        <f t="shared" si="3"/>
        <v>76181398</v>
      </c>
      <c r="B224">
        <v>76181398</v>
      </c>
      <c r="C224" t="s">
        <v>8015</v>
      </c>
      <c r="D224" t="s">
        <v>563</v>
      </c>
      <c r="E224">
        <v>4508714</v>
      </c>
      <c r="F224" t="s">
        <v>4653</v>
      </c>
      <c r="G224" t="s">
        <v>743</v>
      </c>
      <c r="H224" t="s">
        <v>5218</v>
      </c>
      <c r="I224" s="12">
        <v>45992</v>
      </c>
      <c r="J224">
        <v>1</v>
      </c>
    </row>
    <row r="225" spans="1:10">
      <c r="A225" t="str">
        <f t="shared" si="3"/>
        <v>76181401</v>
      </c>
      <c r="B225">
        <v>76181401</v>
      </c>
      <c r="C225" t="s">
        <v>8016</v>
      </c>
      <c r="D225" t="s">
        <v>8017</v>
      </c>
      <c r="E225">
        <v>4508714</v>
      </c>
      <c r="F225" t="s">
        <v>4653</v>
      </c>
      <c r="G225" t="s">
        <v>743</v>
      </c>
      <c r="H225" t="s">
        <v>5218</v>
      </c>
      <c r="I225" s="12">
        <v>45992</v>
      </c>
      <c r="J225">
        <v>1</v>
      </c>
    </row>
    <row r="226" spans="1:10">
      <c r="A226" t="str">
        <f t="shared" si="3"/>
        <v>76181513</v>
      </c>
      <c r="B226">
        <v>76181513</v>
      </c>
      <c r="C226" t="s">
        <v>8018</v>
      </c>
      <c r="D226" t="s">
        <v>8019</v>
      </c>
      <c r="E226">
        <v>4408593</v>
      </c>
      <c r="F226" t="s">
        <v>4653</v>
      </c>
      <c r="G226" t="s">
        <v>782</v>
      </c>
      <c r="H226" t="s">
        <v>5962</v>
      </c>
      <c r="I226" s="12">
        <v>46098</v>
      </c>
      <c r="J226">
        <v>1</v>
      </c>
    </row>
    <row r="227" spans="1:10">
      <c r="A227" t="str">
        <f t="shared" si="3"/>
        <v>76185391</v>
      </c>
      <c r="B227">
        <v>76185391</v>
      </c>
      <c r="C227" t="s">
        <v>8020</v>
      </c>
      <c r="D227" t="s">
        <v>8021</v>
      </c>
      <c r="E227">
        <v>4508714</v>
      </c>
      <c r="F227" t="s">
        <v>4653</v>
      </c>
      <c r="G227" t="s">
        <v>743</v>
      </c>
      <c r="H227" t="s">
        <v>5358</v>
      </c>
      <c r="I227" s="12">
        <v>46050</v>
      </c>
      <c r="J227">
        <v>1</v>
      </c>
    </row>
    <row r="228" spans="1:10">
      <c r="A228" t="str">
        <f t="shared" si="3"/>
        <v>76187537</v>
      </c>
      <c r="B228">
        <v>76187537</v>
      </c>
      <c r="C228" t="s">
        <v>8022</v>
      </c>
      <c r="D228" t="s">
        <v>8023</v>
      </c>
      <c r="E228">
        <v>4508714</v>
      </c>
      <c r="F228" t="s">
        <v>4653</v>
      </c>
      <c r="G228" t="s">
        <v>743</v>
      </c>
      <c r="H228" t="s">
        <v>7683</v>
      </c>
      <c r="I228" s="12">
        <v>46080</v>
      </c>
      <c r="J228">
        <v>1</v>
      </c>
    </row>
    <row r="229" spans="1:10">
      <c r="A229" t="str">
        <f t="shared" si="3"/>
        <v>76188082</v>
      </c>
      <c r="B229">
        <v>76188082</v>
      </c>
      <c r="C229" t="s">
        <v>8024</v>
      </c>
      <c r="D229" t="s">
        <v>8025</v>
      </c>
      <c r="E229">
        <v>4508714</v>
      </c>
      <c r="F229" t="s">
        <v>4653</v>
      </c>
      <c r="G229" t="s">
        <v>743</v>
      </c>
      <c r="H229" t="s">
        <v>7495</v>
      </c>
      <c r="I229" s="12">
        <v>46098</v>
      </c>
      <c r="J229">
        <v>1</v>
      </c>
    </row>
    <row r="230" spans="1:10">
      <c r="A230" t="str">
        <f t="shared" si="3"/>
        <v>76188199</v>
      </c>
      <c r="B230">
        <v>76188199</v>
      </c>
      <c r="C230" t="s">
        <v>8026</v>
      </c>
      <c r="D230" t="s">
        <v>8027</v>
      </c>
      <c r="E230">
        <v>4408593</v>
      </c>
      <c r="F230" t="s">
        <v>4653</v>
      </c>
      <c r="G230" t="s">
        <v>782</v>
      </c>
      <c r="H230" t="s">
        <v>6289</v>
      </c>
      <c r="I230" s="12">
        <v>46107</v>
      </c>
      <c r="J230">
        <v>1</v>
      </c>
    </row>
    <row r="231" spans="1:10">
      <c r="A231" t="str">
        <f t="shared" si="3"/>
        <v>76188296</v>
      </c>
      <c r="B231">
        <v>76188296</v>
      </c>
      <c r="C231" t="s">
        <v>8028</v>
      </c>
      <c r="D231" t="s">
        <v>8029</v>
      </c>
      <c r="E231">
        <v>4408593</v>
      </c>
      <c r="F231" t="s">
        <v>4653</v>
      </c>
      <c r="G231" t="s">
        <v>782</v>
      </c>
      <c r="H231" t="s">
        <v>5962</v>
      </c>
      <c r="I231" s="12">
        <v>46098</v>
      </c>
      <c r="J231">
        <v>1</v>
      </c>
    </row>
    <row r="232" spans="1:10">
      <c r="A232" t="str">
        <f t="shared" si="3"/>
        <v>76190961</v>
      </c>
      <c r="B232">
        <v>76190961</v>
      </c>
      <c r="C232" t="s">
        <v>8030</v>
      </c>
      <c r="D232" t="s">
        <v>8031</v>
      </c>
      <c r="E232">
        <v>4508714</v>
      </c>
      <c r="F232" t="s">
        <v>4653</v>
      </c>
      <c r="G232" t="s">
        <v>743</v>
      </c>
      <c r="H232" t="s">
        <v>8032</v>
      </c>
      <c r="I232" s="12">
        <v>46099</v>
      </c>
      <c r="J232">
        <v>1</v>
      </c>
    </row>
    <row r="233" spans="1:10">
      <c r="A233" t="str">
        <f t="shared" si="3"/>
        <v>76191565</v>
      </c>
      <c r="B233">
        <v>76191565</v>
      </c>
      <c r="C233" t="s">
        <v>8033</v>
      </c>
      <c r="D233" t="s">
        <v>8034</v>
      </c>
      <c r="E233">
        <v>4508714</v>
      </c>
      <c r="F233" t="s">
        <v>4653</v>
      </c>
      <c r="G233" t="s">
        <v>743</v>
      </c>
      <c r="H233" t="s">
        <v>6751</v>
      </c>
      <c r="I233" s="12">
        <v>46020</v>
      </c>
      <c r="J233">
        <v>1</v>
      </c>
    </row>
    <row r="234" spans="1:10">
      <c r="A234" t="str">
        <f t="shared" si="3"/>
        <v>76192050</v>
      </c>
      <c r="B234">
        <v>76192050</v>
      </c>
      <c r="C234" t="s">
        <v>8035</v>
      </c>
      <c r="D234" t="s">
        <v>8036</v>
      </c>
      <c r="E234">
        <v>4508714</v>
      </c>
      <c r="F234" t="s">
        <v>4653</v>
      </c>
      <c r="G234" t="s">
        <v>743</v>
      </c>
      <c r="H234" t="s">
        <v>1096</v>
      </c>
      <c r="I234" s="12">
        <v>45973</v>
      </c>
      <c r="J234">
        <v>1</v>
      </c>
    </row>
    <row r="235" spans="1:10">
      <c r="A235" t="str">
        <f t="shared" si="3"/>
        <v>76192438</v>
      </c>
      <c r="B235">
        <v>76192438</v>
      </c>
      <c r="C235" t="s">
        <v>8037</v>
      </c>
      <c r="D235" t="s">
        <v>8038</v>
      </c>
      <c r="E235">
        <v>4408593</v>
      </c>
      <c r="F235" t="s">
        <v>4653</v>
      </c>
      <c r="G235" t="s">
        <v>782</v>
      </c>
      <c r="H235" t="s">
        <v>6913</v>
      </c>
      <c r="I235" s="12">
        <v>45828</v>
      </c>
      <c r="J235">
        <v>1</v>
      </c>
    </row>
    <row r="236" spans="1:10">
      <c r="A236" t="str">
        <f t="shared" si="3"/>
        <v>76192535</v>
      </c>
      <c r="B236">
        <v>76192535</v>
      </c>
      <c r="C236" t="s">
        <v>8039</v>
      </c>
      <c r="D236" t="s">
        <v>8040</v>
      </c>
      <c r="E236">
        <v>4508714</v>
      </c>
      <c r="F236" t="s">
        <v>4653</v>
      </c>
      <c r="G236" t="s">
        <v>743</v>
      </c>
      <c r="H236" t="s">
        <v>8041</v>
      </c>
      <c r="I236" s="12">
        <v>46136</v>
      </c>
      <c r="J236">
        <v>1</v>
      </c>
    </row>
    <row r="237" spans="1:10">
      <c r="A237" t="str">
        <f t="shared" si="3"/>
        <v>76192745</v>
      </c>
      <c r="B237">
        <v>76192745</v>
      </c>
      <c r="C237" t="s">
        <v>8042</v>
      </c>
      <c r="D237" t="s">
        <v>8043</v>
      </c>
      <c r="E237">
        <v>4508714</v>
      </c>
      <c r="F237" t="s">
        <v>4653</v>
      </c>
      <c r="G237" t="s">
        <v>743</v>
      </c>
      <c r="H237" t="s">
        <v>7309</v>
      </c>
      <c r="I237" s="12">
        <v>46087</v>
      </c>
      <c r="J237">
        <v>1</v>
      </c>
    </row>
    <row r="238" spans="1:10">
      <c r="A238" t="str">
        <f t="shared" si="3"/>
        <v>76194352</v>
      </c>
      <c r="B238">
        <v>76194352</v>
      </c>
      <c r="C238" t="s">
        <v>8044</v>
      </c>
      <c r="D238" t="s">
        <v>3299</v>
      </c>
      <c r="E238">
        <v>4408593</v>
      </c>
      <c r="F238" t="s">
        <v>4653</v>
      </c>
      <c r="G238" t="s">
        <v>782</v>
      </c>
      <c r="H238" t="s">
        <v>6427</v>
      </c>
      <c r="I238" s="12">
        <v>46111</v>
      </c>
      <c r="J238">
        <v>1</v>
      </c>
    </row>
    <row r="239" spans="1:10">
      <c r="A239" t="str">
        <f t="shared" si="3"/>
        <v>76194719</v>
      </c>
      <c r="B239">
        <v>76194719</v>
      </c>
      <c r="C239" t="s">
        <v>8045</v>
      </c>
      <c r="D239" t="s">
        <v>8046</v>
      </c>
      <c r="E239">
        <v>4508714</v>
      </c>
      <c r="F239" t="s">
        <v>4653</v>
      </c>
      <c r="G239" t="s">
        <v>743</v>
      </c>
      <c r="H239" t="s">
        <v>5870</v>
      </c>
      <c r="I239" s="12">
        <v>45901</v>
      </c>
      <c r="J239">
        <v>1</v>
      </c>
    </row>
    <row r="240" spans="1:10">
      <c r="A240" t="str">
        <f t="shared" si="3"/>
        <v>76195076</v>
      </c>
      <c r="B240">
        <v>76195076</v>
      </c>
      <c r="C240" t="s">
        <v>8047</v>
      </c>
      <c r="D240" t="s">
        <v>8048</v>
      </c>
      <c r="E240">
        <v>4508714</v>
      </c>
      <c r="F240" t="s">
        <v>4653</v>
      </c>
      <c r="G240" t="s">
        <v>743</v>
      </c>
      <c r="H240" t="s">
        <v>7309</v>
      </c>
      <c r="I240" s="12">
        <v>46092</v>
      </c>
      <c r="J240">
        <v>1</v>
      </c>
    </row>
    <row r="241" spans="1:10">
      <c r="A241" t="str">
        <f t="shared" si="3"/>
        <v>76195236</v>
      </c>
      <c r="B241">
        <v>76195236</v>
      </c>
      <c r="C241" t="s">
        <v>8049</v>
      </c>
      <c r="D241" t="s">
        <v>8050</v>
      </c>
      <c r="E241">
        <v>4508714</v>
      </c>
      <c r="F241" t="s">
        <v>4653</v>
      </c>
      <c r="G241" t="s">
        <v>743</v>
      </c>
      <c r="H241" t="s">
        <v>5962</v>
      </c>
      <c r="I241" s="12">
        <v>46112</v>
      </c>
      <c r="J241">
        <v>1</v>
      </c>
    </row>
    <row r="242" spans="1:10">
      <c r="A242" t="str">
        <f t="shared" si="3"/>
        <v>76195455</v>
      </c>
      <c r="B242">
        <v>76195455</v>
      </c>
      <c r="C242" t="s">
        <v>8051</v>
      </c>
      <c r="D242" t="s">
        <v>8052</v>
      </c>
      <c r="E242">
        <v>4508714</v>
      </c>
      <c r="F242" t="s">
        <v>4653</v>
      </c>
      <c r="G242" t="s">
        <v>743</v>
      </c>
      <c r="H242" t="s">
        <v>8053</v>
      </c>
      <c r="I242" s="12">
        <v>46024</v>
      </c>
      <c r="J242">
        <v>1</v>
      </c>
    </row>
    <row r="243" spans="1:10">
      <c r="A243" t="str">
        <f t="shared" si="3"/>
        <v>76197089</v>
      </c>
      <c r="B243">
        <v>76197089</v>
      </c>
      <c r="C243" t="s">
        <v>8054</v>
      </c>
      <c r="D243" t="s">
        <v>8055</v>
      </c>
      <c r="E243">
        <v>4508714</v>
      </c>
      <c r="F243" t="s">
        <v>4653</v>
      </c>
      <c r="G243" t="s">
        <v>743</v>
      </c>
      <c r="H243" t="s">
        <v>8055</v>
      </c>
      <c r="I243" s="12">
        <v>45880</v>
      </c>
      <c r="J243">
        <v>1</v>
      </c>
    </row>
    <row r="244" spans="1:10">
      <c r="A244" t="str">
        <f t="shared" si="3"/>
        <v>76199800</v>
      </c>
      <c r="B244">
        <v>76199800</v>
      </c>
      <c r="C244" t="s">
        <v>8056</v>
      </c>
      <c r="D244" t="s">
        <v>8057</v>
      </c>
      <c r="E244">
        <v>4508714</v>
      </c>
      <c r="F244" t="s">
        <v>4653</v>
      </c>
      <c r="G244" t="s">
        <v>743</v>
      </c>
      <c r="H244" t="s">
        <v>6751</v>
      </c>
      <c r="I244" s="12">
        <v>46020</v>
      </c>
      <c r="J244">
        <v>1</v>
      </c>
    </row>
    <row r="245" spans="1:10">
      <c r="A245" t="str">
        <f t="shared" si="3"/>
        <v>76200361</v>
      </c>
      <c r="B245">
        <v>76200361</v>
      </c>
      <c r="C245" t="s">
        <v>8058</v>
      </c>
      <c r="D245" t="s">
        <v>8059</v>
      </c>
      <c r="E245">
        <v>4508714</v>
      </c>
      <c r="F245" t="s">
        <v>4653</v>
      </c>
      <c r="G245" t="s">
        <v>743</v>
      </c>
      <c r="H245" t="s">
        <v>6478</v>
      </c>
      <c r="I245" s="12">
        <v>46020</v>
      </c>
      <c r="J245">
        <v>1</v>
      </c>
    </row>
    <row r="246" spans="1:10">
      <c r="A246" t="str">
        <f t="shared" si="3"/>
        <v>76200363</v>
      </c>
      <c r="B246">
        <v>76200363</v>
      </c>
      <c r="C246" t="s">
        <v>8060</v>
      </c>
      <c r="D246" t="s">
        <v>8061</v>
      </c>
      <c r="E246">
        <v>4508714</v>
      </c>
      <c r="F246" t="s">
        <v>4653</v>
      </c>
      <c r="G246" t="s">
        <v>743</v>
      </c>
      <c r="H246" t="s">
        <v>6478</v>
      </c>
      <c r="I246" s="12">
        <v>46020</v>
      </c>
      <c r="J246">
        <v>1</v>
      </c>
    </row>
    <row r="247" spans="1:10">
      <c r="A247" t="str">
        <f t="shared" si="3"/>
        <v>76200364</v>
      </c>
      <c r="B247">
        <v>76200364</v>
      </c>
      <c r="C247" t="s">
        <v>8062</v>
      </c>
      <c r="D247" t="s">
        <v>8063</v>
      </c>
      <c r="E247">
        <v>4508714</v>
      </c>
      <c r="F247" t="s">
        <v>4653</v>
      </c>
      <c r="G247" t="s">
        <v>743</v>
      </c>
      <c r="H247" t="s">
        <v>6478</v>
      </c>
      <c r="I247" s="12">
        <v>46020</v>
      </c>
      <c r="J247">
        <v>1</v>
      </c>
    </row>
    <row r="248" spans="1:10">
      <c r="A248" t="str">
        <f t="shared" si="3"/>
        <v>76200550</v>
      </c>
      <c r="B248">
        <v>76200550</v>
      </c>
      <c r="C248" t="s">
        <v>8064</v>
      </c>
      <c r="D248" t="s">
        <v>8065</v>
      </c>
      <c r="E248">
        <v>4508714</v>
      </c>
      <c r="F248" t="s">
        <v>4653</v>
      </c>
      <c r="G248" t="s">
        <v>743</v>
      </c>
      <c r="H248" t="s">
        <v>5248</v>
      </c>
      <c r="I248" s="12">
        <v>46002</v>
      </c>
      <c r="J248">
        <v>1</v>
      </c>
    </row>
    <row r="249" spans="1:10">
      <c r="A249" t="str">
        <f t="shared" si="3"/>
        <v>76202047</v>
      </c>
      <c r="B249">
        <v>76202047</v>
      </c>
      <c r="C249" t="s">
        <v>8066</v>
      </c>
      <c r="D249" t="s">
        <v>8067</v>
      </c>
      <c r="E249">
        <v>4408593</v>
      </c>
      <c r="F249" t="s">
        <v>4653</v>
      </c>
      <c r="G249" t="s">
        <v>782</v>
      </c>
      <c r="H249" t="s">
        <v>6885</v>
      </c>
      <c r="I249" s="12">
        <v>46112</v>
      </c>
      <c r="J249">
        <v>1</v>
      </c>
    </row>
    <row r="250" spans="1:10">
      <c r="A250" t="str">
        <f t="shared" si="3"/>
        <v>76202585</v>
      </c>
      <c r="B250">
        <v>76202585</v>
      </c>
      <c r="C250" t="s">
        <v>8068</v>
      </c>
      <c r="D250" t="s">
        <v>3365</v>
      </c>
      <c r="E250">
        <v>4508714</v>
      </c>
      <c r="F250" t="s">
        <v>4653</v>
      </c>
      <c r="G250" t="s">
        <v>743</v>
      </c>
      <c r="H250" t="s">
        <v>6478</v>
      </c>
      <c r="I250" s="12">
        <v>46022</v>
      </c>
      <c r="J250">
        <v>1</v>
      </c>
    </row>
    <row r="251" spans="1:10">
      <c r="A251" t="str">
        <f t="shared" si="3"/>
        <v>76202805</v>
      </c>
      <c r="B251">
        <v>76202805</v>
      </c>
      <c r="C251" t="s">
        <v>8069</v>
      </c>
      <c r="D251" t="s">
        <v>8070</v>
      </c>
      <c r="E251">
        <v>4508675</v>
      </c>
      <c r="F251" t="s">
        <v>4653</v>
      </c>
      <c r="G251" t="s">
        <v>828</v>
      </c>
      <c r="H251" t="s">
        <v>5874</v>
      </c>
      <c r="I251" s="12">
        <v>46128</v>
      </c>
      <c r="J251">
        <v>1</v>
      </c>
    </row>
    <row r="252" spans="1:10">
      <c r="A252" t="str">
        <f t="shared" si="3"/>
        <v>76203144</v>
      </c>
      <c r="B252">
        <v>76203144</v>
      </c>
      <c r="C252" t="s">
        <v>8071</v>
      </c>
      <c r="D252" t="s">
        <v>8072</v>
      </c>
      <c r="E252">
        <v>4508714</v>
      </c>
      <c r="F252" t="s">
        <v>4653</v>
      </c>
      <c r="G252" t="s">
        <v>743</v>
      </c>
      <c r="H252" t="s">
        <v>7309</v>
      </c>
      <c r="I252" s="12">
        <v>46092</v>
      </c>
      <c r="J252">
        <v>1</v>
      </c>
    </row>
    <row r="253" spans="1:10">
      <c r="A253" t="str">
        <f t="shared" si="3"/>
        <v>76204394</v>
      </c>
      <c r="B253">
        <v>76204394</v>
      </c>
      <c r="C253" t="s">
        <v>8073</v>
      </c>
      <c r="D253" t="s">
        <v>575</v>
      </c>
      <c r="E253">
        <v>4508714</v>
      </c>
      <c r="F253" t="s">
        <v>4653</v>
      </c>
      <c r="G253" t="s">
        <v>743</v>
      </c>
      <c r="H253" t="s">
        <v>778</v>
      </c>
      <c r="I253" s="12">
        <v>46077</v>
      </c>
      <c r="J253">
        <v>1</v>
      </c>
    </row>
    <row r="254" spans="1:10">
      <c r="A254" t="str">
        <f t="shared" si="3"/>
        <v>76204610</v>
      </c>
      <c r="B254">
        <v>76204610</v>
      </c>
      <c r="C254" t="s">
        <v>8074</v>
      </c>
      <c r="D254" t="s">
        <v>8075</v>
      </c>
      <c r="E254">
        <v>4508714</v>
      </c>
      <c r="F254" t="s">
        <v>4653</v>
      </c>
      <c r="G254" t="s">
        <v>743</v>
      </c>
      <c r="H254" t="s">
        <v>5501</v>
      </c>
      <c r="I254" s="12">
        <v>46024</v>
      </c>
      <c r="J254">
        <v>1</v>
      </c>
    </row>
    <row r="255" spans="1:10">
      <c r="A255" t="str">
        <f t="shared" si="3"/>
        <v>76206543</v>
      </c>
      <c r="B255">
        <v>76206543</v>
      </c>
      <c r="C255" t="s">
        <v>8076</v>
      </c>
      <c r="D255" t="s">
        <v>8077</v>
      </c>
      <c r="E255">
        <v>4508714</v>
      </c>
      <c r="F255" t="s">
        <v>4653</v>
      </c>
      <c r="G255" t="s">
        <v>743</v>
      </c>
      <c r="H255" t="s">
        <v>7659</v>
      </c>
      <c r="I255" s="12">
        <v>45820</v>
      </c>
      <c r="J255">
        <v>1</v>
      </c>
    </row>
    <row r="256" spans="1:10">
      <c r="A256" t="str">
        <f t="shared" si="3"/>
        <v>76207108</v>
      </c>
      <c r="B256">
        <v>76207108</v>
      </c>
      <c r="C256" t="s">
        <v>8078</v>
      </c>
      <c r="D256" t="s">
        <v>8079</v>
      </c>
      <c r="E256">
        <v>4508714</v>
      </c>
      <c r="F256" t="s">
        <v>4653</v>
      </c>
      <c r="G256" t="s">
        <v>743</v>
      </c>
      <c r="H256" t="s">
        <v>7309</v>
      </c>
      <c r="I256" s="12">
        <v>46087</v>
      </c>
      <c r="J256">
        <v>1</v>
      </c>
    </row>
    <row r="257" spans="1:10">
      <c r="A257" t="str">
        <f t="shared" si="3"/>
        <v>76207227</v>
      </c>
      <c r="B257">
        <v>76207227</v>
      </c>
      <c r="C257" t="s">
        <v>8080</v>
      </c>
      <c r="D257" t="s">
        <v>458</v>
      </c>
      <c r="E257">
        <v>4508714</v>
      </c>
      <c r="F257" t="s">
        <v>4653</v>
      </c>
      <c r="G257" t="s">
        <v>743</v>
      </c>
      <c r="H257" t="s">
        <v>458</v>
      </c>
      <c r="I257" s="12">
        <v>46079</v>
      </c>
      <c r="J257">
        <v>1</v>
      </c>
    </row>
    <row r="258" spans="1:10">
      <c r="A258" t="str">
        <f t="shared" ref="A258:A321" si="4">TRIM(B258)</f>
        <v>76208138</v>
      </c>
      <c r="B258">
        <v>76208138</v>
      </c>
      <c r="C258" t="s">
        <v>8081</v>
      </c>
      <c r="D258" t="s">
        <v>8082</v>
      </c>
      <c r="E258">
        <v>4408593</v>
      </c>
      <c r="F258" t="s">
        <v>4653</v>
      </c>
      <c r="G258" t="s">
        <v>782</v>
      </c>
      <c r="H258" t="s">
        <v>7903</v>
      </c>
      <c r="I258" s="12">
        <v>45719</v>
      </c>
      <c r="J258">
        <v>1</v>
      </c>
    </row>
    <row r="259" spans="1:10">
      <c r="A259" t="str">
        <f t="shared" si="4"/>
        <v>76209236</v>
      </c>
      <c r="B259">
        <v>76209236</v>
      </c>
      <c r="C259" t="s">
        <v>8083</v>
      </c>
      <c r="D259" t="s">
        <v>6606</v>
      </c>
      <c r="E259">
        <v>4408593</v>
      </c>
      <c r="F259" t="s">
        <v>4653</v>
      </c>
      <c r="G259" t="s">
        <v>782</v>
      </c>
      <c r="H259" t="s">
        <v>5088</v>
      </c>
      <c r="I259" s="12">
        <v>46139</v>
      </c>
      <c r="J259">
        <v>1</v>
      </c>
    </row>
    <row r="260" spans="1:10">
      <c r="A260" t="str">
        <f t="shared" si="4"/>
        <v>76209246</v>
      </c>
      <c r="B260">
        <v>76209246</v>
      </c>
      <c r="C260" t="s">
        <v>8084</v>
      </c>
      <c r="D260" t="s">
        <v>8085</v>
      </c>
      <c r="E260">
        <v>4408592</v>
      </c>
      <c r="F260" t="s">
        <v>4653</v>
      </c>
      <c r="G260" t="s">
        <v>823</v>
      </c>
      <c r="H260" t="s">
        <v>4767</v>
      </c>
      <c r="I260" s="12">
        <v>46135</v>
      </c>
      <c r="J260">
        <v>1</v>
      </c>
    </row>
    <row r="261" spans="1:10">
      <c r="A261" t="str">
        <f t="shared" si="4"/>
        <v>76209301</v>
      </c>
      <c r="B261">
        <v>76209301</v>
      </c>
      <c r="C261" t="s">
        <v>8086</v>
      </c>
      <c r="D261" t="s">
        <v>584</v>
      </c>
      <c r="E261">
        <v>4508714</v>
      </c>
      <c r="F261" t="s">
        <v>4653</v>
      </c>
      <c r="G261" t="s">
        <v>743</v>
      </c>
      <c r="H261" t="s">
        <v>7576</v>
      </c>
      <c r="I261" s="12">
        <v>46015</v>
      </c>
      <c r="J261">
        <v>1</v>
      </c>
    </row>
    <row r="262" spans="1:10">
      <c r="A262" t="str">
        <f t="shared" si="4"/>
        <v>76209465</v>
      </c>
      <c r="B262">
        <v>76209465</v>
      </c>
      <c r="C262" t="s">
        <v>8087</v>
      </c>
      <c r="D262" t="s">
        <v>8088</v>
      </c>
      <c r="E262">
        <v>4508714</v>
      </c>
      <c r="F262" t="s">
        <v>4653</v>
      </c>
      <c r="G262" t="s">
        <v>743</v>
      </c>
      <c r="H262" t="s">
        <v>8089</v>
      </c>
      <c r="I262" s="12">
        <v>46024</v>
      </c>
      <c r="J262">
        <v>1</v>
      </c>
    </row>
    <row r="263" spans="1:10">
      <c r="A263" t="str">
        <f t="shared" si="4"/>
        <v>76209725</v>
      </c>
      <c r="B263">
        <v>76209725</v>
      </c>
      <c r="C263" t="s">
        <v>8090</v>
      </c>
      <c r="D263" t="s">
        <v>8091</v>
      </c>
      <c r="E263">
        <v>4508714</v>
      </c>
      <c r="F263" t="s">
        <v>4653</v>
      </c>
      <c r="G263" t="s">
        <v>743</v>
      </c>
      <c r="H263" t="s">
        <v>5501</v>
      </c>
      <c r="I263" s="12">
        <v>46024</v>
      </c>
      <c r="J263">
        <v>1</v>
      </c>
    </row>
    <row r="264" spans="1:10">
      <c r="A264" t="str">
        <f t="shared" si="4"/>
        <v>76209898</v>
      </c>
      <c r="B264">
        <v>76209898</v>
      </c>
      <c r="C264" t="s">
        <v>8092</v>
      </c>
      <c r="D264" t="s">
        <v>1037</v>
      </c>
      <c r="E264">
        <v>4508714</v>
      </c>
      <c r="F264" t="s">
        <v>4653</v>
      </c>
      <c r="G264" t="s">
        <v>743</v>
      </c>
      <c r="H264" t="s">
        <v>1038</v>
      </c>
      <c r="I264" s="12">
        <v>46134</v>
      </c>
      <c r="J264">
        <v>1</v>
      </c>
    </row>
    <row r="265" spans="1:10">
      <c r="A265" t="str">
        <f t="shared" si="4"/>
        <v>76210425</v>
      </c>
      <c r="B265">
        <v>76210425</v>
      </c>
      <c r="C265" t="s">
        <v>8093</v>
      </c>
      <c r="D265" t="s">
        <v>8094</v>
      </c>
      <c r="E265">
        <v>4508714</v>
      </c>
      <c r="F265" t="s">
        <v>4653</v>
      </c>
      <c r="G265" t="s">
        <v>743</v>
      </c>
      <c r="H265" t="s">
        <v>8095</v>
      </c>
      <c r="I265" s="12">
        <v>46140</v>
      </c>
      <c r="J265">
        <v>1</v>
      </c>
    </row>
    <row r="266" spans="1:10">
      <c r="A266" t="str">
        <f t="shared" si="4"/>
        <v>76210722</v>
      </c>
      <c r="B266">
        <v>76210722</v>
      </c>
      <c r="C266" t="s">
        <v>8096</v>
      </c>
      <c r="D266" t="s">
        <v>8097</v>
      </c>
      <c r="E266">
        <v>4508714</v>
      </c>
      <c r="F266" t="s">
        <v>4653</v>
      </c>
      <c r="G266" t="s">
        <v>743</v>
      </c>
      <c r="H266" t="s">
        <v>7309</v>
      </c>
      <c r="I266" s="12">
        <v>46092</v>
      </c>
      <c r="J266">
        <v>1</v>
      </c>
    </row>
    <row r="267" spans="1:10">
      <c r="A267" t="str">
        <f t="shared" si="4"/>
        <v>76210834</v>
      </c>
      <c r="B267">
        <v>76210834</v>
      </c>
      <c r="C267" t="s">
        <v>8098</v>
      </c>
      <c r="D267" t="s">
        <v>8099</v>
      </c>
      <c r="E267">
        <v>4508714</v>
      </c>
      <c r="F267" t="s">
        <v>4653</v>
      </c>
      <c r="G267" t="s">
        <v>743</v>
      </c>
      <c r="H267" t="s">
        <v>5386</v>
      </c>
      <c r="I267" s="12">
        <v>46044</v>
      </c>
      <c r="J267">
        <v>1</v>
      </c>
    </row>
    <row r="268" spans="1:10">
      <c r="A268" t="str">
        <f t="shared" si="4"/>
        <v>76210975</v>
      </c>
      <c r="B268">
        <v>76210975</v>
      </c>
      <c r="C268" t="s">
        <v>8100</v>
      </c>
      <c r="D268" t="s">
        <v>8101</v>
      </c>
      <c r="E268">
        <v>4508714</v>
      </c>
      <c r="F268" t="s">
        <v>4653</v>
      </c>
      <c r="G268" t="s">
        <v>743</v>
      </c>
      <c r="H268" t="s">
        <v>8102</v>
      </c>
      <c r="I268" s="12">
        <v>46055</v>
      </c>
      <c r="J268">
        <v>1</v>
      </c>
    </row>
    <row r="269" spans="1:10">
      <c r="A269" t="str">
        <f t="shared" si="4"/>
        <v>76211772</v>
      </c>
      <c r="B269">
        <v>76211772</v>
      </c>
      <c r="C269" t="s">
        <v>8103</v>
      </c>
      <c r="D269" t="s">
        <v>593</v>
      </c>
      <c r="E269">
        <v>4508714</v>
      </c>
      <c r="F269" t="s">
        <v>4653</v>
      </c>
      <c r="G269" t="s">
        <v>743</v>
      </c>
      <c r="H269" t="s">
        <v>593</v>
      </c>
      <c r="I269" s="12">
        <v>46076</v>
      </c>
      <c r="J269">
        <v>1</v>
      </c>
    </row>
    <row r="270" spans="1:10">
      <c r="A270" t="str">
        <f t="shared" si="4"/>
        <v>76211973</v>
      </c>
      <c r="B270">
        <v>76211973</v>
      </c>
      <c r="C270" t="s">
        <v>8104</v>
      </c>
      <c r="D270" t="s">
        <v>8105</v>
      </c>
      <c r="E270">
        <v>4508714</v>
      </c>
      <c r="F270" t="s">
        <v>4653</v>
      </c>
      <c r="G270" t="s">
        <v>743</v>
      </c>
      <c r="H270" t="s">
        <v>8106</v>
      </c>
      <c r="I270" s="12">
        <v>46098</v>
      </c>
      <c r="J270">
        <v>1</v>
      </c>
    </row>
    <row r="271" spans="1:10">
      <c r="A271" t="str">
        <f t="shared" si="4"/>
        <v>76212270</v>
      </c>
      <c r="B271">
        <v>76212270</v>
      </c>
      <c r="C271" t="s">
        <v>8107</v>
      </c>
      <c r="D271" t="s">
        <v>8108</v>
      </c>
      <c r="E271">
        <v>4508714</v>
      </c>
      <c r="F271" t="s">
        <v>4653</v>
      </c>
      <c r="G271" t="s">
        <v>743</v>
      </c>
      <c r="H271" t="s">
        <v>8106</v>
      </c>
      <c r="I271" s="12">
        <v>46098</v>
      </c>
      <c r="J271">
        <v>1</v>
      </c>
    </row>
    <row r="272" spans="1:10">
      <c r="A272" t="str">
        <f t="shared" si="4"/>
        <v>76212969</v>
      </c>
      <c r="B272">
        <v>76212969</v>
      </c>
      <c r="C272" t="s">
        <v>8109</v>
      </c>
      <c r="D272" t="s">
        <v>8110</v>
      </c>
      <c r="E272">
        <v>4508714</v>
      </c>
      <c r="F272" t="s">
        <v>4653</v>
      </c>
      <c r="G272" t="s">
        <v>743</v>
      </c>
      <c r="H272" t="s">
        <v>8106</v>
      </c>
      <c r="I272" s="12">
        <v>46098</v>
      </c>
      <c r="J272">
        <v>1</v>
      </c>
    </row>
    <row r="273" spans="1:10">
      <c r="A273" t="str">
        <f t="shared" si="4"/>
        <v>76213077</v>
      </c>
      <c r="B273">
        <v>76213077</v>
      </c>
      <c r="C273" t="s">
        <v>8111</v>
      </c>
      <c r="D273" t="s">
        <v>596</v>
      </c>
      <c r="E273">
        <v>4408593</v>
      </c>
      <c r="F273" t="s">
        <v>4653</v>
      </c>
      <c r="G273" t="s">
        <v>782</v>
      </c>
      <c r="H273" t="s">
        <v>971</v>
      </c>
      <c r="I273" s="12">
        <v>45659</v>
      </c>
      <c r="J273">
        <v>1</v>
      </c>
    </row>
    <row r="274" spans="1:10">
      <c r="A274" t="str">
        <f t="shared" si="4"/>
        <v>76213088</v>
      </c>
      <c r="B274">
        <v>76213088</v>
      </c>
      <c r="C274" t="s">
        <v>8112</v>
      </c>
      <c r="D274" t="s">
        <v>8113</v>
      </c>
      <c r="E274">
        <v>4508714</v>
      </c>
      <c r="F274" t="s">
        <v>4653</v>
      </c>
      <c r="G274" t="s">
        <v>743</v>
      </c>
      <c r="H274" t="s">
        <v>4775</v>
      </c>
      <c r="I274" s="12">
        <v>46055</v>
      </c>
      <c r="J274">
        <v>1</v>
      </c>
    </row>
    <row r="275" spans="1:10">
      <c r="A275" t="str">
        <f t="shared" si="4"/>
        <v>76213589</v>
      </c>
      <c r="B275">
        <v>76213589</v>
      </c>
      <c r="C275" t="s">
        <v>8114</v>
      </c>
      <c r="D275" t="s">
        <v>8115</v>
      </c>
      <c r="E275">
        <v>4408593</v>
      </c>
      <c r="F275" t="s">
        <v>4653</v>
      </c>
      <c r="G275" t="s">
        <v>782</v>
      </c>
      <c r="H275" t="s">
        <v>8116</v>
      </c>
      <c r="I275" s="12">
        <v>46135</v>
      </c>
      <c r="J275">
        <v>1</v>
      </c>
    </row>
    <row r="276" spans="1:10">
      <c r="A276" t="str">
        <f t="shared" si="4"/>
        <v>76214045</v>
      </c>
      <c r="B276">
        <v>76214045</v>
      </c>
      <c r="C276" t="s">
        <v>8117</v>
      </c>
      <c r="D276" t="s">
        <v>8118</v>
      </c>
      <c r="E276">
        <v>4508714</v>
      </c>
      <c r="F276" t="s">
        <v>4653</v>
      </c>
      <c r="G276" t="s">
        <v>743</v>
      </c>
      <c r="H276" t="s">
        <v>6751</v>
      </c>
      <c r="I276" s="12">
        <v>46020</v>
      </c>
      <c r="J276">
        <v>1</v>
      </c>
    </row>
    <row r="277" spans="1:10">
      <c r="A277" t="str">
        <f t="shared" si="4"/>
        <v>76214336</v>
      </c>
      <c r="B277">
        <v>76214336</v>
      </c>
      <c r="C277" t="s">
        <v>8119</v>
      </c>
      <c r="D277" t="s">
        <v>8120</v>
      </c>
      <c r="E277">
        <v>4508714</v>
      </c>
      <c r="F277" t="s">
        <v>4653</v>
      </c>
      <c r="G277" t="s">
        <v>743</v>
      </c>
      <c r="H277" t="s">
        <v>6478</v>
      </c>
      <c r="I277" s="12">
        <v>46022</v>
      </c>
      <c r="J277">
        <v>1</v>
      </c>
    </row>
    <row r="278" spans="1:10">
      <c r="A278" t="str">
        <f t="shared" si="4"/>
        <v>76214576</v>
      </c>
      <c r="B278">
        <v>76214576</v>
      </c>
      <c r="C278" t="s">
        <v>8121</v>
      </c>
      <c r="D278" t="s">
        <v>8122</v>
      </c>
      <c r="E278">
        <v>4508714</v>
      </c>
      <c r="F278" t="s">
        <v>4653</v>
      </c>
      <c r="G278" t="s">
        <v>743</v>
      </c>
      <c r="H278" t="s">
        <v>5501</v>
      </c>
      <c r="I278" s="12">
        <v>46024</v>
      </c>
      <c r="J278">
        <v>1</v>
      </c>
    </row>
    <row r="279" spans="1:10">
      <c r="A279" t="str">
        <f t="shared" si="4"/>
        <v>76215143</v>
      </c>
      <c r="B279">
        <v>76215143</v>
      </c>
      <c r="C279" t="s">
        <v>8123</v>
      </c>
      <c r="D279" t="s">
        <v>8124</v>
      </c>
      <c r="E279">
        <v>4508685</v>
      </c>
      <c r="F279" t="s">
        <v>4653</v>
      </c>
      <c r="G279" t="s">
        <v>904</v>
      </c>
      <c r="H279" t="s">
        <v>905</v>
      </c>
      <c r="I279" s="12">
        <v>45581</v>
      </c>
      <c r="J279">
        <v>2</v>
      </c>
    </row>
    <row r="280" spans="1:10">
      <c r="A280" t="str">
        <f t="shared" si="4"/>
        <v>76215143</v>
      </c>
      <c r="B280">
        <v>76215143</v>
      </c>
      <c r="C280" t="s">
        <v>8125</v>
      </c>
      <c r="D280" t="s">
        <v>8124</v>
      </c>
      <c r="E280">
        <v>4508685</v>
      </c>
      <c r="F280" t="s">
        <v>4653</v>
      </c>
      <c r="G280" t="s">
        <v>904</v>
      </c>
      <c r="H280" t="s">
        <v>905</v>
      </c>
      <c r="I280" s="12">
        <v>46024</v>
      </c>
      <c r="J280">
        <v>1</v>
      </c>
    </row>
    <row r="281" spans="1:10">
      <c r="A281" t="str">
        <f t="shared" si="4"/>
        <v>76216633</v>
      </c>
      <c r="B281">
        <v>76216633</v>
      </c>
      <c r="C281" t="s">
        <v>8126</v>
      </c>
      <c r="D281" t="s">
        <v>602</v>
      </c>
      <c r="E281">
        <v>4408593</v>
      </c>
      <c r="F281" t="s">
        <v>4653</v>
      </c>
      <c r="G281" t="s">
        <v>782</v>
      </c>
      <c r="H281" t="s">
        <v>6289</v>
      </c>
      <c r="I281" s="12">
        <v>46107</v>
      </c>
      <c r="J281">
        <v>1</v>
      </c>
    </row>
    <row r="282" spans="1:10">
      <c r="A282" t="str">
        <f t="shared" si="4"/>
        <v>76216971</v>
      </c>
      <c r="B282">
        <v>76216971</v>
      </c>
      <c r="C282" t="s">
        <v>8127</v>
      </c>
      <c r="D282" t="s">
        <v>8128</v>
      </c>
      <c r="E282">
        <v>4508714</v>
      </c>
      <c r="F282" t="s">
        <v>4653</v>
      </c>
      <c r="G282" t="s">
        <v>743</v>
      </c>
      <c r="H282" t="s">
        <v>5501</v>
      </c>
      <c r="I282" s="12">
        <v>46024</v>
      </c>
      <c r="J282">
        <v>1</v>
      </c>
    </row>
    <row r="283" spans="1:10">
      <c r="A283" t="str">
        <f t="shared" si="4"/>
        <v>76216978</v>
      </c>
      <c r="B283">
        <v>76216978</v>
      </c>
      <c r="C283" t="s">
        <v>8129</v>
      </c>
      <c r="D283" t="s">
        <v>608</v>
      </c>
      <c r="E283">
        <v>4508714</v>
      </c>
      <c r="F283" t="s">
        <v>4653</v>
      </c>
      <c r="G283" t="s">
        <v>743</v>
      </c>
      <c r="H283" t="s">
        <v>5501</v>
      </c>
      <c r="I283" s="12">
        <v>46024</v>
      </c>
      <c r="J283">
        <v>1</v>
      </c>
    </row>
    <row r="284" spans="1:10">
      <c r="A284" t="str">
        <f t="shared" si="4"/>
        <v>76217262</v>
      </c>
      <c r="B284">
        <v>76217262</v>
      </c>
      <c r="C284" t="s">
        <v>8130</v>
      </c>
      <c r="D284" t="s">
        <v>8131</v>
      </c>
      <c r="E284">
        <v>4508714</v>
      </c>
      <c r="F284" t="s">
        <v>4653</v>
      </c>
      <c r="G284" t="s">
        <v>743</v>
      </c>
      <c r="H284" t="s">
        <v>4775</v>
      </c>
      <c r="I284" s="12">
        <v>46055</v>
      </c>
      <c r="J284">
        <v>1</v>
      </c>
    </row>
    <row r="285" spans="1:10">
      <c r="A285" t="str">
        <f t="shared" si="4"/>
        <v>76217718</v>
      </c>
      <c r="B285">
        <v>76217718</v>
      </c>
      <c r="C285" t="s">
        <v>8132</v>
      </c>
      <c r="D285" t="s">
        <v>8133</v>
      </c>
      <c r="E285">
        <v>4508714</v>
      </c>
      <c r="F285" t="s">
        <v>4653</v>
      </c>
      <c r="G285" t="s">
        <v>743</v>
      </c>
      <c r="H285" t="s">
        <v>6753</v>
      </c>
      <c r="I285" s="12">
        <v>46127</v>
      </c>
      <c r="J285">
        <v>1</v>
      </c>
    </row>
    <row r="286" spans="1:10">
      <c r="A286" t="str">
        <f t="shared" si="4"/>
        <v>76218409</v>
      </c>
      <c r="B286">
        <v>76218409</v>
      </c>
      <c r="C286" t="s">
        <v>8134</v>
      </c>
      <c r="D286" t="s">
        <v>614</v>
      </c>
      <c r="E286">
        <v>4508714</v>
      </c>
      <c r="F286" t="s">
        <v>4653</v>
      </c>
      <c r="G286" t="s">
        <v>743</v>
      </c>
      <c r="H286" t="s">
        <v>883</v>
      </c>
      <c r="I286" s="12">
        <v>45748</v>
      </c>
      <c r="J286">
        <v>1</v>
      </c>
    </row>
    <row r="287" spans="1:10">
      <c r="A287" t="str">
        <f t="shared" si="4"/>
        <v>76219675</v>
      </c>
      <c r="B287">
        <v>76219675</v>
      </c>
      <c r="C287" t="s">
        <v>8135</v>
      </c>
      <c r="D287" t="s">
        <v>8136</v>
      </c>
      <c r="E287">
        <v>4508675</v>
      </c>
      <c r="F287" t="s">
        <v>4653</v>
      </c>
      <c r="G287" t="s">
        <v>828</v>
      </c>
      <c r="H287" t="s">
        <v>5008</v>
      </c>
      <c r="I287" s="12">
        <v>45939</v>
      </c>
      <c r="J287">
        <v>1</v>
      </c>
    </row>
    <row r="288" spans="1:10">
      <c r="A288" t="str">
        <f t="shared" si="4"/>
        <v>76220140</v>
      </c>
      <c r="B288">
        <v>76220140</v>
      </c>
      <c r="C288" t="s">
        <v>8137</v>
      </c>
      <c r="D288" t="s">
        <v>8138</v>
      </c>
      <c r="E288">
        <v>4508714</v>
      </c>
      <c r="F288" t="s">
        <v>4653</v>
      </c>
      <c r="G288" t="s">
        <v>743</v>
      </c>
      <c r="H288" t="s">
        <v>774</v>
      </c>
      <c r="I288" s="12">
        <v>46023</v>
      </c>
      <c r="J288">
        <v>1</v>
      </c>
    </row>
    <row r="289" spans="1:10">
      <c r="A289" t="str">
        <f t="shared" si="4"/>
        <v>76220386</v>
      </c>
      <c r="B289">
        <v>76220386</v>
      </c>
      <c r="C289" t="s">
        <v>8139</v>
      </c>
      <c r="D289" t="s">
        <v>8140</v>
      </c>
      <c r="E289">
        <v>4508714</v>
      </c>
      <c r="F289" t="s">
        <v>4653</v>
      </c>
      <c r="G289" t="s">
        <v>743</v>
      </c>
      <c r="H289" t="s">
        <v>5870</v>
      </c>
      <c r="I289" s="12">
        <v>45901</v>
      </c>
      <c r="J289">
        <v>1</v>
      </c>
    </row>
    <row r="290" spans="1:10">
      <c r="A290" t="str">
        <f t="shared" si="4"/>
        <v>76220871</v>
      </c>
      <c r="B290">
        <v>76220871</v>
      </c>
      <c r="C290" t="s">
        <v>8141</v>
      </c>
      <c r="D290" t="s">
        <v>8142</v>
      </c>
      <c r="E290">
        <v>4508685</v>
      </c>
      <c r="F290" t="s">
        <v>4653</v>
      </c>
      <c r="G290" t="s">
        <v>904</v>
      </c>
      <c r="H290" t="s">
        <v>905</v>
      </c>
      <c r="I290" s="12">
        <v>46024</v>
      </c>
      <c r="J290">
        <v>1</v>
      </c>
    </row>
    <row r="291" spans="1:10">
      <c r="A291" t="str">
        <f t="shared" si="4"/>
        <v>76220872</v>
      </c>
      <c r="B291">
        <v>76220872</v>
      </c>
      <c r="C291" t="s">
        <v>8143</v>
      </c>
      <c r="D291" t="s">
        <v>8144</v>
      </c>
      <c r="E291">
        <v>4508685</v>
      </c>
      <c r="F291" t="s">
        <v>4653</v>
      </c>
      <c r="G291" t="s">
        <v>904</v>
      </c>
      <c r="H291" t="s">
        <v>905</v>
      </c>
      <c r="I291" s="12">
        <v>45581</v>
      </c>
      <c r="J291">
        <v>2</v>
      </c>
    </row>
    <row r="292" spans="1:10">
      <c r="A292" t="str">
        <f t="shared" si="4"/>
        <v>76220872</v>
      </c>
      <c r="B292">
        <v>76220872</v>
      </c>
      <c r="C292" t="s">
        <v>8145</v>
      </c>
      <c r="D292" t="s">
        <v>8144</v>
      </c>
      <c r="E292">
        <v>4508685</v>
      </c>
      <c r="F292" t="s">
        <v>4653</v>
      </c>
      <c r="G292" t="s">
        <v>904</v>
      </c>
      <c r="H292" t="s">
        <v>905</v>
      </c>
      <c r="I292" s="12">
        <v>46024</v>
      </c>
      <c r="J292">
        <v>1</v>
      </c>
    </row>
    <row r="293" spans="1:10">
      <c r="A293" t="str">
        <f t="shared" si="4"/>
        <v>76220873</v>
      </c>
      <c r="B293">
        <v>76220873</v>
      </c>
      <c r="C293" t="s">
        <v>8146</v>
      </c>
      <c r="D293" t="s">
        <v>8147</v>
      </c>
      <c r="E293">
        <v>4508685</v>
      </c>
      <c r="F293" t="s">
        <v>4653</v>
      </c>
      <c r="G293" t="s">
        <v>904</v>
      </c>
      <c r="H293" t="s">
        <v>905</v>
      </c>
      <c r="I293" s="12">
        <v>46024</v>
      </c>
      <c r="J293">
        <v>1</v>
      </c>
    </row>
    <row r="294" spans="1:10">
      <c r="A294" t="str">
        <f t="shared" si="4"/>
        <v>76221156</v>
      </c>
      <c r="B294">
        <v>76221156</v>
      </c>
      <c r="C294" t="s">
        <v>8148</v>
      </c>
      <c r="D294" t="s">
        <v>628</v>
      </c>
      <c r="E294">
        <v>4408592</v>
      </c>
      <c r="F294" t="s">
        <v>4653</v>
      </c>
      <c r="G294" t="s">
        <v>823</v>
      </c>
      <c r="H294" t="s">
        <v>7309</v>
      </c>
      <c r="I294" s="12">
        <v>45764</v>
      </c>
      <c r="J294">
        <v>1</v>
      </c>
    </row>
    <row r="295" spans="1:10">
      <c r="A295" t="str">
        <f t="shared" si="4"/>
        <v>76221568</v>
      </c>
      <c r="B295">
        <v>76221568</v>
      </c>
      <c r="C295" t="s">
        <v>8149</v>
      </c>
      <c r="D295" t="s">
        <v>8150</v>
      </c>
      <c r="E295">
        <v>4508714</v>
      </c>
      <c r="F295" t="s">
        <v>4653</v>
      </c>
      <c r="G295" t="s">
        <v>743</v>
      </c>
      <c r="H295" t="s">
        <v>8150</v>
      </c>
      <c r="I295" s="12">
        <v>46052</v>
      </c>
      <c r="J295">
        <v>1</v>
      </c>
    </row>
    <row r="296" spans="1:10">
      <c r="A296" t="str">
        <f t="shared" si="4"/>
        <v>76222063</v>
      </c>
      <c r="B296">
        <v>76222063</v>
      </c>
      <c r="C296" t="s">
        <v>8151</v>
      </c>
      <c r="D296" t="s">
        <v>8152</v>
      </c>
      <c r="E296">
        <v>4508714</v>
      </c>
      <c r="F296" t="s">
        <v>4653</v>
      </c>
      <c r="G296" t="s">
        <v>743</v>
      </c>
      <c r="H296" t="s">
        <v>5501</v>
      </c>
      <c r="I296" s="12">
        <v>46024</v>
      </c>
      <c r="J296">
        <v>1</v>
      </c>
    </row>
    <row r="297" spans="1:10">
      <c r="A297" t="str">
        <f t="shared" si="4"/>
        <v>76222075</v>
      </c>
      <c r="B297">
        <v>76222075</v>
      </c>
      <c r="C297" t="s">
        <v>8153</v>
      </c>
      <c r="D297" t="s">
        <v>8154</v>
      </c>
      <c r="E297">
        <v>4408593</v>
      </c>
      <c r="F297" t="s">
        <v>4653</v>
      </c>
      <c r="G297" t="s">
        <v>782</v>
      </c>
      <c r="H297" t="s">
        <v>8155</v>
      </c>
      <c r="I297" s="12">
        <v>45931</v>
      </c>
      <c r="J297">
        <v>1</v>
      </c>
    </row>
    <row r="298" spans="1:10">
      <c r="A298" t="str">
        <f t="shared" si="4"/>
        <v>76222156</v>
      </c>
      <c r="B298">
        <v>76222156</v>
      </c>
      <c r="C298" t="s">
        <v>8156</v>
      </c>
      <c r="D298" t="s">
        <v>8157</v>
      </c>
      <c r="E298">
        <v>4408593</v>
      </c>
      <c r="F298" t="s">
        <v>4653</v>
      </c>
      <c r="G298" t="s">
        <v>782</v>
      </c>
      <c r="H298" t="s">
        <v>6852</v>
      </c>
      <c r="I298" s="12">
        <v>46120</v>
      </c>
      <c r="J298">
        <v>1</v>
      </c>
    </row>
    <row r="299" spans="1:10">
      <c r="A299" t="str">
        <f t="shared" si="4"/>
        <v>76222158</v>
      </c>
      <c r="B299">
        <v>76222158</v>
      </c>
      <c r="C299" t="s">
        <v>8158</v>
      </c>
      <c r="D299" t="s">
        <v>8159</v>
      </c>
      <c r="E299">
        <v>4408593</v>
      </c>
      <c r="F299" t="s">
        <v>4653</v>
      </c>
      <c r="G299" t="s">
        <v>782</v>
      </c>
      <c r="H299" t="s">
        <v>6852</v>
      </c>
      <c r="I299" s="12">
        <v>46120</v>
      </c>
      <c r="J299">
        <v>1</v>
      </c>
    </row>
    <row r="300" spans="1:10">
      <c r="A300" t="str">
        <f t="shared" si="4"/>
        <v>76222162</v>
      </c>
      <c r="B300">
        <v>76222162</v>
      </c>
      <c r="C300" t="s">
        <v>8160</v>
      </c>
      <c r="D300" t="s">
        <v>8161</v>
      </c>
      <c r="E300">
        <v>4408593</v>
      </c>
      <c r="F300" t="s">
        <v>4653</v>
      </c>
      <c r="G300" t="s">
        <v>782</v>
      </c>
      <c r="H300" t="s">
        <v>6852</v>
      </c>
      <c r="I300" s="12">
        <v>46120</v>
      </c>
      <c r="J300">
        <v>1</v>
      </c>
    </row>
    <row r="301" spans="1:10">
      <c r="A301" t="str">
        <f t="shared" si="4"/>
        <v>76222545</v>
      </c>
      <c r="B301">
        <v>76222545</v>
      </c>
      <c r="C301" t="s">
        <v>8162</v>
      </c>
      <c r="D301" t="s">
        <v>8163</v>
      </c>
      <c r="E301">
        <v>4508714</v>
      </c>
      <c r="F301" t="s">
        <v>4653</v>
      </c>
      <c r="G301" t="s">
        <v>743</v>
      </c>
      <c r="H301" t="s">
        <v>6296</v>
      </c>
      <c r="I301" s="12">
        <v>45653</v>
      </c>
      <c r="J301">
        <v>1</v>
      </c>
    </row>
    <row r="302" spans="1:10">
      <c r="A302" t="str">
        <f t="shared" si="4"/>
        <v>76223418</v>
      </c>
      <c r="B302">
        <v>76223418</v>
      </c>
      <c r="C302" t="s">
        <v>8164</v>
      </c>
      <c r="D302" t="s">
        <v>8165</v>
      </c>
      <c r="E302">
        <v>4508685</v>
      </c>
      <c r="F302" t="s">
        <v>4653</v>
      </c>
      <c r="G302" t="s">
        <v>904</v>
      </c>
      <c r="H302" t="s">
        <v>905</v>
      </c>
      <c r="I302" s="12">
        <v>45581</v>
      </c>
      <c r="J302">
        <v>2</v>
      </c>
    </row>
    <row r="303" spans="1:10">
      <c r="A303" t="str">
        <f t="shared" si="4"/>
        <v>76223418</v>
      </c>
      <c r="B303">
        <v>76223418</v>
      </c>
      <c r="C303" t="s">
        <v>8166</v>
      </c>
      <c r="D303" t="s">
        <v>8165</v>
      </c>
      <c r="E303">
        <v>4508685</v>
      </c>
      <c r="F303" t="s">
        <v>4653</v>
      </c>
      <c r="G303" t="s">
        <v>904</v>
      </c>
      <c r="H303" t="s">
        <v>905</v>
      </c>
      <c r="I303" s="12">
        <v>46024</v>
      </c>
      <c r="J303">
        <v>1</v>
      </c>
    </row>
    <row r="304" spans="1:10">
      <c r="A304" t="str">
        <f t="shared" si="4"/>
        <v>76223424</v>
      </c>
      <c r="B304">
        <v>76223424</v>
      </c>
      <c r="C304" t="s">
        <v>8167</v>
      </c>
      <c r="D304" t="s">
        <v>8168</v>
      </c>
      <c r="E304">
        <v>4508685</v>
      </c>
      <c r="F304" t="s">
        <v>4653</v>
      </c>
      <c r="G304" t="s">
        <v>904</v>
      </c>
      <c r="H304" t="s">
        <v>905</v>
      </c>
      <c r="I304" s="12">
        <v>45581</v>
      </c>
      <c r="J304">
        <v>2</v>
      </c>
    </row>
    <row r="305" spans="1:10">
      <c r="A305" t="str">
        <f t="shared" si="4"/>
        <v>76223424</v>
      </c>
      <c r="B305">
        <v>76223424</v>
      </c>
      <c r="C305" t="s">
        <v>8169</v>
      </c>
      <c r="D305" t="s">
        <v>8168</v>
      </c>
      <c r="E305">
        <v>4508685</v>
      </c>
      <c r="F305" t="s">
        <v>4653</v>
      </c>
      <c r="G305" t="s">
        <v>904</v>
      </c>
      <c r="H305" t="s">
        <v>905</v>
      </c>
      <c r="I305" s="12">
        <v>46024</v>
      </c>
      <c r="J305">
        <v>1</v>
      </c>
    </row>
    <row r="306" spans="1:10">
      <c r="A306" t="str">
        <f t="shared" si="4"/>
        <v>76223425</v>
      </c>
      <c r="B306">
        <v>76223425</v>
      </c>
      <c r="C306" t="s">
        <v>8170</v>
      </c>
      <c r="D306" t="s">
        <v>8171</v>
      </c>
      <c r="E306">
        <v>4508685</v>
      </c>
      <c r="F306" t="s">
        <v>4653</v>
      </c>
      <c r="G306" t="s">
        <v>904</v>
      </c>
      <c r="H306" t="s">
        <v>905</v>
      </c>
      <c r="I306" s="12">
        <v>46024</v>
      </c>
      <c r="J306">
        <v>1</v>
      </c>
    </row>
    <row r="307" spans="1:10">
      <c r="A307" t="str">
        <f t="shared" si="4"/>
        <v>76223426</v>
      </c>
      <c r="B307">
        <v>76223426</v>
      </c>
      <c r="C307" t="s">
        <v>8172</v>
      </c>
      <c r="D307" t="s">
        <v>8173</v>
      </c>
      <c r="E307">
        <v>4508685</v>
      </c>
      <c r="F307" t="s">
        <v>4653</v>
      </c>
      <c r="G307" t="s">
        <v>904</v>
      </c>
      <c r="H307" t="s">
        <v>905</v>
      </c>
      <c r="I307" s="12">
        <v>45581</v>
      </c>
      <c r="J307">
        <v>2</v>
      </c>
    </row>
    <row r="308" spans="1:10">
      <c r="A308" t="str">
        <f t="shared" si="4"/>
        <v>76223426</v>
      </c>
      <c r="B308">
        <v>76223426</v>
      </c>
      <c r="C308" t="s">
        <v>8174</v>
      </c>
      <c r="D308" t="s">
        <v>8173</v>
      </c>
      <c r="E308">
        <v>4508685</v>
      </c>
      <c r="F308" t="s">
        <v>4653</v>
      </c>
      <c r="G308" t="s">
        <v>904</v>
      </c>
      <c r="H308" t="s">
        <v>905</v>
      </c>
      <c r="I308" s="12">
        <v>46024</v>
      </c>
      <c r="J308">
        <v>1</v>
      </c>
    </row>
    <row r="309" spans="1:10">
      <c r="A309" t="str">
        <f t="shared" si="4"/>
        <v>76223525</v>
      </c>
      <c r="B309">
        <v>76223525</v>
      </c>
      <c r="C309" t="s">
        <v>8175</v>
      </c>
      <c r="D309" t="s">
        <v>8176</v>
      </c>
      <c r="E309">
        <v>4508714</v>
      </c>
      <c r="F309" t="s">
        <v>4653</v>
      </c>
      <c r="G309" t="s">
        <v>743</v>
      </c>
      <c r="H309" t="s">
        <v>6478</v>
      </c>
      <c r="I309" s="12">
        <v>46020</v>
      </c>
      <c r="J309">
        <v>1</v>
      </c>
    </row>
    <row r="310" spans="1:10">
      <c r="A310" t="str">
        <f t="shared" si="4"/>
        <v>76223632</v>
      </c>
      <c r="B310">
        <v>76223632</v>
      </c>
      <c r="C310" t="s">
        <v>8177</v>
      </c>
      <c r="D310" t="s">
        <v>6884</v>
      </c>
      <c r="E310">
        <v>4408593</v>
      </c>
      <c r="F310" t="s">
        <v>4653</v>
      </c>
      <c r="G310" t="s">
        <v>782</v>
      </c>
      <c r="H310" t="s">
        <v>6885</v>
      </c>
      <c r="I310" s="12">
        <v>46112</v>
      </c>
      <c r="J310">
        <v>1</v>
      </c>
    </row>
    <row r="311" spans="1:10">
      <c r="A311" t="str">
        <f t="shared" si="4"/>
        <v>76223771</v>
      </c>
      <c r="B311">
        <v>76223771</v>
      </c>
      <c r="C311" t="s">
        <v>8178</v>
      </c>
      <c r="D311" t="s">
        <v>8179</v>
      </c>
      <c r="E311">
        <v>4508714</v>
      </c>
      <c r="F311" t="s">
        <v>4653</v>
      </c>
      <c r="G311" t="s">
        <v>743</v>
      </c>
      <c r="H311" t="s">
        <v>7309</v>
      </c>
      <c r="I311" s="12">
        <v>46091</v>
      </c>
      <c r="J311">
        <v>1</v>
      </c>
    </row>
    <row r="312" spans="1:10">
      <c r="A312" t="str">
        <f t="shared" si="4"/>
        <v>76224154</v>
      </c>
      <c r="B312">
        <v>76224154</v>
      </c>
      <c r="C312" t="s">
        <v>8180</v>
      </c>
      <c r="D312" t="s">
        <v>670</v>
      </c>
      <c r="E312">
        <v>4508714</v>
      </c>
      <c r="F312" t="s">
        <v>4653</v>
      </c>
      <c r="G312" t="s">
        <v>743</v>
      </c>
      <c r="H312" t="s">
        <v>8181</v>
      </c>
      <c r="I312" s="12">
        <v>46024</v>
      </c>
      <c r="J312">
        <v>1</v>
      </c>
    </row>
    <row r="313" spans="1:10">
      <c r="A313" t="str">
        <f t="shared" si="4"/>
        <v>76224587</v>
      </c>
      <c r="B313">
        <v>76224587</v>
      </c>
      <c r="C313" t="s">
        <v>8182</v>
      </c>
      <c r="D313" t="s">
        <v>8183</v>
      </c>
      <c r="E313">
        <v>4508714</v>
      </c>
      <c r="F313" t="s">
        <v>4653</v>
      </c>
      <c r="G313" t="s">
        <v>743</v>
      </c>
      <c r="H313" t="s">
        <v>7309</v>
      </c>
      <c r="I313" s="12">
        <v>46091</v>
      </c>
      <c r="J313">
        <v>1</v>
      </c>
    </row>
    <row r="314" spans="1:10">
      <c r="A314" t="str">
        <f t="shared" si="4"/>
        <v>76225374</v>
      </c>
      <c r="B314">
        <v>76225374</v>
      </c>
      <c r="C314" t="s">
        <v>8184</v>
      </c>
      <c r="D314" t="s">
        <v>8185</v>
      </c>
      <c r="E314">
        <v>4508714</v>
      </c>
      <c r="F314" t="s">
        <v>4653</v>
      </c>
      <c r="G314" t="s">
        <v>743</v>
      </c>
      <c r="H314" t="s">
        <v>7830</v>
      </c>
      <c r="I314" s="12">
        <v>46140</v>
      </c>
      <c r="J314">
        <v>1</v>
      </c>
    </row>
    <row r="315" spans="1:10">
      <c r="A315" t="str">
        <f t="shared" si="4"/>
        <v>76225479</v>
      </c>
      <c r="B315">
        <v>76225479</v>
      </c>
      <c r="C315" t="s">
        <v>8186</v>
      </c>
      <c r="D315" t="s">
        <v>8187</v>
      </c>
      <c r="E315">
        <v>4508714</v>
      </c>
      <c r="F315" t="s">
        <v>4653</v>
      </c>
      <c r="G315" t="s">
        <v>743</v>
      </c>
      <c r="H315" t="s">
        <v>6751</v>
      </c>
      <c r="I315" s="12">
        <v>46020</v>
      </c>
      <c r="J315">
        <v>1</v>
      </c>
    </row>
    <row r="316" spans="1:10">
      <c r="A316" t="str">
        <f t="shared" si="4"/>
        <v>76225624</v>
      </c>
      <c r="B316">
        <v>76225624</v>
      </c>
      <c r="C316" t="s">
        <v>8188</v>
      </c>
      <c r="D316" t="s">
        <v>3883</v>
      </c>
      <c r="E316">
        <v>4508714</v>
      </c>
      <c r="F316" t="s">
        <v>4653</v>
      </c>
      <c r="G316" t="s">
        <v>743</v>
      </c>
      <c r="H316" t="s">
        <v>6913</v>
      </c>
      <c r="I316" s="12">
        <v>45828</v>
      </c>
      <c r="J316">
        <v>1</v>
      </c>
    </row>
    <row r="317" spans="1:10">
      <c r="A317" t="str">
        <f t="shared" si="4"/>
        <v>76225720</v>
      </c>
      <c r="B317">
        <v>76225720</v>
      </c>
      <c r="C317" t="s">
        <v>8189</v>
      </c>
      <c r="D317" t="s">
        <v>640</v>
      </c>
      <c r="E317">
        <v>4408593</v>
      </c>
      <c r="F317" t="s">
        <v>4653</v>
      </c>
      <c r="G317" t="s">
        <v>782</v>
      </c>
      <c r="H317" t="s">
        <v>971</v>
      </c>
      <c r="I317" s="12">
        <v>45659</v>
      </c>
      <c r="J317">
        <v>1</v>
      </c>
    </row>
    <row r="318" spans="1:10">
      <c r="A318" t="str">
        <f t="shared" si="4"/>
        <v>76225720</v>
      </c>
      <c r="B318">
        <v>76225720</v>
      </c>
      <c r="C318" t="s">
        <v>8190</v>
      </c>
      <c r="D318" t="s">
        <v>640</v>
      </c>
      <c r="E318">
        <v>4508714</v>
      </c>
      <c r="F318" t="s">
        <v>4653</v>
      </c>
      <c r="G318" t="s">
        <v>743</v>
      </c>
      <c r="H318" t="s">
        <v>971</v>
      </c>
      <c r="I318" s="12">
        <v>45659</v>
      </c>
      <c r="J318">
        <v>1</v>
      </c>
    </row>
    <row r="319" spans="1:10">
      <c r="A319" t="str">
        <f t="shared" si="4"/>
        <v>76225949</v>
      </c>
      <c r="B319">
        <v>76225949</v>
      </c>
      <c r="C319" t="s">
        <v>8191</v>
      </c>
      <c r="D319" t="s">
        <v>8192</v>
      </c>
      <c r="E319">
        <v>4508714</v>
      </c>
      <c r="F319" t="s">
        <v>4653</v>
      </c>
      <c r="G319" t="s">
        <v>743</v>
      </c>
      <c r="H319" t="s">
        <v>5501</v>
      </c>
      <c r="I319" s="12">
        <v>46024</v>
      </c>
      <c r="J319">
        <v>1</v>
      </c>
    </row>
    <row r="320" spans="1:10">
      <c r="A320" t="str">
        <f t="shared" si="4"/>
        <v>76226661</v>
      </c>
      <c r="B320">
        <v>76226661</v>
      </c>
      <c r="C320" t="s">
        <v>8193</v>
      </c>
      <c r="D320" t="s">
        <v>6942</v>
      </c>
      <c r="E320">
        <v>4508714</v>
      </c>
      <c r="F320" t="s">
        <v>4653</v>
      </c>
      <c r="G320" t="s">
        <v>743</v>
      </c>
      <c r="H320" t="s">
        <v>6943</v>
      </c>
      <c r="I320" s="12">
        <v>46142</v>
      </c>
      <c r="J320">
        <v>1</v>
      </c>
    </row>
    <row r="321" spans="1:10">
      <c r="A321" t="str">
        <f t="shared" si="4"/>
        <v>76226764</v>
      </c>
      <c r="B321">
        <v>76226764</v>
      </c>
      <c r="C321" t="s">
        <v>8194</v>
      </c>
      <c r="D321" t="s">
        <v>6945</v>
      </c>
      <c r="E321">
        <v>4408592</v>
      </c>
      <c r="F321" t="s">
        <v>4653</v>
      </c>
      <c r="G321" t="s">
        <v>823</v>
      </c>
      <c r="H321" t="s">
        <v>6946</v>
      </c>
      <c r="I321" s="12">
        <v>45604</v>
      </c>
      <c r="J321">
        <v>1</v>
      </c>
    </row>
    <row r="322" spans="1:10">
      <c r="A322" t="str">
        <f t="shared" ref="A322:A385" si="5">TRIM(B322)</f>
        <v>76226765</v>
      </c>
      <c r="B322">
        <v>76226765</v>
      </c>
      <c r="C322" t="s">
        <v>8195</v>
      </c>
      <c r="D322" t="s">
        <v>6948</v>
      </c>
      <c r="E322">
        <v>4408592</v>
      </c>
      <c r="F322" t="s">
        <v>4653</v>
      </c>
      <c r="G322" t="s">
        <v>823</v>
      </c>
      <c r="H322" t="s">
        <v>6946</v>
      </c>
      <c r="I322" s="12">
        <v>45604</v>
      </c>
      <c r="J322">
        <v>1</v>
      </c>
    </row>
    <row r="323" spans="1:10">
      <c r="A323" t="str">
        <f t="shared" si="5"/>
        <v>76226767</v>
      </c>
      <c r="B323">
        <v>76226767</v>
      </c>
      <c r="C323" t="s">
        <v>8196</v>
      </c>
      <c r="D323" t="s">
        <v>6950</v>
      </c>
      <c r="E323">
        <v>4408592</v>
      </c>
      <c r="F323" t="s">
        <v>4653</v>
      </c>
      <c r="G323" t="s">
        <v>823</v>
      </c>
      <c r="H323" t="s">
        <v>6946</v>
      </c>
      <c r="I323" s="12">
        <v>45604</v>
      </c>
      <c r="J323">
        <v>1</v>
      </c>
    </row>
    <row r="324" spans="1:10">
      <c r="A324" t="str">
        <f t="shared" si="5"/>
        <v>76226841</v>
      </c>
      <c r="B324">
        <v>76226841</v>
      </c>
      <c r="C324" t="s">
        <v>8197</v>
      </c>
      <c r="D324" t="s">
        <v>8198</v>
      </c>
      <c r="E324">
        <v>4508714</v>
      </c>
      <c r="F324" t="s">
        <v>4653</v>
      </c>
      <c r="G324" t="s">
        <v>743</v>
      </c>
      <c r="H324" t="s">
        <v>6478</v>
      </c>
      <c r="I324" s="12">
        <v>46108</v>
      </c>
      <c r="J324">
        <v>1</v>
      </c>
    </row>
    <row r="325" spans="1:10">
      <c r="A325" t="str">
        <f t="shared" si="5"/>
        <v>76226847</v>
      </c>
      <c r="B325">
        <v>76226847</v>
      </c>
      <c r="C325" t="s">
        <v>8199</v>
      </c>
      <c r="D325" t="s">
        <v>8200</v>
      </c>
      <c r="E325">
        <v>4508714</v>
      </c>
      <c r="F325" t="s">
        <v>4653</v>
      </c>
      <c r="G325" t="s">
        <v>743</v>
      </c>
      <c r="H325" t="s">
        <v>6478</v>
      </c>
      <c r="I325" s="12">
        <v>46020</v>
      </c>
      <c r="J325">
        <v>1</v>
      </c>
    </row>
    <row r="326" spans="1:10">
      <c r="A326" t="str">
        <f t="shared" si="5"/>
        <v>76226850</v>
      </c>
      <c r="B326">
        <v>76226850</v>
      </c>
      <c r="C326" t="s">
        <v>8201</v>
      </c>
      <c r="D326" t="s">
        <v>8202</v>
      </c>
      <c r="E326">
        <v>4508714</v>
      </c>
      <c r="F326" t="s">
        <v>4653</v>
      </c>
      <c r="G326" t="s">
        <v>743</v>
      </c>
      <c r="H326" t="s">
        <v>4775</v>
      </c>
      <c r="I326" s="12">
        <v>46055</v>
      </c>
      <c r="J326">
        <v>1</v>
      </c>
    </row>
    <row r="327" spans="1:10">
      <c r="A327" t="str">
        <f t="shared" si="5"/>
        <v>76226905</v>
      </c>
      <c r="B327">
        <v>76226905</v>
      </c>
      <c r="C327" t="s">
        <v>8203</v>
      </c>
      <c r="D327" t="s">
        <v>8204</v>
      </c>
      <c r="E327">
        <v>4508714</v>
      </c>
      <c r="F327" t="s">
        <v>4653</v>
      </c>
      <c r="G327" t="s">
        <v>743</v>
      </c>
      <c r="H327" t="s">
        <v>883</v>
      </c>
      <c r="I327" s="12">
        <v>46113</v>
      </c>
      <c r="J327">
        <v>1</v>
      </c>
    </row>
    <row r="328" spans="1:10">
      <c r="A328" t="str">
        <f t="shared" si="5"/>
        <v>76227670</v>
      </c>
      <c r="B328">
        <v>76227670</v>
      </c>
      <c r="C328" t="s">
        <v>8205</v>
      </c>
      <c r="D328" t="s">
        <v>8206</v>
      </c>
      <c r="E328">
        <v>4508685</v>
      </c>
      <c r="F328" t="s">
        <v>4653</v>
      </c>
      <c r="G328" t="s">
        <v>904</v>
      </c>
      <c r="H328" t="s">
        <v>905</v>
      </c>
      <c r="I328" s="12">
        <v>45581</v>
      </c>
      <c r="J328">
        <v>2</v>
      </c>
    </row>
    <row r="329" spans="1:10">
      <c r="A329" t="str">
        <f t="shared" si="5"/>
        <v>76227670</v>
      </c>
      <c r="B329">
        <v>76227670</v>
      </c>
      <c r="C329" t="s">
        <v>8207</v>
      </c>
      <c r="D329" t="s">
        <v>8206</v>
      </c>
      <c r="E329">
        <v>4508685</v>
      </c>
      <c r="F329" t="s">
        <v>4653</v>
      </c>
      <c r="G329" t="s">
        <v>904</v>
      </c>
      <c r="H329" t="s">
        <v>905</v>
      </c>
      <c r="I329" s="12">
        <v>46024</v>
      </c>
      <c r="J329">
        <v>1</v>
      </c>
    </row>
    <row r="330" spans="1:10">
      <c r="A330" t="str">
        <f t="shared" si="5"/>
        <v>76227678</v>
      </c>
      <c r="B330">
        <v>76227678</v>
      </c>
      <c r="C330" t="s">
        <v>8208</v>
      </c>
      <c r="D330" t="s">
        <v>8209</v>
      </c>
      <c r="E330">
        <v>4508685</v>
      </c>
      <c r="F330" t="s">
        <v>4653</v>
      </c>
      <c r="G330" t="s">
        <v>904</v>
      </c>
      <c r="H330" t="s">
        <v>905</v>
      </c>
      <c r="I330" s="12">
        <v>45581</v>
      </c>
      <c r="J330">
        <v>2</v>
      </c>
    </row>
    <row r="331" spans="1:10">
      <c r="A331" t="str">
        <f t="shared" si="5"/>
        <v>76227678</v>
      </c>
      <c r="B331">
        <v>76227678</v>
      </c>
      <c r="C331" t="s">
        <v>8210</v>
      </c>
      <c r="D331" t="s">
        <v>8209</v>
      </c>
      <c r="E331">
        <v>4508685</v>
      </c>
      <c r="F331" t="s">
        <v>4653</v>
      </c>
      <c r="G331" t="s">
        <v>904</v>
      </c>
      <c r="H331" t="s">
        <v>905</v>
      </c>
      <c r="I331" s="12">
        <v>46024</v>
      </c>
      <c r="J331">
        <v>1</v>
      </c>
    </row>
    <row r="332" spans="1:10">
      <c r="A332" t="str">
        <f t="shared" si="5"/>
        <v>76227697</v>
      </c>
      <c r="B332">
        <v>76227697</v>
      </c>
      <c r="C332" t="s">
        <v>8211</v>
      </c>
      <c r="D332" t="s">
        <v>8212</v>
      </c>
      <c r="E332">
        <v>4508685</v>
      </c>
      <c r="F332" t="s">
        <v>4653</v>
      </c>
      <c r="G332" t="s">
        <v>904</v>
      </c>
      <c r="H332" t="s">
        <v>905</v>
      </c>
      <c r="I332" s="12">
        <v>46024</v>
      </c>
      <c r="J332">
        <v>1</v>
      </c>
    </row>
    <row r="333" spans="1:10">
      <c r="A333" t="str">
        <f t="shared" si="5"/>
        <v>76228185</v>
      </c>
      <c r="B333">
        <v>76228185</v>
      </c>
      <c r="C333" t="s">
        <v>8213</v>
      </c>
      <c r="D333" t="s">
        <v>3961</v>
      </c>
      <c r="E333">
        <v>4408592</v>
      </c>
      <c r="F333" t="s">
        <v>4653</v>
      </c>
      <c r="G333" t="s">
        <v>823</v>
      </c>
      <c r="H333" t="s">
        <v>6260</v>
      </c>
      <c r="I333" s="12">
        <v>46015</v>
      </c>
      <c r="J333">
        <v>1</v>
      </c>
    </row>
    <row r="334" spans="1:10">
      <c r="A334" t="str">
        <f t="shared" si="5"/>
        <v>76228349</v>
      </c>
      <c r="B334">
        <v>76228349</v>
      </c>
      <c r="C334" t="s">
        <v>8214</v>
      </c>
      <c r="D334" t="s">
        <v>8215</v>
      </c>
      <c r="E334">
        <v>4508714</v>
      </c>
      <c r="F334" t="s">
        <v>4653</v>
      </c>
      <c r="G334" t="s">
        <v>743</v>
      </c>
      <c r="H334" t="s">
        <v>6978</v>
      </c>
      <c r="I334" s="12">
        <v>46142</v>
      </c>
      <c r="J334">
        <v>1</v>
      </c>
    </row>
    <row r="335" spans="1:10">
      <c r="A335" t="str">
        <f t="shared" si="5"/>
        <v>76228449</v>
      </c>
      <c r="B335">
        <v>76228449</v>
      </c>
      <c r="C335" t="s">
        <v>8216</v>
      </c>
      <c r="D335" t="s">
        <v>6977</v>
      </c>
      <c r="E335">
        <v>4508714</v>
      </c>
      <c r="F335" t="s">
        <v>4653</v>
      </c>
      <c r="G335" t="s">
        <v>743</v>
      </c>
      <c r="H335" t="s">
        <v>6978</v>
      </c>
      <c r="I335" s="12">
        <v>46142</v>
      </c>
      <c r="J335">
        <v>1</v>
      </c>
    </row>
    <row r="336" spans="1:10">
      <c r="A336" t="str">
        <f t="shared" si="5"/>
        <v>76229011</v>
      </c>
      <c r="B336">
        <v>76229011</v>
      </c>
      <c r="C336" t="s">
        <v>8217</v>
      </c>
      <c r="D336" t="s">
        <v>649</v>
      </c>
      <c r="E336">
        <v>4508675</v>
      </c>
      <c r="F336" t="s">
        <v>4653</v>
      </c>
      <c r="G336" t="s">
        <v>828</v>
      </c>
      <c r="H336" t="s">
        <v>8218</v>
      </c>
      <c r="I336" s="12">
        <v>45751</v>
      </c>
      <c r="J336">
        <v>1</v>
      </c>
    </row>
    <row r="337" spans="1:10">
      <c r="A337" t="str">
        <f t="shared" si="5"/>
        <v>76229318</v>
      </c>
      <c r="B337">
        <v>76229318</v>
      </c>
      <c r="C337" t="s">
        <v>8219</v>
      </c>
      <c r="D337" t="s">
        <v>8220</v>
      </c>
      <c r="E337">
        <v>4508714</v>
      </c>
      <c r="F337" t="s">
        <v>4653</v>
      </c>
      <c r="G337" t="s">
        <v>743</v>
      </c>
      <c r="H337" t="s">
        <v>883</v>
      </c>
      <c r="I337" s="12">
        <v>45748</v>
      </c>
      <c r="J337">
        <v>1</v>
      </c>
    </row>
    <row r="338" spans="1:10">
      <c r="A338" t="str">
        <f t="shared" si="5"/>
        <v>76230046</v>
      </c>
      <c r="B338">
        <v>76230046</v>
      </c>
      <c r="C338" t="s">
        <v>8221</v>
      </c>
      <c r="D338" t="s">
        <v>8222</v>
      </c>
      <c r="E338">
        <v>4508714</v>
      </c>
      <c r="F338" t="s">
        <v>4653</v>
      </c>
      <c r="G338" t="s">
        <v>743</v>
      </c>
      <c r="H338" t="s">
        <v>6978</v>
      </c>
      <c r="I338" s="12">
        <v>46142</v>
      </c>
      <c r="J338">
        <v>1</v>
      </c>
    </row>
    <row r="339" spans="1:10">
      <c r="A339" t="str">
        <f t="shared" si="5"/>
        <v>76230049</v>
      </c>
      <c r="B339">
        <v>76230049</v>
      </c>
      <c r="C339" t="s">
        <v>8223</v>
      </c>
      <c r="D339" t="s">
        <v>4062</v>
      </c>
      <c r="E339">
        <v>4508714</v>
      </c>
      <c r="F339" t="s">
        <v>4653</v>
      </c>
      <c r="G339" t="s">
        <v>743</v>
      </c>
      <c r="H339" t="s">
        <v>6978</v>
      </c>
      <c r="I339" s="12">
        <v>46142</v>
      </c>
      <c r="J339">
        <v>1</v>
      </c>
    </row>
    <row r="340" spans="1:10">
      <c r="A340" t="str">
        <f t="shared" si="5"/>
        <v>76230055</v>
      </c>
      <c r="B340">
        <v>76230055</v>
      </c>
      <c r="C340" t="s">
        <v>8224</v>
      </c>
      <c r="D340" t="s">
        <v>8225</v>
      </c>
      <c r="E340">
        <v>4508714</v>
      </c>
      <c r="F340" t="s">
        <v>4653</v>
      </c>
      <c r="G340" t="s">
        <v>743</v>
      </c>
      <c r="H340" t="s">
        <v>6978</v>
      </c>
      <c r="I340" s="12">
        <v>46142</v>
      </c>
      <c r="J340">
        <v>1</v>
      </c>
    </row>
    <row r="341" spans="1:10">
      <c r="A341" t="str">
        <f t="shared" si="5"/>
        <v>76230066</v>
      </c>
      <c r="B341">
        <v>76230066</v>
      </c>
      <c r="C341" t="s">
        <v>8226</v>
      </c>
      <c r="D341" t="s">
        <v>8227</v>
      </c>
      <c r="E341">
        <v>4508714</v>
      </c>
      <c r="F341" t="s">
        <v>4653</v>
      </c>
      <c r="G341" t="s">
        <v>743</v>
      </c>
      <c r="H341" t="s">
        <v>6978</v>
      </c>
      <c r="I341" s="12">
        <v>46142</v>
      </c>
      <c r="J341">
        <v>1</v>
      </c>
    </row>
    <row r="342" spans="1:10">
      <c r="A342" t="str">
        <f t="shared" si="5"/>
        <v>76230245</v>
      </c>
      <c r="B342">
        <v>76230245</v>
      </c>
      <c r="C342" t="s">
        <v>8228</v>
      </c>
      <c r="D342" t="s">
        <v>8229</v>
      </c>
      <c r="E342">
        <v>4508685</v>
      </c>
      <c r="F342" t="s">
        <v>4653</v>
      </c>
      <c r="G342" t="s">
        <v>904</v>
      </c>
      <c r="H342" t="s">
        <v>905</v>
      </c>
      <c r="I342" s="12">
        <v>45581</v>
      </c>
      <c r="J342">
        <v>2</v>
      </c>
    </row>
    <row r="343" spans="1:10">
      <c r="A343" t="str">
        <f t="shared" si="5"/>
        <v>76230245</v>
      </c>
      <c r="B343">
        <v>76230245</v>
      </c>
      <c r="C343" t="s">
        <v>8230</v>
      </c>
      <c r="D343" t="s">
        <v>8229</v>
      </c>
      <c r="E343">
        <v>4508685</v>
      </c>
      <c r="F343" t="s">
        <v>4653</v>
      </c>
      <c r="G343" t="s">
        <v>904</v>
      </c>
      <c r="H343" t="s">
        <v>905</v>
      </c>
      <c r="I343" s="12">
        <v>46024</v>
      </c>
      <c r="J343">
        <v>1</v>
      </c>
    </row>
    <row r="344" spans="1:10">
      <c r="A344" t="str">
        <f t="shared" si="5"/>
        <v>76230520</v>
      </c>
      <c r="B344">
        <v>76230520</v>
      </c>
      <c r="C344" t="s">
        <v>8231</v>
      </c>
      <c r="D344" t="s">
        <v>8232</v>
      </c>
      <c r="E344">
        <v>4508714</v>
      </c>
      <c r="F344" t="s">
        <v>4653</v>
      </c>
      <c r="G344" t="s">
        <v>743</v>
      </c>
      <c r="H344" t="s">
        <v>8233</v>
      </c>
      <c r="I344" s="12">
        <v>45828</v>
      </c>
      <c r="J344">
        <v>1</v>
      </c>
    </row>
    <row r="345" spans="1:10">
      <c r="A345" t="str">
        <f t="shared" si="5"/>
        <v>76231277</v>
      </c>
      <c r="B345">
        <v>76231277</v>
      </c>
      <c r="C345" t="s">
        <v>8234</v>
      </c>
      <c r="D345" t="s">
        <v>8235</v>
      </c>
      <c r="E345">
        <v>4508714</v>
      </c>
      <c r="F345" t="s">
        <v>4653</v>
      </c>
      <c r="G345" t="s">
        <v>743</v>
      </c>
      <c r="H345" t="s">
        <v>8235</v>
      </c>
      <c r="I345" s="12">
        <v>46085</v>
      </c>
      <c r="J345">
        <v>1</v>
      </c>
    </row>
    <row r="346" spans="1:10">
      <c r="A346" t="str">
        <f t="shared" si="5"/>
        <v>76231546</v>
      </c>
      <c r="B346">
        <v>76231546</v>
      </c>
      <c r="C346" t="s">
        <v>8236</v>
      </c>
      <c r="D346" t="s">
        <v>661</v>
      </c>
      <c r="E346">
        <v>4508714</v>
      </c>
      <c r="F346" t="s">
        <v>4653</v>
      </c>
      <c r="G346" t="s">
        <v>743</v>
      </c>
      <c r="H346" t="s">
        <v>8181</v>
      </c>
      <c r="I346" s="12">
        <v>46024</v>
      </c>
      <c r="J346">
        <v>1</v>
      </c>
    </row>
    <row r="347" spans="1:10">
      <c r="A347" t="str">
        <f t="shared" si="5"/>
        <v>76231573</v>
      </c>
      <c r="B347">
        <v>76231573</v>
      </c>
      <c r="C347" t="s">
        <v>8237</v>
      </c>
      <c r="D347" t="s">
        <v>4611</v>
      </c>
      <c r="E347">
        <v>4508714</v>
      </c>
      <c r="F347" t="s">
        <v>4653</v>
      </c>
      <c r="G347" t="s">
        <v>743</v>
      </c>
      <c r="H347" t="s">
        <v>4986</v>
      </c>
      <c r="I347" s="12">
        <v>45992</v>
      </c>
      <c r="J347">
        <v>1</v>
      </c>
    </row>
    <row r="348" spans="1:10">
      <c r="A348" t="str">
        <f t="shared" si="5"/>
        <v>76231952</v>
      </c>
      <c r="B348">
        <v>76231952</v>
      </c>
      <c r="C348" t="s">
        <v>8238</v>
      </c>
      <c r="D348" t="s">
        <v>8239</v>
      </c>
      <c r="E348">
        <v>4508714</v>
      </c>
      <c r="F348" t="s">
        <v>4653</v>
      </c>
      <c r="G348" t="s">
        <v>743</v>
      </c>
      <c r="H348" t="s">
        <v>8240</v>
      </c>
      <c r="I348" s="12">
        <v>46010</v>
      </c>
      <c r="J348">
        <v>1</v>
      </c>
    </row>
    <row r="349" spans="1:10">
      <c r="A349" t="str">
        <f t="shared" si="5"/>
        <v>76232074</v>
      </c>
      <c r="B349">
        <v>76232074</v>
      </c>
      <c r="C349" t="s">
        <v>8241</v>
      </c>
      <c r="D349" t="s">
        <v>8242</v>
      </c>
      <c r="E349">
        <v>4408593</v>
      </c>
      <c r="F349" t="s">
        <v>4653</v>
      </c>
      <c r="G349" t="s">
        <v>782</v>
      </c>
      <c r="H349" t="s">
        <v>6049</v>
      </c>
      <c r="I349" s="12">
        <v>45971</v>
      </c>
      <c r="J349">
        <v>1</v>
      </c>
    </row>
    <row r="350" spans="1:10">
      <c r="A350" t="str">
        <f t="shared" si="5"/>
        <v>76232941</v>
      </c>
      <c r="B350">
        <v>76232941</v>
      </c>
      <c r="C350" t="s">
        <v>8243</v>
      </c>
      <c r="D350" t="s">
        <v>8244</v>
      </c>
      <c r="E350">
        <v>4508714</v>
      </c>
      <c r="F350" t="s">
        <v>4653</v>
      </c>
      <c r="G350" t="s">
        <v>743</v>
      </c>
      <c r="H350" t="s">
        <v>6978</v>
      </c>
      <c r="I350" s="12">
        <v>46142</v>
      </c>
      <c r="J350">
        <v>1</v>
      </c>
    </row>
    <row r="351" spans="1:10">
      <c r="A351" t="str">
        <f t="shared" si="5"/>
        <v>76233198</v>
      </c>
      <c r="B351">
        <v>76233198</v>
      </c>
      <c r="C351" t="s">
        <v>8245</v>
      </c>
      <c r="D351" t="s">
        <v>8246</v>
      </c>
      <c r="E351">
        <v>4508714</v>
      </c>
      <c r="F351" t="s">
        <v>4653</v>
      </c>
      <c r="G351" t="s">
        <v>743</v>
      </c>
      <c r="H351" t="s">
        <v>5134</v>
      </c>
      <c r="I351" s="12">
        <v>46076</v>
      </c>
      <c r="J351">
        <v>1</v>
      </c>
    </row>
    <row r="352" spans="1:10">
      <c r="A352" t="str">
        <f t="shared" si="5"/>
        <v>76233463</v>
      </c>
      <c r="B352">
        <v>76233463</v>
      </c>
      <c r="C352" t="s">
        <v>8247</v>
      </c>
      <c r="D352" t="s">
        <v>8248</v>
      </c>
      <c r="E352">
        <v>4508714</v>
      </c>
      <c r="F352" t="s">
        <v>4653</v>
      </c>
      <c r="G352" t="s">
        <v>743</v>
      </c>
      <c r="H352" t="s">
        <v>7659</v>
      </c>
      <c r="I352" s="12">
        <v>45820</v>
      </c>
      <c r="J352">
        <v>1</v>
      </c>
    </row>
    <row r="353" spans="1:10">
      <c r="A353" t="str">
        <f t="shared" si="5"/>
        <v>76233591</v>
      </c>
      <c r="B353">
        <v>76233591</v>
      </c>
      <c r="C353" t="s">
        <v>8249</v>
      </c>
      <c r="D353" t="s">
        <v>8250</v>
      </c>
      <c r="E353">
        <v>4508714</v>
      </c>
      <c r="F353" t="s">
        <v>4653</v>
      </c>
      <c r="G353" t="s">
        <v>743</v>
      </c>
      <c r="H353" t="s">
        <v>883</v>
      </c>
      <c r="I353" s="12">
        <v>46113</v>
      </c>
      <c r="J353">
        <v>1</v>
      </c>
    </row>
    <row r="354" spans="1:10">
      <c r="A354" t="str">
        <f t="shared" si="5"/>
        <v>76233682</v>
      </c>
      <c r="B354">
        <v>76233682</v>
      </c>
      <c r="C354" t="s">
        <v>8251</v>
      </c>
      <c r="D354" t="s">
        <v>8252</v>
      </c>
      <c r="E354">
        <v>4508714</v>
      </c>
      <c r="F354" t="s">
        <v>4653</v>
      </c>
      <c r="G354" t="s">
        <v>743</v>
      </c>
      <c r="H354" t="s">
        <v>4942</v>
      </c>
      <c r="I354" s="12">
        <v>46111</v>
      </c>
      <c r="J354">
        <v>1</v>
      </c>
    </row>
    <row r="355" spans="1:10">
      <c r="A355" t="str">
        <f t="shared" si="5"/>
        <v>76233744</v>
      </c>
      <c r="B355">
        <v>76233744</v>
      </c>
      <c r="C355" t="s">
        <v>8253</v>
      </c>
      <c r="D355" t="s">
        <v>8254</v>
      </c>
      <c r="E355">
        <v>4408593</v>
      </c>
      <c r="F355" t="s">
        <v>4653</v>
      </c>
      <c r="G355" t="s">
        <v>782</v>
      </c>
      <c r="H355" t="s">
        <v>6913</v>
      </c>
      <c r="I355" s="12">
        <v>45828</v>
      </c>
      <c r="J355">
        <v>1</v>
      </c>
    </row>
    <row r="356" spans="1:10">
      <c r="A356" t="str">
        <f t="shared" si="5"/>
        <v>76233763</v>
      </c>
      <c r="B356">
        <v>76233763</v>
      </c>
      <c r="C356" t="s">
        <v>8255</v>
      </c>
      <c r="D356" t="s">
        <v>8256</v>
      </c>
      <c r="E356">
        <v>4408593</v>
      </c>
      <c r="F356" t="s">
        <v>4653</v>
      </c>
      <c r="G356" t="s">
        <v>782</v>
      </c>
      <c r="H356" t="s">
        <v>6913</v>
      </c>
      <c r="I356" s="12">
        <v>45828</v>
      </c>
      <c r="J356">
        <v>1</v>
      </c>
    </row>
    <row r="357" spans="1:10">
      <c r="A357" t="str">
        <f t="shared" si="5"/>
        <v>76233833</v>
      </c>
      <c r="B357">
        <v>76233833</v>
      </c>
      <c r="C357" t="s">
        <v>8257</v>
      </c>
      <c r="D357" t="s">
        <v>8258</v>
      </c>
      <c r="E357">
        <v>4508714</v>
      </c>
      <c r="F357" t="s">
        <v>4653</v>
      </c>
      <c r="G357" t="s">
        <v>743</v>
      </c>
      <c r="H357" t="s">
        <v>8181</v>
      </c>
      <c r="I357" s="12">
        <v>46024</v>
      </c>
      <c r="J357">
        <v>1</v>
      </c>
    </row>
    <row r="358" spans="1:10">
      <c r="A358" t="str">
        <f t="shared" si="5"/>
        <v>76234346</v>
      </c>
      <c r="B358">
        <v>76234346</v>
      </c>
      <c r="C358" t="s">
        <v>8259</v>
      </c>
      <c r="D358" t="s">
        <v>8260</v>
      </c>
      <c r="E358">
        <v>4408593</v>
      </c>
      <c r="F358" t="s">
        <v>4653</v>
      </c>
      <c r="G358" t="s">
        <v>782</v>
      </c>
      <c r="H358" t="s">
        <v>7000</v>
      </c>
      <c r="I358" s="12">
        <v>46000</v>
      </c>
      <c r="J358">
        <v>1</v>
      </c>
    </row>
    <row r="359" spans="1:10">
      <c r="A359" t="str">
        <f t="shared" si="5"/>
        <v>76235199</v>
      </c>
      <c r="B359">
        <v>76235199</v>
      </c>
      <c r="C359" t="s">
        <v>8261</v>
      </c>
      <c r="D359" t="s">
        <v>8262</v>
      </c>
      <c r="E359">
        <v>4508714</v>
      </c>
      <c r="F359" t="s">
        <v>4653</v>
      </c>
      <c r="G359" t="s">
        <v>743</v>
      </c>
      <c r="H359" t="s">
        <v>8262</v>
      </c>
      <c r="I359" s="12">
        <v>46024</v>
      </c>
      <c r="J359">
        <v>1</v>
      </c>
    </row>
    <row r="360" spans="1:10">
      <c r="A360" t="str">
        <f t="shared" si="5"/>
        <v>76235599</v>
      </c>
      <c r="B360">
        <v>76235599</v>
      </c>
      <c r="C360" t="s">
        <v>8263</v>
      </c>
      <c r="D360" t="s">
        <v>8264</v>
      </c>
      <c r="E360">
        <v>4508714</v>
      </c>
      <c r="F360" t="s">
        <v>4653</v>
      </c>
      <c r="G360" t="s">
        <v>743</v>
      </c>
      <c r="H360" t="s">
        <v>7256</v>
      </c>
      <c r="I360" s="12">
        <v>46143</v>
      </c>
      <c r="J360">
        <v>1</v>
      </c>
    </row>
    <row r="361" spans="1:10">
      <c r="A361" t="str">
        <f t="shared" si="5"/>
        <v>76236073</v>
      </c>
      <c r="B361">
        <v>76236073</v>
      </c>
      <c r="C361" t="s">
        <v>8265</v>
      </c>
      <c r="D361" t="s">
        <v>8266</v>
      </c>
      <c r="E361">
        <v>4508714</v>
      </c>
      <c r="F361" t="s">
        <v>4653</v>
      </c>
      <c r="G361" t="s">
        <v>743</v>
      </c>
      <c r="H361" t="s">
        <v>5742</v>
      </c>
      <c r="I361" s="12">
        <v>46107</v>
      </c>
      <c r="J361">
        <v>1</v>
      </c>
    </row>
    <row r="362" spans="1:10">
      <c r="A362" t="str">
        <f t="shared" si="5"/>
        <v>76236316</v>
      </c>
      <c r="B362">
        <v>76236316</v>
      </c>
      <c r="C362" t="s">
        <v>8267</v>
      </c>
      <c r="D362" t="s">
        <v>8268</v>
      </c>
      <c r="E362">
        <v>4508675</v>
      </c>
      <c r="F362" t="s">
        <v>4653</v>
      </c>
      <c r="G362" t="s">
        <v>828</v>
      </c>
      <c r="H362" t="s">
        <v>8269</v>
      </c>
      <c r="I362" s="12">
        <v>46112</v>
      </c>
      <c r="J362">
        <v>1</v>
      </c>
    </row>
    <row r="363" spans="1:10">
      <c r="A363" t="str">
        <f t="shared" si="5"/>
        <v>76236503</v>
      </c>
      <c r="B363">
        <v>76236503</v>
      </c>
      <c r="C363" t="s">
        <v>8270</v>
      </c>
      <c r="D363" t="s">
        <v>676</v>
      </c>
      <c r="E363">
        <v>4508714</v>
      </c>
      <c r="F363" t="s">
        <v>4653</v>
      </c>
      <c r="G363" t="s">
        <v>743</v>
      </c>
      <c r="H363" t="s">
        <v>8271</v>
      </c>
      <c r="I363" s="12">
        <v>46132</v>
      </c>
      <c r="J363">
        <v>1</v>
      </c>
    </row>
    <row r="364" spans="1:10">
      <c r="A364" t="str">
        <f t="shared" si="5"/>
        <v>76238732</v>
      </c>
      <c r="B364">
        <v>76238732</v>
      </c>
      <c r="C364" t="s">
        <v>8272</v>
      </c>
      <c r="D364" t="s">
        <v>8273</v>
      </c>
      <c r="E364">
        <v>4508714</v>
      </c>
      <c r="F364" t="s">
        <v>4653</v>
      </c>
      <c r="G364" t="s">
        <v>743</v>
      </c>
      <c r="H364" t="s">
        <v>5870</v>
      </c>
      <c r="I364" s="12">
        <v>46079</v>
      </c>
      <c r="J364">
        <v>1</v>
      </c>
    </row>
    <row r="365" spans="1:10">
      <c r="A365" t="str">
        <f t="shared" si="5"/>
        <v>76239910</v>
      </c>
      <c r="B365">
        <v>76239910</v>
      </c>
      <c r="C365" t="s">
        <v>8274</v>
      </c>
      <c r="D365" t="s">
        <v>8275</v>
      </c>
      <c r="E365">
        <v>4508714</v>
      </c>
      <c r="F365" t="s">
        <v>4653</v>
      </c>
      <c r="G365" t="s">
        <v>743</v>
      </c>
      <c r="H365" t="s">
        <v>7802</v>
      </c>
      <c r="I365" s="12">
        <v>46086</v>
      </c>
      <c r="J365">
        <v>1</v>
      </c>
    </row>
    <row r="366" spans="1:10">
      <c r="A366" t="str">
        <f t="shared" si="5"/>
        <v>76240202</v>
      </c>
      <c r="B366">
        <v>76240202</v>
      </c>
      <c r="C366" t="s">
        <v>8276</v>
      </c>
      <c r="D366" t="s">
        <v>7255</v>
      </c>
      <c r="E366">
        <v>4508714</v>
      </c>
      <c r="F366" t="s">
        <v>4653</v>
      </c>
      <c r="G366" t="s">
        <v>743</v>
      </c>
      <c r="H366" t="s">
        <v>7256</v>
      </c>
      <c r="I366" s="12">
        <v>46143</v>
      </c>
      <c r="J366">
        <v>1</v>
      </c>
    </row>
    <row r="367" spans="1:10">
      <c r="A367" t="str">
        <f t="shared" si="5"/>
        <v>76240343</v>
      </c>
      <c r="B367">
        <v>76240343</v>
      </c>
      <c r="C367" t="s">
        <v>8277</v>
      </c>
      <c r="D367" t="s">
        <v>679</v>
      </c>
      <c r="E367">
        <v>4508714</v>
      </c>
      <c r="F367" t="s">
        <v>4653</v>
      </c>
      <c r="G367" t="s">
        <v>743</v>
      </c>
      <c r="H367" t="s">
        <v>5626</v>
      </c>
      <c r="I367" s="12">
        <v>45968</v>
      </c>
      <c r="J367">
        <v>1</v>
      </c>
    </row>
    <row r="368" spans="1:10">
      <c r="A368" t="str">
        <f t="shared" si="5"/>
        <v>76241119</v>
      </c>
      <c r="B368">
        <v>76241119</v>
      </c>
      <c r="C368" t="s">
        <v>8278</v>
      </c>
      <c r="D368" t="s">
        <v>4340</v>
      </c>
      <c r="E368">
        <v>4508714</v>
      </c>
      <c r="F368" t="s">
        <v>4653</v>
      </c>
      <c r="G368" t="s">
        <v>743</v>
      </c>
      <c r="H368" t="s">
        <v>5728</v>
      </c>
      <c r="I368" s="12">
        <v>46142</v>
      </c>
      <c r="J368">
        <v>1</v>
      </c>
    </row>
    <row r="369" spans="1:10">
      <c r="A369" t="str">
        <f t="shared" si="5"/>
        <v>76241159</v>
      </c>
      <c r="B369">
        <v>76241159</v>
      </c>
      <c r="C369" t="s">
        <v>8279</v>
      </c>
      <c r="D369" t="s">
        <v>682</v>
      </c>
      <c r="E369">
        <v>4508714</v>
      </c>
      <c r="F369" t="s">
        <v>4653</v>
      </c>
      <c r="G369" t="s">
        <v>743</v>
      </c>
      <c r="H369" t="s">
        <v>682</v>
      </c>
      <c r="I369" s="12">
        <v>46093</v>
      </c>
      <c r="J369">
        <v>1</v>
      </c>
    </row>
    <row r="370" spans="1:10">
      <c r="A370" t="str">
        <f t="shared" si="5"/>
        <v>76241216</v>
      </c>
      <c r="B370">
        <v>76241216</v>
      </c>
      <c r="C370" t="s">
        <v>8280</v>
      </c>
      <c r="D370" t="s">
        <v>8281</v>
      </c>
      <c r="E370">
        <v>4408593</v>
      </c>
      <c r="F370" t="s">
        <v>4653</v>
      </c>
      <c r="G370" t="s">
        <v>782</v>
      </c>
      <c r="H370" t="s">
        <v>5501</v>
      </c>
      <c r="I370" s="12">
        <v>46024</v>
      </c>
      <c r="J370">
        <v>1</v>
      </c>
    </row>
    <row r="371" spans="1:10">
      <c r="A371" t="str">
        <f t="shared" si="5"/>
        <v>76241307</v>
      </c>
      <c r="B371">
        <v>76241307</v>
      </c>
      <c r="C371" t="s">
        <v>8282</v>
      </c>
      <c r="D371" t="s">
        <v>8283</v>
      </c>
      <c r="E371">
        <v>4508714</v>
      </c>
      <c r="F371" t="s">
        <v>4653</v>
      </c>
      <c r="G371" t="s">
        <v>743</v>
      </c>
      <c r="H371" t="s">
        <v>6943</v>
      </c>
      <c r="I371" s="12">
        <v>46142</v>
      </c>
      <c r="J371">
        <v>1</v>
      </c>
    </row>
    <row r="372" spans="1:10">
      <c r="A372" t="str">
        <f t="shared" si="5"/>
        <v>76241502</v>
      </c>
      <c r="B372">
        <v>76241502</v>
      </c>
      <c r="C372" t="s">
        <v>8284</v>
      </c>
      <c r="D372" t="s">
        <v>8285</v>
      </c>
      <c r="E372">
        <v>4508714</v>
      </c>
      <c r="F372" t="s">
        <v>4653</v>
      </c>
      <c r="G372" t="s">
        <v>743</v>
      </c>
      <c r="H372" t="s">
        <v>8286</v>
      </c>
      <c r="I372" s="12">
        <v>46083</v>
      </c>
      <c r="J372">
        <v>1</v>
      </c>
    </row>
    <row r="373" spans="1:10">
      <c r="A373" t="str">
        <f t="shared" si="5"/>
        <v>76241605</v>
      </c>
      <c r="B373">
        <v>76241605</v>
      </c>
      <c r="C373" t="s">
        <v>8287</v>
      </c>
      <c r="D373" t="s">
        <v>688</v>
      </c>
      <c r="E373">
        <v>4508714</v>
      </c>
      <c r="F373" t="s">
        <v>4653</v>
      </c>
      <c r="G373" t="s">
        <v>743</v>
      </c>
      <c r="H373" t="s">
        <v>7683</v>
      </c>
      <c r="I373" s="12">
        <v>46080</v>
      </c>
      <c r="J373">
        <v>1</v>
      </c>
    </row>
    <row r="374" spans="1:10">
      <c r="A374" t="str">
        <f t="shared" si="5"/>
        <v>76242082</v>
      </c>
      <c r="B374">
        <v>76242082</v>
      </c>
      <c r="C374" t="s">
        <v>8288</v>
      </c>
      <c r="D374" t="s">
        <v>8289</v>
      </c>
      <c r="E374">
        <v>4408593</v>
      </c>
      <c r="F374" t="s">
        <v>4653</v>
      </c>
      <c r="G374" t="s">
        <v>782</v>
      </c>
      <c r="H374" t="s">
        <v>6852</v>
      </c>
      <c r="I374" s="12">
        <v>46120</v>
      </c>
      <c r="J374">
        <v>1</v>
      </c>
    </row>
    <row r="375" spans="1:10">
      <c r="A375" t="str">
        <f t="shared" si="5"/>
        <v>76243311</v>
      </c>
      <c r="B375">
        <v>76243311</v>
      </c>
      <c r="C375" t="s">
        <v>8290</v>
      </c>
      <c r="D375" t="s">
        <v>7311</v>
      </c>
      <c r="E375">
        <v>4508714</v>
      </c>
      <c r="F375" t="s">
        <v>4653</v>
      </c>
      <c r="G375" t="s">
        <v>743</v>
      </c>
      <c r="H375" t="s">
        <v>6978</v>
      </c>
      <c r="I375" s="12">
        <v>46142</v>
      </c>
      <c r="J375">
        <v>1</v>
      </c>
    </row>
    <row r="376" spans="1:10">
      <c r="A376" t="str">
        <f t="shared" si="5"/>
        <v>76244038</v>
      </c>
      <c r="B376">
        <v>76244038</v>
      </c>
      <c r="C376" t="s">
        <v>8291</v>
      </c>
      <c r="D376" t="s">
        <v>8292</v>
      </c>
      <c r="E376">
        <v>4508714</v>
      </c>
      <c r="F376" t="s">
        <v>4653</v>
      </c>
      <c r="G376" t="s">
        <v>743</v>
      </c>
      <c r="H376" t="s">
        <v>8240</v>
      </c>
      <c r="I376" s="12">
        <v>46010</v>
      </c>
      <c r="J376">
        <v>1</v>
      </c>
    </row>
    <row r="377" spans="1:10">
      <c r="A377" t="str">
        <f t="shared" si="5"/>
        <v>76244039</v>
      </c>
      <c r="B377">
        <v>76244039</v>
      </c>
      <c r="C377" t="s">
        <v>8293</v>
      </c>
      <c r="D377" t="s">
        <v>8294</v>
      </c>
      <c r="E377">
        <v>4508714</v>
      </c>
      <c r="F377" t="s">
        <v>4653</v>
      </c>
      <c r="G377" t="s">
        <v>743</v>
      </c>
      <c r="H377" t="s">
        <v>8240</v>
      </c>
      <c r="I377" s="12">
        <v>46010</v>
      </c>
      <c r="J377">
        <v>1</v>
      </c>
    </row>
    <row r="378" spans="1:10">
      <c r="A378" t="str">
        <f t="shared" si="5"/>
        <v>76244040</v>
      </c>
      <c r="B378">
        <v>76244040</v>
      </c>
      <c r="C378" t="s">
        <v>8295</v>
      </c>
      <c r="D378" t="s">
        <v>8296</v>
      </c>
      <c r="E378">
        <v>4508714</v>
      </c>
      <c r="F378" t="s">
        <v>4653</v>
      </c>
      <c r="G378" t="s">
        <v>743</v>
      </c>
      <c r="H378" t="s">
        <v>8240</v>
      </c>
      <c r="I378" s="12">
        <v>46010</v>
      </c>
      <c r="J378">
        <v>1</v>
      </c>
    </row>
    <row r="379" spans="1:10">
      <c r="A379" t="str">
        <f t="shared" si="5"/>
        <v>76244041</v>
      </c>
      <c r="B379">
        <v>76244041</v>
      </c>
      <c r="C379" t="s">
        <v>8297</v>
      </c>
      <c r="D379" t="s">
        <v>8298</v>
      </c>
      <c r="E379">
        <v>4508714</v>
      </c>
      <c r="F379" t="s">
        <v>4653</v>
      </c>
      <c r="G379" t="s">
        <v>743</v>
      </c>
      <c r="H379" t="s">
        <v>8240</v>
      </c>
      <c r="I379" s="12">
        <v>46010</v>
      </c>
      <c r="J379">
        <v>1</v>
      </c>
    </row>
    <row r="380" spans="1:10">
      <c r="A380" t="str">
        <f t="shared" si="5"/>
        <v>76244043</v>
      </c>
      <c r="B380">
        <v>76244043</v>
      </c>
      <c r="C380" t="s">
        <v>8299</v>
      </c>
      <c r="D380" t="s">
        <v>8300</v>
      </c>
      <c r="E380">
        <v>4508714</v>
      </c>
      <c r="F380" t="s">
        <v>4653</v>
      </c>
      <c r="G380" t="s">
        <v>743</v>
      </c>
      <c r="H380" t="s">
        <v>8240</v>
      </c>
      <c r="I380" s="12">
        <v>46010</v>
      </c>
      <c r="J380">
        <v>1</v>
      </c>
    </row>
    <row r="381" spans="1:10">
      <c r="A381" t="str">
        <f t="shared" si="5"/>
        <v>76244044</v>
      </c>
      <c r="B381">
        <v>76244044</v>
      </c>
      <c r="C381" t="s">
        <v>8301</v>
      </c>
      <c r="D381" t="s">
        <v>8302</v>
      </c>
      <c r="E381">
        <v>4508714</v>
      </c>
      <c r="F381" t="s">
        <v>4653</v>
      </c>
      <c r="G381" t="s">
        <v>743</v>
      </c>
      <c r="H381" t="s">
        <v>8240</v>
      </c>
      <c r="I381" s="12">
        <v>46010</v>
      </c>
      <c r="J381">
        <v>1</v>
      </c>
    </row>
    <row r="382" spans="1:10">
      <c r="A382" t="str">
        <f t="shared" si="5"/>
        <v>76244045</v>
      </c>
      <c r="B382">
        <v>76244045</v>
      </c>
      <c r="C382" t="s">
        <v>8303</v>
      </c>
      <c r="D382" t="s">
        <v>8304</v>
      </c>
      <c r="E382">
        <v>4508714</v>
      </c>
      <c r="F382" t="s">
        <v>4653</v>
      </c>
      <c r="G382" t="s">
        <v>743</v>
      </c>
      <c r="H382" t="s">
        <v>8240</v>
      </c>
      <c r="I382" s="12">
        <v>46010</v>
      </c>
      <c r="J382">
        <v>1</v>
      </c>
    </row>
    <row r="383" spans="1:10">
      <c r="A383" t="str">
        <f t="shared" si="5"/>
        <v>76244337</v>
      </c>
      <c r="B383">
        <v>76244337</v>
      </c>
      <c r="C383" t="s">
        <v>8305</v>
      </c>
      <c r="D383" t="s">
        <v>8306</v>
      </c>
      <c r="E383">
        <v>4508714</v>
      </c>
      <c r="F383" t="s">
        <v>4653</v>
      </c>
      <c r="G383" t="s">
        <v>743</v>
      </c>
      <c r="H383" t="s">
        <v>5218</v>
      </c>
      <c r="I383" s="12">
        <v>45992</v>
      </c>
      <c r="J383">
        <v>1</v>
      </c>
    </row>
    <row r="384" spans="1:10">
      <c r="A384" t="str">
        <f t="shared" si="5"/>
        <v>76244766</v>
      </c>
      <c r="B384">
        <v>76244766</v>
      </c>
      <c r="C384" t="s">
        <v>8307</v>
      </c>
      <c r="D384" t="s">
        <v>7331</v>
      </c>
      <c r="E384">
        <v>4508714</v>
      </c>
      <c r="F384" t="s">
        <v>4653</v>
      </c>
      <c r="G384" t="s">
        <v>743</v>
      </c>
      <c r="H384" t="s">
        <v>7332</v>
      </c>
      <c r="I384" s="12">
        <v>46083</v>
      </c>
      <c r="J384">
        <v>1</v>
      </c>
    </row>
    <row r="385" spans="1:10">
      <c r="A385" t="str">
        <f t="shared" si="5"/>
        <v>76244900</v>
      </c>
      <c r="B385">
        <v>76244900</v>
      </c>
      <c r="C385" t="s">
        <v>8308</v>
      </c>
      <c r="D385" t="s">
        <v>691</v>
      </c>
      <c r="E385">
        <v>4508714</v>
      </c>
      <c r="F385" t="s">
        <v>4653</v>
      </c>
      <c r="G385" t="s">
        <v>743</v>
      </c>
      <c r="H385" t="s">
        <v>7309</v>
      </c>
      <c r="I385" s="12">
        <v>46091</v>
      </c>
      <c r="J385">
        <v>1</v>
      </c>
    </row>
    <row r="386" spans="1:10">
      <c r="A386" t="str">
        <f t="shared" ref="A386:A449" si="6">TRIM(B386)</f>
        <v>76245541</v>
      </c>
      <c r="B386">
        <v>76245541</v>
      </c>
      <c r="C386" t="s">
        <v>8309</v>
      </c>
      <c r="D386" t="s">
        <v>8310</v>
      </c>
      <c r="E386">
        <v>4508714</v>
      </c>
      <c r="F386" t="s">
        <v>4653</v>
      </c>
      <c r="G386" t="s">
        <v>743</v>
      </c>
      <c r="H386" t="s">
        <v>5439</v>
      </c>
      <c r="I386" s="12">
        <v>46059</v>
      </c>
      <c r="J386">
        <v>1</v>
      </c>
    </row>
    <row r="387" spans="1:10">
      <c r="A387" t="str">
        <f t="shared" si="6"/>
        <v>76246028</v>
      </c>
      <c r="B387">
        <v>76246028</v>
      </c>
      <c r="C387" t="s">
        <v>8311</v>
      </c>
      <c r="D387" t="s">
        <v>8312</v>
      </c>
      <c r="E387">
        <v>4508714</v>
      </c>
      <c r="F387" t="s">
        <v>4653</v>
      </c>
      <c r="G387" t="s">
        <v>743</v>
      </c>
      <c r="H387" t="s">
        <v>6751</v>
      </c>
      <c r="I387" s="12">
        <v>46020</v>
      </c>
      <c r="J387">
        <v>1</v>
      </c>
    </row>
    <row r="388" spans="1:10">
      <c r="A388" t="str">
        <f t="shared" si="6"/>
        <v>76246331</v>
      </c>
      <c r="B388">
        <v>76246331</v>
      </c>
      <c r="C388" t="s">
        <v>8313</v>
      </c>
      <c r="D388" t="s">
        <v>8314</v>
      </c>
      <c r="E388">
        <v>4508714</v>
      </c>
      <c r="F388" t="s">
        <v>4653</v>
      </c>
      <c r="G388" t="s">
        <v>743</v>
      </c>
      <c r="H388" t="s">
        <v>6707</v>
      </c>
      <c r="I388" s="12">
        <v>46014</v>
      </c>
      <c r="J388">
        <v>1</v>
      </c>
    </row>
    <row r="389" spans="1:10">
      <c r="A389" t="str">
        <f t="shared" si="6"/>
        <v>76246857</v>
      </c>
      <c r="B389">
        <v>76246857</v>
      </c>
      <c r="C389" t="s">
        <v>8315</v>
      </c>
      <c r="D389" t="s">
        <v>8316</v>
      </c>
      <c r="E389">
        <v>4508714</v>
      </c>
      <c r="F389" t="s">
        <v>4653</v>
      </c>
      <c r="G389" t="s">
        <v>743</v>
      </c>
      <c r="H389" t="s">
        <v>5501</v>
      </c>
      <c r="I389" s="12">
        <v>46024</v>
      </c>
      <c r="J389">
        <v>1</v>
      </c>
    </row>
    <row r="390" spans="1:10">
      <c r="A390" t="str">
        <f t="shared" si="6"/>
        <v>76246998</v>
      </c>
      <c r="B390">
        <v>76246998</v>
      </c>
      <c r="C390" t="s">
        <v>8317</v>
      </c>
      <c r="D390" t="s">
        <v>8318</v>
      </c>
      <c r="E390">
        <v>4508714</v>
      </c>
      <c r="F390" t="s">
        <v>4653</v>
      </c>
      <c r="G390" t="s">
        <v>743</v>
      </c>
      <c r="H390" t="s">
        <v>6478</v>
      </c>
      <c r="I390" s="12">
        <v>46022</v>
      </c>
      <c r="J390">
        <v>1</v>
      </c>
    </row>
    <row r="391" spans="1:10">
      <c r="A391" t="str">
        <f t="shared" si="6"/>
        <v>76247122</v>
      </c>
      <c r="B391">
        <v>76247122</v>
      </c>
      <c r="C391" t="s">
        <v>8319</v>
      </c>
      <c r="D391" t="s">
        <v>8320</v>
      </c>
      <c r="E391">
        <v>4508714</v>
      </c>
      <c r="F391" t="s">
        <v>4653</v>
      </c>
      <c r="G391" t="s">
        <v>743</v>
      </c>
      <c r="H391" t="s">
        <v>8240</v>
      </c>
      <c r="I391" s="12">
        <v>46010</v>
      </c>
      <c r="J391">
        <v>1</v>
      </c>
    </row>
    <row r="392" spans="1:10">
      <c r="A392" t="str">
        <f t="shared" si="6"/>
        <v>76247128</v>
      </c>
      <c r="B392">
        <v>76247128</v>
      </c>
      <c r="C392" t="s">
        <v>8321</v>
      </c>
      <c r="D392" t="s">
        <v>8322</v>
      </c>
      <c r="E392">
        <v>4508714</v>
      </c>
      <c r="F392" t="s">
        <v>4653</v>
      </c>
      <c r="G392" t="s">
        <v>743</v>
      </c>
      <c r="H392" t="s">
        <v>8323</v>
      </c>
      <c r="I392" s="12">
        <v>46009</v>
      </c>
      <c r="J392">
        <v>1</v>
      </c>
    </row>
    <row r="393" spans="1:10">
      <c r="A393" t="str">
        <f t="shared" si="6"/>
        <v>76250502</v>
      </c>
      <c r="B393">
        <v>76250502</v>
      </c>
      <c r="C393" t="s">
        <v>8324</v>
      </c>
      <c r="D393" t="s">
        <v>8325</v>
      </c>
      <c r="E393">
        <v>4408592</v>
      </c>
      <c r="F393" t="s">
        <v>4653</v>
      </c>
      <c r="G393" t="s">
        <v>823</v>
      </c>
      <c r="H393" t="s">
        <v>7994</v>
      </c>
      <c r="I393" s="12">
        <v>45923</v>
      </c>
      <c r="J393">
        <v>1</v>
      </c>
    </row>
    <row r="394" spans="1:10">
      <c r="A394" t="str">
        <f t="shared" si="6"/>
        <v>76250635</v>
      </c>
      <c r="B394">
        <v>76250635</v>
      </c>
      <c r="C394" t="s">
        <v>8326</v>
      </c>
      <c r="D394" t="s">
        <v>8327</v>
      </c>
      <c r="E394">
        <v>4508714</v>
      </c>
      <c r="F394" t="s">
        <v>4653</v>
      </c>
      <c r="G394" t="s">
        <v>743</v>
      </c>
      <c r="H394" t="s">
        <v>6478</v>
      </c>
      <c r="I394" s="12">
        <v>46022</v>
      </c>
      <c r="J394">
        <v>1</v>
      </c>
    </row>
    <row r="395" spans="1:10">
      <c r="A395" t="str">
        <f t="shared" si="6"/>
        <v>76250636</v>
      </c>
      <c r="B395">
        <v>76250636</v>
      </c>
      <c r="C395" t="s">
        <v>8328</v>
      </c>
      <c r="D395" t="s">
        <v>8329</v>
      </c>
      <c r="E395">
        <v>4508714</v>
      </c>
      <c r="F395" t="s">
        <v>4653</v>
      </c>
      <c r="G395" t="s">
        <v>743</v>
      </c>
      <c r="H395" t="s">
        <v>6478</v>
      </c>
      <c r="I395" s="12">
        <v>46022</v>
      </c>
      <c r="J395">
        <v>1</v>
      </c>
    </row>
    <row r="396" spans="1:10">
      <c r="A396" t="str">
        <f t="shared" si="6"/>
        <v>76251419</v>
      </c>
      <c r="B396">
        <v>76251419</v>
      </c>
      <c r="C396" t="s">
        <v>8330</v>
      </c>
      <c r="D396" t="s">
        <v>8331</v>
      </c>
      <c r="E396">
        <v>4508714</v>
      </c>
      <c r="F396" t="s">
        <v>4653</v>
      </c>
      <c r="G396" t="s">
        <v>743</v>
      </c>
      <c r="H396" t="s">
        <v>8240</v>
      </c>
      <c r="I396" s="12">
        <v>46129</v>
      </c>
      <c r="J396">
        <v>1</v>
      </c>
    </row>
    <row r="397" spans="1:10">
      <c r="A397" t="str">
        <f t="shared" si="6"/>
        <v>76251423</v>
      </c>
      <c r="B397">
        <v>76251423</v>
      </c>
      <c r="C397" t="s">
        <v>8332</v>
      </c>
      <c r="D397" t="s">
        <v>8333</v>
      </c>
      <c r="E397">
        <v>4508714</v>
      </c>
      <c r="F397" t="s">
        <v>4653</v>
      </c>
      <c r="G397" t="s">
        <v>743</v>
      </c>
      <c r="H397" t="s">
        <v>8240</v>
      </c>
      <c r="I397" s="12">
        <v>46010</v>
      </c>
      <c r="J397">
        <v>1</v>
      </c>
    </row>
    <row r="398" spans="1:10">
      <c r="A398" t="str">
        <f t="shared" si="6"/>
        <v>76251428</v>
      </c>
      <c r="B398">
        <v>76251428</v>
      </c>
      <c r="C398" t="s">
        <v>8334</v>
      </c>
      <c r="D398" t="s">
        <v>8335</v>
      </c>
      <c r="E398">
        <v>4508714</v>
      </c>
      <c r="F398" t="s">
        <v>4653</v>
      </c>
      <c r="G398" t="s">
        <v>743</v>
      </c>
      <c r="H398" t="s">
        <v>8240</v>
      </c>
      <c r="I398" s="12">
        <v>46129</v>
      </c>
      <c r="J398">
        <v>1</v>
      </c>
    </row>
    <row r="399" spans="1:10">
      <c r="A399" t="str">
        <f t="shared" si="6"/>
        <v>76251463</v>
      </c>
      <c r="B399">
        <v>76251463</v>
      </c>
      <c r="C399" t="s">
        <v>8336</v>
      </c>
      <c r="D399" t="s">
        <v>7399</v>
      </c>
      <c r="E399">
        <v>4508714</v>
      </c>
      <c r="F399" t="s">
        <v>4653</v>
      </c>
      <c r="G399" t="s">
        <v>743</v>
      </c>
      <c r="H399" t="s">
        <v>6978</v>
      </c>
      <c r="I399" s="12">
        <v>46142</v>
      </c>
      <c r="J399">
        <v>1</v>
      </c>
    </row>
    <row r="400" spans="1:10">
      <c r="A400" t="str">
        <f t="shared" si="6"/>
        <v>76251465</v>
      </c>
      <c r="B400">
        <v>76251465</v>
      </c>
      <c r="C400" t="s">
        <v>8337</v>
      </c>
      <c r="D400" t="s">
        <v>7401</v>
      </c>
      <c r="E400">
        <v>4508714</v>
      </c>
      <c r="F400" t="s">
        <v>4653</v>
      </c>
      <c r="G400" t="s">
        <v>743</v>
      </c>
      <c r="H400" t="s">
        <v>6978</v>
      </c>
      <c r="I400" s="12">
        <v>46142</v>
      </c>
      <c r="J400">
        <v>1</v>
      </c>
    </row>
    <row r="401" spans="1:10">
      <c r="A401" t="str">
        <f t="shared" si="6"/>
        <v>76251551</v>
      </c>
      <c r="B401">
        <v>76251551</v>
      </c>
      <c r="C401" t="s">
        <v>8338</v>
      </c>
      <c r="D401" t="s">
        <v>4480</v>
      </c>
      <c r="E401">
        <v>4508714</v>
      </c>
      <c r="F401" t="s">
        <v>4653</v>
      </c>
      <c r="G401" t="s">
        <v>743</v>
      </c>
      <c r="H401" t="s">
        <v>6978</v>
      </c>
      <c r="I401" s="12">
        <v>46142</v>
      </c>
      <c r="J401">
        <v>1</v>
      </c>
    </row>
    <row r="402" spans="1:10">
      <c r="A402" t="str">
        <f t="shared" si="6"/>
        <v>76251805</v>
      </c>
      <c r="B402">
        <v>76251805</v>
      </c>
      <c r="C402" t="s">
        <v>8339</v>
      </c>
      <c r="D402" t="s">
        <v>703</v>
      </c>
      <c r="E402">
        <v>4408592</v>
      </c>
      <c r="F402" t="s">
        <v>4653</v>
      </c>
      <c r="G402" t="s">
        <v>823</v>
      </c>
      <c r="H402" t="s">
        <v>7309</v>
      </c>
      <c r="I402" s="12">
        <v>45779</v>
      </c>
      <c r="J402">
        <v>1</v>
      </c>
    </row>
    <row r="403" spans="1:10">
      <c r="A403" t="str">
        <f t="shared" si="6"/>
        <v>76252076</v>
      </c>
      <c r="B403">
        <v>76252076</v>
      </c>
      <c r="C403" t="s">
        <v>8340</v>
      </c>
      <c r="D403" t="s">
        <v>8341</v>
      </c>
      <c r="E403">
        <v>4508714</v>
      </c>
      <c r="F403" t="s">
        <v>4653</v>
      </c>
      <c r="G403" t="s">
        <v>743</v>
      </c>
      <c r="H403" t="s">
        <v>4775</v>
      </c>
      <c r="I403" s="12">
        <v>46055</v>
      </c>
      <c r="J403">
        <v>1</v>
      </c>
    </row>
    <row r="404" spans="1:10">
      <c r="A404" t="str">
        <f t="shared" si="6"/>
        <v>76252249</v>
      </c>
      <c r="B404">
        <v>76252249</v>
      </c>
      <c r="C404" t="s">
        <v>8342</v>
      </c>
      <c r="D404" t="s">
        <v>8343</v>
      </c>
      <c r="E404">
        <v>4508685</v>
      </c>
      <c r="F404" t="s">
        <v>4653</v>
      </c>
      <c r="G404" t="s">
        <v>904</v>
      </c>
      <c r="H404" t="s">
        <v>905</v>
      </c>
      <c r="I404" s="12">
        <v>45861</v>
      </c>
      <c r="J404">
        <v>2</v>
      </c>
    </row>
    <row r="405" spans="1:10">
      <c r="A405" t="str">
        <f t="shared" si="6"/>
        <v>76252249</v>
      </c>
      <c r="B405">
        <v>76252249</v>
      </c>
      <c r="C405" t="s">
        <v>8344</v>
      </c>
      <c r="D405" t="s">
        <v>8343</v>
      </c>
      <c r="E405">
        <v>4508685</v>
      </c>
      <c r="F405" t="s">
        <v>4653</v>
      </c>
      <c r="G405" t="s">
        <v>904</v>
      </c>
      <c r="H405" t="s">
        <v>905</v>
      </c>
      <c r="I405" s="12">
        <v>46024</v>
      </c>
      <c r="J405">
        <v>1</v>
      </c>
    </row>
    <row r="406" spans="1:10">
      <c r="A406" t="str">
        <f t="shared" si="6"/>
        <v>76252738</v>
      </c>
      <c r="B406">
        <v>76252738</v>
      </c>
      <c r="C406" t="s">
        <v>8345</v>
      </c>
      <c r="D406" t="s">
        <v>709</v>
      </c>
      <c r="E406">
        <v>4508714</v>
      </c>
      <c r="F406" t="s">
        <v>4653</v>
      </c>
      <c r="G406" t="s">
        <v>743</v>
      </c>
      <c r="H406" t="s">
        <v>8240</v>
      </c>
      <c r="I406" s="12">
        <v>46010</v>
      </c>
      <c r="J406">
        <v>1</v>
      </c>
    </row>
    <row r="407" spans="1:10">
      <c r="A407" t="str">
        <f t="shared" si="6"/>
        <v>76252740</v>
      </c>
      <c r="B407">
        <v>76252740</v>
      </c>
      <c r="C407" t="s">
        <v>8346</v>
      </c>
      <c r="D407" t="s">
        <v>8347</v>
      </c>
      <c r="E407">
        <v>4508714</v>
      </c>
      <c r="F407" t="s">
        <v>4653</v>
      </c>
      <c r="G407" t="s">
        <v>743</v>
      </c>
      <c r="H407" t="s">
        <v>8240</v>
      </c>
      <c r="I407" s="12">
        <v>46010</v>
      </c>
      <c r="J407">
        <v>1</v>
      </c>
    </row>
    <row r="408" spans="1:10">
      <c r="A408" t="str">
        <f t="shared" si="6"/>
        <v>76252973</v>
      </c>
      <c r="B408">
        <v>76252973</v>
      </c>
      <c r="C408" t="s">
        <v>8348</v>
      </c>
      <c r="D408" t="s">
        <v>8349</v>
      </c>
      <c r="E408">
        <v>4508685</v>
      </c>
      <c r="F408" t="s">
        <v>4653</v>
      </c>
      <c r="G408" t="s">
        <v>904</v>
      </c>
      <c r="H408" t="s">
        <v>975</v>
      </c>
      <c r="I408" s="12">
        <v>46023</v>
      </c>
      <c r="J408">
        <v>1</v>
      </c>
    </row>
    <row r="409" spans="1:10">
      <c r="A409" t="str">
        <f t="shared" si="6"/>
        <v>76252976</v>
      </c>
      <c r="B409">
        <v>76252976</v>
      </c>
      <c r="C409" t="s">
        <v>8350</v>
      </c>
      <c r="D409" t="s">
        <v>8351</v>
      </c>
      <c r="E409">
        <v>4508714</v>
      </c>
      <c r="F409" t="s">
        <v>4653</v>
      </c>
      <c r="G409" t="s">
        <v>743</v>
      </c>
      <c r="H409" t="s">
        <v>8351</v>
      </c>
      <c r="I409" s="12">
        <v>45721</v>
      </c>
      <c r="J409">
        <v>1</v>
      </c>
    </row>
    <row r="410" spans="1:10">
      <c r="A410" t="str">
        <f t="shared" si="6"/>
        <v>76253267</v>
      </c>
      <c r="B410">
        <v>76253267</v>
      </c>
      <c r="C410" t="s">
        <v>8352</v>
      </c>
      <c r="D410" t="s">
        <v>8353</v>
      </c>
      <c r="E410">
        <v>4508714</v>
      </c>
      <c r="F410" t="s">
        <v>4653</v>
      </c>
      <c r="G410" t="s">
        <v>743</v>
      </c>
      <c r="H410" t="s">
        <v>7659</v>
      </c>
      <c r="I410" s="12">
        <v>45820</v>
      </c>
      <c r="J410">
        <v>1</v>
      </c>
    </row>
    <row r="411" spans="1:10">
      <c r="A411" t="str">
        <f t="shared" si="6"/>
        <v>76254250</v>
      </c>
      <c r="B411">
        <v>76254250</v>
      </c>
      <c r="C411" t="s">
        <v>8354</v>
      </c>
      <c r="D411" t="s">
        <v>8355</v>
      </c>
      <c r="E411">
        <v>4508714</v>
      </c>
      <c r="F411" t="s">
        <v>4653</v>
      </c>
      <c r="G411" t="s">
        <v>743</v>
      </c>
      <c r="H411" t="s">
        <v>7256</v>
      </c>
      <c r="I411" s="12">
        <v>46143</v>
      </c>
      <c r="J411">
        <v>1</v>
      </c>
    </row>
    <row r="412" spans="1:10">
      <c r="A412" t="str">
        <f t="shared" si="6"/>
        <v>76254367</v>
      </c>
      <c r="B412">
        <v>76254367</v>
      </c>
      <c r="C412" t="s">
        <v>8356</v>
      </c>
      <c r="D412" t="s">
        <v>8357</v>
      </c>
      <c r="E412">
        <v>4508714</v>
      </c>
      <c r="F412" t="s">
        <v>4653</v>
      </c>
      <c r="G412" t="s">
        <v>743</v>
      </c>
      <c r="H412" t="s">
        <v>8358</v>
      </c>
      <c r="I412" s="12">
        <v>45756</v>
      </c>
      <c r="J412">
        <v>1</v>
      </c>
    </row>
    <row r="413" spans="1:10">
      <c r="A413" t="str">
        <f t="shared" si="6"/>
        <v>76254687</v>
      </c>
      <c r="B413">
        <v>76254687</v>
      </c>
      <c r="C413" t="s">
        <v>8359</v>
      </c>
      <c r="D413" t="s">
        <v>8360</v>
      </c>
      <c r="E413">
        <v>4508714</v>
      </c>
      <c r="F413" t="s">
        <v>4653</v>
      </c>
      <c r="G413" t="s">
        <v>743</v>
      </c>
      <c r="H413" t="s">
        <v>8240</v>
      </c>
      <c r="I413" s="12">
        <v>46010</v>
      </c>
      <c r="J413">
        <v>1</v>
      </c>
    </row>
    <row r="414" spans="1:10">
      <c r="A414" t="str">
        <f t="shared" si="6"/>
        <v>76254691</v>
      </c>
      <c r="B414">
        <v>76254691</v>
      </c>
      <c r="C414" t="s">
        <v>8361</v>
      </c>
      <c r="D414" t="s">
        <v>8362</v>
      </c>
      <c r="E414">
        <v>4508714</v>
      </c>
      <c r="F414" t="s">
        <v>4653</v>
      </c>
      <c r="G414" t="s">
        <v>743</v>
      </c>
      <c r="H414" t="s">
        <v>8240</v>
      </c>
      <c r="I414" s="12">
        <v>46010</v>
      </c>
      <c r="J414">
        <v>1</v>
      </c>
    </row>
    <row r="415" spans="1:10">
      <c r="A415" t="str">
        <f t="shared" si="6"/>
        <v>76254694</v>
      </c>
      <c r="B415">
        <v>76254694</v>
      </c>
      <c r="C415" t="s">
        <v>8363</v>
      </c>
      <c r="D415" t="s">
        <v>8364</v>
      </c>
      <c r="E415">
        <v>4508714</v>
      </c>
      <c r="F415" t="s">
        <v>4653</v>
      </c>
      <c r="G415" t="s">
        <v>743</v>
      </c>
      <c r="H415" t="s">
        <v>8240</v>
      </c>
      <c r="I415" s="12">
        <v>46010</v>
      </c>
      <c r="J415">
        <v>1</v>
      </c>
    </row>
    <row r="416" spans="1:10">
      <c r="A416" t="str">
        <f t="shared" si="6"/>
        <v>76254696</v>
      </c>
      <c r="B416">
        <v>76254696</v>
      </c>
      <c r="C416" t="s">
        <v>8365</v>
      </c>
      <c r="D416" t="s">
        <v>8366</v>
      </c>
      <c r="E416">
        <v>4508714</v>
      </c>
      <c r="F416" t="s">
        <v>4653</v>
      </c>
      <c r="G416" t="s">
        <v>743</v>
      </c>
      <c r="H416" t="s">
        <v>8240</v>
      </c>
      <c r="I416" s="12">
        <v>46010</v>
      </c>
      <c r="J416">
        <v>1</v>
      </c>
    </row>
    <row r="417" spans="1:10">
      <c r="A417" t="str">
        <f t="shared" si="6"/>
        <v>76254715</v>
      </c>
      <c r="B417">
        <v>76254715</v>
      </c>
      <c r="C417" t="s">
        <v>8367</v>
      </c>
      <c r="D417" t="s">
        <v>8368</v>
      </c>
      <c r="E417">
        <v>4508714</v>
      </c>
      <c r="F417" t="s">
        <v>4653</v>
      </c>
      <c r="G417" t="s">
        <v>743</v>
      </c>
      <c r="H417" t="s">
        <v>8240</v>
      </c>
      <c r="I417" s="12">
        <v>46129</v>
      </c>
      <c r="J417">
        <v>1</v>
      </c>
    </row>
    <row r="418" spans="1:10">
      <c r="A418" t="str">
        <f t="shared" si="6"/>
        <v>76254741</v>
      </c>
      <c r="B418">
        <v>76254741</v>
      </c>
      <c r="C418" t="s">
        <v>8369</v>
      </c>
      <c r="D418" t="s">
        <v>8370</v>
      </c>
      <c r="E418">
        <v>4508714</v>
      </c>
      <c r="F418" t="s">
        <v>4653</v>
      </c>
      <c r="G418" t="s">
        <v>743</v>
      </c>
      <c r="H418" t="s">
        <v>8240</v>
      </c>
      <c r="I418" s="12">
        <v>46010</v>
      </c>
      <c r="J418">
        <v>1</v>
      </c>
    </row>
    <row r="419" spans="1:10">
      <c r="A419" t="str">
        <f t="shared" si="6"/>
        <v>76254870</v>
      </c>
      <c r="B419">
        <v>76254870</v>
      </c>
      <c r="C419" t="s">
        <v>8371</v>
      </c>
      <c r="D419" t="s">
        <v>8372</v>
      </c>
      <c r="E419">
        <v>4508714</v>
      </c>
      <c r="F419" t="s">
        <v>4653</v>
      </c>
      <c r="G419" t="s">
        <v>743</v>
      </c>
      <c r="H419" t="s">
        <v>7256</v>
      </c>
      <c r="I419" s="12">
        <v>46143</v>
      </c>
      <c r="J419">
        <v>1</v>
      </c>
    </row>
    <row r="420" spans="1:10">
      <c r="A420" t="str">
        <f t="shared" si="6"/>
        <v>76254969</v>
      </c>
      <c r="B420">
        <v>76254969</v>
      </c>
      <c r="C420" t="s">
        <v>8373</v>
      </c>
      <c r="D420" t="s">
        <v>8374</v>
      </c>
      <c r="E420">
        <v>4508714</v>
      </c>
      <c r="F420" t="s">
        <v>4653</v>
      </c>
      <c r="G420" t="s">
        <v>743</v>
      </c>
      <c r="H420" t="s">
        <v>8375</v>
      </c>
      <c r="I420" s="12">
        <v>45895</v>
      </c>
      <c r="J420">
        <v>1</v>
      </c>
    </row>
    <row r="421" spans="1:10">
      <c r="A421" t="str">
        <f t="shared" si="6"/>
        <v>76255068</v>
      </c>
      <c r="B421">
        <v>76255068</v>
      </c>
      <c r="C421" t="s">
        <v>8376</v>
      </c>
      <c r="D421" t="s">
        <v>8377</v>
      </c>
      <c r="E421">
        <v>4508714</v>
      </c>
      <c r="F421" t="s">
        <v>4653</v>
      </c>
      <c r="G421" t="s">
        <v>743</v>
      </c>
      <c r="H421" t="s">
        <v>8089</v>
      </c>
      <c r="I421" s="12">
        <v>46024</v>
      </c>
      <c r="J421">
        <v>1</v>
      </c>
    </row>
    <row r="422" spans="1:10">
      <c r="A422" t="str">
        <f t="shared" si="6"/>
        <v>76255135</v>
      </c>
      <c r="B422">
        <v>76255135</v>
      </c>
      <c r="C422" t="s">
        <v>8378</v>
      </c>
      <c r="D422" t="s">
        <v>715</v>
      </c>
      <c r="E422">
        <v>4508714</v>
      </c>
      <c r="F422" t="s">
        <v>4653</v>
      </c>
      <c r="G422" t="s">
        <v>743</v>
      </c>
      <c r="H422" t="s">
        <v>8375</v>
      </c>
      <c r="I422" s="12">
        <v>45895</v>
      </c>
      <c r="J422">
        <v>1</v>
      </c>
    </row>
    <row r="423" spans="1:10">
      <c r="A423" t="str">
        <f t="shared" si="6"/>
        <v>76256618</v>
      </c>
      <c r="B423">
        <v>76256618</v>
      </c>
      <c r="C423" t="s">
        <v>8379</v>
      </c>
      <c r="D423" t="s">
        <v>8380</v>
      </c>
      <c r="E423">
        <v>4508714</v>
      </c>
      <c r="F423" t="s">
        <v>4653</v>
      </c>
      <c r="G423" t="s">
        <v>743</v>
      </c>
      <c r="H423" t="s">
        <v>1232</v>
      </c>
      <c r="I423" s="12">
        <v>46010</v>
      </c>
      <c r="J423">
        <v>1</v>
      </c>
    </row>
    <row r="424" spans="1:10">
      <c r="A424" t="str">
        <f t="shared" si="6"/>
        <v>76256834</v>
      </c>
      <c r="B424">
        <v>76256834</v>
      </c>
      <c r="C424" t="s">
        <v>8381</v>
      </c>
      <c r="D424" t="s">
        <v>4597</v>
      </c>
      <c r="E424">
        <v>4508714</v>
      </c>
      <c r="F424" t="s">
        <v>4653</v>
      </c>
      <c r="G424" t="s">
        <v>743</v>
      </c>
      <c r="H424" t="s">
        <v>6978</v>
      </c>
      <c r="I424" s="12">
        <v>46142</v>
      </c>
      <c r="J424">
        <v>1</v>
      </c>
    </row>
    <row r="425" spans="1:10">
      <c r="A425" t="str">
        <f t="shared" si="6"/>
        <v>76256842</v>
      </c>
      <c r="B425">
        <v>76256842</v>
      </c>
      <c r="C425" t="s">
        <v>8382</v>
      </c>
      <c r="D425" t="s">
        <v>4599</v>
      </c>
      <c r="E425">
        <v>4508714</v>
      </c>
      <c r="F425" t="s">
        <v>4653</v>
      </c>
      <c r="G425" t="s">
        <v>743</v>
      </c>
      <c r="H425" t="s">
        <v>6978</v>
      </c>
      <c r="I425" s="12">
        <v>46142</v>
      </c>
      <c r="J425">
        <v>1</v>
      </c>
    </row>
    <row r="426" spans="1:10">
      <c r="A426" t="str">
        <f t="shared" si="6"/>
        <v>76257108</v>
      </c>
      <c r="B426">
        <v>76257108</v>
      </c>
      <c r="C426" t="s">
        <v>8383</v>
      </c>
      <c r="D426" t="s">
        <v>8384</v>
      </c>
      <c r="E426">
        <v>4508714</v>
      </c>
      <c r="F426" t="s">
        <v>4653</v>
      </c>
      <c r="G426" t="s">
        <v>743</v>
      </c>
      <c r="H426" t="s">
        <v>4986</v>
      </c>
      <c r="I426" s="12">
        <v>45992</v>
      </c>
      <c r="J426">
        <v>1</v>
      </c>
    </row>
    <row r="427" spans="1:10">
      <c r="A427" t="str">
        <f t="shared" si="6"/>
        <v>76257258</v>
      </c>
      <c r="B427">
        <v>76257258</v>
      </c>
      <c r="C427" t="s">
        <v>8385</v>
      </c>
      <c r="D427" t="s">
        <v>8386</v>
      </c>
      <c r="E427">
        <v>4508714</v>
      </c>
      <c r="F427" t="s">
        <v>4653</v>
      </c>
      <c r="G427" t="s">
        <v>743</v>
      </c>
      <c r="H427" t="s">
        <v>4986</v>
      </c>
      <c r="I427" s="12">
        <v>45992</v>
      </c>
      <c r="J427">
        <v>1</v>
      </c>
    </row>
    <row r="428" spans="1:10">
      <c r="A428" t="str">
        <f t="shared" si="6"/>
        <v>76257366</v>
      </c>
      <c r="B428">
        <v>76257366</v>
      </c>
      <c r="C428" t="s">
        <v>8387</v>
      </c>
      <c r="D428" t="s">
        <v>721</v>
      </c>
      <c r="E428">
        <v>4508714</v>
      </c>
      <c r="F428" t="s">
        <v>4653</v>
      </c>
      <c r="G428" t="s">
        <v>743</v>
      </c>
      <c r="H428" t="s">
        <v>7994</v>
      </c>
      <c r="I428" s="12">
        <v>45936</v>
      </c>
      <c r="J428">
        <v>1</v>
      </c>
    </row>
    <row r="429" spans="1:10">
      <c r="A429" t="str">
        <f t="shared" si="6"/>
        <v>76257568</v>
      </c>
      <c r="B429">
        <v>76257568</v>
      </c>
      <c r="C429" t="s">
        <v>8388</v>
      </c>
      <c r="D429" t="s">
        <v>8389</v>
      </c>
      <c r="E429">
        <v>4508685</v>
      </c>
      <c r="F429" t="s">
        <v>4653</v>
      </c>
      <c r="G429" t="s">
        <v>904</v>
      </c>
      <c r="H429" t="s">
        <v>905</v>
      </c>
      <c r="I429" s="12">
        <v>46024</v>
      </c>
      <c r="J429">
        <v>1</v>
      </c>
    </row>
    <row r="430" spans="1:10">
      <c r="A430" t="str">
        <f t="shared" si="6"/>
        <v>76257614</v>
      </c>
      <c r="B430">
        <v>76257614</v>
      </c>
      <c r="C430" t="s">
        <v>8390</v>
      </c>
      <c r="D430" t="s">
        <v>4623</v>
      </c>
      <c r="E430">
        <v>4508714</v>
      </c>
      <c r="F430" t="s">
        <v>4653</v>
      </c>
      <c r="G430" t="s">
        <v>743</v>
      </c>
      <c r="H430" t="s">
        <v>6943</v>
      </c>
      <c r="I430" s="12">
        <v>46142</v>
      </c>
      <c r="J430">
        <v>1</v>
      </c>
    </row>
    <row r="431" spans="1:10">
      <c r="A431" t="str">
        <f t="shared" si="6"/>
        <v>76257731</v>
      </c>
      <c r="B431">
        <v>76257731</v>
      </c>
      <c r="C431" t="s">
        <v>8391</v>
      </c>
      <c r="D431" t="s">
        <v>8392</v>
      </c>
      <c r="E431">
        <v>4508685</v>
      </c>
      <c r="F431" t="s">
        <v>4653</v>
      </c>
      <c r="G431" t="s">
        <v>904</v>
      </c>
      <c r="H431" t="s">
        <v>975</v>
      </c>
      <c r="I431" s="12">
        <v>46023</v>
      </c>
      <c r="J431">
        <v>1</v>
      </c>
    </row>
    <row r="432" spans="1:10">
      <c r="A432" t="str">
        <f t="shared" si="6"/>
        <v>76257732</v>
      </c>
      <c r="B432">
        <v>76257732</v>
      </c>
      <c r="C432" t="s">
        <v>8393</v>
      </c>
      <c r="D432" t="s">
        <v>8394</v>
      </c>
      <c r="E432">
        <v>4508685</v>
      </c>
      <c r="F432" t="s">
        <v>4653</v>
      </c>
      <c r="G432" t="s">
        <v>904</v>
      </c>
      <c r="H432" t="s">
        <v>975</v>
      </c>
      <c r="I432" s="12">
        <v>46023</v>
      </c>
      <c r="J432">
        <v>1</v>
      </c>
    </row>
    <row r="433" spans="1:10">
      <c r="A433" t="str">
        <f t="shared" si="6"/>
        <v>76257733</v>
      </c>
      <c r="B433">
        <v>76257733</v>
      </c>
      <c r="C433" t="s">
        <v>8395</v>
      </c>
      <c r="D433" t="s">
        <v>8396</v>
      </c>
      <c r="E433">
        <v>4508685</v>
      </c>
      <c r="F433" t="s">
        <v>4653</v>
      </c>
      <c r="G433" t="s">
        <v>904</v>
      </c>
      <c r="H433" t="s">
        <v>975</v>
      </c>
      <c r="I433" s="12">
        <v>46023</v>
      </c>
      <c r="J433">
        <v>1</v>
      </c>
    </row>
    <row r="434" spans="1:10">
      <c r="A434" t="str">
        <f t="shared" si="6"/>
        <v>76257734</v>
      </c>
      <c r="B434">
        <v>76257734</v>
      </c>
      <c r="C434" t="s">
        <v>8397</v>
      </c>
      <c r="D434" t="s">
        <v>8398</v>
      </c>
      <c r="E434">
        <v>4508685</v>
      </c>
      <c r="F434" t="s">
        <v>4653</v>
      </c>
      <c r="G434" t="s">
        <v>904</v>
      </c>
      <c r="H434" t="s">
        <v>975</v>
      </c>
      <c r="I434" s="12">
        <v>46023</v>
      </c>
      <c r="J434">
        <v>1</v>
      </c>
    </row>
    <row r="435" spans="1:10">
      <c r="A435" t="str">
        <f t="shared" si="6"/>
        <v>76257741</v>
      </c>
      <c r="B435">
        <v>76257741</v>
      </c>
      <c r="C435" t="s">
        <v>8399</v>
      </c>
      <c r="D435" t="s">
        <v>8400</v>
      </c>
      <c r="E435">
        <v>4508685</v>
      </c>
      <c r="F435" t="s">
        <v>4653</v>
      </c>
      <c r="G435" t="s">
        <v>904</v>
      </c>
      <c r="H435" t="s">
        <v>975</v>
      </c>
      <c r="I435" s="12">
        <v>46023</v>
      </c>
      <c r="J435">
        <v>1</v>
      </c>
    </row>
    <row r="436" spans="1:10">
      <c r="A436" t="str">
        <f t="shared" si="6"/>
        <v>76257742</v>
      </c>
      <c r="B436">
        <v>76257742</v>
      </c>
      <c r="C436" t="s">
        <v>8401</v>
      </c>
      <c r="D436" t="s">
        <v>8402</v>
      </c>
      <c r="E436">
        <v>4508685</v>
      </c>
      <c r="F436" t="s">
        <v>4653</v>
      </c>
      <c r="G436" t="s">
        <v>904</v>
      </c>
      <c r="H436" t="s">
        <v>975</v>
      </c>
      <c r="I436" s="12">
        <v>46023</v>
      </c>
      <c r="J436">
        <v>1</v>
      </c>
    </row>
    <row r="437" spans="1:10">
      <c r="A437" t="str">
        <f t="shared" si="6"/>
        <v>76257760</v>
      </c>
      <c r="B437">
        <v>76257760</v>
      </c>
      <c r="C437" t="s">
        <v>8403</v>
      </c>
      <c r="D437" t="s">
        <v>8404</v>
      </c>
      <c r="E437">
        <v>4508714</v>
      </c>
      <c r="F437" t="s">
        <v>4653</v>
      </c>
      <c r="G437" t="s">
        <v>743</v>
      </c>
      <c r="H437" t="s">
        <v>6296</v>
      </c>
      <c r="I437" s="12">
        <v>45985</v>
      </c>
      <c r="J437">
        <v>1</v>
      </c>
    </row>
    <row r="438" spans="1:10">
      <c r="A438" t="str">
        <f t="shared" si="6"/>
        <v>76257826</v>
      </c>
      <c r="B438">
        <v>76257826</v>
      </c>
      <c r="C438" t="s">
        <v>8405</v>
      </c>
      <c r="D438" t="s">
        <v>8406</v>
      </c>
      <c r="E438">
        <v>4508714</v>
      </c>
      <c r="F438" t="s">
        <v>4653</v>
      </c>
      <c r="G438" t="s">
        <v>743</v>
      </c>
      <c r="H438" t="s">
        <v>7473</v>
      </c>
      <c r="I438" s="12">
        <v>46120</v>
      </c>
      <c r="J438">
        <v>1</v>
      </c>
    </row>
    <row r="439" spans="1:10">
      <c r="A439" t="str">
        <f t="shared" si="6"/>
        <v>76257849</v>
      </c>
      <c r="B439">
        <v>76257849</v>
      </c>
      <c r="C439" t="s">
        <v>8407</v>
      </c>
      <c r="D439" t="s">
        <v>8408</v>
      </c>
      <c r="E439">
        <v>4508714</v>
      </c>
      <c r="F439" t="s">
        <v>4653</v>
      </c>
      <c r="G439" t="s">
        <v>743</v>
      </c>
      <c r="H439" t="s">
        <v>6296</v>
      </c>
      <c r="I439" s="12">
        <v>45985</v>
      </c>
      <c r="J439">
        <v>1</v>
      </c>
    </row>
    <row r="440" spans="1:10">
      <c r="A440" t="str">
        <f t="shared" si="6"/>
        <v>76257850</v>
      </c>
      <c r="B440">
        <v>76257850</v>
      </c>
      <c r="C440" t="s">
        <v>8409</v>
      </c>
      <c r="D440" t="s">
        <v>8410</v>
      </c>
      <c r="E440">
        <v>4508714</v>
      </c>
      <c r="F440" t="s">
        <v>4653</v>
      </c>
      <c r="G440" t="s">
        <v>743</v>
      </c>
      <c r="H440" t="s">
        <v>6296</v>
      </c>
      <c r="I440" s="12">
        <v>45985</v>
      </c>
      <c r="J440">
        <v>1</v>
      </c>
    </row>
    <row r="441" spans="1:10">
      <c r="A441" t="str">
        <f t="shared" si="6"/>
        <v>76257851</v>
      </c>
      <c r="B441">
        <v>76257851</v>
      </c>
      <c r="C441" t="s">
        <v>8411</v>
      </c>
      <c r="D441" t="s">
        <v>8412</v>
      </c>
      <c r="E441">
        <v>4508714</v>
      </c>
      <c r="F441" t="s">
        <v>4653</v>
      </c>
      <c r="G441" t="s">
        <v>743</v>
      </c>
      <c r="H441" t="s">
        <v>6296</v>
      </c>
      <c r="I441" s="12">
        <v>45985</v>
      </c>
      <c r="J441">
        <v>1</v>
      </c>
    </row>
    <row r="442" spans="1:10">
      <c r="A442" t="str">
        <f t="shared" si="6"/>
        <v>76258027</v>
      </c>
      <c r="B442">
        <v>76258027</v>
      </c>
      <c r="C442" t="s">
        <v>8413</v>
      </c>
      <c r="D442" t="s">
        <v>1244</v>
      </c>
      <c r="E442">
        <v>4508714</v>
      </c>
      <c r="F442" t="s">
        <v>4653</v>
      </c>
      <c r="G442" t="s">
        <v>743</v>
      </c>
      <c r="H442" t="s">
        <v>1245</v>
      </c>
      <c r="I442" s="12">
        <v>45980</v>
      </c>
      <c r="J442">
        <v>1</v>
      </c>
    </row>
    <row r="443" spans="1:10">
      <c r="A443" t="str">
        <f t="shared" si="6"/>
        <v>76258223</v>
      </c>
      <c r="B443">
        <v>76258223</v>
      </c>
      <c r="C443" t="s">
        <v>8414</v>
      </c>
      <c r="D443" t="s">
        <v>8415</v>
      </c>
      <c r="E443">
        <v>4508714</v>
      </c>
      <c r="F443" t="s">
        <v>4653</v>
      </c>
      <c r="G443" t="s">
        <v>743</v>
      </c>
      <c r="H443" t="s">
        <v>5218</v>
      </c>
      <c r="I443" s="12">
        <v>45989</v>
      </c>
      <c r="J443">
        <v>1</v>
      </c>
    </row>
    <row r="444" spans="1:10">
      <c r="A444" t="str">
        <f t="shared" si="6"/>
        <v>76258304</v>
      </c>
      <c r="B444">
        <v>76258304</v>
      </c>
      <c r="C444" t="s">
        <v>8416</v>
      </c>
      <c r="D444" t="s">
        <v>8417</v>
      </c>
      <c r="E444">
        <v>4508714</v>
      </c>
      <c r="F444" t="s">
        <v>4653</v>
      </c>
      <c r="G444" t="s">
        <v>743</v>
      </c>
      <c r="H444" t="s">
        <v>6852</v>
      </c>
      <c r="I444" s="12">
        <v>46055</v>
      </c>
      <c r="J444">
        <v>1</v>
      </c>
    </row>
    <row r="445" spans="1:10">
      <c r="A445" t="str">
        <f t="shared" si="6"/>
        <v>76258432</v>
      </c>
      <c r="B445">
        <v>76258432</v>
      </c>
      <c r="C445" t="s">
        <v>8418</v>
      </c>
      <c r="D445" t="s">
        <v>8419</v>
      </c>
      <c r="E445">
        <v>4508675</v>
      </c>
      <c r="F445" t="s">
        <v>4653</v>
      </c>
      <c r="G445" t="s">
        <v>828</v>
      </c>
      <c r="H445" t="s">
        <v>8420</v>
      </c>
      <c r="I445" s="12">
        <v>46017</v>
      </c>
      <c r="J445">
        <v>1</v>
      </c>
    </row>
    <row r="446" spans="1:10">
      <c r="A446" t="str">
        <f t="shared" si="6"/>
        <v>76258577</v>
      </c>
      <c r="B446">
        <v>76258577</v>
      </c>
      <c r="C446" t="s">
        <v>8421</v>
      </c>
      <c r="D446" t="s">
        <v>8422</v>
      </c>
      <c r="E446">
        <v>4508714</v>
      </c>
      <c r="F446" t="s">
        <v>4653</v>
      </c>
      <c r="G446" t="s">
        <v>743</v>
      </c>
      <c r="H446" t="s">
        <v>1245</v>
      </c>
      <c r="I446" s="12">
        <v>46023</v>
      </c>
      <c r="J446">
        <v>1</v>
      </c>
    </row>
    <row r="447" spans="1:10">
      <c r="A447" t="str">
        <f t="shared" si="6"/>
        <v>76258792</v>
      </c>
      <c r="B447">
        <v>76258792</v>
      </c>
      <c r="C447" t="s">
        <v>8423</v>
      </c>
      <c r="D447" t="s">
        <v>8424</v>
      </c>
      <c r="E447">
        <v>4508714</v>
      </c>
      <c r="F447" t="s">
        <v>4653</v>
      </c>
      <c r="G447" t="s">
        <v>743</v>
      </c>
      <c r="H447" t="s">
        <v>4775</v>
      </c>
      <c r="I447" s="12">
        <v>46055</v>
      </c>
      <c r="J447">
        <v>1</v>
      </c>
    </row>
    <row r="448" spans="1:10">
      <c r="A448" t="str">
        <f t="shared" si="6"/>
        <v>76258793</v>
      </c>
      <c r="B448">
        <v>76258793</v>
      </c>
      <c r="C448" t="s">
        <v>8425</v>
      </c>
      <c r="D448" t="s">
        <v>8426</v>
      </c>
      <c r="E448">
        <v>4508714</v>
      </c>
      <c r="F448" t="s">
        <v>4653</v>
      </c>
      <c r="G448" t="s">
        <v>743</v>
      </c>
      <c r="H448" t="s">
        <v>4775</v>
      </c>
      <c r="I448" s="12">
        <v>46055</v>
      </c>
      <c r="J448">
        <v>1</v>
      </c>
    </row>
    <row r="449" spans="1:10">
      <c r="A449" t="str">
        <f t="shared" si="6"/>
        <v>76258900</v>
      </c>
      <c r="B449">
        <v>76258900</v>
      </c>
      <c r="C449" t="s">
        <v>8427</v>
      </c>
      <c r="D449" t="s">
        <v>8428</v>
      </c>
      <c r="E449">
        <v>4508714</v>
      </c>
      <c r="F449" t="s">
        <v>4653</v>
      </c>
      <c r="G449" t="s">
        <v>743</v>
      </c>
      <c r="H449" t="s">
        <v>8429</v>
      </c>
      <c r="I449" s="12">
        <v>46056</v>
      </c>
      <c r="J449">
        <v>1</v>
      </c>
    </row>
    <row r="450" spans="1:10">
      <c r="A450" t="str">
        <f t="shared" ref="A450:A484" si="7">TRIM(B450)</f>
        <v>76258945</v>
      </c>
      <c r="B450">
        <v>76258945</v>
      </c>
      <c r="C450" t="s">
        <v>8430</v>
      </c>
      <c r="D450" t="s">
        <v>8431</v>
      </c>
      <c r="E450">
        <v>4508714</v>
      </c>
      <c r="F450" t="s">
        <v>4653</v>
      </c>
      <c r="G450" t="s">
        <v>743</v>
      </c>
      <c r="H450" t="s">
        <v>1190</v>
      </c>
      <c r="I450" s="12">
        <v>46106</v>
      </c>
      <c r="J450">
        <v>1</v>
      </c>
    </row>
    <row r="451" spans="1:10">
      <c r="A451" t="str">
        <f t="shared" si="7"/>
        <v>76258987</v>
      </c>
      <c r="B451">
        <v>76258987</v>
      </c>
      <c r="C451" t="s">
        <v>8432</v>
      </c>
      <c r="D451" t="s">
        <v>8433</v>
      </c>
      <c r="E451">
        <v>4508714</v>
      </c>
      <c r="F451" t="s">
        <v>4653</v>
      </c>
      <c r="G451" t="s">
        <v>743</v>
      </c>
      <c r="H451" t="s">
        <v>8262</v>
      </c>
      <c r="I451" s="12">
        <v>46045</v>
      </c>
      <c r="J451">
        <v>1</v>
      </c>
    </row>
    <row r="452" spans="1:10">
      <c r="A452" t="str">
        <f t="shared" si="7"/>
        <v>76258989</v>
      </c>
      <c r="B452">
        <v>76258989</v>
      </c>
      <c r="C452" t="s">
        <v>8434</v>
      </c>
      <c r="D452" t="s">
        <v>8435</v>
      </c>
      <c r="E452">
        <v>4508714</v>
      </c>
      <c r="F452" t="s">
        <v>4653</v>
      </c>
      <c r="G452" t="s">
        <v>743</v>
      </c>
      <c r="H452" t="s">
        <v>8262</v>
      </c>
      <c r="I452" s="12">
        <v>46045</v>
      </c>
      <c r="J452">
        <v>1</v>
      </c>
    </row>
    <row r="453" spans="1:10">
      <c r="A453" t="str">
        <f t="shared" si="7"/>
        <v>76259020</v>
      </c>
      <c r="B453">
        <v>76259020</v>
      </c>
      <c r="C453" t="s">
        <v>8436</v>
      </c>
      <c r="D453" t="s">
        <v>8437</v>
      </c>
      <c r="E453">
        <v>4508714</v>
      </c>
      <c r="F453" t="s">
        <v>4653</v>
      </c>
      <c r="G453" t="s">
        <v>743</v>
      </c>
      <c r="H453" t="s">
        <v>8437</v>
      </c>
      <c r="I453" s="12">
        <v>46113</v>
      </c>
      <c r="J453">
        <v>1</v>
      </c>
    </row>
    <row r="454" spans="1:10">
      <c r="A454" t="str">
        <f t="shared" si="7"/>
        <v>76259062</v>
      </c>
      <c r="B454">
        <v>76259062</v>
      </c>
      <c r="C454" t="s">
        <v>8438</v>
      </c>
      <c r="D454" t="s">
        <v>8439</v>
      </c>
      <c r="E454">
        <v>4508714</v>
      </c>
      <c r="F454" t="s">
        <v>4653</v>
      </c>
      <c r="G454" t="s">
        <v>743</v>
      </c>
      <c r="H454" t="s">
        <v>5595</v>
      </c>
      <c r="I454" s="12">
        <v>46071</v>
      </c>
      <c r="J454">
        <v>1</v>
      </c>
    </row>
    <row r="455" spans="1:10">
      <c r="A455" t="str">
        <f t="shared" si="7"/>
        <v>76259103</v>
      </c>
      <c r="B455">
        <v>76259103</v>
      </c>
      <c r="C455" t="s">
        <v>8440</v>
      </c>
      <c r="D455" t="s">
        <v>8441</v>
      </c>
      <c r="E455">
        <v>4508714</v>
      </c>
      <c r="F455" t="s">
        <v>4653</v>
      </c>
      <c r="G455" t="s">
        <v>743</v>
      </c>
      <c r="H455" t="s">
        <v>8271</v>
      </c>
      <c r="I455" s="12">
        <v>46132</v>
      </c>
      <c r="J455">
        <v>1</v>
      </c>
    </row>
    <row r="456" spans="1:10">
      <c r="A456" t="str">
        <f t="shared" si="7"/>
        <v>76259110</v>
      </c>
      <c r="B456">
        <v>76259110</v>
      </c>
      <c r="C456" t="s">
        <v>8442</v>
      </c>
      <c r="D456" t="s">
        <v>8443</v>
      </c>
      <c r="E456">
        <v>4508714</v>
      </c>
      <c r="F456" t="s">
        <v>4653</v>
      </c>
      <c r="G456" t="s">
        <v>743</v>
      </c>
      <c r="H456" t="s">
        <v>5183</v>
      </c>
      <c r="I456" s="12">
        <v>46063</v>
      </c>
      <c r="J456">
        <v>1</v>
      </c>
    </row>
    <row r="457" spans="1:10">
      <c r="A457" t="str">
        <f t="shared" si="7"/>
        <v>76259339</v>
      </c>
      <c r="B457">
        <v>76259339</v>
      </c>
      <c r="C457" t="s">
        <v>8444</v>
      </c>
      <c r="D457" t="s">
        <v>7278</v>
      </c>
      <c r="E457">
        <v>4508714</v>
      </c>
      <c r="F457" t="s">
        <v>4653</v>
      </c>
      <c r="G457" t="s">
        <v>743</v>
      </c>
      <c r="H457" t="s">
        <v>1179</v>
      </c>
      <c r="I457" s="12">
        <v>46072</v>
      </c>
      <c r="J457">
        <v>1</v>
      </c>
    </row>
    <row r="458" spans="1:10">
      <c r="A458" t="str">
        <f t="shared" si="7"/>
        <v>76259440</v>
      </c>
      <c r="B458">
        <v>76259440</v>
      </c>
      <c r="C458" t="s">
        <v>8445</v>
      </c>
      <c r="D458" t="s">
        <v>8446</v>
      </c>
      <c r="E458">
        <v>4508714</v>
      </c>
      <c r="F458" t="s">
        <v>4653</v>
      </c>
      <c r="G458" t="s">
        <v>743</v>
      </c>
      <c r="H458" t="s">
        <v>7551</v>
      </c>
      <c r="I458" s="12">
        <v>46083</v>
      </c>
      <c r="J458">
        <v>1</v>
      </c>
    </row>
    <row r="459" spans="1:10">
      <c r="A459" t="str">
        <f t="shared" si="7"/>
        <v>76259652</v>
      </c>
      <c r="B459">
        <v>76259652</v>
      </c>
      <c r="C459" t="s">
        <v>8447</v>
      </c>
      <c r="D459" t="s">
        <v>8448</v>
      </c>
      <c r="E459">
        <v>4508714</v>
      </c>
      <c r="F459" t="s">
        <v>4653</v>
      </c>
      <c r="G459" t="s">
        <v>743</v>
      </c>
      <c r="H459" t="s">
        <v>6852</v>
      </c>
      <c r="I459" s="12">
        <v>46139</v>
      </c>
      <c r="J459">
        <v>1</v>
      </c>
    </row>
    <row r="460" spans="1:10">
      <c r="A460" t="str">
        <f t="shared" si="7"/>
        <v>76259678</v>
      </c>
      <c r="B460">
        <v>76259678</v>
      </c>
      <c r="C460" t="s">
        <v>8449</v>
      </c>
      <c r="D460" t="s">
        <v>8450</v>
      </c>
      <c r="E460">
        <v>4508714</v>
      </c>
      <c r="F460" t="s">
        <v>4653</v>
      </c>
      <c r="G460" t="s">
        <v>743</v>
      </c>
      <c r="H460" t="s">
        <v>8451</v>
      </c>
      <c r="I460" s="12">
        <v>46113</v>
      </c>
      <c r="J460">
        <v>1</v>
      </c>
    </row>
    <row r="461" spans="1:10">
      <c r="A461" t="str">
        <f t="shared" si="7"/>
        <v>76259780</v>
      </c>
      <c r="B461">
        <v>76259780</v>
      </c>
      <c r="C461" t="s">
        <v>8452</v>
      </c>
      <c r="D461" t="s">
        <v>8453</v>
      </c>
      <c r="E461">
        <v>4508714</v>
      </c>
      <c r="F461" t="s">
        <v>4653</v>
      </c>
      <c r="G461" t="s">
        <v>743</v>
      </c>
      <c r="H461" t="s">
        <v>1190</v>
      </c>
      <c r="I461" s="12">
        <v>46106</v>
      </c>
      <c r="J461">
        <v>1</v>
      </c>
    </row>
    <row r="462" spans="1:10">
      <c r="A462" t="str">
        <f t="shared" si="7"/>
        <v>76259788</v>
      </c>
      <c r="B462">
        <v>76259788</v>
      </c>
      <c r="C462" t="s">
        <v>8454</v>
      </c>
      <c r="D462" t="s">
        <v>3121</v>
      </c>
      <c r="E462">
        <v>4408593</v>
      </c>
      <c r="F462" t="s">
        <v>4653</v>
      </c>
      <c r="G462" t="s">
        <v>782</v>
      </c>
      <c r="H462" t="s">
        <v>8455</v>
      </c>
      <c r="I462" s="12">
        <v>46108</v>
      </c>
      <c r="J462">
        <v>1</v>
      </c>
    </row>
    <row r="463" spans="1:10">
      <c r="A463" t="str">
        <f t="shared" si="7"/>
        <v>76259833</v>
      </c>
      <c r="B463">
        <v>76259833</v>
      </c>
      <c r="C463" t="s">
        <v>8456</v>
      </c>
      <c r="D463" t="s">
        <v>8457</v>
      </c>
      <c r="E463">
        <v>4508714</v>
      </c>
      <c r="F463" t="s">
        <v>4653</v>
      </c>
      <c r="G463" t="s">
        <v>743</v>
      </c>
      <c r="H463" t="s">
        <v>5094</v>
      </c>
      <c r="I463" s="12">
        <v>46128</v>
      </c>
      <c r="J463">
        <v>1</v>
      </c>
    </row>
    <row r="464" spans="1:10">
      <c r="A464" t="str">
        <f t="shared" si="7"/>
        <v>76259864</v>
      </c>
      <c r="B464">
        <v>76259864</v>
      </c>
      <c r="C464" t="s">
        <v>8458</v>
      </c>
      <c r="D464" t="s">
        <v>1252</v>
      </c>
      <c r="E464">
        <v>4508714</v>
      </c>
      <c r="F464" t="s">
        <v>4653</v>
      </c>
      <c r="G464" t="s">
        <v>743</v>
      </c>
      <c r="H464" t="s">
        <v>1253</v>
      </c>
      <c r="I464" s="12">
        <v>46105</v>
      </c>
      <c r="J464">
        <v>1</v>
      </c>
    </row>
    <row r="465" spans="1:10">
      <c r="A465" t="str">
        <f t="shared" si="7"/>
        <v>76259865</v>
      </c>
      <c r="B465">
        <v>76259865</v>
      </c>
      <c r="C465" t="s">
        <v>8459</v>
      </c>
      <c r="D465" t="s">
        <v>1256</v>
      </c>
      <c r="E465">
        <v>4508714</v>
      </c>
      <c r="F465" t="s">
        <v>4653</v>
      </c>
      <c r="G465" t="s">
        <v>743</v>
      </c>
      <c r="H465" t="s">
        <v>1253</v>
      </c>
      <c r="I465" s="12">
        <v>46105</v>
      </c>
      <c r="J465">
        <v>1</v>
      </c>
    </row>
    <row r="466" spans="1:10">
      <c r="A466" t="str">
        <f t="shared" si="7"/>
        <v>76259876</v>
      </c>
      <c r="B466">
        <v>76259876</v>
      </c>
      <c r="C466" t="s">
        <v>8460</v>
      </c>
      <c r="D466" t="s">
        <v>8461</v>
      </c>
      <c r="E466">
        <v>4508714</v>
      </c>
      <c r="F466" t="s">
        <v>4653</v>
      </c>
      <c r="G466" t="s">
        <v>743</v>
      </c>
      <c r="H466" t="s">
        <v>6158</v>
      </c>
      <c r="I466" s="12">
        <v>46112</v>
      </c>
      <c r="J466">
        <v>1</v>
      </c>
    </row>
    <row r="467" spans="1:10">
      <c r="A467" t="str">
        <f t="shared" si="7"/>
        <v>76259937</v>
      </c>
      <c r="B467">
        <v>76259937</v>
      </c>
      <c r="C467" t="s">
        <v>8462</v>
      </c>
      <c r="D467" t="s">
        <v>8463</v>
      </c>
      <c r="E467">
        <v>4408593</v>
      </c>
      <c r="F467" t="s">
        <v>4653</v>
      </c>
      <c r="G467" t="s">
        <v>782</v>
      </c>
      <c r="H467" t="s">
        <v>8464</v>
      </c>
      <c r="I467" s="12">
        <v>46136</v>
      </c>
      <c r="J467">
        <v>1</v>
      </c>
    </row>
    <row r="468" spans="1:10">
      <c r="A468" t="str">
        <f t="shared" si="7"/>
        <v>76259964</v>
      </c>
      <c r="B468">
        <v>76259964</v>
      </c>
      <c r="C468" t="s">
        <v>8465</v>
      </c>
      <c r="D468" t="s">
        <v>3405</v>
      </c>
      <c r="E468">
        <v>4408593</v>
      </c>
      <c r="F468" t="s">
        <v>4653</v>
      </c>
      <c r="G468" t="s">
        <v>782</v>
      </c>
      <c r="H468" t="s">
        <v>8464</v>
      </c>
      <c r="I468" s="12">
        <v>46136</v>
      </c>
      <c r="J468">
        <v>1</v>
      </c>
    </row>
    <row r="469" spans="1:10">
      <c r="A469" t="str">
        <f t="shared" si="7"/>
        <v>76259968</v>
      </c>
      <c r="B469">
        <v>76259968</v>
      </c>
      <c r="C469" t="s">
        <v>8466</v>
      </c>
      <c r="D469" t="s">
        <v>7111</v>
      </c>
      <c r="E469">
        <v>4408593</v>
      </c>
      <c r="F469" t="s">
        <v>4653</v>
      </c>
      <c r="G469" t="s">
        <v>782</v>
      </c>
      <c r="H469" t="s">
        <v>8464</v>
      </c>
      <c r="I469" s="12">
        <v>46136</v>
      </c>
      <c r="J469">
        <v>1</v>
      </c>
    </row>
    <row r="470" spans="1:10">
      <c r="A470" t="str">
        <f t="shared" si="7"/>
        <v>76259970</v>
      </c>
      <c r="B470">
        <v>76259970</v>
      </c>
      <c r="C470" t="s">
        <v>8467</v>
      </c>
      <c r="D470" t="s">
        <v>2861</v>
      </c>
      <c r="E470">
        <v>4408593</v>
      </c>
      <c r="F470" t="s">
        <v>4653</v>
      </c>
      <c r="G470" t="s">
        <v>782</v>
      </c>
      <c r="H470" t="s">
        <v>8464</v>
      </c>
      <c r="I470" s="12">
        <v>46136</v>
      </c>
      <c r="J470">
        <v>1</v>
      </c>
    </row>
    <row r="471" spans="1:10">
      <c r="A471" t="str">
        <f t="shared" si="7"/>
        <v>76259989</v>
      </c>
      <c r="B471">
        <v>76259989</v>
      </c>
      <c r="C471" t="s">
        <v>8468</v>
      </c>
      <c r="D471" t="s">
        <v>8469</v>
      </c>
      <c r="E471">
        <v>4508714</v>
      </c>
      <c r="F471" t="s">
        <v>4653</v>
      </c>
      <c r="G471" t="s">
        <v>743</v>
      </c>
      <c r="H471" t="s">
        <v>5501</v>
      </c>
      <c r="I471" s="12">
        <v>46126</v>
      </c>
      <c r="J471">
        <v>1</v>
      </c>
    </row>
    <row r="472" spans="1:10">
      <c r="A472" t="str">
        <f t="shared" si="7"/>
        <v>76259990</v>
      </c>
      <c r="B472">
        <v>76259990</v>
      </c>
      <c r="C472" t="s">
        <v>8470</v>
      </c>
      <c r="D472" t="s">
        <v>8471</v>
      </c>
      <c r="E472">
        <v>4408593</v>
      </c>
      <c r="F472" t="s">
        <v>4653</v>
      </c>
      <c r="G472" t="s">
        <v>782</v>
      </c>
      <c r="H472" t="s">
        <v>5501</v>
      </c>
      <c r="I472" s="12">
        <v>46126</v>
      </c>
      <c r="J472">
        <v>1</v>
      </c>
    </row>
    <row r="473" spans="1:10">
      <c r="A473" t="str">
        <f t="shared" si="7"/>
        <v>76259991</v>
      </c>
      <c r="B473">
        <v>76259991</v>
      </c>
      <c r="C473" t="s">
        <v>8472</v>
      </c>
      <c r="D473" t="s">
        <v>8473</v>
      </c>
      <c r="E473">
        <v>4508714</v>
      </c>
      <c r="F473" t="s">
        <v>4653</v>
      </c>
      <c r="G473" t="s">
        <v>743</v>
      </c>
      <c r="H473" t="s">
        <v>5501</v>
      </c>
      <c r="I473" s="12">
        <v>46126</v>
      </c>
      <c r="J473">
        <v>1</v>
      </c>
    </row>
    <row r="474" spans="1:10">
      <c r="A474" t="str">
        <f t="shared" si="7"/>
        <v>76259993</v>
      </c>
      <c r="B474">
        <v>76259993</v>
      </c>
      <c r="C474" t="s">
        <v>8474</v>
      </c>
      <c r="D474" t="s">
        <v>8475</v>
      </c>
      <c r="E474">
        <v>4508714</v>
      </c>
      <c r="F474" t="s">
        <v>4653</v>
      </c>
      <c r="G474" t="s">
        <v>743</v>
      </c>
      <c r="H474" t="s">
        <v>5501</v>
      </c>
      <c r="I474" s="12">
        <v>46126</v>
      </c>
      <c r="J474">
        <v>1</v>
      </c>
    </row>
    <row r="475" spans="1:10">
      <c r="A475" t="str">
        <f t="shared" si="7"/>
        <v>76260020</v>
      </c>
      <c r="B475">
        <v>76260020</v>
      </c>
      <c r="C475" t="s">
        <v>8476</v>
      </c>
      <c r="D475" t="s">
        <v>8477</v>
      </c>
      <c r="E475">
        <v>4508714</v>
      </c>
      <c r="F475" t="s">
        <v>4653</v>
      </c>
      <c r="G475" t="s">
        <v>743</v>
      </c>
      <c r="H475" t="s">
        <v>816</v>
      </c>
      <c r="I475" s="12">
        <v>46135</v>
      </c>
      <c r="J475">
        <v>1</v>
      </c>
    </row>
    <row r="476" spans="1:10">
      <c r="A476" t="str">
        <f t="shared" si="7"/>
        <v>76260099</v>
      </c>
      <c r="B476">
        <v>76260099</v>
      </c>
      <c r="C476" t="s">
        <v>8478</v>
      </c>
      <c r="D476" t="s">
        <v>8479</v>
      </c>
      <c r="E476">
        <v>4408593</v>
      </c>
      <c r="F476" t="s">
        <v>4653</v>
      </c>
      <c r="G476" t="s">
        <v>782</v>
      </c>
      <c r="H476" t="s">
        <v>6030</v>
      </c>
      <c r="I476" s="12">
        <v>46112</v>
      </c>
      <c r="J476">
        <v>1</v>
      </c>
    </row>
    <row r="477" spans="1:10">
      <c r="A477" t="str">
        <f t="shared" si="7"/>
        <v>76260170</v>
      </c>
      <c r="B477">
        <v>76260170</v>
      </c>
      <c r="C477" t="s">
        <v>8480</v>
      </c>
      <c r="D477" t="s">
        <v>8481</v>
      </c>
      <c r="E477">
        <v>4508714</v>
      </c>
      <c r="F477" t="s">
        <v>4653</v>
      </c>
      <c r="G477" t="s">
        <v>743</v>
      </c>
      <c r="H477" t="s">
        <v>5686</v>
      </c>
      <c r="I477" s="12">
        <v>46139</v>
      </c>
      <c r="J477">
        <v>1</v>
      </c>
    </row>
    <row r="478" spans="1:10">
      <c r="A478" t="str">
        <f t="shared" si="7"/>
        <v>76260355</v>
      </c>
      <c r="B478">
        <v>76260355</v>
      </c>
      <c r="C478" t="s">
        <v>8482</v>
      </c>
      <c r="D478" t="s">
        <v>8483</v>
      </c>
      <c r="E478">
        <v>4408593</v>
      </c>
      <c r="F478" t="s">
        <v>4653</v>
      </c>
      <c r="G478" t="s">
        <v>782</v>
      </c>
      <c r="H478" t="s">
        <v>6887</v>
      </c>
      <c r="I478" s="12">
        <v>46140</v>
      </c>
      <c r="J478">
        <v>1</v>
      </c>
    </row>
    <row r="479" spans="1:10">
      <c r="A479" t="str">
        <f t="shared" si="7"/>
        <v>96124396</v>
      </c>
      <c r="B479">
        <v>96124396</v>
      </c>
      <c r="C479" t="s">
        <v>8484</v>
      </c>
      <c r="D479" t="s">
        <v>8485</v>
      </c>
      <c r="E479">
        <v>4508714</v>
      </c>
      <c r="F479" t="s">
        <v>4653</v>
      </c>
      <c r="G479" t="s">
        <v>743</v>
      </c>
      <c r="H479" t="s">
        <v>8486</v>
      </c>
      <c r="I479" s="12">
        <v>46058</v>
      </c>
      <c r="J479">
        <v>1</v>
      </c>
    </row>
    <row r="480" spans="1:10">
      <c r="A480" t="str">
        <f t="shared" si="7"/>
        <v>97000001</v>
      </c>
      <c r="B480">
        <v>97000001</v>
      </c>
      <c r="C480" t="s">
        <v>8487</v>
      </c>
      <c r="D480" t="s">
        <v>8488</v>
      </c>
      <c r="E480">
        <v>4508714</v>
      </c>
      <c r="F480" t="s">
        <v>4653</v>
      </c>
      <c r="G480" t="s">
        <v>743</v>
      </c>
      <c r="H480" t="s">
        <v>4986</v>
      </c>
      <c r="I480" s="12">
        <v>45992</v>
      </c>
      <c r="J480">
        <v>1</v>
      </c>
    </row>
    <row r="481" spans="1:10">
      <c r="A481" t="str">
        <f t="shared" si="7"/>
        <v/>
      </c>
    </row>
    <row r="482" spans="1:10">
      <c r="A482" t="str">
        <f t="shared" si="7"/>
        <v>CMF Number</v>
      </c>
      <c r="B482" t="s">
        <v>25</v>
      </c>
      <c r="C482" t="s">
        <v>731</v>
      </c>
      <c r="D482" t="s">
        <v>732</v>
      </c>
      <c r="E482" t="s">
        <v>733</v>
      </c>
      <c r="F482" t="s">
        <v>734</v>
      </c>
      <c r="G482" t="s">
        <v>735</v>
      </c>
      <c r="H482" t="s">
        <v>736</v>
      </c>
      <c r="I482" s="12" t="s">
        <v>737</v>
      </c>
      <c r="J482" t="s">
        <v>738</v>
      </c>
    </row>
    <row r="483" spans="1:10">
      <c r="A483" t="str">
        <f t="shared" si="7"/>
        <v>Count of CDF ID</v>
      </c>
      <c r="B483" t="s">
        <v>8489</v>
      </c>
    </row>
    <row r="484" spans="1:10">
      <c r="A484" t="str">
        <f t="shared" si="7"/>
        <v>Product Level 2 Description</v>
      </c>
      <c r="B484" t="s">
        <v>8490</v>
      </c>
      <c r="C484" t="s">
        <v>8491</v>
      </c>
    </row>
  </sheetData>
  <sortState xmlns:xlrd2="http://schemas.microsoft.com/office/spreadsheetml/2017/richdata2" ref="A2:J1751">
    <sortCondition ref="A2:A1751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A3E03-CAA3-4262-93DD-EC4ED2B5CF67}">
  <dimension ref="A1:D312"/>
  <sheetViews>
    <sheetView topLeftCell="A135" workbookViewId="0">
      <selection activeCell="L166" sqref="L166"/>
    </sheetView>
  </sheetViews>
  <sheetFormatPr defaultRowHeight="15"/>
  <cols>
    <col min="1" max="1" width="35.85546875" customWidth="1"/>
    <col min="2" max="2" width="14" customWidth="1"/>
    <col min="3" max="3" width="12.7109375" bestFit="1" customWidth="1"/>
    <col min="4" max="4" width="12.7109375" customWidth="1"/>
  </cols>
  <sheetData>
    <row r="1" spans="1:4" s="1" customFormat="1">
      <c r="A1" s="20" t="s">
        <v>23</v>
      </c>
      <c r="B1" s="20" t="s">
        <v>8492</v>
      </c>
      <c r="C1" s="20" t="s">
        <v>25</v>
      </c>
      <c r="D1" s="20" t="s">
        <v>8493</v>
      </c>
    </row>
    <row r="2" spans="1:4">
      <c r="A2" s="21" t="s">
        <v>8494</v>
      </c>
      <c r="B2" s="21">
        <v>1196701</v>
      </c>
      <c r="C2" s="21">
        <v>1196701</v>
      </c>
      <c r="D2" s="22"/>
    </row>
    <row r="3" spans="1:4">
      <c r="A3" s="21" t="s">
        <v>8495</v>
      </c>
      <c r="B3" s="21">
        <v>1325978</v>
      </c>
      <c r="C3" s="21">
        <v>1325978</v>
      </c>
      <c r="D3" s="22"/>
    </row>
    <row r="4" spans="1:4">
      <c r="A4" s="22" t="s">
        <v>8496</v>
      </c>
      <c r="B4" s="22">
        <v>1326415</v>
      </c>
      <c r="C4" s="22">
        <v>1326415</v>
      </c>
      <c r="D4" s="22"/>
    </row>
    <row r="5" spans="1:4">
      <c r="A5" s="22" t="s">
        <v>8497</v>
      </c>
      <c r="B5" s="22">
        <v>1326417</v>
      </c>
      <c r="C5" s="22">
        <v>1326417</v>
      </c>
      <c r="D5" s="22"/>
    </row>
    <row r="6" spans="1:4">
      <c r="A6" s="22" t="s">
        <v>8498</v>
      </c>
      <c r="B6" s="22">
        <v>1327159</v>
      </c>
      <c r="C6" s="22">
        <v>1327159</v>
      </c>
      <c r="D6" s="22"/>
    </row>
    <row r="7" spans="1:4">
      <c r="A7" s="22" t="s">
        <v>8499</v>
      </c>
      <c r="B7" s="22">
        <v>5013303</v>
      </c>
      <c r="C7" s="22">
        <v>5013303</v>
      </c>
      <c r="D7" s="22"/>
    </row>
    <row r="8" spans="1:4">
      <c r="A8" s="22" t="s">
        <v>8500</v>
      </c>
      <c r="B8" s="22">
        <v>5120802</v>
      </c>
      <c r="C8" s="22">
        <v>5120802</v>
      </c>
      <c r="D8" s="22"/>
    </row>
    <row r="9" spans="1:4">
      <c r="A9" s="21" t="s">
        <v>8501</v>
      </c>
      <c r="B9" s="21">
        <v>5139104</v>
      </c>
      <c r="C9" s="21">
        <v>5139104</v>
      </c>
      <c r="D9" s="22"/>
    </row>
    <row r="10" spans="1:4">
      <c r="A10" s="22" t="s">
        <v>8502</v>
      </c>
      <c r="B10" s="22">
        <v>5154801</v>
      </c>
      <c r="C10" s="22">
        <v>5154801</v>
      </c>
      <c r="D10" s="22"/>
    </row>
    <row r="11" spans="1:4">
      <c r="A11" s="22" t="s">
        <v>8503</v>
      </c>
      <c r="B11" s="22">
        <v>5159501</v>
      </c>
      <c r="C11" s="22">
        <v>5159501</v>
      </c>
      <c r="D11" s="22"/>
    </row>
    <row r="12" spans="1:4">
      <c r="A12" s="22" t="s">
        <v>8504</v>
      </c>
      <c r="B12" s="22">
        <v>5197701</v>
      </c>
      <c r="C12" s="22">
        <v>5197701</v>
      </c>
      <c r="D12" s="22"/>
    </row>
    <row r="13" spans="1:4">
      <c r="A13" s="22" t="s">
        <v>8505</v>
      </c>
      <c r="B13" s="22">
        <v>5236621</v>
      </c>
      <c r="C13" s="22">
        <v>5236621</v>
      </c>
      <c r="D13" s="22"/>
    </row>
    <row r="14" spans="1:4">
      <c r="A14" s="23" t="s">
        <v>8506</v>
      </c>
      <c r="B14" s="23">
        <v>5400070</v>
      </c>
      <c r="C14" s="23">
        <v>5400070</v>
      </c>
      <c r="D14" s="23"/>
    </row>
    <row r="15" spans="1:4">
      <c r="A15" s="21" t="s">
        <v>8507</v>
      </c>
      <c r="B15" s="21">
        <v>5400098</v>
      </c>
      <c r="C15" s="21">
        <v>5400098</v>
      </c>
      <c r="D15" s="22"/>
    </row>
    <row r="16" spans="1:4">
      <c r="A16" s="22" t="s">
        <v>8508</v>
      </c>
      <c r="B16" s="22">
        <v>5710175</v>
      </c>
      <c r="C16" s="22">
        <v>5710175</v>
      </c>
      <c r="D16" s="22"/>
    </row>
    <row r="17" spans="1:4">
      <c r="A17" s="22" t="s">
        <v>8509</v>
      </c>
      <c r="B17" s="22">
        <v>8300045</v>
      </c>
      <c r="C17" s="22">
        <v>8300045</v>
      </c>
      <c r="D17" s="22"/>
    </row>
    <row r="18" spans="1:4">
      <c r="A18" s="22" t="s">
        <v>8510</v>
      </c>
      <c r="B18" s="22">
        <v>8300268</v>
      </c>
      <c r="C18" s="22">
        <v>8300268</v>
      </c>
      <c r="D18" s="22"/>
    </row>
    <row r="19" spans="1:4">
      <c r="A19" s="22" t="s">
        <v>8511</v>
      </c>
      <c r="B19" s="22">
        <v>8300301</v>
      </c>
      <c r="C19" s="22">
        <v>8300301</v>
      </c>
      <c r="D19" s="22"/>
    </row>
    <row r="20" spans="1:4">
      <c r="A20" s="23" t="s">
        <v>1281</v>
      </c>
      <c r="B20" s="23">
        <v>8310080</v>
      </c>
      <c r="C20" s="23">
        <v>8310080</v>
      </c>
      <c r="D20" s="23"/>
    </row>
    <row r="21" spans="1:4">
      <c r="A21" s="22" t="s">
        <v>8512</v>
      </c>
      <c r="B21" s="22">
        <v>9022701</v>
      </c>
      <c r="C21" s="22">
        <v>9022701</v>
      </c>
      <c r="D21" s="22"/>
    </row>
    <row r="22" spans="1:4">
      <c r="A22" s="22" t="s">
        <v>8513</v>
      </c>
      <c r="B22" s="22">
        <v>9800035</v>
      </c>
      <c r="C22" s="22">
        <v>9800035</v>
      </c>
      <c r="D22" s="22"/>
    </row>
    <row r="23" spans="1:4">
      <c r="A23" s="22" t="s">
        <v>1285</v>
      </c>
      <c r="B23" s="22">
        <v>13345702</v>
      </c>
      <c r="C23" s="22">
        <v>13345702</v>
      </c>
      <c r="D23" s="22"/>
    </row>
    <row r="24" spans="1:4">
      <c r="A24" s="22" t="s">
        <v>8514</v>
      </c>
      <c r="B24" s="22">
        <v>13497296</v>
      </c>
      <c r="C24" s="22">
        <v>13497296</v>
      </c>
      <c r="D24" s="22"/>
    </row>
    <row r="25" spans="1:4">
      <c r="A25" s="22" t="s">
        <v>8515</v>
      </c>
      <c r="B25" s="22">
        <v>13497852</v>
      </c>
      <c r="C25" s="22">
        <v>13497852</v>
      </c>
      <c r="D25" s="22"/>
    </row>
    <row r="26" spans="1:4">
      <c r="A26" s="22" t="s">
        <v>8516</v>
      </c>
      <c r="B26" s="22">
        <v>17014601</v>
      </c>
      <c r="C26" s="22">
        <v>17014601</v>
      </c>
      <c r="D26" s="22"/>
    </row>
    <row r="27" spans="1:4">
      <c r="A27" s="22" t="s">
        <v>8517</v>
      </c>
      <c r="B27" s="22">
        <v>17243902</v>
      </c>
      <c r="C27" s="22">
        <v>17243902</v>
      </c>
      <c r="D27" s="22"/>
    </row>
    <row r="28" spans="1:4">
      <c r="A28" s="22" t="s">
        <v>8518</v>
      </c>
      <c r="B28" s="22">
        <v>17250801</v>
      </c>
      <c r="C28" s="22">
        <v>17250801</v>
      </c>
      <c r="D28" s="22"/>
    </row>
    <row r="29" spans="1:4">
      <c r="A29" s="22" t="s">
        <v>8519</v>
      </c>
      <c r="B29" s="22">
        <v>17314766</v>
      </c>
      <c r="C29" s="22">
        <v>17314766</v>
      </c>
      <c r="D29" s="22"/>
    </row>
    <row r="30" spans="1:4">
      <c r="A30" s="22" t="s">
        <v>8520</v>
      </c>
      <c r="B30" s="22">
        <v>17314868</v>
      </c>
      <c r="C30" s="22">
        <v>17314868</v>
      </c>
      <c r="D30" s="22"/>
    </row>
    <row r="31" spans="1:4">
      <c r="A31" s="22" t="s">
        <v>8521</v>
      </c>
      <c r="B31" s="22">
        <v>17315164</v>
      </c>
      <c r="C31" s="22">
        <v>17315164</v>
      </c>
      <c r="D31" s="22"/>
    </row>
    <row r="32" spans="1:4">
      <c r="A32" s="21" t="s">
        <v>8522</v>
      </c>
      <c r="B32" s="21">
        <v>17315776</v>
      </c>
      <c r="C32" s="21">
        <v>17315776</v>
      </c>
      <c r="D32" s="22"/>
    </row>
    <row r="33" spans="1:4">
      <c r="A33" s="22" t="s">
        <v>1265</v>
      </c>
      <c r="B33" s="22">
        <v>25149301</v>
      </c>
      <c r="C33" s="22">
        <v>25149301</v>
      </c>
      <c r="D33" s="22"/>
    </row>
    <row r="34" spans="1:4">
      <c r="A34" s="22" t="s">
        <v>415</v>
      </c>
      <c r="B34" s="22">
        <v>25149302</v>
      </c>
      <c r="C34" s="22">
        <v>25149302</v>
      </c>
      <c r="D34" s="22"/>
    </row>
    <row r="35" spans="1:4">
      <c r="A35" s="22" t="s">
        <v>1292</v>
      </c>
      <c r="B35" s="22">
        <v>25149303</v>
      </c>
      <c r="C35" s="22">
        <v>25149303</v>
      </c>
      <c r="D35" s="22"/>
    </row>
    <row r="36" spans="1:4">
      <c r="A36" s="22" t="s">
        <v>1268</v>
      </c>
      <c r="B36" s="22">
        <v>25149306</v>
      </c>
      <c r="C36" s="22">
        <v>25149306</v>
      </c>
      <c r="D36" s="22"/>
    </row>
    <row r="37" spans="1:4">
      <c r="A37" s="23" t="s">
        <v>8523</v>
      </c>
      <c r="B37" s="23">
        <v>25181201</v>
      </c>
      <c r="C37" s="23">
        <v>25181201</v>
      </c>
      <c r="D37" s="23"/>
    </row>
    <row r="38" spans="1:4">
      <c r="A38" s="22" t="s">
        <v>8524</v>
      </c>
      <c r="B38" s="22">
        <v>25265301</v>
      </c>
      <c r="C38" s="22">
        <v>25265301</v>
      </c>
      <c r="D38" s="22"/>
    </row>
    <row r="39" spans="1:4">
      <c r="A39" s="22" t="s">
        <v>8525</v>
      </c>
      <c r="B39" s="22">
        <v>25298953</v>
      </c>
      <c r="C39" s="22">
        <v>25298953</v>
      </c>
      <c r="D39" s="22"/>
    </row>
    <row r="40" spans="1:4">
      <c r="A40" s="22" t="s">
        <v>8526</v>
      </c>
      <c r="B40" s="22">
        <v>33237102</v>
      </c>
      <c r="C40" s="22">
        <v>33237102</v>
      </c>
      <c r="D40" s="22"/>
    </row>
    <row r="41" spans="1:4">
      <c r="A41" s="23" t="s">
        <v>8527</v>
      </c>
      <c r="B41" s="23">
        <v>37009201</v>
      </c>
      <c r="C41" s="23">
        <v>37009201</v>
      </c>
      <c r="D41" s="23"/>
    </row>
    <row r="42" spans="1:4">
      <c r="A42" s="23" t="s">
        <v>8528</v>
      </c>
      <c r="B42" s="23">
        <v>37009201</v>
      </c>
      <c r="C42" s="23">
        <v>37009201</v>
      </c>
      <c r="D42" s="23"/>
    </row>
    <row r="43" spans="1:4">
      <c r="A43" s="23" t="s">
        <v>8529</v>
      </c>
      <c r="B43" s="23">
        <v>37009201</v>
      </c>
      <c r="C43" s="23">
        <v>37009201</v>
      </c>
      <c r="D43" s="23"/>
    </row>
    <row r="44" spans="1:4">
      <c r="A44" s="21" t="s">
        <v>8530</v>
      </c>
      <c r="B44" s="21">
        <v>37011801</v>
      </c>
      <c r="C44" s="21">
        <v>37011801</v>
      </c>
      <c r="D44" s="22"/>
    </row>
    <row r="45" spans="1:4">
      <c r="A45" s="21" t="s">
        <v>8531</v>
      </c>
      <c r="B45" s="21">
        <v>37011804</v>
      </c>
      <c r="C45" s="21">
        <v>37011804</v>
      </c>
      <c r="D45" s="22"/>
    </row>
    <row r="46" spans="1:4">
      <c r="A46" s="22" t="s">
        <v>8532</v>
      </c>
      <c r="B46" s="22">
        <v>41002490</v>
      </c>
      <c r="C46" s="22">
        <v>41002490</v>
      </c>
      <c r="D46" s="22"/>
    </row>
    <row r="47" spans="1:4">
      <c r="A47" s="22" t="s">
        <v>7673</v>
      </c>
      <c r="B47" s="22">
        <v>41002701</v>
      </c>
      <c r="C47" s="22">
        <v>41002701</v>
      </c>
      <c r="D47" s="22"/>
    </row>
    <row r="48" spans="1:4">
      <c r="A48" s="22" t="s">
        <v>8533</v>
      </c>
      <c r="B48" s="22">
        <v>53304601</v>
      </c>
      <c r="C48" s="22">
        <v>53304601</v>
      </c>
      <c r="D48" s="22"/>
    </row>
    <row r="49" spans="1:4">
      <c r="A49" s="22" t="s">
        <v>8534</v>
      </c>
      <c r="B49" s="22">
        <v>61000917</v>
      </c>
      <c r="C49" s="22">
        <v>61000917</v>
      </c>
      <c r="D49" s="22"/>
    </row>
    <row r="50" spans="1:4">
      <c r="A50" s="23" t="s">
        <v>8535</v>
      </c>
      <c r="B50" s="23">
        <v>71034996</v>
      </c>
      <c r="C50" s="23">
        <v>71034996</v>
      </c>
      <c r="D50" s="23"/>
    </row>
    <row r="51" spans="1:4">
      <c r="A51" s="22" t="s">
        <v>8536</v>
      </c>
      <c r="B51" s="22">
        <v>71035282</v>
      </c>
      <c r="C51" s="22">
        <v>71035282</v>
      </c>
      <c r="D51" s="22"/>
    </row>
    <row r="52" spans="1:4">
      <c r="A52" s="22" t="s">
        <v>8537</v>
      </c>
      <c r="B52" s="22">
        <v>71038500</v>
      </c>
      <c r="C52" s="22">
        <v>71038500</v>
      </c>
      <c r="D52" s="22"/>
    </row>
    <row r="53" spans="1:4">
      <c r="A53" s="22" t="s">
        <v>8538</v>
      </c>
      <c r="B53" s="22">
        <v>71038684</v>
      </c>
      <c r="C53" s="22">
        <v>71038684</v>
      </c>
      <c r="D53" s="22"/>
    </row>
    <row r="54" spans="1:4">
      <c r="A54" s="21" t="s">
        <v>8539</v>
      </c>
      <c r="B54" s="21">
        <v>71039452</v>
      </c>
      <c r="C54" s="21">
        <v>71039452</v>
      </c>
      <c r="D54" s="22"/>
    </row>
    <row r="55" spans="1:4">
      <c r="A55" s="22" t="s">
        <v>7698</v>
      </c>
      <c r="B55" s="22">
        <v>71042196</v>
      </c>
      <c r="C55" s="22">
        <v>71042196</v>
      </c>
      <c r="D55" s="22"/>
    </row>
    <row r="56" spans="1:4">
      <c r="A56" s="22" t="s">
        <v>8540</v>
      </c>
      <c r="B56" s="22">
        <v>71043200</v>
      </c>
      <c r="C56" s="22">
        <v>71043200</v>
      </c>
      <c r="D56" s="22"/>
    </row>
    <row r="57" spans="1:4">
      <c r="A57" s="22" t="s">
        <v>1266</v>
      </c>
      <c r="B57" s="22">
        <v>71043922</v>
      </c>
      <c r="C57" s="22">
        <v>71043922</v>
      </c>
      <c r="D57" s="22"/>
    </row>
    <row r="58" spans="1:4">
      <c r="A58" s="23" t="s">
        <v>1299</v>
      </c>
      <c r="B58" s="23">
        <v>71046175</v>
      </c>
      <c r="C58" s="23">
        <v>71046175</v>
      </c>
      <c r="D58" s="23"/>
    </row>
    <row r="59" spans="1:4">
      <c r="A59" s="22" t="s">
        <v>1302</v>
      </c>
      <c r="B59" s="22">
        <v>71048561</v>
      </c>
      <c r="C59" s="22">
        <v>71048561</v>
      </c>
      <c r="D59" s="22"/>
    </row>
    <row r="60" spans="1:4">
      <c r="A60" s="22" t="s">
        <v>8541</v>
      </c>
      <c r="B60" s="22">
        <v>71049334</v>
      </c>
      <c r="C60" s="22">
        <v>71049334</v>
      </c>
      <c r="D60" s="22"/>
    </row>
    <row r="61" spans="1:4">
      <c r="A61" s="22" t="s">
        <v>8542</v>
      </c>
      <c r="B61" s="22">
        <v>71049962</v>
      </c>
      <c r="C61" s="22">
        <v>71049962</v>
      </c>
      <c r="D61" s="22"/>
    </row>
    <row r="62" spans="1:4">
      <c r="A62" s="22" t="s">
        <v>8543</v>
      </c>
      <c r="B62" s="22">
        <v>71050843</v>
      </c>
      <c r="C62" s="22">
        <v>71050843</v>
      </c>
      <c r="D62" s="22"/>
    </row>
    <row r="63" spans="1:4">
      <c r="A63" s="22" t="s">
        <v>8544</v>
      </c>
      <c r="B63" s="22">
        <v>71050843</v>
      </c>
      <c r="C63" s="22">
        <v>71050843</v>
      </c>
      <c r="D63" s="22"/>
    </row>
    <row r="64" spans="1:4">
      <c r="A64" s="21" t="s">
        <v>8545</v>
      </c>
      <c r="B64" s="21">
        <v>71052902</v>
      </c>
      <c r="C64" s="21">
        <v>71052902</v>
      </c>
      <c r="D64" s="22"/>
    </row>
    <row r="65" spans="1:4">
      <c r="A65" s="22" t="s">
        <v>8546</v>
      </c>
      <c r="B65" s="22">
        <v>71055684</v>
      </c>
      <c r="C65" s="22">
        <v>71055684</v>
      </c>
      <c r="D65" s="22"/>
    </row>
    <row r="66" spans="1:4">
      <c r="A66" s="22" t="s">
        <v>8547</v>
      </c>
      <c r="B66" s="22">
        <v>71056369</v>
      </c>
      <c r="C66" s="22">
        <v>71056369</v>
      </c>
      <c r="D66" s="22"/>
    </row>
    <row r="67" spans="1:4">
      <c r="A67" s="22" t="s">
        <v>8548</v>
      </c>
      <c r="B67" s="22">
        <v>71057222</v>
      </c>
      <c r="C67" s="22">
        <v>71057222</v>
      </c>
      <c r="D67" s="22"/>
    </row>
    <row r="68" spans="1:4">
      <c r="A68" s="22" t="s">
        <v>8549</v>
      </c>
      <c r="B68" s="22">
        <v>71058382</v>
      </c>
      <c r="C68" s="22">
        <v>71058382</v>
      </c>
      <c r="D68" s="22"/>
    </row>
    <row r="69" spans="1:4">
      <c r="A69" s="22" t="s">
        <v>8550</v>
      </c>
      <c r="B69" s="22">
        <v>71059075</v>
      </c>
      <c r="C69" s="22">
        <v>71059075</v>
      </c>
      <c r="D69" s="22"/>
    </row>
    <row r="70" spans="1:4">
      <c r="A70" s="22" t="s">
        <v>7718</v>
      </c>
      <c r="B70" s="22">
        <v>71059471</v>
      </c>
      <c r="C70" s="22">
        <v>71059471</v>
      </c>
      <c r="D70" s="22"/>
    </row>
    <row r="71" spans="1:4">
      <c r="A71" s="22" t="s">
        <v>8551</v>
      </c>
      <c r="B71" s="22">
        <v>71063425</v>
      </c>
      <c r="C71" s="22">
        <v>71063425</v>
      </c>
      <c r="D71" s="22"/>
    </row>
    <row r="72" spans="1:4">
      <c r="A72" s="22" t="s">
        <v>65</v>
      </c>
      <c r="B72" s="22">
        <v>76001666</v>
      </c>
      <c r="C72" s="22">
        <v>76001666</v>
      </c>
      <c r="D72" s="22"/>
    </row>
    <row r="73" spans="1:4">
      <c r="A73" s="22" t="s">
        <v>8552</v>
      </c>
      <c r="B73" s="22">
        <v>76002916</v>
      </c>
      <c r="C73" s="22">
        <v>76002916</v>
      </c>
      <c r="D73" s="22"/>
    </row>
    <row r="74" spans="1:4">
      <c r="A74" s="22" t="s">
        <v>8553</v>
      </c>
      <c r="B74" s="22">
        <v>76011186</v>
      </c>
      <c r="C74" s="22">
        <v>76011186</v>
      </c>
      <c r="D74" s="22"/>
    </row>
    <row r="75" spans="1:4">
      <c r="A75" s="22" t="s">
        <v>8554</v>
      </c>
      <c r="B75" s="22">
        <v>76012632</v>
      </c>
      <c r="C75" s="22">
        <v>76012632</v>
      </c>
      <c r="D75" s="22"/>
    </row>
    <row r="76" spans="1:4">
      <c r="A76" s="21" t="s">
        <v>8555</v>
      </c>
      <c r="B76" s="21">
        <v>76012651</v>
      </c>
      <c r="C76" s="21">
        <v>76012651</v>
      </c>
      <c r="D76" s="22"/>
    </row>
    <row r="77" spans="1:4">
      <c r="A77" s="22" t="s">
        <v>8556</v>
      </c>
      <c r="B77" s="22">
        <v>76018666</v>
      </c>
      <c r="C77" s="22">
        <v>76018666</v>
      </c>
      <c r="D77" s="22"/>
    </row>
    <row r="78" spans="1:4">
      <c r="A78" s="22" t="s">
        <v>8557</v>
      </c>
      <c r="B78" s="22">
        <v>76020145</v>
      </c>
      <c r="C78" s="22">
        <v>76020145</v>
      </c>
      <c r="D78" s="22"/>
    </row>
    <row r="79" spans="1:4">
      <c r="A79" s="22" t="s">
        <v>7756</v>
      </c>
      <c r="B79" s="22">
        <v>76020804</v>
      </c>
      <c r="C79" s="22">
        <v>76020804</v>
      </c>
      <c r="D79" s="22"/>
    </row>
    <row r="80" spans="1:4">
      <c r="A80" s="22" t="s">
        <v>8558</v>
      </c>
      <c r="B80" s="22">
        <v>76022694</v>
      </c>
      <c r="C80" s="22">
        <v>76022694</v>
      </c>
      <c r="D80" s="22"/>
    </row>
    <row r="81" spans="1:4">
      <c r="A81" s="22" t="s">
        <v>8559</v>
      </c>
      <c r="B81" s="22">
        <v>76023833</v>
      </c>
      <c r="C81" s="22">
        <v>76023833</v>
      </c>
      <c r="D81" s="22"/>
    </row>
    <row r="82" spans="1:4">
      <c r="A82" s="21" t="s">
        <v>8560</v>
      </c>
      <c r="B82" s="21">
        <v>76024700</v>
      </c>
      <c r="C82" s="21">
        <v>76024700</v>
      </c>
      <c r="D82" s="22"/>
    </row>
    <row r="83" spans="1:4">
      <c r="A83" s="22" t="s">
        <v>8561</v>
      </c>
      <c r="B83" s="22">
        <v>76024860</v>
      </c>
      <c r="C83" s="22">
        <v>76024860</v>
      </c>
      <c r="D83" s="22"/>
    </row>
    <row r="84" spans="1:4">
      <c r="A84" s="22" t="s">
        <v>8562</v>
      </c>
      <c r="B84" s="22">
        <v>76024868</v>
      </c>
      <c r="C84" s="22">
        <v>76024868</v>
      </c>
      <c r="D84" s="22"/>
    </row>
    <row r="85" spans="1:4">
      <c r="A85" s="22" t="s">
        <v>8563</v>
      </c>
      <c r="B85" s="22">
        <v>76027458</v>
      </c>
      <c r="C85" s="22">
        <v>76027458</v>
      </c>
      <c r="D85" s="22"/>
    </row>
    <row r="86" spans="1:4">
      <c r="A86" s="22" t="s">
        <v>8564</v>
      </c>
      <c r="B86" s="22">
        <v>76028219</v>
      </c>
      <c r="C86" s="22">
        <v>76028219</v>
      </c>
      <c r="D86" s="22"/>
    </row>
    <row r="87" spans="1:4">
      <c r="A87" s="22" t="s">
        <v>75</v>
      </c>
      <c r="B87" s="22">
        <v>76028715</v>
      </c>
      <c r="C87" s="22">
        <v>76028715</v>
      </c>
      <c r="D87" s="22"/>
    </row>
    <row r="88" spans="1:4">
      <c r="A88" s="22" t="s">
        <v>8565</v>
      </c>
      <c r="B88" s="22">
        <v>76032433</v>
      </c>
      <c r="C88" s="22">
        <v>76032433</v>
      </c>
      <c r="D88" s="22"/>
    </row>
    <row r="89" spans="1:4">
      <c r="A89" s="22" t="s">
        <v>8566</v>
      </c>
      <c r="B89" s="22">
        <v>76033780</v>
      </c>
      <c r="C89" s="22">
        <v>76033780</v>
      </c>
      <c r="D89" s="22"/>
    </row>
    <row r="90" spans="1:4">
      <c r="A90" s="22" t="s">
        <v>8567</v>
      </c>
      <c r="B90" s="22">
        <v>76037856</v>
      </c>
      <c r="C90" s="22">
        <v>76037856</v>
      </c>
      <c r="D90" s="22"/>
    </row>
    <row r="91" spans="1:4">
      <c r="A91" s="21" t="s">
        <v>8568</v>
      </c>
      <c r="B91" s="21">
        <v>76039933</v>
      </c>
      <c r="C91" s="21">
        <v>76039933</v>
      </c>
      <c r="D91" s="22"/>
    </row>
    <row r="92" spans="1:4">
      <c r="A92" s="22" t="s">
        <v>8569</v>
      </c>
      <c r="B92" s="22">
        <v>76041151</v>
      </c>
      <c r="C92" s="22">
        <v>76041151</v>
      </c>
      <c r="D92" s="22"/>
    </row>
    <row r="93" spans="1:4">
      <c r="A93" s="22" t="s">
        <v>8570</v>
      </c>
      <c r="B93" s="22">
        <v>76041823</v>
      </c>
      <c r="C93" s="22">
        <v>76041823</v>
      </c>
      <c r="D93" s="22"/>
    </row>
    <row r="94" spans="1:4">
      <c r="A94" s="22" t="s">
        <v>8571</v>
      </c>
      <c r="B94" s="22">
        <v>76041856</v>
      </c>
      <c r="C94" s="22">
        <v>76041856</v>
      </c>
      <c r="D94" s="22"/>
    </row>
    <row r="95" spans="1:4">
      <c r="A95" s="24" t="s">
        <v>8572</v>
      </c>
      <c r="B95" s="24">
        <v>76042015</v>
      </c>
      <c r="C95" s="24">
        <v>76042015</v>
      </c>
      <c r="D95" s="23"/>
    </row>
    <row r="96" spans="1:4">
      <c r="A96" s="21" t="s">
        <v>8573</v>
      </c>
      <c r="B96" s="21">
        <v>76043322</v>
      </c>
      <c r="C96" s="21">
        <v>76043322</v>
      </c>
      <c r="D96" s="22"/>
    </row>
    <row r="97" spans="1:4">
      <c r="A97" s="22" t="s">
        <v>8574</v>
      </c>
      <c r="B97" s="22">
        <v>76050148</v>
      </c>
      <c r="C97" s="22">
        <v>76050148</v>
      </c>
      <c r="D97" s="22"/>
    </row>
    <row r="98" spans="1:4">
      <c r="A98" s="22" t="s">
        <v>8575</v>
      </c>
      <c r="B98" s="22">
        <v>76050150</v>
      </c>
      <c r="C98" s="22">
        <v>76050150</v>
      </c>
      <c r="D98" s="22"/>
    </row>
    <row r="99" spans="1:4">
      <c r="A99" s="22" t="s">
        <v>81</v>
      </c>
      <c r="B99" s="22">
        <v>76051500</v>
      </c>
      <c r="C99" s="22">
        <v>76051500</v>
      </c>
      <c r="D99" s="22"/>
    </row>
    <row r="100" spans="1:4">
      <c r="A100" s="22" t="s">
        <v>8576</v>
      </c>
      <c r="B100" s="22">
        <v>76051551</v>
      </c>
      <c r="C100" s="22">
        <v>76051551</v>
      </c>
      <c r="D100" s="22"/>
    </row>
    <row r="101" spans="1:4">
      <c r="A101" s="22" t="s">
        <v>8577</v>
      </c>
      <c r="B101" s="22">
        <v>76054760</v>
      </c>
      <c r="C101" s="22">
        <v>76054760</v>
      </c>
      <c r="D101" s="22"/>
    </row>
    <row r="102" spans="1:4">
      <c r="A102" s="22" t="s">
        <v>8578</v>
      </c>
      <c r="B102" s="22">
        <v>76054901</v>
      </c>
      <c r="C102" s="22">
        <v>76054901</v>
      </c>
      <c r="D102" s="22"/>
    </row>
    <row r="103" spans="1:4">
      <c r="A103" s="22" t="s">
        <v>7838</v>
      </c>
      <c r="B103" s="22">
        <v>76057753</v>
      </c>
      <c r="C103" s="22">
        <v>76057753</v>
      </c>
      <c r="D103" s="22"/>
    </row>
    <row r="104" spans="1:4">
      <c r="A104" s="22" t="s">
        <v>8579</v>
      </c>
      <c r="B104" s="22">
        <v>76060011</v>
      </c>
      <c r="C104" s="22">
        <v>76060011</v>
      </c>
      <c r="D104" s="22"/>
    </row>
    <row r="105" spans="1:4">
      <c r="A105" s="22" t="s">
        <v>8580</v>
      </c>
      <c r="B105" s="22">
        <v>76060473</v>
      </c>
      <c r="C105" s="22">
        <v>76060473</v>
      </c>
      <c r="D105" s="22"/>
    </row>
    <row r="106" spans="1:4">
      <c r="A106" s="22" t="s">
        <v>8581</v>
      </c>
      <c r="B106" s="22">
        <v>76062180</v>
      </c>
      <c r="C106" s="22">
        <v>76062180</v>
      </c>
      <c r="D106" s="22"/>
    </row>
    <row r="107" spans="1:4">
      <c r="A107" s="21" t="s">
        <v>8582</v>
      </c>
      <c r="B107" s="21">
        <v>76062943</v>
      </c>
      <c r="C107" s="21">
        <v>76062943</v>
      </c>
      <c r="D107" s="22"/>
    </row>
    <row r="108" spans="1:4">
      <c r="A108" s="21" t="s">
        <v>8583</v>
      </c>
      <c r="B108" s="21">
        <v>76063021</v>
      </c>
      <c r="C108" s="21">
        <v>76063021</v>
      </c>
      <c r="D108" s="22"/>
    </row>
    <row r="109" spans="1:4">
      <c r="A109" s="22" t="s">
        <v>1308</v>
      </c>
      <c r="B109" s="22">
        <v>76064391</v>
      </c>
      <c r="C109" s="22">
        <v>76064391</v>
      </c>
      <c r="D109" s="22"/>
    </row>
    <row r="110" spans="1:4">
      <c r="A110" s="22" t="s">
        <v>8584</v>
      </c>
      <c r="B110" s="22">
        <v>76065792</v>
      </c>
      <c r="C110" s="22">
        <v>76065792</v>
      </c>
      <c r="D110" s="22"/>
    </row>
    <row r="111" spans="1:4">
      <c r="A111" s="22" t="s">
        <v>8585</v>
      </c>
      <c r="B111" s="22">
        <v>76066697</v>
      </c>
      <c r="C111" s="22">
        <v>76066697</v>
      </c>
      <c r="D111" s="22"/>
    </row>
    <row r="112" spans="1:4">
      <c r="A112" s="22" t="s">
        <v>8586</v>
      </c>
      <c r="B112" s="22">
        <v>76067490</v>
      </c>
      <c r="C112" s="22">
        <v>76067490</v>
      </c>
      <c r="D112" s="22"/>
    </row>
    <row r="113" spans="1:4">
      <c r="A113" s="22" t="s">
        <v>8587</v>
      </c>
      <c r="B113" s="22">
        <v>76067577</v>
      </c>
      <c r="C113" s="22">
        <v>76067577</v>
      </c>
      <c r="D113" s="22"/>
    </row>
    <row r="114" spans="1:4">
      <c r="A114" s="22" t="s">
        <v>8588</v>
      </c>
      <c r="B114" s="22">
        <v>76070690</v>
      </c>
      <c r="C114" s="22">
        <v>76070690</v>
      </c>
      <c r="D114" s="22"/>
    </row>
    <row r="115" spans="1:4">
      <c r="A115" s="22" t="s">
        <v>8589</v>
      </c>
      <c r="B115" s="22">
        <v>76071944</v>
      </c>
      <c r="C115" s="22">
        <v>76071944</v>
      </c>
      <c r="D115" s="22"/>
    </row>
    <row r="116" spans="1:4">
      <c r="A116" s="21" t="s">
        <v>8590</v>
      </c>
      <c r="B116" s="21">
        <v>76072111</v>
      </c>
      <c r="C116" s="21">
        <v>76072111</v>
      </c>
      <c r="D116" s="22"/>
    </row>
    <row r="117" spans="1:4">
      <c r="A117" s="22" t="s">
        <v>8591</v>
      </c>
      <c r="B117" s="22">
        <v>76072582</v>
      </c>
      <c r="C117" s="22">
        <v>76072582</v>
      </c>
      <c r="D117" s="22"/>
    </row>
    <row r="118" spans="1:4">
      <c r="A118" s="22" t="s">
        <v>8592</v>
      </c>
      <c r="B118" s="22">
        <v>76073569</v>
      </c>
      <c r="C118" s="22">
        <v>76073569</v>
      </c>
      <c r="D118" s="22"/>
    </row>
    <row r="119" spans="1:4">
      <c r="A119" s="21" t="s">
        <v>8593</v>
      </c>
      <c r="B119" s="21">
        <v>76073768</v>
      </c>
      <c r="C119" s="21">
        <v>76073768</v>
      </c>
      <c r="D119" s="22"/>
    </row>
    <row r="120" spans="1:4">
      <c r="A120" s="22" t="s">
        <v>1270</v>
      </c>
      <c r="B120" s="22">
        <v>76074807</v>
      </c>
      <c r="C120" s="22">
        <v>76074807</v>
      </c>
      <c r="D120" s="22"/>
    </row>
    <row r="121" spans="1:4">
      <c r="A121" s="22" t="s">
        <v>1270</v>
      </c>
      <c r="B121" s="22">
        <v>76074807</v>
      </c>
      <c r="C121" s="22">
        <v>76074807</v>
      </c>
      <c r="D121" s="22"/>
    </row>
    <row r="122" spans="1:4">
      <c r="A122" s="21" t="s">
        <v>8594</v>
      </c>
      <c r="B122" s="21">
        <v>76080698</v>
      </c>
      <c r="C122" s="21">
        <v>76080698</v>
      </c>
      <c r="D122" s="22"/>
    </row>
    <row r="123" spans="1:4">
      <c r="A123" s="22" t="s">
        <v>8595</v>
      </c>
      <c r="B123" s="22">
        <v>76082198</v>
      </c>
      <c r="C123" s="22">
        <v>76082198</v>
      </c>
      <c r="D123" s="22"/>
    </row>
    <row r="124" spans="1:4">
      <c r="A124" s="22" t="s">
        <v>1314</v>
      </c>
      <c r="B124" s="22">
        <v>76082339</v>
      </c>
      <c r="C124" s="22">
        <v>76082339</v>
      </c>
      <c r="D124" s="22"/>
    </row>
    <row r="125" spans="1:4">
      <c r="A125" s="22" t="s">
        <v>87</v>
      </c>
      <c r="B125" s="22">
        <v>76097658</v>
      </c>
      <c r="C125" s="22">
        <v>76097658</v>
      </c>
      <c r="D125" s="22"/>
    </row>
    <row r="126" spans="1:4">
      <c r="A126" s="22" t="s">
        <v>8596</v>
      </c>
      <c r="B126" s="22">
        <v>76136079</v>
      </c>
      <c r="C126" s="22">
        <v>76136079</v>
      </c>
      <c r="D126" s="22"/>
    </row>
    <row r="127" spans="1:4">
      <c r="A127" s="22" t="s">
        <v>8597</v>
      </c>
      <c r="B127" s="22">
        <v>76139324</v>
      </c>
      <c r="C127" s="22">
        <v>76139324</v>
      </c>
      <c r="D127" s="22"/>
    </row>
    <row r="128" spans="1:4">
      <c r="A128" s="21" t="s">
        <v>8598</v>
      </c>
      <c r="B128" s="21">
        <v>76140116</v>
      </c>
      <c r="C128" s="21">
        <v>76140116</v>
      </c>
      <c r="D128" s="22"/>
    </row>
    <row r="129" spans="1:4">
      <c r="A129" s="21" t="s">
        <v>8599</v>
      </c>
      <c r="B129" s="21">
        <v>76140762</v>
      </c>
      <c r="C129" s="21">
        <v>76140762</v>
      </c>
      <c r="D129" s="22"/>
    </row>
    <row r="130" spans="1:4">
      <c r="A130" s="22" t="s">
        <v>1318</v>
      </c>
      <c r="B130" s="22">
        <v>76141529</v>
      </c>
      <c r="C130" s="22">
        <v>76141529</v>
      </c>
      <c r="D130" s="22"/>
    </row>
    <row r="131" spans="1:4">
      <c r="A131" s="22" t="s">
        <v>1321</v>
      </c>
      <c r="B131" s="22">
        <v>76141532</v>
      </c>
      <c r="C131" s="22">
        <v>76141532</v>
      </c>
      <c r="D131" s="22"/>
    </row>
    <row r="132" spans="1:4">
      <c r="A132" s="22" t="s">
        <v>8600</v>
      </c>
      <c r="B132" s="22">
        <v>76142039</v>
      </c>
      <c r="C132" s="22">
        <v>76142039</v>
      </c>
      <c r="D132" s="22"/>
    </row>
    <row r="133" spans="1:4">
      <c r="A133" s="22" t="s">
        <v>8601</v>
      </c>
      <c r="B133" s="22">
        <v>76143832</v>
      </c>
      <c r="C133" s="22">
        <v>76143832</v>
      </c>
      <c r="D133" s="22"/>
    </row>
    <row r="134" spans="1:4">
      <c r="A134" s="22" t="s">
        <v>8602</v>
      </c>
      <c r="B134" s="22">
        <v>76143834</v>
      </c>
      <c r="C134" s="22">
        <v>76143834</v>
      </c>
      <c r="D134" s="22"/>
    </row>
    <row r="135" spans="1:4">
      <c r="A135" s="22" t="s">
        <v>7913</v>
      </c>
      <c r="B135" s="22">
        <v>76146342</v>
      </c>
      <c r="C135" s="22">
        <v>76146342</v>
      </c>
      <c r="D135" s="22"/>
    </row>
    <row r="136" spans="1:4">
      <c r="A136" s="22" t="s">
        <v>8603</v>
      </c>
      <c r="B136" s="22">
        <v>76146343</v>
      </c>
      <c r="C136" s="22">
        <v>76146343</v>
      </c>
      <c r="D136" s="22"/>
    </row>
    <row r="137" spans="1:4">
      <c r="A137" s="22" t="s">
        <v>7917</v>
      </c>
      <c r="B137" s="22">
        <v>76146344</v>
      </c>
      <c r="C137" s="22">
        <v>76146344</v>
      </c>
      <c r="D137" s="22"/>
    </row>
    <row r="138" spans="1:4">
      <c r="A138" s="22" t="s">
        <v>8604</v>
      </c>
      <c r="B138" s="22">
        <v>76146351</v>
      </c>
      <c r="C138" s="22">
        <v>76146351</v>
      </c>
      <c r="D138" s="22"/>
    </row>
    <row r="139" spans="1:4">
      <c r="A139" s="22" t="s">
        <v>7923</v>
      </c>
      <c r="B139" s="22">
        <v>76146353</v>
      </c>
      <c r="C139" s="22">
        <v>76146353</v>
      </c>
      <c r="D139" s="22"/>
    </row>
    <row r="140" spans="1:4">
      <c r="A140" s="22" t="s">
        <v>8605</v>
      </c>
      <c r="B140" s="22">
        <v>76149128</v>
      </c>
      <c r="C140" s="22">
        <v>76149128</v>
      </c>
      <c r="D140" s="22"/>
    </row>
    <row r="141" spans="1:4">
      <c r="A141" s="22" t="s">
        <v>8606</v>
      </c>
      <c r="B141" s="22">
        <v>76150822</v>
      </c>
      <c r="C141" s="22">
        <v>76150822</v>
      </c>
      <c r="D141" s="22"/>
    </row>
    <row r="142" spans="1:4">
      <c r="A142" s="22" t="s">
        <v>1324</v>
      </c>
      <c r="B142" s="22">
        <v>76153399</v>
      </c>
      <c r="C142" s="22">
        <v>76153399</v>
      </c>
      <c r="D142" s="22"/>
    </row>
    <row r="143" spans="1:4">
      <c r="A143" s="22" t="s">
        <v>7956</v>
      </c>
      <c r="B143" s="22">
        <v>76154600</v>
      </c>
      <c r="C143" s="22">
        <v>76154600</v>
      </c>
      <c r="D143" s="22"/>
    </row>
    <row r="144" spans="1:4">
      <c r="A144" s="21" t="s">
        <v>8607</v>
      </c>
      <c r="B144" s="21">
        <v>76156206</v>
      </c>
      <c r="C144" s="21">
        <v>76156206</v>
      </c>
      <c r="D144" s="22"/>
    </row>
    <row r="145" spans="1:4">
      <c r="A145" s="22" t="s">
        <v>7958</v>
      </c>
      <c r="B145" s="22">
        <v>76156293</v>
      </c>
      <c r="C145" s="22">
        <v>76156293</v>
      </c>
      <c r="D145" s="22"/>
    </row>
    <row r="146" spans="1:4">
      <c r="A146" s="22" t="s">
        <v>93</v>
      </c>
      <c r="B146" s="22">
        <v>76157327</v>
      </c>
      <c r="C146" s="22">
        <v>76157327</v>
      </c>
      <c r="D146" s="22"/>
    </row>
    <row r="147" spans="1:4">
      <c r="A147" s="22" t="s">
        <v>8608</v>
      </c>
      <c r="B147" s="22">
        <v>76159608</v>
      </c>
      <c r="C147" s="22">
        <v>76159608</v>
      </c>
      <c r="D147" s="22"/>
    </row>
    <row r="148" spans="1:4">
      <c r="A148" s="22" t="s">
        <v>8609</v>
      </c>
      <c r="B148" s="22">
        <v>76159977</v>
      </c>
      <c r="C148" s="22">
        <v>76159977</v>
      </c>
      <c r="D148" s="22"/>
    </row>
    <row r="149" spans="1:4">
      <c r="A149" s="22" t="s">
        <v>8610</v>
      </c>
      <c r="B149" s="22">
        <v>76160705</v>
      </c>
      <c r="C149" s="22">
        <v>76160705</v>
      </c>
      <c r="D149" s="22"/>
    </row>
    <row r="150" spans="1:4">
      <c r="A150" s="22" t="s">
        <v>8611</v>
      </c>
      <c r="B150" s="22">
        <v>76161620</v>
      </c>
      <c r="C150" s="22">
        <v>76161620</v>
      </c>
      <c r="D150" s="22"/>
    </row>
    <row r="151" spans="1:4">
      <c r="A151" s="22" t="s">
        <v>8612</v>
      </c>
      <c r="B151" s="22">
        <v>76164481</v>
      </c>
      <c r="C151" s="22">
        <v>76164481</v>
      </c>
      <c r="D151" s="22"/>
    </row>
    <row r="152" spans="1:4">
      <c r="A152" s="22" t="s">
        <v>1329</v>
      </c>
      <c r="B152" s="22">
        <v>76166159</v>
      </c>
      <c r="C152" s="22">
        <v>76166159</v>
      </c>
      <c r="D152" s="22"/>
    </row>
    <row r="153" spans="1:4">
      <c r="A153" s="22" t="s">
        <v>8613</v>
      </c>
      <c r="B153" s="22">
        <v>76167524</v>
      </c>
      <c r="C153" s="22">
        <v>76167524</v>
      </c>
      <c r="D153" s="22"/>
    </row>
    <row r="154" spans="1:4">
      <c r="A154" s="22" t="s">
        <v>8614</v>
      </c>
      <c r="B154" s="22">
        <v>76169077</v>
      </c>
      <c r="C154" s="22">
        <v>76169077</v>
      </c>
      <c r="D154" s="22"/>
    </row>
    <row r="155" spans="1:4">
      <c r="A155" s="22" t="s">
        <v>8615</v>
      </c>
      <c r="B155" s="22">
        <v>76171893</v>
      </c>
      <c r="C155" s="22">
        <v>76171893</v>
      </c>
      <c r="D155" s="22"/>
    </row>
    <row r="156" spans="1:4">
      <c r="A156" s="22" t="s">
        <v>8616</v>
      </c>
      <c r="B156" s="22">
        <v>76174262</v>
      </c>
      <c r="C156" s="22">
        <v>76174262</v>
      </c>
      <c r="D156" s="22"/>
    </row>
    <row r="157" spans="1:4">
      <c r="A157" s="22" t="s">
        <v>8617</v>
      </c>
      <c r="B157" s="22">
        <v>76174379</v>
      </c>
      <c r="C157" s="22">
        <v>76174379</v>
      </c>
      <c r="D157" s="22"/>
    </row>
    <row r="158" spans="1:4">
      <c r="A158" s="22" t="s">
        <v>8618</v>
      </c>
      <c r="B158" s="22">
        <v>76174851</v>
      </c>
      <c r="C158" s="22">
        <v>76174851</v>
      </c>
      <c r="D158" s="22"/>
    </row>
    <row r="159" spans="1:4">
      <c r="A159" s="22" t="s">
        <v>1333</v>
      </c>
      <c r="B159" s="22">
        <v>76174859</v>
      </c>
      <c r="C159" s="22">
        <v>76174859</v>
      </c>
      <c r="D159" s="22"/>
    </row>
    <row r="160" spans="1:4">
      <c r="A160" s="22" t="s">
        <v>8619</v>
      </c>
      <c r="B160" s="22">
        <v>76175280</v>
      </c>
      <c r="C160" s="22">
        <v>76175280</v>
      </c>
      <c r="D160" s="22"/>
    </row>
    <row r="161" spans="1:4">
      <c r="A161" s="22" t="s">
        <v>8620</v>
      </c>
      <c r="B161" s="22">
        <v>76176361</v>
      </c>
      <c r="C161" s="22">
        <v>76176361</v>
      </c>
      <c r="D161" s="22"/>
    </row>
    <row r="162" spans="1:4">
      <c r="A162" s="22" t="s">
        <v>8621</v>
      </c>
      <c r="B162" s="22">
        <v>76177469</v>
      </c>
      <c r="C162" s="22">
        <v>76177469</v>
      </c>
      <c r="D162" s="22"/>
    </row>
    <row r="163" spans="1:4">
      <c r="A163" s="22" t="s">
        <v>1336</v>
      </c>
      <c r="B163" s="22">
        <v>76180664</v>
      </c>
      <c r="C163" s="22">
        <v>76180664</v>
      </c>
      <c r="D163" s="22"/>
    </row>
    <row r="164" spans="1:4">
      <c r="A164" s="22" t="s">
        <v>8622</v>
      </c>
      <c r="B164" s="22">
        <v>76181339</v>
      </c>
      <c r="C164" s="22">
        <v>76181339</v>
      </c>
      <c r="D164" s="22"/>
    </row>
    <row r="165" spans="1:4">
      <c r="A165" s="22" t="s">
        <v>8623</v>
      </c>
      <c r="B165" s="22">
        <v>76181342</v>
      </c>
      <c r="C165" s="22">
        <v>76181342</v>
      </c>
      <c r="D165" s="22"/>
    </row>
    <row r="166" spans="1:4">
      <c r="A166" s="21" t="s">
        <v>8624</v>
      </c>
      <c r="B166" s="21">
        <v>76181637</v>
      </c>
      <c r="C166" s="21">
        <v>76181637</v>
      </c>
      <c r="D166" s="22"/>
    </row>
    <row r="167" spans="1:4">
      <c r="A167" s="22" t="s">
        <v>8625</v>
      </c>
      <c r="B167" s="22">
        <v>76185786</v>
      </c>
      <c r="C167" s="22">
        <v>76185786</v>
      </c>
      <c r="D167" s="22"/>
    </row>
    <row r="168" spans="1:4">
      <c r="A168" s="22" t="s">
        <v>8626</v>
      </c>
      <c r="B168" s="22">
        <v>76187104</v>
      </c>
      <c r="C168" s="22">
        <v>76187104</v>
      </c>
      <c r="D168" s="22"/>
    </row>
    <row r="169" spans="1:4">
      <c r="A169" s="22" t="s">
        <v>8627</v>
      </c>
      <c r="B169" s="22">
        <v>76189602</v>
      </c>
      <c r="C169" s="22">
        <v>76189602</v>
      </c>
      <c r="D169" s="22"/>
    </row>
    <row r="170" spans="1:4">
      <c r="A170" s="22" t="s">
        <v>8628</v>
      </c>
      <c r="B170" s="22">
        <v>76189622</v>
      </c>
      <c r="C170" s="22">
        <v>76189622</v>
      </c>
      <c r="D170" s="22"/>
    </row>
    <row r="171" spans="1:4">
      <c r="A171" s="23" t="s">
        <v>8629</v>
      </c>
      <c r="B171" s="23">
        <v>76190137</v>
      </c>
      <c r="C171" s="23">
        <v>76190137</v>
      </c>
      <c r="D171" s="23"/>
    </row>
    <row r="172" spans="1:4">
      <c r="A172" s="22" t="s">
        <v>8630</v>
      </c>
      <c r="B172" s="22">
        <v>76191430</v>
      </c>
      <c r="C172" s="22">
        <v>76191430</v>
      </c>
      <c r="D172" s="22"/>
    </row>
    <row r="173" spans="1:4">
      <c r="A173" s="22" t="s">
        <v>8043</v>
      </c>
      <c r="B173" s="22">
        <v>76192745</v>
      </c>
      <c r="C173" s="22">
        <v>76192745</v>
      </c>
      <c r="D173" s="22"/>
    </row>
    <row r="174" spans="1:4">
      <c r="A174" s="23" t="s">
        <v>8631</v>
      </c>
      <c r="B174" s="23">
        <v>76192785</v>
      </c>
      <c r="C174" s="23">
        <v>76192785</v>
      </c>
      <c r="D174" s="23"/>
    </row>
    <row r="175" spans="1:4">
      <c r="A175" s="22" t="s">
        <v>8632</v>
      </c>
      <c r="B175" s="22">
        <v>76193859</v>
      </c>
      <c r="C175" s="22">
        <v>76193859</v>
      </c>
      <c r="D175" s="22"/>
    </row>
    <row r="176" spans="1:4">
      <c r="A176" s="22" t="s">
        <v>8633</v>
      </c>
      <c r="B176" s="22">
        <v>76193942</v>
      </c>
      <c r="C176" s="22">
        <v>76193942</v>
      </c>
      <c r="D176" s="22"/>
    </row>
    <row r="177" spans="1:4">
      <c r="A177" s="22" t="s">
        <v>105</v>
      </c>
      <c r="B177" s="22">
        <v>76194812</v>
      </c>
      <c r="C177" s="22">
        <v>76194812</v>
      </c>
      <c r="D177" s="22"/>
    </row>
    <row r="178" spans="1:4">
      <c r="A178" s="22" t="s">
        <v>8634</v>
      </c>
      <c r="B178" s="22">
        <v>76194813</v>
      </c>
      <c r="C178" s="22">
        <v>76194813</v>
      </c>
      <c r="D178" s="22"/>
    </row>
    <row r="179" spans="1:4">
      <c r="A179" s="22" t="s">
        <v>8635</v>
      </c>
      <c r="B179" s="22">
        <v>76195076</v>
      </c>
      <c r="C179" s="22">
        <v>76195076</v>
      </c>
      <c r="D179" s="22"/>
    </row>
    <row r="180" spans="1:4">
      <c r="A180" s="22" t="s">
        <v>8636</v>
      </c>
      <c r="B180" s="22">
        <v>76195721</v>
      </c>
      <c r="C180" s="22">
        <v>76195721</v>
      </c>
      <c r="D180" s="22"/>
    </row>
    <row r="181" spans="1:4">
      <c r="A181" s="22" t="s">
        <v>8637</v>
      </c>
      <c r="B181" s="22">
        <v>76196435</v>
      </c>
      <c r="C181" s="22">
        <v>76196435</v>
      </c>
      <c r="D181" s="22"/>
    </row>
    <row r="182" spans="1:4">
      <c r="A182" s="22" t="s">
        <v>8638</v>
      </c>
      <c r="B182" s="22">
        <v>76202064</v>
      </c>
      <c r="C182" s="22">
        <v>76202064</v>
      </c>
      <c r="D182" s="22"/>
    </row>
    <row r="183" spans="1:4">
      <c r="A183" s="21" t="s">
        <v>8639</v>
      </c>
      <c r="B183" s="21">
        <v>76202065</v>
      </c>
      <c r="C183" s="21">
        <v>76202065</v>
      </c>
      <c r="D183" s="22"/>
    </row>
    <row r="184" spans="1:4">
      <c r="A184" s="22" t="s">
        <v>114</v>
      </c>
      <c r="B184" s="22">
        <v>76202516</v>
      </c>
      <c r="C184" s="22">
        <v>76202516</v>
      </c>
      <c r="D184" s="22"/>
    </row>
    <row r="185" spans="1:4">
      <c r="A185" s="22" t="s">
        <v>8072</v>
      </c>
      <c r="B185" s="22">
        <v>76203144</v>
      </c>
      <c r="C185" s="22">
        <v>76203144</v>
      </c>
      <c r="D185" s="22"/>
    </row>
    <row r="186" spans="1:4">
      <c r="A186" s="21" t="s">
        <v>8640</v>
      </c>
      <c r="B186" s="21">
        <v>76203882</v>
      </c>
      <c r="C186" s="21">
        <v>76203882</v>
      </c>
      <c r="D186" s="22"/>
    </row>
    <row r="187" spans="1:4">
      <c r="A187" s="22" t="s">
        <v>921</v>
      </c>
      <c r="B187" s="22">
        <v>76204181</v>
      </c>
      <c r="C187" s="22">
        <v>76204181</v>
      </c>
      <c r="D187" s="22"/>
    </row>
    <row r="188" spans="1:4">
      <c r="A188" s="22" t="s">
        <v>117</v>
      </c>
      <c r="B188" s="22">
        <v>76204182</v>
      </c>
      <c r="C188" s="22">
        <v>76204182</v>
      </c>
      <c r="D188" s="22"/>
    </row>
    <row r="189" spans="1:4">
      <c r="A189" s="22" t="s">
        <v>1344</v>
      </c>
      <c r="B189" s="22">
        <v>76204947</v>
      </c>
      <c r="C189" s="22">
        <v>76204947</v>
      </c>
      <c r="D189" s="22"/>
    </row>
    <row r="190" spans="1:4">
      <c r="A190" s="22" t="s">
        <v>8641</v>
      </c>
      <c r="B190" s="22">
        <v>76204967</v>
      </c>
      <c r="C190" s="22">
        <v>76204967</v>
      </c>
      <c r="D190" s="22"/>
    </row>
    <row r="191" spans="1:4">
      <c r="A191" s="22" t="s">
        <v>8642</v>
      </c>
      <c r="B191" s="22">
        <v>76205088</v>
      </c>
      <c r="C191" s="22">
        <v>76205088</v>
      </c>
      <c r="D191" s="22"/>
    </row>
    <row r="192" spans="1:4">
      <c r="A192" s="21" t="s">
        <v>2787</v>
      </c>
      <c r="B192" s="21">
        <v>76206328</v>
      </c>
      <c r="C192" s="21">
        <v>76206328</v>
      </c>
      <c r="D192" s="22"/>
    </row>
    <row r="193" spans="1:4">
      <c r="A193" s="22" t="s">
        <v>8643</v>
      </c>
      <c r="B193" s="22">
        <v>76206468</v>
      </c>
      <c r="C193" s="22">
        <v>76206468</v>
      </c>
      <c r="D193" s="22"/>
    </row>
    <row r="194" spans="1:4">
      <c r="A194" s="22" t="s">
        <v>8644</v>
      </c>
      <c r="B194" s="22">
        <v>76206627</v>
      </c>
      <c r="C194" s="22">
        <v>76206627</v>
      </c>
      <c r="D194" s="22"/>
    </row>
    <row r="195" spans="1:4">
      <c r="A195" s="22" t="s">
        <v>1347</v>
      </c>
      <c r="B195" s="22">
        <v>76207079</v>
      </c>
      <c r="C195" s="22">
        <v>76207079</v>
      </c>
      <c r="D195" s="22"/>
    </row>
    <row r="196" spans="1:4">
      <c r="A196" s="22" t="s">
        <v>8645</v>
      </c>
      <c r="B196" s="22">
        <v>76207108</v>
      </c>
      <c r="C196" s="22">
        <v>76207108</v>
      </c>
      <c r="D196" s="22"/>
    </row>
    <row r="197" spans="1:4">
      <c r="A197" s="22" t="s">
        <v>8646</v>
      </c>
      <c r="B197" s="22">
        <v>76208069</v>
      </c>
      <c r="C197" s="22">
        <v>76208069</v>
      </c>
      <c r="D197" s="22"/>
    </row>
    <row r="198" spans="1:4">
      <c r="A198" s="22" t="s">
        <v>8647</v>
      </c>
      <c r="B198" s="22">
        <v>76209123</v>
      </c>
      <c r="C198" s="22">
        <v>76209123</v>
      </c>
      <c r="D198" s="22"/>
    </row>
    <row r="199" spans="1:4">
      <c r="A199" s="23" t="s">
        <v>1272</v>
      </c>
      <c r="B199" s="23">
        <v>76209246</v>
      </c>
      <c r="C199" s="23">
        <v>76209246</v>
      </c>
      <c r="D199" s="23"/>
    </row>
    <row r="200" spans="1:4">
      <c r="A200" s="22" t="s">
        <v>8097</v>
      </c>
      <c r="B200" s="22">
        <v>76210722</v>
      </c>
      <c r="C200" s="22">
        <v>76210722</v>
      </c>
      <c r="D200" s="22"/>
    </row>
    <row r="201" spans="1:4">
      <c r="A201" s="23" t="s">
        <v>8648</v>
      </c>
      <c r="B201" s="23">
        <v>76210817</v>
      </c>
      <c r="C201" s="23">
        <v>76210817</v>
      </c>
      <c r="D201" s="23"/>
    </row>
    <row r="202" spans="1:4">
      <c r="A202" s="21" t="s">
        <v>8649</v>
      </c>
      <c r="B202" s="21">
        <v>76211134</v>
      </c>
      <c r="C202" s="21">
        <v>76211134</v>
      </c>
      <c r="D202" s="22"/>
    </row>
    <row r="203" spans="1:4">
      <c r="A203" s="21" t="s">
        <v>8650</v>
      </c>
      <c r="B203" s="21">
        <v>76211612</v>
      </c>
      <c r="C203" s="21">
        <v>76211612</v>
      </c>
      <c r="D203" s="22"/>
    </row>
    <row r="204" spans="1:4">
      <c r="A204" s="21" t="s">
        <v>8651</v>
      </c>
      <c r="B204" s="21">
        <v>76211737</v>
      </c>
      <c r="C204" s="21">
        <v>76211737</v>
      </c>
      <c r="D204" s="22"/>
    </row>
    <row r="205" spans="1:4">
      <c r="A205" s="22" t="s">
        <v>8652</v>
      </c>
      <c r="B205" s="22">
        <v>76211858</v>
      </c>
      <c r="C205" s="22">
        <v>76211858</v>
      </c>
      <c r="D205" s="22"/>
    </row>
    <row r="206" spans="1:4">
      <c r="A206" s="21" t="s">
        <v>8653</v>
      </c>
      <c r="B206" s="21">
        <v>76212091</v>
      </c>
      <c r="C206" s="21">
        <v>76212091</v>
      </c>
      <c r="D206" s="22"/>
    </row>
    <row r="207" spans="1:4">
      <c r="A207" s="22" t="s">
        <v>8654</v>
      </c>
      <c r="B207" s="22">
        <v>76212720</v>
      </c>
      <c r="C207" s="22">
        <v>76212720</v>
      </c>
      <c r="D207" s="22"/>
    </row>
    <row r="208" spans="1:4">
      <c r="A208" s="22" t="s">
        <v>8655</v>
      </c>
      <c r="B208" s="22">
        <v>76212903</v>
      </c>
      <c r="C208" s="22">
        <v>76212903</v>
      </c>
      <c r="D208" s="22"/>
    </row>
    <row r="209" spans="1:4">
      <c r="A209" s="22" t="s">
        <v>8656</v>
      </c>
      <c r="B209" s="22">
        <v>76213684</v>
      </c>
      <c r="C209" s="22">
        <v>76213684</v>
      </c>
      <c r="D209" s="22"/>
    </row>
    <row r="210" spans="1:4">
      <c r="A210" s="22" t="s">
        <v>8657</v>
      </c>
      <c r="B210" s="22">
        <v>76215501</v>
      </c>
      <c r="C210" s="22">
        <v>76215501</v>
      </c>
      <c r="D210" s="22"/>
    </row>
    <row r="211" spans="1:4">
      <c r="A211" s="22" t="s">
        <v>8658</v>
      </c>
      <c r="B211" s="22">
        <v>76215521</v>
      </c>
      <c r="C211" s="22">
        <v>76215521</v>
      </c>
      <c r="D211" s="22"/>
    </row>
    <row r="212" spans="1:4">
      <c r="A212" s="22" t="s">
        <v>8659</v>
      </c>
      <c r="B212" s="22">
        <v>76216232</v>
      </c>
      <c r="C212" s="22">
        <v>76216232</v>
      </c>
      <c r="D212" s="22"/>
    </row>
    <row r="213" spans="1:4">
      <c r="A213" s="22" t="s">
        <v>8660</v>
      </c>
      <c r="B213" s="22">
        <v>76216383</v>
      </c>
      <c r="C213" s="22">
        <v>76216383</v>
      </c>
      <c r="D213" s="22"/>
    </row>
    <row r="214" spans="1:4">
      <c r="A214" s="22" t="s">
        <v>8661</v>
      </c>
      <c r="B214" s="22">
        <v>76216547</v>
      </c>
      <c r="C214" s="22">
        <v>76216547</v>
      </c>
      <c r="D214" s="22"/>
    </row>
    <row r="215" spans="1:4">
      <c r="A215" s="22" t="s">
        <v>8662</v>
      </c>
      <c r="B215" s="22">
        <v>76216548</v>
      </c>
      <c r="C215" s="22">
        <v>76216548</v>
      </c>
      <c r="D215" s="22"/>
    </row>
    <row r="216" spans="1:4">
      <c r="A216" s="23" t="s">
        <v>8663</v>
      </c>
      <c r="B216" s="23">
        <v>76216609</v>
      </c>
      <c r="C216" s="23">
        <v>76216609</v>
      </c>
      <c r="D216" s="23"/>
    </row>
    <row r="217" spans="1:4">
      <c r="A217" s="22" t="s">
        <v>132</v>
      </c>
      <c r="B217" s="22">
        <v>76217358</v>
      </c>
      <c r="C217" s="22">
        <v>76217358</v>
      </c>
      <c r="D217" s="22"/>
    </row>
    <row r="218" spans="1:4">
      <c r="A218" s="24" t="s">
        <v>8664</v>
      </c>
      <c r="B218" s="24">
        <v>76217674</v>
      </c>
      <c r="C218" s="24">
        <v>76217674</v>
      </c>
      <c r="D218" s="23"/>
    </row>
    <row r="219" spans="1:4">
      <c r="A219" s="21" t="s">
        <v>8665</v>
      </c>
      <c r="B219" s="21">
        <v>76218326</v>
      </c>
      <c r="C219" s="21">
        <v>76218326</v>
      </c>
      <c r="D219" s="22"/>
    </row>
    <row r="220" spans="1:4">
      <c r="A220" s="21" t="s">
        <v>8666</v>
      </c>
      <c r="B220" s="21">
        <v>76218822</v>
      </c>
      <c r="C220" s="21">
        <v>76218822</v>
      </c>
      <c r="D220" s="22"/>
    </row>
    <row r="221" spans="1:4">
      <c r="A221" s="22" t="s">
        <v>8667</v>
      </c>
      <c r="B221" s="22">
        <v>76219199</v>
      </c>
      <c r="C221" s="22">
        <v>76219199</v>
      </c>
      <c r="D221" s="22"/>
    </row>
    <row r="222" spans="1:4">
      <c r="A222" s="22" t="s">
        <v>1354</v>
      </c>
      <c r="B222" s="22">
        <v>76219463</v>
      </c>
      <c r="C222" s="22">
        <v>76219463</v>
      </c>
      <c r="D222" s="22"/>
    </row>
    <row r="223" spans="1:4">
      <c r="A223" s="22" t="s">
        <v>8668</v>
      </c>
      <c r="B223" s="22">
        <v>76219556</v>
      </c>
      <c r="C223" s="22">
        <v>76219556</v>
      </c>
      <c r="D223" s="22"/>
    </row>
    <row r="224" spans="1:4">
      <c r="A224" s="22" t="s">
        <v>8669</v>
      </c>
      <c r="B224" s="22">
        <v>76220198</v>
      </c>
      <c r="C224" s="22">
        <v>76220198</v>
      </c>
      <c r="D224" s="22"/>
    </row>
    <row r="225" spans="1:4">
      <c r="A225" s="22" t="s">
        <v>8670</v>
      </c>
      <c r="B225" s="22">
        <v>76220501</v>
      </c>
      <c r="C225" s="22">
        <v>76220501</v>
      </c>
      <c r="D225" s="22"/>
    </row>
    <row r="226" spans="1:4">
      <c r="A226" s="22" t="s">
        <v>8671</v>
      </c>
      <c r="B226" s="22">
        <v>76220642</v>
      </c>
      <c r="C226" s="22">
        <v>76220642</v>
      </c>
      <c r="D226" s="22"/>
    </row>
    <row r="227" spans="1:4">
      <c r="A227" s="21" t="s">
        <v>8672</v>
      </c>
      <c r="B227" s="21">
        <v>76220778</v>
      </c>
      <c r="C227" s="21">
        <v>76220778</v>
      </c>
      <c r="D227" s="22"/>
    </row>
    <row r="228" spans="1:4">
      <c r="A228" s="22" t="s">
        <v>8673</v>
      </c>
      <c r="B228" s="22">
        <v>76220843</v>
      </c>
      <c r="C228" s="22">
        <v>76220843</v>
      </c>
      <c r="D228" s="22"/>
    </row>
    <row r="229" spans="1:4">
      <c r="A229" s="21" t="s">
        <v>8674</v>
      </c>
      <c r="B229" s="21">
        <v>76220929</v>
      </c>
      <c r="C229" s="21">
        <v>76220929</v>
      </c>
      <c r="D229" s="22"/>
    </row>
    <row r="230" spans="1:4">
      <c r="A230" s="21" t="s">
        <v>8675</v>
      </c>
      <c r="B230" s="21">
        <v>76220930</v>
      </c>
      <c r="C230" s="21">
        <v>76220930</v>
      </c>
      <c r="D230" s="22"/>
    </row>
    <row r="231" spans="1:4">
      <c r="A231" s="22" t="s">
        <v>8676</v>
      </c>
      <c r="B231" s="22">
        <v>76221276</v>
      </c>
      <c r="C231" s="22">
        <v>76221276</v>
      </c>
      <c r="D231" s="22"/>
    </row>
    <row r="232" spans="1:4">
      <c r="A232" s="22" t="s">
        <v>8677</v>
      </c>
      <c r="B232" s="22">
        <v>76223771</v>
      </c>
      <c r="C232" s="22">
        <v>76223771</v>
      </c>
      <c r="D232" s="22"/>
    </row>
    <row r="233" spans="1:4">
      <c r="A233" s="21" t="s">
        <v>1460</v>
      </c>
      <c r="B233" s="21">
        <v>76224033</v>
      </c>
      <c r="C233" s="21">
        <v>76224033</v>
      </c>
      <c r="D233" s="22"/>
    </row>
    <row r="234" spans="1:4">
      <c r="A234" s="21" t="s">
        <v>8678</v>
      </c>
      <c r="B234" s="21">
        <v>76224072</v>
      </c>
      <c r="C234" s="21">
        <v>76224072</v>
      </c>
      <c r="D234" s="22"/>
    </row>
    <row r="235" spans="1:4">
      <c r="A235" s="22" t="s">
        <v>8183</v>
      </c>
      <c r="B235" s="22">
        <v>76224587</v>
      </c>
      <c r="C235" s="22">
        <v>76224587</v>
      </c>
      <c r="D235" s="22"/>
    </row>
    <row r="236" spans="1:4">
      <c r="A236" s="22" t="s">
        <v>8679</v>
      </c>
      <c r="B236" s="22">
        <v>76224894</v>
      </c>
      <c r="C236" s="22">
        <v>76224894</v>
      </c>
      <c r="D236" s="22"/>
    </row>
    <row r="237" spans="1:4">
      <c r="A237" s="22" t="s">
        <v>141</v>
      </c>
      <c r="B237" s="22">
        <v>76225712</v>
      </c>
      <c r="C237" s="22">
        <v>76225712</v>
      </c>
      <c r="D237" s="22"/>
    </row>
    <row r="238" spans="1:4">
      <c r="A238" s="22" t="s">
        <v>8680</v>
      </c>
      <c r="B238" s="22">
        <v>76226153</v>
      </c>
      <c r="C238" s="22">
        <v>76226153</v>
      </c>
      <c r="D238" s="22"/>
    </row>
    <row r="239" spans="1:4">
      <c r="A239" s="22" t="s">
        <v>8681</v>
      </c>
      <c r="B239" s="22">
        <v>76226633</v>
      </c>
      <c r="C239" s="22">
        <v>76226633</v>
      </c>
      <c r="D239" s="22"/>
    </row>
    <row r="240" spans="1:4">
      <c r="A240" s="22" t="s">
        <v>8682</v>
      </c>
      <c r="B240" s="22">
        <v>76226653</v>
      </c>
      <c r="C240" s="22">
        <v>76226653</v>
      </c>
      <c r="D240" s="22"/>
    </row>
    <row r="241" spans="1:4">
      <c r="A241" s="22" t="s">
        <v>8683</v>
      </c>
      <c r="B241" s="22">
        <v>76226964</v>
      </c>
      <c r="C241" s="22">
        <v>76226964</v>
      </c>
      <c r="D241" s="22"/>
    </row>
    <row r="242" spans="1:4">
      <c r="A242" s="22" t="s">
        <v>8684</v>
      </c>
      <c r="B242" s="22">
        <v>76227075</v>
      </c>
      <c r="C242" s="22">
        <v>76227075</v>
      </c>
      <c r="D242" s="22"/>
    </row>
    <row r="243" spans="1:4">
      <c r="A243" s="22" t="s">
        <v>8685</v>
      </c>
      <c r="B243" s="22">
        <v>76227077</v>
      </c>
      <c r="C243" s="22">
        <v>76227077</v>
      </c>
      <c r="D243" s="22"/>
    </row>
    <row r="244" spans="1:4">
      <c r="A244" s="22" t="s">
        <v>8686</v>
      </c>
      <c r="B244" s="22">
        <v>76227081</v>
      </c>
      <c r="C244" s="22">
        <v>76227081</v>
      </c>
      <c r="D244" s="22"/>
    </row>
    <row r="245" spans="1:4">
      <c r="A245" s="22" t="s">
        <v>8687</v>
      </c>
      <c r="B245" s="22">
        <v>76227081</v>
      </c>
      <c r="C245" s="22">
        <v>76227081</v>
      </c>
      <c r="D245" s="22"/>
    </row>
    <row r="246" spans="1:4">
      <c r="A246" s="22" t="s">
        <v>144</v>
      </c>
      <c r="B246" s="22">
        <v>76227121</v>
      </c>
      <c r="C246" s="22">
        <v>76227121</v>
      </c>
      <c r="D246" s="22"/>
    </row>
    <row r="247" spans="1:4">
      <c r="A247" s="22" t="s">
        <v>147</v>
      </c>
      <c r="B247" s="22">
        <v>76227134</v>
      </c>
      <c r="C247" s="22">
        <v>76227134</v>
      </c>
      <c r="D247" s="22"/>
    </row>
    <row r="248" spans="1:4">
      <c r="A248" s="21" t="s">
        <v>8688</v>
      </c>
      <c r="B248" s="21">
        <v>76227448</v>
      </c>
      <c r="C248" s="21">
        <v>76227448</v>
      </c>
      <c r="D248" s="22"/>
    </row>
    <row r="249" spans="1:4">
      <c r="A249" s="21" t="s">
        <v>8689</v>
      </c>
      <c r="B249" s="21">
        <v>76227449</v>
      </c>
      <c r="C249" s="21">
        <v>76227449</v>
      </c>
      <c r="D249" s="22"/>
    </row>
    <row r="250" spans="1:4">
      <c r="A250" s="22" t="s">
        <v>150</v>
      </c>
      <c r="B250" s="22">
        <v>76227679</v>
      </c>
      <c r="C250" s="22">
        <v>76227679</v>
      </c>
      <c r="D250" s="22"/>
    </row>
    <row r="251" spans="1:4">
      <c r="A251" s="21" t="s">
        <v>8690</v>
      </c>
      <c r="B251" s="21">
        <v>76227701</v>
      </c>
      <c r="C251" s="21">
        <v>76227701</v>
      </c>
      <c r="D251" s="22"/>
    </row>
    <row r="252" spans="1:4">
      <c r="A252" s="21" t="s">
        <v>8691</v>
      </c>
      <c r="B252" s="21">
        <v>76227703</v>
      </c>
      <c r="C252" s="21">
        <v>76227703</v>
      </c>
      <c r="D252" s="22"/>
    </row>
    <row r="253" spans="1:4">
      <c r="A253" s="22" t="s">
        <v>153</v>
      </c>
      <c r="B253" s="22">
        <v>76227757</v>
      </c>
      <c r="C253" s="22">
        <v>76227757</v>
      </c>
      <c r="D253" s="22"/>
    </row>
    <row r="254" spans="1:4">
      <c r="A254" s="23" t="s">
        <v>156</v>
      </c>
      <c r="B254" s="23">
        <v>76228229</v>
      </c>
      <c r="C254" s="23">
        <v>76228229</v>
      </c>
      <c r="D254" s="23"/>
    </row>
    <row r="255" spans="1:4">
      <c r="A255" s="22" t="s">
        <v>159</v>
      </c>
      <c r="B255" s="22">
        <v>76228237</v>
      </c>
      <c r="C255" s="22">
        <v>76228237</v>
      </c>
      <c r="D255" s="22"/>
    </row>
    <row r="256" spans="1:4">
      <c r="A256" s="22" t="s">
        <v>162</v>
      </c>
      <c r="B256" s="22">
        <v>76228316</v>
      </c>
      <c r="C256" s="22">
        <v>76228316</v>
      </c>
      <c r="D256" s="22"/>
    </row>
    <row r="257" spans="1:4">
      <c r="A257" s="22" t="s">
        <v>165</v>
      </c>
      <c r="B257" s="22">
        <v>76228629</v>
      </c>
      <c r="C257" s="22">
        <v>76228629</v>
      </c>
      <c r="D257" s="22"/>
    </row>
    <row r="258" spans="1:4">
      <c r="A258" s="22" t="s">
        <v>171</v>
      </c>
      <c r="B258" s="22">
        <v>76229253</v>
      </c>
      <c r="C258" s="22">
        <v>76229253</v>
      </c>
      <c r="D258" s="22"/>
    </row>
    <row r="259" spans="1:4">
      <c r="A259" s="22" t="s">
        <v>174</v>
      </c>
      <c r="B259" s="22">
        <v>76229684</v>
      </c>
      <c r="C259" s="22">
        <v>76229684</v>
      </c>
      <c r="D259" s="22"/>
    </row>
    <row r="260" spans="1:4">
      <c r="A260" s="22" t="s">
        <v>177</v>
      </c>
      <c r="B260" s="22">
        <v>76229942</v>
      </c>
      <c r="C260" s="22">
        <v>76229942</v>
      </c>
      <c r="D260" s="22"/>
    </row>
    <row r="261" spans="1:4">
      <c r="A261" s="22" t="s">
        <v>183</v>
      </c>
      <c r="B261" s="22">
        <v>76230427</v>
      </c>
      <c r="C261" s="22">
        <v>76230427</v>
      </c>
      <c r="D261" s="22"/>
    </row>
    <row r="262" spans="1:4">
      <c r="A262" s="21" t="s">
        <v>8692</v>
      </c>
      <c r="B262" s="21">
        <v>76230499</v>
      </c>
      <c r="C262" s="21">
        <v>76230499</v>
      </c>
      <c r="D262" s="22"/>
    </row>
    <row r="263" spans="1:4">
      <c r="A263" s="21" t="s">
        <v>8693</v>
      </c>
      <c r="B263" s="21">
        <v>76231547</v>
      </c>
      <c r="C263" s="21">
        <v>76231547</v>
      </c>
      <c r="D263" s="22"/>
    </row>
    <row r="264" spans="1:4">
      <c r="A264" s="22" t="s">
        <v>189</v>
      </c>
      <c r="B264" s="22">
        <v>76231928</v>
      </c>
      <c r="C264" s="22">
        <v>76231928</v>
      </c>
      <c r="D264" s="22"/>
    </row>
    <row r="265" spans="1:4">
      <c r="A265" s="22" t="s">
        <v>192</v>
      </c>
      <c r="B265" s="22">
        <v>76232064</v>
      </c>
      <c r="C265" s="22">
        <v>76232064</v>
      </c>
      <c r="D265" s="22"/>
    </row>
    <row r="266" spans="1:4">
      <c r="A266" s="22" t="s">
        <v>195</v>
      </c>
      <c r="B266" s="22">
        <v>76232553</v>
      </c>
      <c r="C266" s="22">
        <v>76232553</v>
      </c>
      <c r="D266" s="22"/>
    </row>
    <row r="267" spans="1:4">
      <c r="A267" s="22" t="s">
        <v>198</v>
      </c>
      <c r="B267" s="22">
        <v>76232596</v>
      </c>
      <c r="C267" s="22">
        <v>76232596</v>
      </c>
      <c r="D267" s="22"/>
    </row>
    <row r="268" spans="1:4">
      <c r="A268" s="23" t="s">
        <v>201</v>
      </c>
      <c r="B268" s="23">
        <v>76232815</v>
      </c>
      <c r="C268" s="23">
        <v>76232815</v>
      </c>
      <c r="D268" s="23"/>
    </row>
    <row r="269" spans="1:4">
      <c r="A269" s="22" t="s">
        <v>204</v>
      </c>
      <c r="B269" s="22">
        <v>76233048</v>
      </c>
      <c r="C269" s="22">
        <v>76233048</v>
      </c>
      <c r="D269" s="22"/>
    </row>
    <row r="270" spans="1:4">
      <c r="A270" s="22" t="s">
        <v>207</v>
      </c>
      <c r="B270" s="22">
        <v>76233242</v>
      </c>
      <c r="C270" s="22">
        <v>76233242</v>
      </c>
      <c r="D270" s="22"/>
    </row>
    <row r="271" spans="1:4">
      <c r="A271" s="22" t="s">
        <v>210</v>
      </c>
      <c r="B271" s="22">
        <v>76234206</v>
      </c>
      <c r="C271" s="22">
        <v>76234206</v>
      </c>
      <c r="D271" s="22"/>
    </row>
    <row r="272" spans="1:4">
      <c r="A272" s="22" t="s">
        <v>213</v>
      </c>
      <c r="B272" s="22">
        <v>76234275</v>
      </c>
      <c r="C272" s="22">
        <v>76234275</v>
      </c>
      <c r="D272" s="22"/>
    </row>
    <row r="273" spans="1:4">
      <c r="A273" s="21" t="s">
        <v>8694</v>
      </c>
      <c r="B273" s="21">
        <v>76234979</v>
      </c>
      <c r="C273" s="21">
        <v>76234979</v>
      </c>
      <c r="D273" s="22"/>
    </row>
    <row r="274" spans="1:4">
      <c r="A274" s="21" t="s">
        <v>8695</v>
      </c>
      <c r="B274" s="21">
        <v>76234982</v>
      </c>
      <c r="C274" s="21">
        <v>76234982</v>
      </c>
      <c r="D274" s="22"/>
    </row>
    <row r="275" spans="1:4">
      <c r="A275" s="21" t="s">
        <v>8696</v>
      </c>
      <c r="B275" s="21">
        <v>76235392</v>
      </c>
      <c r="C275" s="21">
        <v>76235392</v>
      </c>
      <c r="D275" s="22"/>
    </row>
    <row r="276" spans="1:4">
      <c r="A276" s="25" t="s">
        <v>216</v>
      </c>
      <c r="B276" s="25">
        <v>76235514</v>
      </c>
      <c r="C276" s="25">
        <v>76235514</v>
      </c>
      <c r="D276" s="25"/>
    </row>
    <row r="277" spans="1:4">
      <c r="A277" s="22" t="s">
        <v>8697</v>
      </c>
      <c r="B277" s="22">
        <v>76235642</v>
      </c>
      <c r="C277" s="22">
        <v>76235642</v>
      </c>
      <c r="D277" s="22"/>
    </row>
    <row r="278" spans="1:4">
      <c r="A278" s="22" t="s">
        <v>219</v>
      </c>
      <c r="B278" s="22">
        <v>76236622</v>
      </c>
      <c r="C278" s="22">
        <v>76236622</v>
      </c>
      <c r="D278" s="22"/>
    </row>
    <row r="279" spans="1:4">
      <c r="A279" s="22" t="s">
        <v>8698</v>
      </c>
      <c r="B279" s="22">
        <v>76236856</v>
      </c>
      <c r="C279" s="22">
        <v>76236856</v>
      </c>
      <c r="D279" s="22"/>
    </row>
    <row r="280" spans="1:4">
      <c r="A280" s="22" t="s">
        <v>222</v>
      </c>
      <c r="B280" s="22">
        <v>76237142</v>
      </c>
      <c r="C280" s="22">
        <v>76237142</v>
      </c>
      <c r="D280" s="22"/>
    </row>
    <row r="281" spans="1:4">
      <c r="A281" s="22" t="s">
        <v>225</v>
      </c>
      <c r="B281" s="22">
        <v>76237167</v>
      </c>
      <c r="C281" s="22">
        <v>76237167</v>
      </c>
      <c r="D281" s="22"/>
    </row>
    <row r="282" spans="1:4">
      <c r="A282" s="22" t="s">
        <v>228</v>
      </c>
      <c r="B282" s="22">
        <v>76237170</v>
      </c>
      <c r="C282" s="22">
        <v>76237170</v>
      </c>
      <c r="D282" s="22"/>
    </row>
    <row r="283" spans="1:4">
      <c r="A283" s="21" t="s">
        <v>8699</v>
      </c>
      <c r="B283" s="21">
        <v>76237278</v>
      </c>
      <c r="C283" s="21">
        <v>76237278</v>
      </c>
      <c r="D283" s="22"/>
    </row>
    <row r="284" spans="1:4">
      <c r="A284" s="21" t="s">
        <v>8700</v>
      </c>
      <c r="B284" s="21">
        <v>76237579</v>
      </c>
      <c r="C284" s="21">
        <v>76237579</v>
      </c>
      <c r="D284" s="22"/>
    </row>
    <row r="285" spans="1:4">
      <c r="A285" s="22" t="s">
        <v>8701</v>
      </c>
      <c r="B285" s="22">
        <v>76238024</v>
      </c>
      <c r="C285" s="22">
        <v>76238024</v>
      </c>
      <c r="D285" s="22"/>
    </row>
    <row r="286" spans="1:4">
      <c r="A286" s="25" t="s">
        <v>231</v>
      </c>
      <c r="B286" s="25">
        <v>76238669</v>
      </c>
      <c r="C286" s="25">
        <v>76238669</v>
      </c>
      <c r="D286" s="25"/>
    </row>
    <row r="287" spans="1:4">
      <c r="A287" s="22" t="s">
        <v>234</v>
      </c>
      <c r="B287" s="22">
        <v>76238760</v>
      </c>
      <c r="C287" s="22">
        <v>76238760</v>
      </c>
      <c r="D287" s="22"/>
    </row>
    <row r="288" spans="1:4">
      <c r="A288" s="22" t="s">
        <v>240</v>
      </c>
      <c r="B288" s="22">
        <v>76240429</v>
      </c>
      <c r="C288" s="22">
        <v>76240429</v>
      </c>
      <c r="D288" s="22"/>
    </row>
    <row r="289" spans="1:4">
      <c r="A289" s="22" t="s">
        <v>243</v>
      </c>
      <c r="B289" s="22">
        <v>76241005</v>
      </c>
      <c r="C289" s="22">
        <v>76241005</v>
      </c>
      <c r="D289" s="22"/>
    </row>
    <row r="290" spans="1:4">
      <c r="A290" s="22" t="s">
        <v>246</v>
      </c>
      <c r="B290" s="22">
        <v>76241171</v>
      </c>
      <c r="C290" s="22">
        <v>76241171</v>
      </c>
      <c r="D290" s="22"/>
    </row>
    <row r="291" spans="1:4">
      <c r="A291" s="22" t="s">
        <v>249</v>
      </c>
      <c r="B291" s="22">
        <v>76241172</v>
      </c>
      <c r="C291" s="22">
        <v>76241172</v>
      </c>
      <c r="D291" s="22"/>
    </row>
    <row r="292" spans="1:4">
      <c r="A292" s="22" t="s">
        <v>252</v>
      </c>
      <c r="B292" s="22">
        <v>76241447</v>
      </c>
      <c r="C292" s="22">
        <v>76241447</v>
      </c>
      <c r="D292" s="22"/>
    </row>
    <row r="293" spans="1:4">
      <c r="A293" s="22" t="s">
        <v>255</v>
      </c>
      <c r="B293" s="22">
        <v>76241522</v>
      </c>
      <c r="C293" s="22">
        <v>76241522</v>
      </c>
      <c r="D293" s="22"/>
    </row>
    <row r="294" spans="1:4">
      <c r="A294" s="21" t="s">
        <v>8702</v>
      </c>
      <c r="B294" s="21">
        <v>76241740</v>
      </c>
      <c r="C294" s="21">
        <v>76241740</v>
      </c>
      <c r="D294" s="22"/>
    </row>
    <row r="295" spans="1:4">
      <c r="A295" s="22" t="s">
        <v>8703</v>
      </c>
      <c r="B295" s="22">
        <v>76241969</v>
      </c>
      <c r="C295" s="22">
        <v>76241969</v>
      </c>
      <c r="D295" s="22"/>
    </row>
    <row r="296" spans="1:4">
      <c r="A296" s="22" t="s">
        <v>258</v>
      </c>
      <c r="B296" s="22">
        <v>76243293</v>
      </c>
      <c r="C296" s="22">
        <v>76243293</v>
      </c>
      <c r="D296" s="22"/>
    </row>
    <row r="297" spans="1:4">
      <c r="A297" s="25" t="s">
        <v>261</v>
      </c>
      <c r="B297" s="25">
        <v>76244521</v>
      </c>
      <c r="C297" s="25">
        <v>76244521</v>
      </c>
      <c r="D297" s="25"/>
    </row>
    <row r="298" spans="1:4">
      <c r="A298" s="21" t="s">
        <v>8704</v>
      </c>
      <c r="B298" s="21">
        <v>76244657</v>
      </c>
      <c r="C298" s="21">
        <v>76244657</v>
      </c>
      <c r="D298" s="22"/>
    </row>
    <row r="299" spans="1:4">
      <c r="A299" s="22" t="s">
        <v>264</v>
      </c>
      <c r="B299" s="22">
        <v>76244781</v>
      </c>
      <c r="C299" s="22">
        <v>76244781</v>
      </c>
      <c r="D299" s="22"/>
    </row>
    <row r="300" spans="1:4">
      <c r="A300" s="22" t="s">
        <v>691</v>
      </c>
      <c r="B300" s="22">
        <v>76244900</v>
      </c>
      <c r="C300" s="22">
        <v>76244900</v>
      </c>
      <c r="D300" s="22"/>
    </row>
    <row r="301" spans="1:4">
      <c r="A301" s="22" t="s">
        <v>267</v>
      </c>
      <c r="B301" s="22">
        <v>76245003</v>
      </c>
      <c r="C301" s="22">
        <v>76245003</v>
      </c>
      <c r="D301" s="22"/>
    </row>
    <row r="302" spans="1:4">
      <c r="A302" s="22" t="s">
        <v>270</v>
      </c>
      <c r="B302" s="22">
        <v>76245016</v>
      </c>
      <c r="C302" s="22">
        <v>76245016</v>
      </c>
      <c r="D302" s="22"/>
    </row>
    <row r="303" spans="1:4">
      <c r="A303" s="22" t="s">
        <v>8705</v>
      </c>
      <c r="B303" s="22">
        <v>76245931</v>
      </c>
      <c r="C303" s="22">
        <v>76245931</v>
      </c>
      <c r="D303" s="22"/>
    </row>
    <row r="304" spans="1:4">
      <c r="A304" s="25" t="s">
        <v>276</v>
      </c>
      <c r="B304" s="25">
        <v>76246888</v>
      </c>
      <c r="C304" s="25">
        <v>76246888</v>
      </c>
      <c r="D304" s="25"/>
    </row>
    <row r="305" spans="1:4">
      <c r="A305" s="22" t="s">
        <v>279</v>
      </c>
      <c r="B305" s="22">
        <v>76250378</v>
      </c>
      <c r="C305" s="22">
        <v>76250378</v>
      </c>
      <c r="D305" s="22"/>
    </row>
    <row r="306" spans="1:4">
      <c r="A306" s="21" t="s">
        <v>8706</v>
      </c>
      <c r="B306" s="21">
        <v>76251499</v>
      </c>
      <c r="C306" s="21">
        <v>76251499</v>
      </c>
      <c r="D306" s="22"/>
    </row>
    <row r="307" spans="1:4">
      <c r="A307" s="22" t="s">
        <v>282</v>
      </c>
      <c r="B307" s="22">
        <v>76252046</v>
      </c>
      <c r="C307" s="22">
        <v>76252046</v>
      </c>
      <c r="D307" s="22"/>
    </row>
    <row r="308" spans="1:4">
      <c r="A308" s="22" t="s">
        <v>285</v>
      </c>
      <c r="B308" s="22">
        <v>76253766</v>
      </c>
      <c r="C308" s="22">
        <v>76253766</v>
      </c>
      <c r="D308" s="22"/>
    </row>
    <row r="309" spans="1:4">
      <c r="A309" s="22" t="s">
        <v>288</v>
      </c>
      <c r="B309" s="22">
        <v>76253767</v>
      </c>
      <c r="C309" s="22">
        <v>76253767</v>
      </c>
      <c r="D309" s="22"/>
    </row>
    <row r="310" spans="1:4">
      <c r="A310" s="25" t="s">
        <v>291</v>
      </c>
      <c r="B310" s="25">
        <v>76256562</v>
      </c>
      <c r="C310" s="25">
        <v>76256562</v>
      </c>
      <c r="D310" s="25"/>
    </row>
    <row r="311" spans="1:4">
      <c r="A311" s="21" t="s">
        <v>8707</v>
      </c>
      <c r="B311" s="21">
        <v>96124130</v>
      </c>
      <c r="C311" s="21">
        <v>96124130</v>
      </c>
      <c r="D311" s="22"/>
    </row>
    <row r="312" spans="1:4">
      <c r="A312" s="22"/>
      <c r="B312" s="22"/>
      <c r="C312" s="22"/>
      <c r="D312" s="22"/>
    </row>
  </sheetData>
  <autoFilter ref="A1:D312" xr:uid="{5F55C92A-E0C4-4059-BDAB-D6A637BAE142}"/>
  <sortState xmlns:xlrd2="http://schemas.microsoft.com/office/spreadsheetml/2017/richdata2" ref="A2:C312">
    <sortCondition ref="C2:C312"/>
  </sortState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8897-8906-4433-B264-47998E608609}">
  <sheetPr filterMode="1">
    <tabColor theme="9"/>
  </sheetPr>
  <dimension ref="A1:X322"/>
  <sheetViews>
    <sheetView zoomScale="110" zoomScaleNormal="110" workbookViewId="0">
      <selection activeCell="I2" sqref="I2"/>
    </sheetView>
  </sheetViews>
  <sheetFormatPr defaultRowHeight="15"/>
  <cols>
    <col min="1" max="1" width="60.5703125" bestFit="1" customWidth="1"/>
    <col min="2" max="2" width="15.28515625" bestFit="1" customWidth="1"/>
    <col min="3" max="3" width="11.5703125" bestFit="1" customWidth="1"/>
    <col min="4" max="5" width="20.28515625" bestFit="1" customWidth="1"/>
    <col min="6" max="6" width="23" bestFit="1" customWidth="1"/>
    <col min="7" max="7" width="40.7109375" bestFit="1" customWidth="1"/>
    <col min="8" max="8" width="43.85546875" bestFit="1" customWidth="1"/>
    <col min="9" max="9" width="45.140625" bestFit="1" customWidth="1"/>
    <col min="10" max="10" width="15.140625" bestFit="1" customWidth="1"/>
    <col min="11" max="11" width="11.7109375" customWidth="1"/>
    <col min="12" max="12" width="14.28515625" style="29" bestFit="1" customWidth="1"/>
    <col min="13" max="13" width="12.28515625" customWidth="1"/>
    <col min="14" max="14" width="9.7109375" bestFit="1" customWidth="1"/>
    <col min="17" max="17" width="37.28515625" customWidth="1"/>
    <col min="19" max="19" width="10.140625" bestFit="1" customWidth="1"/>
    <col min="20" max="20" width="8.7109375" bestFit="1" customWidth="1"/>
    <col min="21" max="21" width="41.5703125" bestFit="1" customWidth="1"/>
    <col min="22" max="22" width="33.7109375" bestFit="1" customWidth="1"/>
    <col min="23" max="23" width="12.85546875" bestFit="1" customWidth="1"/>
  </cols>
  <sheetData>
    <row r="1" spans="1:24">
      <c r="A1" t="s">
        <v>23</v>
      </c>
      <c r="B1" t="s">
        <v>8492</v>
      </c>
      <c r="C1" t="s">
        <v>25</v>
      </c>
      <c r="D1" t="s">
        <v>27</v>
      </c>
      <c r="E1" t="s">
        <v>376</v>
      </c>
      <c r="F1" s="14" t="s">
        <v>8708</v>
      </c>
      <c r="G1" s="14" t="s">
        <v>8709</v>
      </c>
      <c r="H1" s="28" t="s">
        <v>8710</v>
      </c>
      <c r="I1" s="28" t="s">
        <v>8711</v>
      </c>
      <c r="J1" t="s">
        <v>8712</v>
      </c>
      <c r="K1" t="s">
        <v>8713</v>
      </c>
      <c r="L1" s="29" t="s">
        <v>8714</v>
      </c>
      <c r="M1" t="s">
        <v>8715</v>
      </c>
      <c r="N1" t="s">
        <v>8716</v>
      </c>
      <c r="O1" t="s">
        <v>8717</v>
      </c>
      <c r="P1" t="s">
        <v>8718</v>
      </c>
      <c r="Q1" t="s">
        <v>1258</v>
      </c>
      <c r="R1" t="s">
        <v>8719</v>
      </c>
      <c r="S1" s="14" t="s">
        <v>8720</v>
      </c>
      <c r="T1" s="14" t="s">
        <v>8721</v>
      </c>
      <c r="U1" s="14" t="s">
        <v>8722</v>
      </c>
      <c r="V1" s="14" t="s">
        <v>8723</v>
      </c>
      <c r="W1" s="14" t="s">
        <v>8724</v>
      </c>
      <c r="X1" s="14" t="s">
        <v>8725</v>
      </c>
    </row>
    <row r="2" spans="1:24">
      <c r="A2" t="s">
        <v>8494</v>
      </c>
      <c r="B2" t="s">
        <v>8726</v>
      </c>
      <c r="C2">
        <v>1196701</v>
      </c>
      <c r="D2" t="s">
        <v>39</v>
      </c>
      <c r="E2">
        <v>400</v>
      </c>
      <c r="F2" t="e">
        <v>#N/A</v>
      </c>
      <c r="G2" t="e">
        <v>#N/A</v>
      </c>
      <c r="H2" t="e">
        <v>#N/A</v>
      </c>
      <c r="I2" t="e">
        <v>#N/A</v>
      </c>
      <c r="K2" t="s">
        <v>8727</v>
      </c>
      <c r="L2" s="29">
        <v>45962</v>
      </c>
      <c r="M2" t="s">
        <v>8728</v>
      </c>
      <c r="R2" t="s">
        <v>8729</v>
      </c>
      <c r="S2">
        <f>IF(ISBLANK(L2), 12, MONTH(L2))</f>
        <v>11</v>
      </c>
      <c r="T2">
        <f>IF(ISBLANK(L2), 2025, YEAR(L2))</f>
        <v>2025</v>
      </c>
      <c r="U2">
        <f>IF((2025-T2)*12+(12-S2+2)&lt;0,0,(2025-T2)*12+(12-S2+2))</f>
        <v>3</v>
      </c>
      <c r="V2">
        <f>MIN(IF((2025-T2)*12+(12-S2+2)&lt;0,0,(2025-T2)*12+(12-S2+2)),6+12+2)</f>
        <v>3</v>
      </c>
      <c r="W2" s="15">
        <f>U2*E2+V2*200</f>
        <v>1800</v>
      </c>
      <c r="X2" t="str">
        <f>VLOOKUP(B2,'[25]Cancel Sent on March 12'!$B:$B,1,0)</f>
        <v>01196701</v>
      </c>
    </row>
    <row r="3" spans="1:24">
      <c r="A3" t="s">
        <v>8495</v>
      </c>
      <c r="B3" t="s">
        <v>8730</v>
      </c>
      <c r="C3">
        <v>1325978</v>
      </c>
      <c r="D3" t="s">
        <v>39</v>
      </c>
      <c r="E3">
        <v>300</v>
      </c>
      <c r="F3" t="e">
        <v>#N/A</v>
      </c>
      <c r="G3" t="e">
        <v>#N/A</v>
      </c>
      <c r="H3" t="e">
        <v>#N/A</v>
      </c>
      <c r="I3" t="e">
        <v>#N/A</v>
      </c>
      <c r="K3" t="s">
        <v>8727</v>
      </c>
      <c r="L3" s="29">
        <v>45901</v>
      </c>
      <c r="M3" t="s">
        <v>8731</v>
      </c>
      <c r="R3" t="s">
        <v>8729</v>
      </c>
      <c r="S3">
        <f t="shared" ref="S3:S66" si="0">IF(ISBLANK(L3), 12, MONTH(L3))</f>
        <v>9</v>
      </c>
      <c r="T3">
        <f t="shared" ref="T3:T66" si="1">IF(ISBLANK(L3), 2025, YEAR(L3))</f>
        <v>2025</v>
      </c>
      <c r="U3">
        <f t="shared" ref="U3:U66" si="2">IF((2025-T3)*12+(12-S3+2)&lt;0,0,(2025-T3)*12+(12-S3+2))</f>
        <v>5</v>
      </c>
      <c r="V3">
        <f t="shared" ref="V3:V66" si="3">MIN(IF((2025-T3)*12+(12-S3+2)&lt;0,0,(2025-T3)*12+(12-S3+2)),6+12+2)</f>
        <v>5</v>
      </c>
      <c r="W3" s="15">
        <f>U3*E3+V3*200</f>
        <v>2500</v>
      </c>
      <c r="X3" t="str">
        <f>VLOOKUP(B3,'[25]Cancel Sent on March 12'!$B:$B,1,0)</f>
        <v>01325978</v>
      </c>
    </row>
    <row r="4" spans="1:24">
      <c r="A4" t="s">
        <v>8496</v>
      </c>
      <c r="B4" t="s">
        <v>8732</v>
      </c>
      <c r="C4">
        <v>1326415</v>
      </c>
      <c r="D4" t="s">
        <v>39</v>
      </c>
      <c r="E4">
        <v>450</v>
      </c>
      <c r="F4" t="e">
        <v>#N/A</v>
      </c>
      <c r="G4" t="e">
        <v>#N/A</v>
      </c>
      <c r="H4" t="e">
        <v>#N/A</v>
      </c>
      <c r="I4" t="e">
        <v>#N/A</v>
      </c>
      <c r="K4" t="s">
        <v>8727</v>
      </c>
      <c r="L4" s="29">
        <v>45505</v>
      </c>
      <c r="M4" t="s">
        <v>8731</v>
      </c>
      <c r="R4" t="s">
        <v>8729</v>
      </c>
      <c r="S4">
        <f t="shared" si="0"/>
        <v>8</v>
      </c>
      <c r="T4">
        <f t="shared" si="1"/>
        <v>2024</v>
      </c>
      <c r="U4">
        <f t="shared" si="2"/>
        <v>18</v>
      </c>
      <c r="V4">
        <f t="shared" si="3"/>
        <v>18</v>
      </c>
      <c r="W4" s="15">
        <f t="shared" ref="W4:W67" si="4">U4*E4+V4*200</f>
        <v>11700</v>
      </c>
      <c r="X4" t="str">
        <f>VLOOKUP(B4,'[25]Cancel Sent on March 12'!$B:$B,1,0)</f>
        <v>01326415</v>
      </c>
    </row>
    <row r="5" spans="1:24">
      <c r="A5" t="s">
        <v>8497</v>
      </c>
      <c r="B5" t="s">
        <v>8733</v>
      </c>
      <c r="C5">
        <v>1326417</v>
      </c>
      <c r="D5" t="s">
        <v>39</v>
      </c>
      <c r="E5">
        <v>450</v>
      </c>
      <c r="F5" t="e">
        <v>#N/A</v>
      </c>
      <c r="G5" t="e">
        <v>#N/A</v>
      </c>
      <c r="H5" t="e">
        <v>#N/A</v>
      </c>
      <c r="I5" t="e">
        <v>#N/A</v>
      </c>
      <c r="K5" t="s">
        <v>8727</v>
      </c>
      <c r="L5" s="29">
        <v>45505</v>
      </c>
      <c r="M5" t="s">
        <v>8731</v>
      </c>
      <c r="R5" t="s">
        <v>8729</v>
      </c>
      <c r="S5">
        <f t="shared" si="0"/>
        <v>8</v>
      </c>
      <c r="T5">
        <f t="shared" si="1"/>
        <v>2024</v>
      </c>
      <c r="U5">
        <f t="shared" si="2"/>
        <v>18</v>
      </c>
      <c r="V5">
        <f t="shared" si="3"/>
        <v>18</v>
      </c>
      <c r="W5" s="15">
        <f t="shared" si="4"/>
        <v>11700</v>
      </c>
      <c r="X5" t="str">
        <f>VLOOKUP(B5,'[25]Cancel Sent on March 12'!$B:$B,1,0)</f>
        <v>01326417</v>
      </c>
    </row>
    <row r="6" spans="1:24">
      <c r="A6" t="s">
        <v>8498</v>
      </c>
      <c r="B6" t="s">
        <v>8734</v>
      </c>
      <c r="C6">
        <v>1327159</v>
      </c>
      <c r="D6" t="s">
        <v>39</v>
      </c>
      <c r="E6">
        <v>300</v>
      </c>
      <c r="F6" t="e">
        <v>#N/A</v>
      </c>
      <c r="G6" t="e">
        <v>#N/A</v>
      </c>
      <c r="H6" t="e">
        <v>#N/A</v>
      </c>
      <c r="I6" t="e">
        <v>#N/A</v>
      </c>
      <c r="K6" t="s">
        <v>8727</v>
      </c>
      <c r="L6" s="29">
        <v>45413</v>
      </c>
      <c r="M6" t="s">
        <v>8731</v>
      </c>
      <c r="R6" t="s">
        <v>8729</v>
      </c>
      <c r="S6">
        <f t="shared" si="0"/>
        <v>5</v>
      </c>
      <c r="T6">
        <f t="shared" si="1"/>
        <v>2024</v>
      </c>
      <c r="U6">
        <f t="shared" si="2"/>
        <v>21</v>
      </c>
      <c r="V6">
        <f t="shared" si="3"/>
        <v>20</v>
      </c>
      <c r="W6" s="15">
        <f t="shared" si="4"/>
        <v>10300</v>
      </c>
      <c r="X6" t="str">
        <f>VLOOKUP(B6,'[25]Cancel Sent on March 12'!$B:$B,1,0)</f>
        <v>01327159</v>
      </c>
    </row>
    <row r="7" spans="1:24">
      <c r="A7" t="s">
        <v>8499</v>
      </c>
      <c r="B7" t="s">
        <v>8735</v>
      </c>
      <c r="C7">
        <v>5013303</v>
      </c>
      <c r="D7" t="s">
        <v>39</v>
      </c>
      <c r="E7">
        <v>300</v>
      </c>
      <c r="F7" t="e">
        <v>#N/A</v>
      </c>
      <c r="G7" t="e">
        <v>#N/A</v>
      </c>
      <c r="H7" t="e">
        <v>#N/A</v>
      </c>
      <c r="I7" t="e">
        <v>#N/A</v>
      </c>
      <c r="K7" t="s">
        <v>8727</v>
      </c>
      <c r="L7" s="29">
        <v>45748</v>
      </c>
      <c r="M7" t="s">
        <v>8731</v>
      </c>
      <c r="R7" t="s">
        <v>8729</v>
      </c>
      <c r="S7">
        <f t="shared" si="0"/>
        <v>4</v>
      </c>
      <c r="T7">
        <f t="shared" si="1"/>
        <v>2025</v>
      </c>
      <c r="U7">
        <f t="shared" si="2"/>
        <v>10</v>
      </c>
      <c r="V7">
        <f t="shared" si="3"/>
        <v>10</v>
      </c>
      <c r="W7" s="15">
        <f t="shared" si="4"/>
        <v>5000</v>
      </c>
      <c r="X7" t="str">
        <f>VLOOKUP(B7,'[25]Cancel Sent on March 12'!$B:$B,1,0)</f>
        <v>05013303</v>
      </c>
    </row>
    <row r="8" spans="1:24">
      <c r="A8" t="s">
        <v>8500</v>
      </c>
      <c r="B8" t="s">
        <v>8736</v>
      </c>
      <c r="C8">
        <v>5120802</v>
      </c>
      <c r="D8" t="s">
        <v>39</v>
      </c>
      <c r="E8">
        <v>450</v>
      </c>
      <c r="F8" t="e">
        <v>#N/A</v>
      </c>
      <c r="G8" t="e">
        <v>#N/A</v>
      </c>
      <c r="H8" t="e">
        <v>#N/A</v>
      </c>
      <c r="I8" t="e">
        <v>#N/A</v>
      </c>
      <c r="K8" t="s">
        <v>8727</v>
      </c>
      <c r="L8" s="29">
        <v>45901</v>
      </c>
      <c r="M8" t="s">
        <v>8731</v>
      </c>
      <c r="R8" t="s">
        <v>8729</v>
      </c>
      <c r="S8">
        <f t="shared" si="0"/>
        <v>9</v>
      </c>
      <c r="T8">
        <f t="shared" si="1"/>
        <v>2025</v>
      </c>
      <c r="U8">
        <f t="shared" si="2"/>
        <v>5</v>
      </c>
      <c r="V8">
        <f t="shared" si="3"/>
        <v>5</v>
      </c>
      <c r="W8" s="15">
        <f t="shared" si="4"/>
        <v>3250</v>
      </c>
      <c r="X8" t="str">
        <f>VLOOKUP(B8,'[25]Cancel Sent on March 12'!$B:$B,1,0)</f>
        <v>05120802</v>
      </c>
    </row>
    <row r="9" spans="1:24">
      <c r="A9" t="s">
        <v>8501</v>
      </c>
      <c r="B9" t="s">
        <v>8737</v>
      </c>
      <c r="C9">
        <v>5139104</v>
      </c>
      <c r="D9" t="s">
        <v>39</v>
      </c>
      <c r="E9">
        <v>300</v>
      </c>
      <c r="F9" t="e">
        <v>#N/A</v>
      </c>
      <c r="G9" t="e">
        <v>#N/A</v>
      </c>
      <c r="H9" t="e">
        <v>#N/A</v>
      </c>
      <c r="I9" t="e">
        <v>#N/A</v>
      </c>
      <c r="K9" t="s">
        <v>8727</v>
      </c>
      <c r="L9" s="29">
        <v>45931</v>
      </c>
      <c r="M9" t="s">
        <v>8731</v>
      </c>
      <c r="R9" t="s">
        <v>8729</v>
      </c>
      <c r="S9">
        <f t="shared" si="0"/>
        <v>10</v>
      </c>
      <c r="T9">
        <f t="shared" si="1"/>
        <v>2025</v>
      </c>
      <c r="U9">
        <f t="shared" si="2"/>
        <v>4</v>
      </c>
      <c r="V9">
        <f t="shared" si="3"/>
        <v>4</v>
      </c>
      <c r="W9" s="15">
        <f t="shared" si="4"/>
        <v>2000</v>
      </c>
      <c r="X9" t="str">
        <f>VLOOKUP(B9,'[25]Cancel Sent on March 12'!$B:$B,1,0)</f>
        <v>05139104</v>
      </c>
    </row>
    <row r="10" spans="1:24">
      <c r="A10" t="s">
        <v>8502</v>
      </c>
      <c r="B10" t="s">
        <v>8738</v>
      </c>
      <c r="C10">
        <v>5154801</v>
      </c>
      <c r="D10" t="s">
        <v>39</v>
      </c>
      <c r="E10">
        <v>450</v>
      </c>
      <c r="F10" t="e">
        <v>#N/A</v>
      </c>
      <c r="G10" t="e">
        <v>#N/A</v>
      </c>
      <c r="H10" t="e">
        <v>#N/A</v>
      </c>
      <c r="I10" t="e">
        <v>#N/A</v>
      </c>
      <c r="K10" t="s">
        <v>8727</v>
      </c>
      <c r="L10" s="29">
        <v>44652</v>
      </c>
      <c r="M10" t="s">
        <v>8731</v>
      </c>
      <c r="R10" t="s">
        <v>8739</v>
      </c>
      <c r="S10">
        <f t="shared" si="0"/>
        <v>4</v>
      </c>
      <c r="T10">
        <f t="shared" si="1"/>
        <v>2022</v>
      </c>
      <c r="U10">
        <f t="shared" si="2"/>
        <v>46</v>
      </c>
      <c r="V10">
        <f t="shared" si="3"/>
        <v>20</v>
      </c>
      <c r="W10" s="15">
        <f t="shared" si="4"/>
        <v>24700</v>
      </c>
      <c r="X10" t="str">
        <f>VLOOKUP(B10,'[25]Cancel Sent on March 12'!$B:$B,1,0)</f>
        <v>05154801</v>
      </c>
    </row>
    <row r="11" spans="1:24">
      <c r="A11" t="s">
        <v>8503</v>
      </c>
      <c r="B11" t="s">
        <v>8740</v>
      </c>
      <c r="C11">
        <v>5159501</v>
      </c>
      <c r="D11" t="s">
        <v>39</v>
      </c>
      <c r="E11">
        <v>300</v>
      </c>
      <c r="F11" t="e">
        <v>#N/A</v>
      </c>
      <c r="G11" t="e">
        <v>#N/A</v>
      </c>
      <c r="H11" t="e">
        <v>#N/A</v>
      </c>
      <c r="I11" t="e">
        <v>#N/A</v>
      </c>
      <c r="K11" t="s">
        <v>8741</v>
      </c>
      <c r="L11" s="29">
        <v>45413</v>
      </c>
      <c r="M11" t="s">
        <v>8731</v>
      </c>
      <c r="R11" t="s">
        <v>8729</v>
      </c>
      <c r="S11">
        <f t="shared" si="0"/>
        <v>5</v>
      </c>
      <c r="T11">
        <f t="shared" si="1"/>
        <v>2024</v>
      </c>
      <c r="U11">
        <f t="shared" si="2"/>
        <v>21</v>
      </c>
      <c r="V11">
        <f t="shared" si="3"/>
        <v>20</v>
      </c>
      <c r="W11" s="15">
        <f t="shared" si="4"/>
        <v>10300</v>
      </c>
      <c r="X11" t="str">
        <f>VLOOKUP(B11,'[25]Cancel Sent on March 12'!$B:$B,1,0)</f>
        <v>05159501</v>
      </c>
    </row>
    <row r="12" spans="1:24">
      <c r="A12" t="s">
        <v>8504</v>
      </c>
      <c r="B12" t="s">
        <v>8742</v>
      </c>
      <c r="C12">
        <v>5197701</v>
      </c>
      <c r="D12" t="s">
        <v>39</v>
      </c>
      <c r="E12">
        <v>300</v>
      </c>
      <c r="F12" t="e">
        <v>#N/A</v>
      </c>
      <c r="G12" t="e">
        <v>#N/A</v>
      </c>
      <c r="H12" t="e">
        <v>#N/A</v>
      </c>
      <c r="I12" t="e">
        <v>#N/A</v>
      </c>
      <c r="K12" t="s">
        <v>8727</v>
      </c>
      <c r="L12" s="29">
        <v>45323</v>
      </c>
      <c r="M12" t="s">
        <v>8731</v>
      </c>
      <c r="R12" t="s">
        <v>8729</v>
      </c>
      <c r="S12">
        <f t="shared" si="0"/>
        <v>2</v>
      </c>
      <c r="T12">
        <f t="shared" si="1"/>
        <v>2024</v>
      </c>
      <c r="U12">
        <f t="shared" si="2"/>
        <v>24</v>
      </c>
      <c r="V12">
        <f t="shared" si="3"/>
        <v>20</v>
      </c>
      <c r="W12" s="15">
        <f t="shared" si="4"/>
        <v>11200</v>
      </c>
      <c r="X12" t="str">
        <f>VLOOKUP(B12,'[25]Cancel Sent on March 12'!$B:$B,1,0)</f>
        <v>05197701</v>
      </c>
    </row>
    <row r="13" spans="1:24">
      <c r="A13" t="s">
        <v>8505</v>
      </c>
      <c r="B13" t="s">
        <v>8743</v>
      </c>
      <c r="C13">
        <v>5236621</v>
      </c>
      <c r="D13" t="s">
        <v>39</v>
      </c>
      <c r="E13">
        <v>300</v>
      </c>
      <c r="F13" t="e">
        <v>#N/A</v>
      </c>
      <c r="G13" t="e">
        <v>#N/A</v>
      </c>
      <c r="H13" t="e">
        <v>#N/A</v>
      </c>
      <c r="I13" t="e">
        <v>#N/A</v>
      </c>
      <c r="K13" t="s">
        <v>8727</v>
      </c>
      <c r="L13" s="29">
        <v>45444</v>
      </c>
      <c r="M13" t="s">
        <v>8731</v>
      </c>
      <c r="S13">
        <f t="shared" si="0"/>
        <v>6</v>
      </c>
      <c r="T13">
        <f t="shared" si="1"/>
        <v>2024</v>
      </c>
      <c r="U13">
        <f t="shared" si="2"/>
        <v>20</v>
      </c>
      <c r="V13">
        <f t="shared" si="3"/>
        <v>20</v>
      </c>
      <c r="W13" s="15">
        <f t="shared" si="4"/>
        <v>10000</v>
      </c>
      <c r="X13" t="str">
        <f>VLOOKUP(B13,'[25]Cancel Sent on March 12'!$B:$B,1,0)</f>
        <v>05236621</v>
      </c>
    </row>
    <row r="14" spans="1:24">
      <c r="A14" t="s">
        <v>8506</v>
      </c>
      <c r="B14" t="s">
        <v>8744</v>
      </c>
      <c r="C14">
        <v>5400070</v>
      </c>
      <c r="D14" t="s">
        <v>39</v>
      </c>
      <c r="E14">
        <v>300</v>
      </c>
      <c r="F14" t="e">
        <v>#N/A</v>
      </c>
      <c r="G14" t="e">
        <v>#N/A</v>
      </c>
      <c r="H14" t="e">
        <v>#N/A</v>
      </c>
      <c r="I14" t="e">
        <v>#N/A</v>
      </c>
      <c r="Q14" t="s">
        <v>8745</v>
      </c>
      <c r="S14">
        <f t="shared" si="0"/>
        <v>12</v>
      </c>
      <c r="T14">
        <f t="shared" si="1"/>
        <v>2025</v>
      </c>
      <c r="U14">
        <f t="shared" si="2"/>
        <v>2</v>
      </c>
      <c r="V14">
        <f t="shared" si="3"/>
        <v>2</v>
      </c>
      <c r="W14" s="15">
        <f t="shared" si="4"/>
        <v>1000</v>
      </c>
      <c r="X14" t="str">
        <f>VLOOKUP(B14,'[25]Cancel Sent on March 12'!$B:$B,1,0)</f>
        <v>05400070</v>
      </c>
    </row>
    <row r="15" spans="1:24">
      <c r="A15" t="s">
        <v>8507</v>
      </c>
      <c r="B15" t="s">
        <v>8746</v>
      </c>
      <c r="C15">
        <v>5400098</v>
      </c>
      <c r="D15" t="s">
        <v>39</v>
      </c>
      <c r="E15">
        <v>300</v>
      </c>
      <c r="F15" t="e">
        <v>#N/A</v>
      </c>
      <c r="G15" t="e">
        <v>#N/A</v>
      </c>
      <c r="H15" t="e">
        <v>#N/A</v>
      </c>
      <c r="I15" t="e">
        <v>#N/A</v>
      </c>
      <c r="K15" t="s">
        <v>8727</v>
      </c>
      <c r="L15" s="29">
        <v>45809</v>
      </c>
      <c r="M15" t="s">
        <v>8731</v>
      </c>
      <c r="R15" t="s">
        <v>8729</v>
      </c>
      <c r="S15">
        <f t="shared" si="0"/>
        <v>6</v>
      </c>
      <c r="T15">
        <f t="shared" si="1"/>
        <v>2025</v>
      </c>
      <c r="U15">
        <f t="shared" si="2"/>
        <v>8</v>
      </c>
      <c r="V15">
        <f t="shared" si="3"/>
        <v>8</v>
      </c>
      <c r="W15" s="15">
        <f t="shared" si="4"/>
        <v>4000</v>
      </c>
      <c r="X15" t="str">
        <f>VLOOKUP(B15,'[25]Cancel Sent on March 12'!$B:$B,1,0)</f>
        <v>05400098</v>
      </c>
    </row>
    <row r="16" spans="1:24">
      <c r="A16" t="s">
        <v>8508</v>
      </c>
      <c r="B16" t="s">
        <v>8747</v>
      </c>
      <c r="C16">
        <v>5710175</v>
      </c>
      <c r="D16" t="s">
        <v>39</v>
      </c>
      <c r="E16">
        <v>300</v>
      </c>
      <c r="F16" t="e">
        <v>#N/A</v>
      </c>
      <c r="G16" t="e">
        <v>#N/A</v>
      </c>
      <c r="H16" t="e">
        <v>#N/A</v>
      </c>
      <c r="I16" t="e">
        <v>#N/A</v>
      </c>
      <c r="K16" t="s">
        <v>8727</v>
      </c>
      <c r="L16" s="29">
        <v>45658</v>
      </c>
      <c r="M16" t="s">
        <v>8731</v>
      </c>
      <c r="Q16" t="s">
        <v>8748</v>
      </c>
      <c r="R16" t="s">
        <v>8749</v>
      </c>
      <c r="S16">
        <f t="shared" si="0"/>
        <v>1</v>
      </c>
      <c r="T16">
        <f t="shared" si="1"/>
        <v>2025</v>
      </c>
      <c r="U16">
        <f t="shared" si="2"/>
        <v>13</v>
      </c>
      <c r="V16">
        <f t="shared" si="3"/>
        <v>13</v>
      </c>
      <c r="W16" s="15">
        <f t="shared" si="4"/>
        <v>6500</v>
      </c>
      <c r="X16" t="str">
        <f>VLOOKUP(B16,'[25]Cancel Sent on March 12'!$B:$B,1,0)</f>
        <v>05710175</v>
      </c>
    </row>
    <row r="17" spans="1:24">
      <c r="A17" t="s">
        <v>8509</v>
      </c>
      <c r="B17" t="s">
        <v>8750</v>
      </c>
      <c r="C17">
        <v>8300045</v>
      </c>
      <c r="D17" t="s">
        <v>39</v>
      </c>
      <c r="E17">
        <v>450</v>
      </c>
      <c r="F17" t="e">
        <v>#N/A</v>
      </c>
      <c r="G17" t="e">
        <v>#N/A</v>
      </c>
      <c r="H17" t="e">
        <v>#N/A</v>
      </c>
      <c r="I17" t="e">
        <v>#N/A</v>
      </c>
      <c r="K17" t="s">
        <v>8727</v>
      </c>
      <c r="L17" s="29">
        <v>45689</v>
      </c>
      <c r="M17" t="s">
        <v>8728</v>
      </c>
      <c r="R17" t="s">
        <v>8749</v>
      </c>
      <c r="S17">
        <f t="shared" si="0"/>
        <v>2</v>
      </c>
      <c r="T17">
        <f t="shared" si="1"/>
        <v>2025</v>
      </c>
      <c r="U17">
        <f t="shared" si="2"/>
        <v>12</v>
      </c>
      <c r="V17">
        <f t="shared" si="3"/>
        <v>12</v>
      </c>
      <c r="W17" s="15">
        <f t="shared" si="4"/>
        <v>7800</v>
      </c>
      <c r="X17" t="str">
        <f>VLOOKUP(B17,'[25]Cancel Sent on March 12'!$B:$B,1,0)</f>
        <v>08300045</v>
      </c>
    </row>
    <row r="18" spans="1:24">
      <c r="A18" t="s">
        <v>8510</v>
      </c>
      <c r="B18" t="s">
        <v>8751</v>
      </c>
      <c r="C18">
        <v>8300268</v>
      </c>
      <c r="D18" t="s">
        <v>39</v>
      </c>
      <c r="E18">
        <v>300</v>
      </c>
      <c r="F18" t="e">
        <v>#N/A</v>
      </c>
      <c r="G18" t="e">
        <v>#N/A</v>
      </c>
      <c r="H18" t="e">
        <v>#N/A</v>
      </c>
      <c r="I18" t="e">
        <v>#N/A</v>
      </c>
      <c r="K18" t="s">
        <v>8741</v>
      </c>
      <c r="L18" s="29">
        <v>45444</v>
      </c>
      <c r="M18" t="s">
        <v>8731</v>
      </c>
      <c r="R18" t="s">
        <v>8749</v>
      </c>
      <c r="S18">
        <f t="shared" si="0"/>
        <v>6</v>
      </c>
      <c r="T18">
        <f t="shared" si="1"/>
        <v>2024</v>
      </c>
      <c r="U18">
        <f t="shared" si="2"/>
        <v>20</v>
      </c>
      <c r="V18">
        <f t="shared" si="3"/>
        <v>20</v>
      </c>
      <c r="W18" s="15">
        <f t="shared" si="4"/>
        <v>10000</v>
      </c>
      <c r="X18" t="str">
        <f>VLOOKUP(B18,'[25]Cancel Sent on March 12'!$B:$B,1,0)</f>
        <v>08300268</v>
      </c>
    </row>
    <row r="19" spans="1:24">
      <c r="A19" t="s">
        <v>8511</v>
      </c>
      <c r="B19" t="s">
        <v>8752</v>
      </c>
      <c r="C19">
        <v>8300301</v>
      </c>
      <c r="D19" t="s">
        <v>39</v>
      </c>
      <c r="E19">
        <v>450</v>
      </c>
      <c r="F19" t="e">
        <v>#N/A</v>
      </c>
      <c r="G19" t="e">
        <v>#N/A</v>
      </c>
      <c r="H19" t="e">
        <v>#N/A</v>
      </c>
      <c r="I19" t="e">
        <v>#N/A</v>
      </c>
      <c r="K19" t="s">
        <v>8727</v>
      </c>
      <c r="L19" s="29">
        <v>45778</v>
      </c>
      <c r="M19" t="s">
        <v>8731</v>
      </c>
      <c r="R19" t="s">
        <v>8749</v>
      </c>
      <c r="S19">
        <f t="shared" si="0"/>
        <v>5</v>
      </c>
      <c r="T19">
        <f t="shared" si="1"/>
        <v>2025</v>
      </c>
      <c r="U19">
        <f t="shared" si="2"/>
        <v>9</v>
      </c>
      <c r="V19">
        <f t="shared" si="3"/>
        <v>9</v>
      </c>
      <c r="W19" s="15">
        <f t="shared" si="4"/>
        <v>5850</v>
      </c>
      <c r="X19" t="str">
        <f>VLOOKUP(B19,'[25]Cancel Sent on March 12'!$B:$B,1,0)</f>
        <v>08300301</v>
      </c>
    </row>
    <row r="20" spans="1:24" s="23" customFormat="1">
      <c r="A20" s="23" t="s">
        <v>1281</v>
      </c>
      <c r="B20" s="23" t="s">
        <v>1282</v>
      </c>
      <c r="C20" s="23">
        <v>8310080</v>
      </c>
      <c r="D20" s="23" t="s">
        <v>39</v>
      </c>
      <c r="E20" s="23">
        <v>300</v>
      </c>
      <c r="F20" s="23" t="e">
        <v>#N/A</v>
      </c>
      <c r="G20" t="e">
        <v>#N/A</v>
      </c>
      <c r="H20" t="e">
        <v>#N/A</v>
      </c>
      <c r="I20" t="e">
        <v>#N/A</v>
      </c>
      <c r="J20"/>
      <c r="L20" s="29"/>
      <c r="Q20" s="23" t="s">
        <v>8745</v>
      </c>
      <c r="S20">
        <f t="shared" si="0"/>
        <v>12</v>
      </c>
      <c r="T20">
        <f t="shared" si="1"/>
        <v>2025</v>
      </c>
      <c r="U20">
        <f t="shared" si="2"/>
        <v>2</v>
      </c>
      <c r="V20">
        <f t="shared" si="3"/>
        <v>2</v>
      </c>
      <c r="W20" s="15">
        <f t="shared" si="4"/>
        <v>1000</v>
      </c>
      <c r="X20" t="str">
        <f>VLOOKUP(B20,'[25]Cancel Sent on March 12'!$B:$B,1,0)</f>
        <v>08310080</v>
      </c>
    </row>
    <row r="21" spans="1:24" hidden="1">
      <c r="A21" t="s">
        <v>400</v>
      </c>
      <c r="B21" t="s">
        <v>399</v>
      </c>
      <c r="C21">
        <v>8320081</v>
      </c>
      <c r="D21" t="s">
        <v>39</v>
      </c>
      <c r="E21">
        <v>300</v>
      </c>
      <c r="F21" t="e">
        <v>#N/A</v>
      </c>
      <c r="G21" t="e">
        <v>#N/A</v>
      </c>
      <c r="H21" t="e">
        <v>#N/A</v>
      </c>
      <c r="I21" t="e">
        <v>#N/A</v>
      </c>
      <c r="K21" t="s">
        <v>742</v>
      </c>
      <c r="L21" s="29">
        <v>45716</v>
      </c>
      <c r="S21">
        <f t="shared" si="0"/>
        <v>2</v>
      </c>
      <c r="T21">
        <f t="shared" si="1"/>
        <v>2025</v>
      </c>
      <c r="U21">
        <f t="shared" si="2"/>
        <v>12</v>
      </c>
      <c r="V21">
        <f t="shared" si="3"/>
        <v>12</v>
      </c>
      <c r="W21" s="15">
        <f t="shared" si="4"/>
        <v>6000</v>
      </c>
      <c r="X21" t="e">
        <f>VLOOKUP(B21,'[25]Cancel Sent on March 12'!$B:$B,1,0)</f>
        <v>#N/A</v>
      </c>
    </row>
    <row r="22" spans="1:24">
      <c r="A22" t="s">
        <v>8512</v>
      </c>
      <c r="B22" t="s">
        <v>8753</v>
      </c>
      <c r="C22">
        <v>9022701</v>
      </c>
      <c r="D22" t="s">
        <v>39</v>
      </c>
      <c r="E22">
        <v>400</v>
      </c>
      <c r="F22" t="e">
        <v>#N/A</v>
      </c>
      <c r="G22" t="e">
        <v>#N/A</v>
      </c>
      <c r="H22" t="e">
        <v>#N/A</v>
      </c>
      <c r="I22" t="e">
        <v>#N/A</v>
      </c>
      <c r="K22" t="s">
        <v>8741</v>
      </c>
      <c r="L22" s="29">
        <v>45627</v>
      </c>
      <c r="M22" t="s">
        <v>8728</v>
      </c>
      <c r="R22" t="s">
        <v>8739</v>
      </c>
      <c r="S22">
        <f t="shared" si="0"/>
        <v>12</v>
      </c>
      <c r="T22">
        <f t="shared" si="1"/>
        <v>2024</v>
      </c>
      <c r="U22">
        <f t="shared" si="2"/>
        <v>14</v>
      </c>
      <c r="V22">
        <f t="shared" si="3"/>
        <v>14</v>
      </c>
      <c r="W22" s="15">
        <f t="shared" si="4"/>
        <v>8400</v>
      </c>
      <c r="X22" t="str">
        <f>VLOOKUP(B22,'[25]Cancel Sent on March 12'!$B:$B,1,0)</f>
        <v>09022701</v>
      </c>
    </row>
    <row r="23" spans="1:24">
      <c r="A23" t="s">
        <v>8513</v>
      </c>
      <c r="B23" t="s">
        <v>8754</v>
      </c>
      <c r="C23">
        <v>9800035</v>
      </c>
      <c r="D23" t="s">
        <v>39</v>
      </c>
      <c r="E23">
        <v>300</v>
      </c>
      <c r="F23" t="e">
        <v>#N/A</v>
      </c>
      <c r="G23" t="e">
        <v>#N/A</v>
      </c>
      <c r="H23" t="e">
        <v>#N/A</v>
      </c>
      <c r="I23" t="e">
        <v>#N/A</v>
      </c>
      <c r="K23" t="s">
        <v>8727</v>
      </c>
      <c r="L23" s="29">
        <v>45931</v>
      </c>
      <c r="M23" t="s">
        <v>8731</v>
      </c>
      <c r="R23" t="s">
        <v>8739</v>
      </c>
      <c r="S23">
        <f t="shared" si="0"/>
        <v>10</v>
      </c>
      <c r="T23">
        <f t="shared" si="1"/>
        <v>2025</v>
      </c>
      <c r="U23">
        <f t="shared" si="2"/>
        <v>4</v>
      </c>
      <c r="V23">
        <f t="shared" si="3"/>
        <v>4</v>
      </c>
      <c r="W23" s="15">
        <f t="shared" si="4"/>
        <v>2000</v>
      </c>
      <c r="X23" t="str">
        <f>VLOOKUP(B23,'[25]Cancel Sent on March 12'!$B:$B,1,0)</f>
        <v>09800035</v>
      </c>
    </row>
    <row r="24" spans="1:24">
      <c r="A24" t="s">
        <v>1285</v>
      </c>
      <c r="B24">
        <v>13345702</v>
      </c>
      <c r="C24">
        <v>13345702</v>
      </c>
      <c r="D24" t="s">
        <v>39</v>
      </c>
      <c r="E24">
        <v>400</v>
      </c>
      <c r="F24" t="e">
        <v>#N/A</v>
      </c>
      <c r="G24" t="e">
        <v>#N/A</v>
      </c>
      <c r="H24" t="e">
        <v>#N/A</v>
      </c>
      <c r="I24" t="e">
        <v>#N/A</v>
      </c>
      <c r="K24" t="s">
        <v>8727</v>
      </c>
      <c r="L24" s="29">
        <v>45901</v>
      </c>
      <c r="M24" t="s">
        <v>8728</v>
      </c>
      <c r="P24" t="s">
        <v>306</v>
      </c>
      <c r="Q24" t="s">
        <v>8755</v>
      </c>
      <c r="R24" t="s">
        <v>8739</v>
      </c>
      <c r="S24">
        <f t="shared" si="0"/>
        <v>9</v>
      </c>
      <c r="T24">
        <f t="shared" si="1"/>
        <v>2025</v>
      </c>
      <c r="U24">
        <f t="shared" si="2"/>
        <v>5</v>
      </c>
      <c r="V24">
        <f t="shared" si="3"/>
        <v>5</v>
      </c>
      <c r="W24" s="15">
        <f t="shared" si="4"/>
        <v>3000</v>
      </c>
      <c r="X24">
        <f>VLOOKUP(B24,'[25]Cancel Sent on March 12'!$B:$B,1,0)</f>
        <v>13345702</v>
      </c>
    </row>
    <row r="25" spans="1:24">
      <c r="A25" t="s">
        <v>8514</v>
      </c>
      <c r="B25">
        <v>13497296</v>
      </c>
      <c r="C25">
        <v>13497296</v>
      </c>
      <c r="D25" t="s">
        <v>39</v>
      </c>
      <c r="E25">
        <v>450</v>
      </c>
      <c r="F25" t="e">
        <v>#N/A</v>
      </c>
      <c r="G25" t="e">
        <v>#N/A</v>
      </c>
      <c r="H25" t="e">
        <v>#N/A</v>
      </c>
      <c r="I25" t="e">
        <v>#N/A</v>
      </c>
      <c r="K25" t="s">
        <v>8727</v>
      </c>
      <c r="L25" s="29">
        <v>45292</v>
      </c>
      <c r="R25" t="s">
        <v>8739</v>
      </c>
      <c r="S25">
        <f t="shared" si="0"/>
        <v>1</v>
      </c>
      <c r="T25">
        <f t="shared" si="1"/>
        <v>2024</v>
      </c>
      <c r="U25">
        <f t="shared" si="2"/>
        <v>25</v>
      </c>
      <c r="V25">
        <f t="shared" si="3"/>
        <v>20</v>
      </c>
      <c r="W25" s="15">
        <f t="shared" si="4"/>
        <v>15250</v>
      </c>
      <c r="X25">
        <f>VLOOKUP(B25,'[25]Cancel Sent on March 12'!$B:$B,1,0)</f>
        <v>13497296</v>
      </c>
    </row>
    <row r="26" spans="1:24">
      <c r="A26" t="s">
        <v>8515</v>
      </c>
      <c r="B26">
        <v>13497852</v>
      </c>
      <c r="C26">
        <v>13497852</v>
      </c>
      <c r="D26" t="s">
        <v>39</v>
      </c>
      <c r="E26">
        <v>400</v>
      </c>
      <c r="F26" t="e">
        <v>#N/A</v>
      </c>
      <c r="G26" t="e">
        <v>#N/A</v>
      </c>
      <c r="H26" t="e">
        <v>#N/A</v>
      </c>
      <c r="I26" t="e">
        <v>#N/A</v>
      </c>
      <c r="K26" t="s">
        <v>8741</v>
      </c>
      <c r="L26" s="29">
        <v>45413</v>
      </c>
      <c r="M26" t="s">
        <v>8728</v>
      </c>
      <c r="R26" t="s">
        <v>8739</v>
      </c>
      <c r="S26">
        <f t="shared" si="0"/>
        <v>5</v>
      </c>
      <c r="T26">
        <f t="shared" si="1"/>
        <v>2024</v>
      </c>
      <c r="U26">
        <f t="shared" si="2"/>
        <v>21</v>
      </c>
      <c r="V26">
        <f t="shared" si="3"/>
        <v>20</v>
      </c>
      <c r="W26" s="15">
        <f t="shared" si="4"/>
        <v>12400</v>
      </c>
      <c r="X26">
        <f>VLOOKUP(B26,'[25]Cancel Sent on March 12'!$B:$B,1,0)</f>
        <v>13497852</v>
      </c>
    </row>
    <row r="27" spans="1:24" s="23" customFormat="1">
      <c r="A27" s="23" t="s">
        <v>8516</v>
      </c>
      <c r="B27" s="23">
        <v>17014601</v>
      </c>
      <c r="C27" s="23">
        <v>17014601</v>
      </c>
      <c r="D27" s="23" t="s">
        <v>39</v>
      </c>
      <c r="E27" s="23">
        <v>450</v>
      </c>
      <c r="F27" s="23" t="e">
        <v>#N/A</v>
      </c>
      <c r="G27" t="e">
        <v>#N/A</v>
      </c>
      <c r="H27" t="e">
        <v>#N/A</v>
      </c>
      <c r="I27" t="e">
        <v>#N/A</v>
      </c>
      <c r="K27" s="23" t="s">
        <v>8727</v>
      </c>
      <c r="L27" s="29">
        <v>45505</v>
      </c>
      <c r="M27" s="23" t="s">
        <v>8728</v>
      </c>
      <c r="P27" s="23" t="s">
        <v>306</v>
      </c>
      <c r="Q27" s="23" t="s">
        <v>8756</v>
      </c>
      <c r="R27" s="23" t="s">
        <v>8739</v>
      </c>
      <c r="S27">
        <f t="shared" si="0"/>
        <v>8</v>
      </c>
      <c r="T27">
        <f t="shared" si="1"/>
        <v>2024</v>
      </c>
      <c r="U27">
        <f t="shared" si="2"/>
        <v>18</v>
      </c>
      <c r="V27">
        <f t="shared" si="3"/>
        <v>18</v>
      </c>
      <c r="W27" s="15">
        <f t="shared" si="4"/>
        <v>11700</v>
      </c>
      <c r="X27">
        <f>VLOOKUP(B27,'[25]Cancel Sent on March 12'!$B:$B,1,0)</f>
        <v>17014601</v>
      </c>
    </row>
    <row r="28" spans="1:24" hidden="1">
      <c r="A28" t="s">
        <v>409</v>
      </c>
      <c r="B28">
        <v>17237901</v>
      </c>
      <c r="C28">
        <v>17237901</v>
      </c>
      <c r="D28" t="s">
        <v>39</v>
      </c>
      <c r="E28">
        <v>300</v>
      </c>
      <c r="F28" t="e">
        <v>#N/A</v>
      </c>
      <c r="G28" t="e">
        <v>#N/A</v>
      </c>
      <c r="H28" t="e">
        <v>#N/A</v>
      </c>
      <c r="I28" t="e">
        <v>#N/A</v>
      </c>
      <c r="K28" t="s">
        <v>4653</v>
      </c>
      <c r="L28" s="29">
        <v>46082</v>
      </c>
      <c r="M28" t="s">
        <v>8731</v>
      </c>
      <c r="Q28" t="s">
        <v>8757</v>
      </c>
      <c r="R28" t="s">
        <v>8739</v>
      </c>
      <c r="S28">
        <f t="shared" si="0"/>
        <v>3</v>
      </c>
      <c r="T28">
        <f t="shared" si="1"/>
        <v>2026</v>
      </c>
      <c r="U28">
        <f t="shared" si="2"/>
        <v>0</v>
      </c>
      <c r="V28">
        <f t="shared" si="3"/>
        <v>0</v>
      </c>
      <c r="W28" s="15">
        <f t="shared" si="4"/>
        <v>0</v>
      </c>
      <c r="X28" t="e">
        <f>VLOOKUP(B28,'[25]Cancel Sent on March 12'!$B:$B,1,0)</f>
        <v>#N/A</v>
      </c>
    </row>
    <row r="29" spans="1:24">
      <c r="A29" t="s">
        <v>8517</v>
      </c>
      <c r="B29">
        <v>17243902</v>
      </c>
      <c r="C29">
        <v>17243902</v>
      </c>
      <c r="D29" t="s">
        <v>39</v>
      </c>
      <c r="E29">
        <v>300</v>
      </c>
      <c r="F29" t="e">
        <v>#N/A</v>
      </c>
      <c r="G29" t="e">
        <v>#N/A</v>
      </c>
      <c r="H29" t="e">
        <v>#N/A</v>
      </c>
      <c r="I29" t="e">
        <v>#N/A</v>
      </c>
      <c r="K29" t="s">
        <v>8727</v>
      </c>
      <c r="L29" s="29">
        <v>45962</v>
      </c>
      <c r="M29" t="s">
        <v>8731</v>
      </c>
      <c r="P29" t="s">
        <v>306</v>
      </c>
      <c r="Q29" t="s">
        <v>8756</v>
      </c>
      <c r="R29" t="s">
        <v>8739</v>
      </c>
      <c r="S29">
        <f t="shared" si="0"/>
        <v>11</v>
      </c>
      <c r="T29">
        <f t="shared" si="1"/>
        <v>2025</v>
      </c>
      <c r="U29">
        <f t="shared" si="2"/>
        <v>3</v>
      </c>
      <c r="V29">
        <f t="shared" si="3"/>
        <v>3</v>
      </c>
      <c r="W29" s="15">
        <f t="shared" si="4"/>
        <v>1500</v>
      </c>
      <c r="X29">
        <f>VLOOKUP(B29,'[25]Cancel Sent on March 12'!$B:$B,1,0)</f>
        <v>17243902</v>
      </c>
    </row>
    <row r="30" spans="1:24">
      <c r="A30" t="s">
        <v>8518</v>
      </c>
      <c r="B30">
        <v>17250801</v>
      </c>
      <c r="C30">
        <v>17250801</v>
      </c>
      <c r="D30" t="s">
        <v>39</v>
      </c>
      <c r="E30">
        <v>300</v>
      </c>
      <c r="F30" t="e">
        <v>#N/A</v>
      </c>
      <c r="G30" t="e">
        <v>#N/A</v>
      </c>
      <c r="H30" t="e">
        <v>#N/A</v>
      </c>
      <c r="I30" t="e">
        <v>#N/A</v>
      </c>
      <c r="K30" t="s">
        <v>8727</v>
      </c>
      <c r="L30" s="29">
        <v>45870</v>
      </c>
      <c r="M30" t="s">
        <v>8731</v>
      </c>
      <c r="R30" t="s">
        <v>8739</v>
      </c>
      <c r="S30">
        <f t="shared" si="0"/>
        <v>8</v>
      </c>
      <c r="T30">
        <f t="shared" si="1"/>
        <v>2025</v>
      </c>
      <c r="U30">
        <f t="shared" si="2"/>
        <v>6</v>
      </c>
      <c r="V30">
        <f t="shared" si="3"/>
        <v>6</v>
      </c>
      <c r="W30" s="15">
        <f t="shared" si="4"/>
        <v>3000</v>
      </c>
      <c r="X30">
        <f>VLOOKUP(B30,'[25]Cancel Sent on March 12'!$B:$B,1,0)</f>
        <v>17250801</v>
      </c>
    </row>
    <row r="31" spans="1:24">
      <c r="A31" t="s">
        <v>8519</v>
      </c>
      <c r="B31">
        <v>17314766</v>
      </c>
      <c r="C31">
        <v>17314766</v>
      </c>
      <c r="D31" t="s">
        <v>39</v>
      </c>
      <c r="E31">
        <v>300</v>
      </c>
      <c r="F31" t="e">
        <v>#N/A</v>
      </c>
      <c r="G31" t="e">
        <v>#N/A</v>
      </c>
      <c r="H31" t="e">
        <v>#N/A</v>
      </c>
      <c r="I31" t="e">
        <v>#N/A</v>
      </c>
      <c r="K31" t="s">
        <v>8727</v>
      </c>
      <c r="L31" s="29">
        <v>45017</v>
      </c>
      <c r="M31" t="s">
        <v>8728</v>
      </c>
      <c r="Q31" t="s">
        <v>8758</v>
      </c>
      <c r="R31" t="s">
        <v>8739</v>
      </c>
      <c r="S31">
        <f t="shared" si="0"/>
        <v>4</v>
      </c>
      <c r="T31">
        <f t="shared" si="1"/>
        <v>2023</v>
      </c>
      <c r="U31">
        <f t="shared" si="2"/>
        <v>34</v>
      </c>
      <c r="V31">
        <f t="shared" si="3"/>
        <v>20</v>
      </c>
      <c r="W31" s="15">
        <f t="shared" si="4"/>
        <v>14200</v>
      </c>
      <c r="X31">
        <f>VLOOKUP(B31,'[25]Cancel Sent on March 12'!$B:$B,1,0)</f>
        <v>17314766</v>
      </c>
    </row>
    <row r="32" spans="1:24">
      <c r="A32" t="s">
        <v>8520</v>
      </c>
      <c r="B32">
        <v>17314868</v>
      </c>
      <c r="C32">
        <v>17314868</v>
      </c>
      <c r="D32" t="s">
        <v>39</v>
      </c>
      <c r="E32">
        <v>300</v>
      </c>
      <c r="F32" t="e">
        <v>#N/A</v>
      </c>
      <c r="G32" t="e">
        <v>#N/A</v>
      </c>
      <c r="H32" t="e">
        <v>#N/A</v>
      </c>
      <c r="I32" t="e">
        <v>#N/A</v>
      </c>
      <c r="K32" t="s">
        <v>8727</v>
      </c>
      <c r="L32" s="29">
        <v>45261</v>
      </c>
      <c r="M32" t="s">
        <v>8728</v>
      </c>
      <c r="R32" t="s">
        <v>8739</v>
      </c>
      <c r="S32">
        <f t="shared" si="0"/>
        <v>12</v>
      </c>
      <c r="T32">
        <f t="shared" si="1"/>
        <v>2023</v>
      </c>
      <c r="U32">
        <f t="shared" si="2"/>
        <v>26</v>
      </c>
      <c r="V32">
        <f t="shared" si="3"/>
        <v>20</v>
      </c>
      <c r="W32" s="15">
        <f t="shared" si="4"/>
        <v>11800</v>
      </c>
      <c r="X32">
        <f>VLOOKUP(B32,'[25]Cancel Sent on March 12'!$B:$B,1,0)</f>
        <v>17314868</v>
      </c>
    </row>
    <row r="33" spans="1:24">
      <c r="A33" t="s">
        <v>8521</v>
      </c>
      <c r="B33">
        <v>17315164</v>
      </c>
      <c r="C33">
        <v>17315164</v>
      </c>
      <c r="D33" t="s">
        <v>39</v>
      </c>
      <c r="E33">
        <v>300</v>
      </c>
      <c r="F33" t="e">
        <v>#N/A</v>
      </c>
      <c r="G33" t="e">
        <v>#N/A</v>
      </c>
      <c r="H33" t="e">
        <v>#N/A</v>
      </c>
      <c r="I33" t="e">
        <v>#N/A</v>
      </c>
      <c r="K33" t="s">
        <v>8727</v>
      </c>
      <c r="L33" s="29">
        <v>45474</v>
      </c>
      <c r="M33" t="s">
        <v>8731</v>
      </c>
      <c r="Q33" t="s">
        <v>8755</v>
      </c>
      <c r="R33" t="s">
        <v>8739</v>
      </c>
      <c r="S33">
        <f t="shared" si="0"/>
        <v>7</v>
      </c>
      <c r="T33">
        <f t="shared" si="1"/>
        <v>2024</v>
      </c>
      <c r="U33">
        <f t="shared" si="2"/>
        <v>19</v>
      </c>
      <c r="V33">
        <f t="shared" si="3"/>
        <v>19</v>
      </c>
      <c r="W33" s="15">
        <f t="shared" si="4"/>
        <v>9500</v>
      </c>
      <c r="X33">
        <f>VLOOKUP(B33,'[25]Cancel Sent on March 12'!$B:$B,1,0)</f>
        <v>17315164</v>
      </c>
    </row>
    <row r="34" spans="1:24">
      <c r="A34" t="s">
        <v>8522</v>
      </c>
      <c r="B34">
        <v>17315776</v>
      </c>
      <c r="C34">
        <v>17315776</v>
      </c>
      <c r="D34" t="s">
        <v>39</v>
      </c>
      <c r="E34">
        <v>300</v>
      </c>
      <c r="F34" t="e">
        <v>#N/A</v>
      </c>
      <c r="G34" t="e">
        <v>#N/A</v>
      </c>
      <c r="H34" t="e">
        <v>#N/A</v>
      </c>
      <c r="I34" t="e">
        <v>#N/A</v>
      </c>
      <c r="K34" t="s">
        <v>8727</v>
      </c>
      <c r="L34" s="29">
        <v>45231</v>
      </c>
      <c r="M34" t="s">
        <v>8731</v>
      </c>
      <c r="Q34" t="s">
        <v>8759</v>
      </c>
      <c r="R34" t="s">
        <v>8739</v>
      </c>
      <c r="S34">
        <f t="shared" si="0"/>
        <v>11</v>
      </c>
      <c r="T34">
        <f t="shared" si="1"/>
        <v>2023</v>
      </c>
      <c r="U34">
        <f t="shared" si="2"/>
        <v>27</v>
      </c>
      <c r="V34">
        <f t="shared" si="3"/>
        <v>20</v>
      </c>
      <c r="W34" s="15">
        <f t="shared" si="4"/>
        <v>12100</v>
      </c>
      <c r="X34">
        <f>VLOOKUP(B34,'[25]Cancel Sent on March 12'!$B:$B,1,0)</f>
        <v>17315776</v>
      </c>
    </row>
    <row r="35" spans="1:24">
      <c r="A35" t="s">
        <v>1265</v>
      </c>
      <c r="B35">
        <v>25149301</v>
      </c>
      <c r="C35">
        <v>25149301</v>
      </c>
      <c r="D35" t="s">
        <v>39</v>
      </c>
      <c r="E35">
        <v>300</v>
      </c>
      <c r="F35" t="e">
        <v>#N/A</v>
      </c>
      <c r="G35" t="e">
        <v>#N/A</v>
      </c>
      <c r="H35" t="e">
        <v>#N/A</v>
      </c>
      <c r="I35" t="e">
        <v>#N/A</v>
      </c>
      <c r="K35" t="s">
        <v>8741</v>
      </c>
      <c r="L35" s="29">
        <v>45658</v>
      </c>
      <c r="M35" t="s">
        <v>8731</v>
      </c>
      <c r="Q35" t="s">
        <v>8760</v>
      </c>
      <c r="R35" t="s">
        <v>8739</v>
      </c>
      <c r="S35">
        <f t="shared" si="0"/>
        <v>1</v>
      </c>
      <c r="T35">
        <f t="shared" si="1"/>
        <v>2025</v>
      </c>
      <c r="U35">
        <f t="shared" si="2"/>
        <v>13</v>
      </c>
      <c r="V35">
        <f t="shared" si="3"/>
        <v>13</v>
      </c>
      <c r="W35" s="15">
        <f t="shared" si="4"/>
        <v>6500</v>
      </c>
      <c r="X35">
        <f>VLOOKUP(B35,'[25]Cancel Sent on March 12'!$B:$B,1,0)</f>
        <v>25149301</v>
      </c>
    </row>
    <row r="36" spans="1:24">
      <c r="A36" t="s">
        <v>415</v>
      </c>
      <c r="B36">
        <v>25149302</v>
      </c>
      <c r="C36">
        <v>25149302</v>
      </c>
      <c r="D36" t="s">
        <v>39</v>
      </c>
      <c r="E36">
        <v>300</v>
      </c>
      <c r="F36" t="e">
        <v>#N/A</v>
      </c>
      <c r="G36" t="e">
        <v>#N/A</v>
      </c>
      <c r="H36" t="e">
        <v>#N/A</v>
      </c>
      <c r="I36" t="e">
        <v>#N/A</v>
      </c>
      <c r="K36" t="s">
        <v>8741</v>
      </c>
      <c r="L36" s="29">
        <v>45658</v>
      </c>
      <c r="M36" t="s">
        <v>8731</v>
      </c>
      <c r="Q36" t="s">
        <v>8760</v>
      </c>
      <c r="R36" t="s">
        <v>8739</v>
      </c>
      <c r="S36">
        <f t="shared" si="0"/>
        <v>1</v>
      </c>
      <c r="T36">
        <f t="shared" si="1"/>
        <v>2025</v>
      </c>
      <c r="U36">
        <f t="shared" si="2"/>
        <v>13</v>
      </c>
      <c r="V36">
        <f t="shared" si="3"/>
        <v>13</v>
      </c>
      <c r="W36" s="15">
        <f t="shared" si="4"/>
        <v>6500</v>
      </c>
      <c r="X36">
        <f>VLOOKUP(B36,'[25]Cancel Sent on March 12'!$B:$B,1,0)</f>
        <v>25149302</v>
      </c>
    </row>
    <row r="37" spans="1:24">
      <c r="A37" t="s">
        <v>1292</v>
      </c>
      <c r="B37">
        <v>25149303</v>
      </c>
      <c r="C37">
        <v>25149303</v>
      </c>
      <c r="D37" t="s">
        <v>39</v>
      </c>
      <c r="E37">
        <v>300</v>
      </c>
      <c r="F37" t="e">
        <v>#N/A</v>
      </c>
      <c r="G37" t="e">
        <v>#N/A</v>
      </c>
      <c r="H37" t="e">
        <v>#N/A</v>
      </c>
      <c r="I37" t="e">
        <v>#N/A</v>
      </c>
      <c r="K37" t="s">
        <v>8741</v>
      </c>
      <c r="L37" s="29">
        <v>45658</v>
      </c>
      <c r="M37" t="s">
        <v>8731</v>
      </c>
      <c r="Q37" t="s">
        <v>8760</v>
      </c>
      <c r="R37" t="s">
        <v>8739</v>
      </c>
      <c r="S37">
        <f t="shared" si="0"/>
        <v>1</v>
      </c>
      <c r="T37">
        <f t="shared" si="1"/>
        <v>2025</v>
      </c>
      <c r="U37">
        <f t="shared" si="2"/>
        <v>13</v>
      </c>
      <c r="V37">
        <f t="shared" si="3"/>
        <v>13</v>
      </c>
      <c r="W37" s="15">
        <f t="shared" si="4"/>
        <v>6500</v>
      </c>
      <c r="X37">
        <f>VLOOKUP(B37,'[25]Cancel Sent on March 12'!$B:$B,1,0)</f>
        <v>25149303</v>
      </c>
    </row>
    <row r="38" spans="1:24">
      <c r="A38" t="s">
        <v>1268</v>
      </c>
      <c r="B38">
        <v>25149306</v>
      </c>
      <c r="C38">
        <v>25149306</v>
      </c>
      <c r="D38" t="s">
        <v>39</v>
      </c>
      <c r="E38">
        <v>300</v>
      </c>
      <c r="F38" t="e">
        <v>#N/A</v>
      </c>
      <c r="G38" t="e">
        <v>#N/A</v>
      </c>
      <c r="H38" t="e">
        <v>#N/A</v>
      </c>
      <c r="I38" t="e">
        <v>#N/A</v>
      </c>
      <c r="K38" t="s">
        <v>8741</v>
      </c>
      <c r="L38" s="29">
        <v>45658</v>
      </c>
      <c r="M38" t="s">
        <v>8731</v>
      </c>
      <c r="Q38" t="s">
        <v>8760</v>
      </c>
      <c r="R38" t="s">
        <v>8739</v>
      </c>
      <c r="S38">
        <f t="shared" si="0"/>
        <v>1</v>
      </c>
      <c r="T38">
        <f t="shared" si="1"/>
        <v>2025</v>
      </c>
      <c r="U38">
        <f t="shared" si="2"/>
        <v>13</v>
      </c>
      <c r="V38">
        <f t="shared" si="3"/>
        <v>13</v>
      </c>
      <c r="W38" s="15">
        <f t="shared" si="4"/>
        <v>6500</v>
      </c>
      <c r="X38">
        <f>VLOOKUP(B38,'[25]Cancel Sent on March 12'!$B:$B,1,0)</f>
        <v>25149306</v>
      </c>
    </row>
    <row r="39" spans="1:24">
      <c r="A39" t="s">
        <v>8523</v>
      </c>
      <c r="B39">
        <v>25181201</v>
      </c>
      <c r="C39">
        <v>25181201</v>
      </c>
      <c r="D39" t="s">
        <v>39</v>
      </c>
      <c r="E39">
        <v>300</v>
      </c>
      <c r="F39" t="e">
        <v>#N/A</v>
      </c>
      <c r="G39" t="e">
        <v>#N/A</v>
      </c>
      <c r="H39" t="e">
        <v>#N/A</v>
      </c>
      <c r="I39" t="e">
        <v>#N/A</v>
      </c>
      <c r="Q39" t="s">
        <v>8761</v>
      </c>
      <c r="R39" t="s">
        <v>8739</v>
      </c>
      <c r="S39">
        <f t="shared" si="0"/>
        <v>12</v>
      </c>
      <c r="T39">
        <f t="shared" si="1"/>
        <v>2025</v>
      </c>
      <c r="U39">
        <f t="shared" si="2"/>
        <v>2</v>
      </c>
      <c r="V39">
        <f t="shared" si="3"/>
        <v>2</v>
      </c>
      <c r="W39" s="15">
        <f t="shared" si="4"/>
        <v>1000</v>
      </c>
      <c r="X39">
        <f>VLOOKUP(B39,'[25]Cancel Sent on March 12'!$B:$B,1,0)</f>
        <v>25181201</v>
      </c>
    </row>
    <row r="40" spans="1:24">
      <c r="A40" t="s">
        <v>8524</v>
      </c>
      <c r="B40">
        <v>25265301</v>
      </c>
      <c r="C40">
        <v>25265301</v>
      </c>
      <c r="D40" t="s">
        <v>39</v>
      </c>
      <c r="E40">
        <v>450</v>
      </c>
      <c r="F40" t="e">
        <v>#N/A</v>
      </c>
      <c r="G40" t="e">
        <v>#N/A</v>
      </c>
      <c r="H40" t="e">
        <v>#N/A</v>
      </c>
      <c r="I40" t="e">
        <v>#N/A</v>
      </c>
      <c r="K40" t="s">
        <v>8727</v>
      </c>
      <c r="L40" s="29">
        <v>44470</v>
      </c>
      <c r="M40" t="s">
        <v>8731</v>
      </c>
      <c r="Q40" t="s">
        <v>8760</v>
      </c>
      <c r="R40" t="s">
        <v>8739</v>
      </c>
      <c r="S40">
        <f t="shared" si="0"/>
        <v>10</v>
      </c>
      <c r="T40">
        <f t="shared" si="1"/>
        <v>2021</v>
      </c>
      <c r="U40">
        <f t="shared" si="2"/>
        <v>52</v>
      </c>
      <c r="V40">
        <f t="shared" si="3"/>
        <v>20</v>
      </c>
      <c r="W40" s="15">
        <f t="shared" si="4"/>
        <v>27400</v>
      </c>
      <c r="X40">
        <f>VLOOKUP(B40,'[25]Cancel Sent on March 12'!$B:$B,1,0)</f>
        <v>25265301</v>
      </c>
    </row>
    <row r="41" spans="1:24">
      <c r="A41" t="s">
        <v>8525</v>
      </c>
      <c r="B41">
        <v>25298953</v>
      </c>
      <c r="C41">
        <v>25298953</v>
      </c>
      <c r="D41" t="s">
        <v>39</v>
      </c>
      <c r="E41">
        <v>450</v>
      </c>
      <c r="F41" t="e">
        <v>#N/A</v>
      </c>
      <c r="G41" t="e">
        <v>#N/A</v>
      </c>
      <c r="H41" t="e">
        <v>#N/A</v>
      </c>
      <c r="I41" t="e">
        <v>#N/A</v>
      </c>
      <c r="K41" t="s">
        <v>8727</v>
      </c>
      <c r="L41" s="29">
        <v>44743</v>
      </c>
      <c r="M41" t="s">
        <v>8728</v>
      </c>
      <c r="R41" t="s">
        <v>8739</v>
      </c>
      <c r="S41">
        <f t="shared" si="0"/>
        <v>7</v>
      </c>
      <c r="T41">
        <f t="shared" si="1"/>
        <v>2022</v>
      </c>
      <c r="U41">
        <f t="shared" si="2"/>
        <v>43</v>
      </c>
      <c r="V41">
        <f t="shared" si="3"/>
        <v>20</v>
      </c>
      <c r="W41" s="15">
        <f t="shared" si="4"/>
        <v>23350</v>
      </c>
      <c r="X41">
        <f>VLOOKUP(B41,'[25]Cancel Sent on March 12'!$B:$B,1,0)</f>
        <v>25298953</v>
      </c>
    </row>
    <row r="42" spans="1:24">
      <c r="A42" t="s">
        <v>8526</v>
      </c>
      <c r="B42">
        <v>33237102</v>
      </c>
      <c r="C42">
        <v>33237102</v>
      </c>
      <c r="D42" t="s">
        <v>39</v>
      </c>
      <c r="E42">
        <v>450</v>
      </c>
      <c r="F42" t="e">
        <v>#N/A</v>
      </c>
      <c r="G42" t="e">
        <v>#N/A</v>
      </c>
      <c r="H42" t="e">
        <v>#N/A</v>
      </c>
      <c r="I42" t="e">
        <v>#N/A</v>
      </c>
      <c r="K42" t="s">
        <v>8727</v>
      </c>
      <c r="L42" s="29">
        <v>44501</v>
      </c>
      <c r="M42" t="s">
        <v>8731</v>
      </c>
      <c r="Q42" t="s">
        <v>8760</v>
      </c>
      <c r="R42" t="s">
        <v>8739</v>
      </c>
      <c r="S42">
        <f t="shared" si="0"/>
        <v>11</v>
      </c>
      <c r="T42">
        <f t="shared" si="1"/>
        <v>2021</v>
      </c>
      <c r="U42">
        <f t="shared" si="2"/>
        <v>51</v>
      </c>
      <c r="V42">
        <f t="shared" si="3"/>
        <v>20</v>
      </c>
      <c r="W42" s="15">
        <f t="shared" si="4"/>
        <v>26950</v>
      </c>
      <c r="X42">
        <f>VLOOKUP(B42,'[25]Cancel Sent on March 12'!$B:$B,1,0)</f>
        <v>33237102</v>
      </c>
    </row>
    <row r="43" spans="1:24">
      <c r="A43" t="s">
        <v>8527</v>
      </c>
      <c r="B43">
        <v>37009201</v>
      </c>
      <c r="C43">
        <v>37009201</v>
      </c>
      <c r="D43" t="s">
        <v>39</v>
      </c>
      <c r="E43">
        <v>400</v>
      </c>
      <c r="F43" t="e">
        <v>#N/A</v>
      </c>
      <c r="G43" t="e">
        <v>#N/A</v>
      </c>
      <c r="H43" t="e">
        <v>#N/A</v>
      </c>
      <c r="I43" t="e">
        <v>#N/A</v>
      </c>
      <c r="Q43" t="s">
        <v>8745</v>
      </c>
      <c r="R43" t="s">
        <v>8739</v>
      </c>
      <c r="S43">
        <f t="shared" si="0"/>
        <v>12</v>
      </c>
      <c r="T43">
        <f t="shared" si="1"/>
        <v>2025</v>
      </c>
      <c r="U43">
        <f t="shared" si="2"/>
        <v>2</v>
      </c>
      <c r="V43">
        <f t="shared" si="3"/>
        <v>2</v>
      </c>
      <c r="W43" s="15">
        <f t="shared" si="4"/>
        <v>1200</v>
      </c>
      <c r="X43">
        <f>VLOOKUP(B43,'[25]Cancel Sent on March 12'!$B:$B,1,0)</f>
        <v>37009201</v>
      </c>
    </row>
    <row r="44" spans="1:24">
      <c r="A44" t="s">
        <v>8528</v>
      </c>
      <c r="B44">
        <v>37009201</v>
      </c>
      <c r="C44">
        <v>37009201</v>
      </c>
      <c r="D44" t="s">
        <v>39</v>
      </c>
      <c r="E44">
        <v>400</v>
      </c>
      <c r="F44" t="e">
        <v>#N/A</v>
      </c>
      <c r="G44" t="e">
        <v>#N/A</v>
      </c>
      <c r="H44" t="e">
        <v>#N/A</v>
      </c>
      <c r="I44" t="e">
        <v>#N/A</v>
      </c>
      <c r="Q44" t="s">
        <v>8745</v>
      </c>
      <c r="R44" t="s">
        <v>8739</v>
      </c>
      <c r="S44">
        <f t="shared" si="0"/>
        <v>12</v>
      </c>
      <c r="T44">
        <f t="shared" si="1"/>
        <v>2025</v>
      </c>
      <c r="U44">
        <f t="shared" si="2"/>
        <v>2</v>
      </c>
      <c r="V44">
        <f t="shared" si="3"/>
        <v>2</v>
      </c>
      <c r="W44" s="15">
        <f t="shared" si="4"/>
        <v>1200</v>
      </c>
      <c r="X44">
        <f>VLOOKUP(B44,'[25]Cancel Sent on March 12'!$B:$B,1,0)</f>
        <v>37009201</v>
      </c>
    </row>
    <row r="45" spans="1:24">
      <c r="A45" t="s">
        <v>8529</v>
      </c>
      <c r="B45">
        <v>37009201</v>
      </c>
      <c r="C45">
        <v>37009201</v>
      </c>
      <c r="D45" t="s">
        <v>39</v>
      </c>
      <c r="E45">
        <v>400</v>
      </c>
      <c r="F45" t="e">
        <v>#N/A</v>
      </c>
      <c r="G45" t="e">
        <v>#N/A</v>
      </c>
      <c r="H45" t="e">
        <v>#N/A</v>
      </c>
      <c r="I45" t="e">
        <v>#N/A</v>
      </c>
      <c r="M45" s="29"/>
      <c r="Q45" t="s">
        <v>8745</v>
      </c>
      <c r="R45" t="s">
        <v>8739</v>
      </c>
      <c r="S45">
        <f t="shared" si="0"/>
        <v>12</v>
      </c>
      <c r="T45">
        <f t="shared" si="1"/>
        <v>2025</v>
      </c>
      <c r="U45">
        <f t="shared" si="2"/>
        <v>2</v>
      </c>
      <c r="V45">
        <f t="shared" si="3"/>
        <v>2</v>
      </c>
      <c r="W45" s="15">
        <f t="shared" si="4"/>
        <v>1200</v>
      </c>
      <c r="X45">
        <f>VLOOKUP(B45,'[25]Cancel Sent on March 12'!$B:$B,1,0)</f>
        <v>37009201</v>
      </c>
    </row>
    <row r="46" spans="1:24">
      <c r="A46" t="s">
        <v>8530</v>
      </c>
      <c r="B46">
        <v>37011801</v>
      </c>
      <c r="C46">
        <v>37011801</v>
      </c>
      <c r="D46" t="s">
        <v>39</v>
      </c>
      <c r="E46">
        <v>300</v>
      </c>
      <c r="F46" t="e">
        <v>#N/A</v>
      </c>
      <c r="G46" t="e">
        <v>#N/A</v>
      </c>
      <c r="H46" t="e">
        <v>#N/A</v>
      </c>
      <c r="I46" t="e">
        <v>#N/A</v>
      </c>
      <c r="K46" t="s">
        <v>8727</v>
      </c>
      <c r="L46" s="29">
        <v>45597</v>
      </c>
      <c r="M46" t="s">
        <v>8731</v>
      </c>
      <c r="R46" t="s">
        <v>8739</v>
      </c>
      <c r="S46">
        <f t="shared" si="0"/>
        <v>11</v>
      </c>
      <c r="T46">
        <f t="shared" si="1"/>
        <v>2024</v>
      </c>
      <c r="U46">
        <f t="shared" si="2"/>
        <v>15</v>
      </c>
      <c r="V46">
        <f t="shared" si="3"/>
        <v>15</v>
      </c>
      <c r="W46" s="15">
        <f t="shared" si="4"/>
        <v>7500</v>
      </c>
      <c r="X46">
        <f>VLOOKUP(B46,'[25]Cancel Sent on March 12'!$B:$B,1,0)</f>
        <v>37011801</v>
      </c>
    </row>
    <row r="47" spans="1:24">
      <c r="A47" t="s">
        <v>8531</v>
      </c>
      <c r="B47">
        <v>37011804</v>
      </c>
      <c r="C47">
        <v>37011804</v>
      </c>
      <c r="D47" t="s">
        <v>39</v>
      </c>
      <c r="E47">
        <v>300</v>
      </c>
      <c r="F47" t="e">
        <v>#N/A</v>
      </c>
      <c r="G47" t="e">
        <v>#N/A</v>
      </c>
      <c r="H47" t="e">
        <v>#N/A</v>
      </c>
      <c r="I47" t="e">
        <v>#N/A</v>
      </c>
      <c r="K47" t="s">
        <v>8727</v>
      </c>
      <c r="L47" s="29">
        <v>45597</v>
      </c>
      <c r="M47" t="s">
        <v>8731</v>
      </c>
      <c r="R47" t="s">
        <v>8739</v>
      </c>
      <c r="S47">
        <f t="shared" si="0"/>
        <v>11</v>
      </c>
      <c r="T47">
        <f t="shared" si="1"/>
        <v>2024</v>
      </c>
      <c r="U47">
        <f t="shared" si="2"/>
        <v>15</v>
      </c>
      <c r="V47">
        <f t="shared" si="3"/>
        <v>15</v>
      </c>
      <c r="W47" s="15">
        <f t="shared" si="4"/>
        <v>7500</v>
      </c>
      <c r="X47">
        <f>VLOOKUP(B47,'[25]Cancel Sent on March 12'!$B:$B,1,0)</f>
        <v>37011804</v>
      </c>
    </row>
    <row r="48" spans="1:24">
      <c r="A48" t="s">
        <v>8532</v>
      </c>
      <c r="B48">
        <v>41002490</v>
      </c>
      <c r="C48">
        <v>41002490</v>
      </c>
      <c r="D48" t="s">
        <v>39</v>
      </c>
      <c r="E48">
        <v>300</v>
      </c>
      <c r="F48" t="e">
        <v>#N/A</v>
      </c>
      <c r="G48" t="e">
        <v>#N/A</v>
      </c>
      <c r="H48" t="e">
        <v>#N/A</v>
      </c>
      <c r="I48" t="e">
        <v>#N/A</v>
      </c>
      <c r="K48" t="s">
        <v>8741</v>
      </c>
      <c r="L48" s="29">
        <v>45748</v>
      </c>
      <c r="M48" t="s">
        <v>8731</v>
      </c>
      <c r="R48" t="s">
        <v>8739</v>
      </c>
      <c r="S48">
        <f t="shared" si="0"/>
        <v>4</v>
      </c>
      <c r="T48">
        <f t="shared" si="1"/>
        <v>2025</v>
      </c>
      <c r="U48">
        <f t="shared" si="2"/>
        <v>10</v>
      </c>
      <c r="V48">
        <f t="shared" si="3"/>
        <v>10</v>
      </c>
      <c r="W48" s="15">
        <f t="shared" si="4"/>
        <v>5000</v>
      </c>
      <c r="X48">
        <f>VLOOKUP(B48,'[25]Cancel Sent on March 12'!$B:$B,1,0)</f>
        <v>41002490</v>
      </c>
    </row>
    <row r="49" spans="1:24">
      <c r="A49" t="s">
        <v>7673</v>
      </c>
      <c r="B49">
        <v>41002701</v>
      </c>
      <c r="C49">
        <v>41002701</v>
      </c>
      <c r="D49" t="s">
        <v>39</v>
      </c>
      <c r="E49">
        <v>300</v>
      </c>
      <c r="F49" t="e">
        <v>#N/A</v>
      </c>
      <c r="G49" t="e">
        <v>#N/A</v>
      </c>
      <c r="H49" t="e">
        <v>#N/A</v>
      </c>
      <c r="I49" t="e">
        <v>#N/A</v>
      </c>
      <c r="K49" t="s">
        <v>8741</v>
      </c>
      <c r="L49" s="29">
        <v>46045</v>
      </c>
      <c r="M49" t="s">
        <v>8731</v>
      </c>
      <c r="R49" t="s">
        <v>8739</v>
      </c>
      <c r="S49">
        <f t="shared" si="0"/>
        <v>1</v>
      </c>
      <c r="T49">
        <f t="shared" si="1"/>
        <v>2026</v>
      </c>
      <c r="U49">
        <f t="shared" si="2"/>
        <v>1</v>
      </c>
      <c r="V49">
        <f t="shared" si="3"/>
        <v>1</v>
      </c>
      <c r="W49" s="15">
        <f t="shared" si="4"/>
        <v>500</v>
      </c>
      <c r="X49">
        <f>VLOOKUP(B49,'[25]Cancel Sent on March 12'!$B:$B,1,0)</f>
        <v>41002701</v>
      </c>
    </row>
    <row r="50" spans="1:24" s="23" customFormat="1">
      <c r="A50" s="23" t="s">
        <v>8533</v>
      </c>
      <c r="B50" s="23">
        <v>53304601</v>
      </c>
      <c r="C50" s="23">
        <v>53304601</v>
      </c>
      <c r="D50" s="23" t="s">
        <v>39</v>
      </c>
      <c r="E50" s="23">
        <v>300</v>
      </c>
      <c r="F50" s="23" t="e">
        <v>#N/A</v>
      </c>
      <c r="G50" t="e">
        <v>#N/A</v>
      </c>
      <c r="H50" t="e">
        <v>#N/A</v>
      </c>
      <c r="I50" t="e">
        <v>#N/A</v>
      </c>
      <c r="K50" s="23" t="s">
        <v>8741</v>
      </c>
      <c r="L50" s="29">
        <v>45505</v>
      </c>
      <c r="M50" s="23" t="s">
        <v>8731</v>
      </c>
      <c r="Q50" s="23" t="s">
        <v>8762</v>
      </c>
      <c r="R50" s="23" t="s">
        <v>8739</v>
      </c>
      <c r="S50">
        <f t="shared" si="0"/>
        <v>8</v>
      </c>
      <c r="T50">
        <f t="shared" si="1"/>
        <v>2024</v>
      </c>
      <c r="U50">
        <f t="shared" si="2"/>
        <v>18</v>
      </c>
      <c r="V50">
        <f t="shared" si="3"/>
        <v>18</v>
      </c>
      <c r="W50" s="15">
        <f t="shared" si="4"/>
        <v>9000</v>
      </c>
      <c r="X50">
        <f>VLOOKUP(B50,'[25]Cancel Sent on March 12'!$B:$B,1,0)</f>
        <v>53304601</v>
      </c>
    </row>
    <row r="51" spans="1:24">
      <c r="A51" t="s">
        <v>8534</v>
      </c>
      <c r="B51">
        <v>61000917</v>
      </c>
      <c r="C51">
        <v>61000917</v>
      </c>
      <c r="D51" t="s">
        <v>39</v>
      </c>
      <c r="E51">
        <v>450</v>
      </c>
      <c r="F51" t="e">
        <v>#N/A</v>
      </c>
      <c r="G51" t="e">
        <v>#N/A</v>
      </c>
      <c r="H51" t="e">
        <v>#N/A</v>
      </c>
      <c r="I51" t="e">
        <v>#N/A</v>
      </c>
      <c r="K51" t="s">
        <v>8727</v>
      </c>
      <c r="L51" s="29">
        <v>44866</v>
      </c>
      <c r="M51" t="s">
        <v>8731</v>
      </c>
      <c r="R51" t="s">
        <v>8739</v>
      </c>
      <c r="S51">
        <f t="shared" si="0"/>
        <v>11</v>
      </c>
      <c r="T51">
        <f t="shared" si="1"/>
        <v>2022</v>
      </c>
      <c r="U51">
        <f t="shared" si="2"/>
        <v>39</v>
      </c>
      <c r="V51">
        <f t="shared" si="3"/>
        <v>20</v>
      </c>
      <c r="W51" s="15">
        <f t="shared" si="4"/>
        <v>21550</v>
      </c>
      <c r="X51">
        <f>VLOOKUP(B51,'[25]Cancel Sent on March 12'!$B:$B,1,0)</f>
        <v>61000917</v>
      </c>
    </row>
    <row r="52" spans="1:24">
      <c r="A52" t="s">
        <v>8535</v>
      </c>
      <c r="B52">
        <v>71034996</v>
      </c>
      <c r="C52">
        <v>71034996</v>
      </c>
      <c r="D52" t="s">
        <v>39</v>
      </c>
      <c r="E52">
        <v>300</v>
      </c>
      <c r="F52" t="e">
        <v>#N/A</v>
      </c>
      <c r="G52" t="e">
        <v>#N/A</v>
      </c>
      <c r="H52" t="e">
        <v>#N/A</v>
      </c>
      <c r="I52" t="e">
        <v>#N/A</v>
      </c>
      <c r="Q52" t="s">
        <v>8745</v>
      </c>
      <c r="R52" t="s">
        <v>8739</v>
      </c>
      <c r="S52">
        <f t="shared" si="0"/>
        <v>12</v>
      </c>
      <c r="T52">
        <f t="shared" si="1"/>
        <v>2025</v>
      </c>
      <c r="U52">
        <f t="shared" si="2"/>
        <v>2</v>
      </c>
      <c r="V52">
        <f t="shared" si="3"/>
        <v>2</v>
      </c>
      <c r="W52" s="15">
        <f t="shared" si="4"/>
        <v>1000</v>
      </c>
      <c r="X52">
        <f>VLOOKUP(B52,'[25]Cancel Sent on March 12'!$B:$B,1,0)</f>
        <v>71034996</v>
      </c>
    </row>
    <row r="53" spans="1:24">
      <c r="A53" t="s">
        <v>8536</v>
      </c>
      <c r="B53">
        <v>71035282</v>
      </c>
      <c r="C53">
        <v>71035282</v>
      </c>
      <c r="D53" t="s">
        <v>39</v>
      </c>
      <c r="E53">
        <v>300</v>
      </c>
      <c r="F53" t="e">
        <v>#N/A</v>
      </c>
      <c r="G53" t="e">
        <v>#N/A</v>
      </c>
      <c r="H53" t="e">
        <v>#N/A</v>
      </c>
      <c r="I53" t="e">
        <v>#N/A</v>
      </c>
      <c r="K53" t="s">
        <v>8727</v>
      </c>
      <c r="L53" s="29">
        <v>45474</v>
      </c>
      <c r="M53" t="s">
        <v>8731</v>
      </c>
      <c r="R53" t="s">
        <v>8739</v>
      </c>
      <c r="S53">
        <f t="shared" si="0"/>
        <v>7</v>
      </c>
      <c r="T53">
        <f t="shared" si="1"/>
        <v>2024</v>
      </c>
      <c r="U53">
        <f t="shared" si="2"/>
        <v>19</v>
      </c>
      <c r="V53">
        <f t="shared" si="3"/>
        <v>19</v>
      </c>
      <c r="W53" s="15">
        <f t="shared" si="4"/>
        <v>9500</v>
      </c>
      <c r="X53">
        <f>VLOOKUP(B53,'[25]Cancel Sent on March 12'!$B:$B,1,0)</f>
        <v>71035282</v>
      </c>
    </row>
    <row r="54" spans="1:24">
      <c r="A54" t="s">
        <v>8537</v>
      </c>
      <c r="B54">
        <v>71038500</v>
      </c>
      <c r="C54">
        <v>71038500</v>
      </c>
      <c r="D54" t="s">
        <v>39</v>
      </c>
      <c r="E54">
        <v>300</v>
      </c>
      <c r="F54" t="e">
        <v>#N/A</v>
      </c>
      <c r="G54" t="e">
        <v>#N/A</v>
      </c>
      <c r="H54" t="e">
        <v>#N/A</v>
      </c>
      <c r="I54" t="e">
        <v>#N/A</v>
      </c>
      <c r="K54" t="s">
        <v>8727</v>
      </c>
      <c r="L54" s="29">
        <v>45323</v>
      </c>
      <c r="M54" t="s">
        <v>8728</v>
      </c>
      <c r="Q54" t="s">
        <v>8763</v>
      </c>
      <c r="R54" t="s">
        <v>8739</v>
      </c>
      <c r="S54">
        <f t="shared" si="0"/>
        <v>2</v>
      </c>
      <c r="T54">
        <f t="shared" si="1"/>
        <v>2024</v>
      </c>
      <c r="U54">
        <f t="shared" si="2"/>
        <v>24</v>
      </c>
      <c r="V54">
        <f t="shared" si="3"/>
        <v>20</v>
      </c>
      <c r="W54" s="15">
        <f t="shared" si="4"/>
        <v>11200</v>
      </c>
      <c r="X54">
        <f>VLOOKUP(B54,'[25]Cancel Sent on March 12'!$B:$B,1,0)</f>
        <v>71038500</v>
      </c>
    </row>
    <row r="55" spans="1:24" s="23" customFormat="1">
      <c r="A55" s="23" t="s">
        <v>8538</v>
      </c>
      <c r="B55" s="23">
        <v>71038684</v>
      </c>
      <c r="C55" s="23">
        <v>71038684</v>
      </c>
      <c r="D55" s="23" t="s">
        <v>39</v>
      </c>
      <c r="E55" s="23">
        <v>450</v>
      </c>
      <c r="F55" s="23" t="e">
        <v>#N/A</v>
      </c>
      <c r="G55" t="e">
        <v>#N/A</v>
      </c>
      <c r="H55" t="e">
        <v>#N/A</v>
      </c>
      <c r="I55" t="e">
        <v>#N/A</v>
      </c>
      <c r="K55" s="23" t="s">
        <v>8727</v>
      </c>
      <c r="L55" s="29">
        <v>44713</v>
      </c>
      <c r="M55" s="23" t="s">
        <v>8731</v>
      </c>
      <c r="R55" t="s">
        <v>8739</v>
      </c>
      <c r="S55">
        <f t="shared" si="0"/>
        <v>6</v>
      </c>
      <c r="T55">
        <f t="shared" si="1"/>
        <v>2022</v>
      </c>
      <c r="U55">
        <f t="shared" si="2"/>
        <v>44</v>
      </c>
      <c r="V55">
        <f t="shared" si="3"/>
        <v>20</v>
      </c>
      <c r="W55" s="15">
        <f t="shared" si="4"/>
        <v>23800</v>
      </c>
      <c r="X55">
        <f>VLOOKUP(B55,'[25]Cancel Sent on March 12'!$B:$B,1,0)</f>
        <v>71038684</v>
      </c>
    </row>
    <row r="56" spans="1:24" s="23" customFormat="1">
      <c r="A56" s="23" t="s">
        <v>8539</v>
      </c>
      <c r="B56" s="23">
        <v>71039452</v>
      </c>
      <c r="C56" s="23">
        <v>71039452</v>
      </c>
      <c r="D56" s="23" t="s">
        <v>39</v>
      </c>
      <c r="E56" s="23">
        <v>450</v>
      </c>
      <c r="F56" s="23" t="e">
        <v>#N/A</v>
      </c>
      <c r="G56" t="e">
        <v>#N/A</v>
      </c>
      <c r="H56" t="e">
        <v>#N/A</v>
      </c>
      <c r="I56" t="e">
        <v>#N/A</v>
      </c>
      <c r="K56" s="23" t="s">
        <v>8727</v>
      </c>
      <c r="L56" s="29">
        <v>44713</v>
      </c>
      <c r="M56" s="23" t="s">
        <v>8731</v>
      </c>
      <c r="R56" t="s">
        <v>8739</v>
      </c>
      <c r="S56">
        <f t="shared" si="0"/>
        <v>6</v>
      </c>
      <c r="T56">
        <f t="shared" si="1"/>
        <v>2022</v>
      </c>
      <c r="U56">
        <f t="shared" si="2"/>
        <v>44</v>
      </c>
      <c r="V56">
        <f t="shared" si="3"/>
        <v>20</v>
      </c>
      <c r="W56" s="15">
        <f t="shared" si="4"/>
        <v>23800</v>
      </c>
      <c r="X56">
        <f>VLOOKUP(B56,'[25]Cancel Sent on March 12'!$B:$B,1,0)</f>
        <v>71039452</v>
      </c>
    </row>
    <row r="57" spans="1:24" s="23" customFormat="1">
      <c r="A57" s="23" t="s">
        <v>7698</v>
      </c>
      <c r="B57" s="23">
        <v>71042196</v>
      </c>
      <c r="C57" s="23">
        <v>71042196</v>
      </c>
      <c r="D57" s="23" t="s">
        <v>39</v>
      </c>
      <c r="E57" s="23">
        <v>300</v>
      </c>
      <c r="F57" s="23" t="e">
        <v>#N/A</v>
      </c>
      <c r="G57" t="e">
        <v>#N/A</v>
      </c>
      <c r="H57" t="e">
        <v>#N/A</v>
      </c>
      <c r="I57" t="e">
        <v>#N/A</v>
      </c>
      <c r="K57" s="23" t="s">
        <v>8727</v>
      </c>
      <c r="L57" s="29">
        <v>45536</v>
      </c>
      <c r="M57" s="23" t="s">
        <v>8731</v>
      </c>
      <c r="R57" t="s">
        <v>8739</v>
      </c>
      <c r="S57">
        <f t="shared" si="0"/>
        <v>9</v>
      </c>
      <c r="T57">
        <f t="shared" si="1"/>
        <v>2024</v>
      </c>
      <c r="U57">
        <f t="shared" si="2"/>
        <v>17</v>
      </c>
      <c r="V57">
        <f t="shared" si="3"/>
        <v>17</v>
      </c>
      <c r="W57" s="15">
        <f t="shared" si="4"/>
        <v>8500</v>
      </c>
      <c r="X57">
        <f>VLOOKUP(B57,'[25]Cancel Sent on March 12'!$B:$B,1,0)</f>
        <v>71042196</v>
      </c>
    </row>
    <row r="58" spans="1:24">
      <c r="A58" t="s">
        <v>8540</v>
      </c>
      <c r="B58">
        <v>71043200</v>
      </c>
      <c r="C58">
        <v>71043200</v>
      </c>
      <c r="D58" t="s">
        <v>39</v>
      </c>
      <c r="E58">
        <v>450</v>
      </c>
      <c r="F58" t="e">
        <v>#N/A</v>
      </c>
      <c r="G58" t="e">
        <v>#N/A</v>
      </c>
      <c r="H58" t="e">
        <v>#N/A</v>
      </c>
      <c r="I58" t="e">
        <v>#N/A</v>
      </c>
      <c r="K58" t="s">
        <v>8727</v>
      </c>
      <c r="L58" s="29">
        <v>44409</v>
      </c>
      <c r="M58" t="s">
        <v>8731</v>
      </c>
      <c r="R58" t="s">
        <v>8739</v>
      </c>
      <c r="S58">
        <f t="shared" si="0"/>
        <v>8</v>
      </c>
      <c r="T58">
        <f t="shared" si="1"/>
        <v>2021</v>
      </c>
      <c r="U58">
        <f t="shared" si="2"/>
        <v>54</v>
      </c>
      <c r="V58">
        <f t="shared" si="3"/>
        <v>20</v>
      </c>
      <c r="W58" s="15">
        <f t="shared" si="4"/>
        <v>28300</v>
      </c>
      <c r="X58">
        <f>VLOOKUP(B58,'[25]Cancel Sent on March 12'!$B:$B,1,0)</f>
        <v>71043200</v>
      </c>
    </row>
    <row r="59" spans="1:24">
      <c r="A59" t="s">
        <v>1266</v>
      </c>
      <c r="B59">
        <v>71043922</v>
      </c>
      <c r="C59">
        <v>71043922</v>
      </c>
      <c r="D59" t="s">
        <v>39</v>
      </c>
      <c r="E59">
        <v>300</v>
      </c>
      <c r="F59" t="e">
        <v>#N/A</v>
      </c>
      <c r="G59" t="e">
        <v>#N/A</v>
      </c>
      <c r="H59" t="e">
        <v>#N/A</v>
      </c>
      <c r="I59" t="e">
        <v>#N/A</v>
      </c>
      <c r="K59" t="s">
        <v>8741</v>
      </c>
      <c r="L59" s="29">
        <v>44621</v>
      </c>
      <c r="M59" t="s">
        <v>8731</v>
      </c>
      <c r="Q59" t="s">
        <v>8764</v>
      </c>
      <c r="R59" t="s">
        <v>8739</v>
      </c>
      <c r="S59">
        <f t="shared" si="0"/>
        <v>3</v>
      </c>
      <c r="T59">
        <f t="shared" si="1"/>
        <v>2022</v>
      </c>
      <c r="U59">
        <f t="shared" si="2"/>
        <v>47</v>
      </c>
      <c r="V59">
        <f t="shared" si="3"/>
        <v>20</v>
      </c>
      <c r="W59" s="15">
        <f t="shared" si="4"/>
        <v>18100</v>
      </c>
      <c r="X59">
        <f>VLOOKUP(B59,'[25]Cancel Sent on March 12'!$B:$B,1,0)</f>
        <v>71043922</v>
      </c>
    </row>
    <row r="60" spans="1:24">
      <c r="A60" t="s">
        <v>1299</v>
      </c>
      <c r="B60">
        <v>71046175</v>
      </c>
      <c r="C60">
        <v>71046175</v>
      </c>
      <c r="D60" t="s">
        <v>39</v>
      </c>
      <c r="E60">
        <v>300</v>
      </c>
      <c r="F60" t="e">
        <v>#N/A</v>
      </c>
      <c r="G60" t="e">
        <v>#N/A</v>
      </c>
      <c r="H60" t="e">
        <v>#N/A</v>
      </c>
      <c r="I60" t="e">
        <v>#N/A</v>
      </c>
      <c r="Q60" t="s">
        <v>8745</v>
      </c>
      <c r="R60" t="s">
        <v>8739</v>
      </c>
      <c r="S60">
        <f t="shared" si="0"/>
        <v>12</v>
      </c>
      <c r="T60">
        <f t="shared" si="1"/>
        <v>2025</v>
      </c>
      <c r="U60">
        <f t="shared" si="2"/>
        <v>2</v>
      </c>
      <c r="V60">
        <f t="shared" si="3"/>
        <v>2</v>
      </c>
      <c r="W60" s="15">
        <f t="shared" si="4"/>
        <v>1000</v>
      </c>
      <c r="X60">
        <f>VLOOKUP(B60,'[25]Cancel Sent on March 12'!$B:$B,1,0)</f>
        <v>71046175</v>
      </c>
    </row>
    <row r="61" spans="1:24">
      <c r="A61" t="s">
        <v>1302</v>
      </c>
      <c r="B61">
        <v>71048561</v>
      </c>
      <c r="C61">
        <v>71048561</v>
      </c>
      <c r="D61" t="s">
        <v>39</v>
      </c>
      <c r="E61">
        <v>300</v>
      </c>
      <c r="F61" t="e">
        <v>#N/A</v>
      </c>
      <c r="G61" t="e">
        <v>#N/A</v>
      </c>
      <c r="H61" t="e">
        <v>#N/A</v>
      </c>
      <c r="I61" t="e">
        <v>#N/A</v>
      </c>
      <c r="K61" t="s">
        <v>8727</v>
      </c>
      <c r="L61" s="29">
        <v>45689</v>
      </c>
      <c r="M61" t="s">
        <v>8731</v>
      </c>
      <c r="R61" t="s">
        <v>8739</v>
      </c>
      <c r="S61">
        <f t="shared" si="0"/>
        <v>2</v>
      </c>
      <c r="T61">
        <f t="shared" si="1"/>
        <v>2025</v>
      </c>
      <c r="U61">
        <f t="shared" si="2"/>
        <v>12</v>
      </c>
      <c r="V61">
        <f t="shared" si="3"/>
        <v>12</v>
      </c>
      <c r="W61" s="15">
        <f t="shared" si="4"/>
        <v>6000</v>
      </c>
      <c r="X61">
        <f>VLOOKUP(B61,'[25]Cancel Sent on March 12'!$B:$B,1,0)</f>
        <v>71048561</v>
      </c>
    </row>
    <row r="62" spans="1:24">
      <c r="A62" t="s">
        <v>8541</v>
      </c>
      <c r="B62">
        <v>71049334</v>
      </c>
      <c r="C62">
        <v>71049334</v>
      </c>
      <c r="D62" t="s">
        <v>39</v>
      </c>
      <c r="E62">
        <v>450</v>
      </c>
      <c r="F62" t="e">
        <v>#N/A</v>
      </c>
      <c r="G62" t="e">
        <v>#N/A</v>
      </c>
      <c r="H62" t="e">
        <v>#N/A</v>
      </c>
      <c r="I62" t="e">
        <v>#N/A</v>
      </c>
      <c r="K62" t="s">
        <v>8727</v>
      </c>
      <c r="L62" s="29">
        <v>44562</v>
      </c>
      <c r="M62" t="s">
        <v>8731</v>
      </c>
      <c r="Q62" t="s">
        <v>8765</v>
      </c>
      <c r="R62" t="s">
        <v>8739</v>
      </c>
      <c r="S62">
        <f t="shared" si="0"/>
        <v>1</v>
      </c>
      <c r="T62">
        <f t="shared" si="1"/>
        <v>2022</v>
      </c>
      <c r="U62">
        <f t="shared" si="2"/>
        <v>49</v>
      </c>
      <c r="V62">
        <f t="shared" si="3"/>
        <v>20</v>
      </c>
      <c r="W62" s="15">
        <f t="shared" si="4"/>
        <v>26050</v>
      </c>
      <c r="X62">
        <f>VLOOKUP(B62,'[25]Cancel Sent on March 12'!$B:$B,1,0)</f>
        <v>71049334</v>
      </c>
    </row>
    <row r="63" spans="1:24">
      <c r="A63" t="s">
        <v>8542</v>
      </c>
      <c r="B63">
        <v>71049962</v>
      </c>
      <c r="C63">
        <v>71049962</v>
      </c>
      <c r="D63" t="s">
        <v>39</v>
      </c>
      <c r="E63">
        <v>300</v>
      </c>
      <c r="F63" t="e">
        <v>#N/A</v>
      </c>
      <c r="G63" t="e">
        <v>#N/A</v>
      </c>
      <c r="H63" t="e">
        <v>#N/A</v>
      </c>
      <c r="I63" t="e">
        <v>#N/A</v>
      </c>
      <c r="K63" t="s">
        <v>8727</v>
      </c>
      <c r="L63" s="29">
        <v>45474</v>
      </c>
      <c r="M63" t="s">
        <v>8731</v>
      </c>
      <c r="R63" t="s">
        <v>8739</v>
      </c>
      <c r="S63">
        <f t="shared" si="0"/>
        <v>7</v>
      </c>
      <c r="T63">
        <f t="shared" si="1"/>
        <v>2024</v>
      </c>
      <c r="U63">
        <f t="shared" si="2"/>
        <v>19</v>
      </c>
      <c r="V63">
        <f t="shared" si="3"/>
        <v>19</v>
      </c>
      <c r="W63" s="15">
        <f t="shared" si="4"/>
        <v>9500</v>
      </c>
      <c r="X63">
        <f>VLOOKUP(B63,'[25]Cancel Sent on March 12'!$B:$B,1,0)</f>
        <v>71049962</v>
      </c>
    </row>
    <row r="64" spans="1:24">
      <c r="A64" t="s">
        <v>8543</v>
      </c>
      <c r="B64">
        <v>71050843</v>
      </c>
      <c r="C64">
        <v>71050843</v>
      </c>
      <c r="D64" t="s">
        <v>39</v>
      </c>
      <c r="E64">
        <v>300</v>
      </c>
      <c r="F64" t="e">
        <v>#N/A</v>
      </c>
      <c r="G64" t="e">
        <v>#N/A</v>
      </c>
      <c r="H64" t="e">
        <v>#N/A</v>
      </c>
      <c r="I64" t="e">
        <v>#N/A</v>
      </c>
      <c r="K64" t="s">
        <v>8741</v>
      </c>
      <c r="L64" s="29">
        <v>45597</v>
      </c>
      <c r="M64" t="s">
        <v>8731</v>
      </c>
      <c r="R64" t="s">
        <v>8739</v>
      </c>
      <c r="S64">
        <f t="shared" si="0"/>
        <v>11</v>
      </c>
      <c r="T64">
        <f t="shared" si="1"/>
        <v>2024</v>
      </c>
      <c r="U64">
        <f t="shared" si="2"/>
        <v>15</v>
      </c>
      <c r="V64">
        <f t="shared" si="3"/>
        <v>15</v>
      </c>
      <c r="W64" s="15">
        <f t="shared" si="4"/>
        <v>7500</v>
      </c>
      <c r="X64">
        <f>VLOOKUP(B64,'[25]Cancel Sent on March 12'!$B:$B,1,0)</f>
        <v>71050843</v>
      </c>
    </row>
    <row r="65" spans="1:24" s="23" customFormat="1">
      <c r="A65" s="23" t="s">
        <v>8544</v>
      </c>
      <c r="B65" s="23">
        <v>71050843</v>
      </c>
      <c r="C65" s="23">
        <v>71050843</v>
      </c>
      <c r="D65" s="23" t="s">
        <v>39</v>
      </c>
      <c r="E65" s="23">
        <v>300</v>
      </c>
      <c r="F65" s="23" t="e">
        <v>#N/A</v>
      </c>
      <c r="G65" t="e">
        <v>#N/A</v>
      </c>
      <c r="H65" t="e">
        <v>#N/A</v>
      </c>
      <c r="I65" t="e">
        <v>#N/A</v>
      </c>
      <c r="K65" s="23" t="s">
        <v>8741</v>
      </c>
      <c r="L65" s="29">
        <v>45597</v>
      </c>
      <c r="M65" s="23" t="s">
        <v>8731</v>
      </c>
      <c r="R65" s="23" t="s">
        <v>8739</v>
      </c>
      <c r="S65">
        <f t="shared" si="0"/>
        <v>11</v>
      </c>
      <c r="T65">
        <f t="shared" si="1"/>
        <v>2024</v>
      </c>
      <c r="U65">
        <f t="shared" si="2"/>
        <v>15</v>
      </c>
      <c r="V65">
        <f t="shared" si="3"/>
        <v>15</v>
      </c>
      <c r="W65" s="15">
        <f t="shared" si="4"/>
        <v>7500</v>
      </c>
      <c r="X65">
        <f>VLOOKUP(B65,'[25]Cancel Sent on March 12'!$B:$B,1,0)</f>
        <v>71050843</v>
      </c>
    </row>
    <row r="66" spans="1:24">
      <c r="A66" t="s">
        <v>8545</v>
      </c>
      <c r="B66">
        <v>71052902</v>
      </c>
      <c r="C66">
        <v>71052902</v>
      </c>
      <c r="D66" t="s">
        <v>39</v>
      </c>
      <c r="E66">
        <v>300</v>
      </c>
      <c r="F66" t="e">
        <v>#N/A</v>
      </c>
      <c r="G66" t="e">
        <v>#N/A</v>
      </c>
      <c r="H66" t="e">
        <v>#N/A</v>
      </c>
      <c r="I66" t="e">
        <v>#N/A</v>
      </c>
      <c r="K66" t="s">
        <v>8727</v>
      </c>
      <c r="L66" s="29">
        <v>44927</v>
      </c>
      <c r="M66" t="s">
        <v>8728</v>
      </c>
      <c r="Q66" t="s">
        <v>8766</v>
      </c>
      <c r="R66" t="s">
        <v>8739</v>
      </c>
      <c r="S66">
        <f t="shared" si="0"/>
        <v>1</v>
      </c>
      <c r="T66">
        <f t="shared" si="1"/>
        <v>2023</v>
      </c>
      <c r="U66">
        <f t="shared" si="2"/>
        <v>37</v>
      </c>
      <c r="V66">
        <f t="shared" si="3"/>
        <v>20</v>
      </c>
      <c r="W66" s="15">
        <f t="shared" si="4"/>
        <v>15100</v>
      </c>
      <c r="X66">
        <f>VLOOKUP(B66,'[25]Cancel Sent on March 12'!$B:$B,1,0)</f>
        <v>71052902</v>
      </c>
    </row>
    <row r="67" spans="1:24">
      <c r="A67" t="s">
        <v>8546</v>
      </c>
      <c r="B67">
        <v>71055684</v>
      </c>
      <c r="C67">
        <v>71055684</v>
      </c>
      <c r="D67" t="s">
        <v>39</v>
      </c>
      <c r="E67">
        <v>300</v>
      </c>
      <c r="F67" t="e">
        <v>#N/A</v>
      </c>
      <c r="G67" t="e">
        <v>#N/A</v>
      </c>
      <c r="H67" t="e">
        <v>#N/A</v>
      </c>
      <c r="I67" t="e">
        <v>#N/A</v>
      </c>
      <c r="K67" t="s">
        <v>8727</v>
      </c>
      <c r="L67" s="29">
        <v>45717</v>
      </c>
      <c r="M67" t="s">
        <v>8731</v>
      </c>
      <c r="R67" t="s">
        <v>8739</v>
      </c>
      <c r="S67">
        <f t="shared" ref="S67:S130" si="5">IF(ISBLANK(L67), 12, MONTH(L67))</f>
        <v>3</v>
      </c>
      <c r="T67">
        <f t="shared" ref="T67:T130" si="6">IF(ISBLANK(L67), 2025, YEAR(L67))</f>
        <v>2025</v>
      </c>
      <c r="U67">
        <f t="shared" ref="U67:U130" si="7">IF((2025-T67)*12+(12-S67+2)&lt;0,0,(2025-T67)*12+(12-S67+2))</f>
        <v>11</v>
      </c>
      <c r="V67">
        <f t="shared" ref="V67:V130" si="8">MIN(IF((2025-T67)*12+(12-S67+2)&lt;0,0,(2025-T67)*12+(12-S67+2)),6+12+2)</f>
        <v>11</v>
      </c>
      <c r="W67" s="15">
        <f t="shared" si="4"/>
        <v>5500</v>
      </c>
      <c r="X67">
        <f>VLOOKUP(B67,'[25]Cancel Sent on March 12'!$B:$B,1,0)</f>
        <v>71055684</v>
      </c>
    </row>
    <row r="68" spans="1:24">
      <c r="A68" t="s">
        <v>8547</v>
      </c>
      <c r="B68">
        <v>71056369</v>
      </c>
      <c r="C68">
        <v>71056369</v>
      </c>
      <c r="D68" t="s">
        <v>39</v>
      </c>
      <c r="E68">
        <v>400</v>
      </c>
      <c r="F68" t="e">
        <v>#N/A</v>
      </c>
      <c r="G68" t="e">
        <v>#N/A</v>
      </c>
      <c r="H68" t="e">
        <v>#N/A</v>
      </c>
      <c r="I68" t="e">
        <v>#N/A</v>
      </c>
      <c r="K68" t="s">
        <v>8741</v>
      </c>
      <c r="L68" s="29">
        <v>45775</v>
      </c>
      <c r="M68" t="s">
        <v>8728</v>
      </c>
      <c r="Q68" t="s">
        <v>8767</v>
      </c>
      <c r="R68" t="s">
        <v>8739</v>
      </c>
      <c r="S68">
        <f t="shared" si="5"/>
        <v>4</v>
      </c>
      <c r="T68">
        <f t="shared" si="6"/>
        <v>2025</v>
      </c>
      <c r="U68">
        <f t="shared" si="7"/>
        <v>10</v>
      </c>
      <c r="V68">
        <f t="shared" si="8"/>
        <v>10</v>
      </c>
      <c r="W68" s="15">
        <f t="shared" ref="W68:W131" si="9">U68*E68+V68*200</f>
        <v>6000</v>
      </c>
      <c r="X68">
        <f>VLOOKUP(B68,'[25]Cancel Sent on March 12'!$B:$B,1,0)</f>
        <v>71056369</v>
      </c>
    </row>
    <row r="69" spans="1:24">
      <c r="A69" t="s">
        <v>8548</v>
      </c>
      <c r="B69">
        <v>71057222</v>
      </c>
      <c r="C69">
        <v>71057222</v>
      </c>
      <c r="D69" t="s">
        <v>39</v>
      </c>
      <c r="E69">
        <v>450</v>
      </c>
      <c r="F69" t="e">
        <v>#N/A</v>
      </c>
      <c r="G69" t="e">
        <v>#N/A</v>
      </c>
      <c r="H69" t="e">
        <v>#N/A</v>
      </c>
      <c r="I69" t="e">
        <v>#N/A</v>
      </c>
      <c r="K69" t="s">
        <v>8741</v>
      </c>
      <c r="L69" s="29">
        <v>45775</v>
      </c>
      <c r="M69" t="s">
        <v>8728</v>
      </c>
      <c r="Q69" t="s">
        <v>8767</v>
      </c>
      <c r="R69" t="s">
        <v>8739</v>
      </c>
      <c r="S69">
        <f t="shared" si="5"/>
        <v>4</v>
      </c>
      <c r="T69">
        <f t="shared" si="6"/>
        <v>2025</v>
      </c>
      <c r="U69">
        <f t="shared" si="7"/>
        <v>10</v>
      </c>
      <c r="V69">
        <f t="shared" si="8"/>
        <v>10</v>
      </c>
      <c r="W69" s="15">
        <f t="shared" si="9"/>
        <v>6500</v>
      </c>
      <c r="X69">
        <f>VLOOKUP(B69,'[25]Cancel Sent on March 12'!$B:$B,1,0)</f>
        <v>71057222</v>
      </c>
    </row>
    <row r="70" spans="1:24">
      <c r="A70" t="s">
        <v>8549</v>
      </c>
      <c r="B70">
        <v>71058382</v>
      </c>
      <c r="C70">
        <v>71058382</v>
      </c>
      <c r="D70" t="s">
        <v>39</v>
      </c>
      <c r="E70">
        <v>300</v>
      </c>
      <c r="F70" t="e">
        <v>#N/A</v>
      </c>
      <c r="G70" t="e">
        <v>#N/A</v>
      </c>
      <c r="H70" t="e">
        <v>#N/A</v>
      </c>
      <c r="I70" t="e">
        <v>#N/A</v>
      </c>
      <c r="K70" t="s">
        <v>8741</v>
      </c>
      <c r="L70" s="29">
        <v>45261</v>
      </c>
      <c r="M70" t="s">
        <v>8731</v>
      </c>
      <c r="Q70" t="s">
        <v>8768</v>
      </c>
      <c r="R70" t="s">
        <v>8739</v>
      </c>
      <c r="S70">
        <f t="shared" si="5"/>
        <v>12</v>
      </c>
      <c r="T70">
        <f t="shared" si="6"/>
        <v>2023</v>
      </c>
      <c r="U70">
        <f t="shared" si="7"/>
        <v>26</v>
      </c>
      <c r="V70">
        <f t="shared" si="8"/>
        <v>20</v>
      </c>
      <c r="W70" s="15">
        <f t="shared" si="9"/>
        <v>11800</v>
      </c>
      <c r="X70">
        <f>VLOOKUP(B70,'[25]Cancel Sent on March 12'!$B:$B,1,0)</f>
        <v>71058382</v>
      </c>
    </row>
    <row r="71" spans="1:24">
      <c r="A71" t="s">
        <v>8550</v>
      </c>
      <c r="B71">
        <v>71059075</v>
      </c>
      <c r="C71">
        <v>71059075</v>
      </c>
      <c r="D71" t="s">
        <v>39</v>
      </c>
      <c r="E71">
        <v>450</v>
      </c>
      <c r="F71" t="e">
        <v>#N/A</v>
      </c>
      <c r="G71" t="e">
        <v>#N/A</v>
      </c>
      <c r="H71" t="e">
        <v>#N/A</v>
      </c>
      <c r="I71" t="e">
        <v>#N/A</v>
      </c>
      <c r="K71" t="s">
        <v>8727</v>
      </c>
      <c r="L71" s="29">
        <v>44501</v>
      </c>
      <c r="M71" t="s">
        <v>8728</v>
      </c>
      <c r="P71" t="s">
        <v>306</v>
      </c>
      <c r="Q71" t="s">
        <v>8769</v>
      </c>
      <c r="R71" t="s">
        <v>8739</v>
      </c>
      <c r="S71">
        <f t="shared" si="5"/>
        <v>11</v>
      </c>
      <c r="T71">
        <f t="shared" si="6"/>
        <v>2021</v>
      </c>
      <c r="U71">
        <f t="shared" si="7"/>
        <v>51</v>
      </c>
      <c r="V71">
        <f t="shared" si="8"/>
        <v>20</v>
      </c>
      <c r="W71" s="15">
        <f t="shared" si="9"/>
        <v>26950</v>
      </c>
      <c r="X71">
        <f>VLOOKUP(B71,'[25]Cancel Sent on March 12'!$B:$B,1,0)</f>
        <v>71059075</v>
      </c>
    </row>
    <row r="72" spans="1:24">
      <c r="A72" t="s">
        <v>7718</v>
      </c>
      <c r="B72">
        <v>71059471</v>
      </c>
      <c r="C72">
        <v>71059471</v>
      </c>
      <c r="D72" t="s">
        <v>39</v>
      </c>
      <c r="E72">
        <v>300</v>
      </c>
      <c r="F72" t="e">
        <v>#N/A</v>
      </c>
      <c r="G72" t="e">
        <v>#N/A</v>
      </c>
      <c r="H72" t="e">
        <v>#N/A</v>
      </c>
      <c r="I72" t="e">
        <v>#N/A</v>
      </c>
      <c r="K72" t="s">
        <v>8741</v>
      </c>
      <c r="L72" s="29">
        <v>46076</v>
      </c>
      <c r="M72" t="s">
        <v>8731</v>
      </c>
      <c r="Q72" t="s">
        <v>8770</v>
      </c>
      <c r="R72" t="s">
        <v>8739</v>
      </c>
      <c r="S72">
        <f t="shared" si="5"/>
        <v>2</v>
      </c>
      <c r="T72">
        <f t="shared" si="6"/>
        <v>2026</v>
      </c>
      <c r="U72">
        <f t="shared" si="7"/>
        <v>0</v>
      </c>
      <c r="V72">
        <f t="shared" si="8"/>
        <v>0</v>
      </c>
      <c r="W72" s="15">
        <f t="shared" si="9"/>
        <v>0</v>
      </c>
      <c r="X72">
        <f>VLOOKUP(B72,'[25]Cancel Sent on March 12'!$B:$B,1,0)</f>
        <v>71059471</v>
      </c>
    </row>
    <row r="73" spans="1:24">
      <c r="A73" t="s">
        <v>8551</v>
      </c>
      <c r="B73">
        <v>71063425</v>
      </c>
      <c r="C73">
        <v>71063425</v>
      </c>
      <c r="D73" t="s">
        <v>39</v>
      </c>
      <c r="E73">
        <v>300</v>
      </c>
      <c r="F73" t="e">
        <v>#N/A</v>
      </c>
      <c r="G73" t="e">
        <v>#N/A</v>
      </c>
      <c r="H73" t="e">
        <v>#N/A</v>
      </c>
      <c r="I73" t="e">
        <v>#N/A</v>
      </c>
      <c r="K73" t="s">
        <v>8727</v>
      </c>
      <c r="L73" s="29">
        <v>45474</v>
      </c>
      <c r="M73" t="s">
        <v>8731</v>
      </c>
      <c r="P73" t="s">
        <v>306</v>
      </c>
      <c r="Q73" t="s">
        <v>8771</v>
      </c>
      <c r="R73" t="s">
        <v>8739</v>
      </c>
      <c r="S73">
        <f t="shared" si="5"/>
        <v>7</v>
      </c>
      <c r="T73">
        <f t="shared" si="6"/>
        <v>2024</v>
      </c>
      <c r="U73">
        <f t="shared" si="7"/>
        <v>19</v>
      </c>
      <c r="V73">
        <f t="shared" si="8"/>
        <v>19</v>
      </c>
      <c r="W73" s="15">
        <f t="shared" si="9"/>
        <v>9500</v>
      </c>
      <c r="X73">
        <f>VLOOKUP(B73,'[25]Cancel Sent on March 12'!$B:$B,1,0)</f>
        <v>71063425</v>
      </c>
    </row>
    <row r="74" spans="1:24" s="23" customFormat="1" hidden="1">
      <c r="A74" s="23" t="s">
        <v>455</v>
      </c>
      <c r="B74" s="23">
        <v>71064158</v>
      </c>
      <c r="C74" s="23">
        <v>71064158</v>
      </c>
      <c r="D74" s="23" t="s">
        <v>39</v>
      </c>
      <c r="E74" s="23">
        <v>300</v>
      </c>
      <c r="F74" s="23" t="e">
        <v>#N/A</v>
      </c>
      <c r="G74" t="e">
        <v>#N/A</v>
      </c>
      <c r="H74" t="e">
        <v>#N/A</v>
      </c>
      <c r="I74" t="e">
        <v>#N/A</v>
      </c>
      <c r="K74" s="23" t="s">
        <v>4653</v>
      </c>
      <c r="L74" s="29"/>
      <c r="N74" s="23" t="s">
        <v>8772</v>
      </c>
      <c r="O74" s="23" t="s">
        <v>8773</v>
      </c>
      <c r="Q74" s="23" t="s">
        <v>8774</v>
      </c>
      <c r="R74" t="s">
        <v>8739</v>
      </c>
      <c r="S74">
        <f t="shared" si="5"/>
        <v>12</v>
      </c>
      <c r="T74">
        <f t="shared" si="6"/>
        <v>2025</v>
      </c>
      <c r="U74">
        <f t="shared" si="7"/>
        <v>2</v>
      </c>
      <c r="V74">
        <f t="shared" si="8"/>
        <v>2</v>
      </c>
      <c r="W74" s="15">
        <f t="shared" si="9"/>
        <v>1000</v>
      </c>
      <c r="X74" t="e">
        <f>VLOOKUP(B74,'[25]Cancel Sent on March 12'!$B:$B,1,0)</f>
        <v>#N/A</v>
      </c>
    </row>
    <row r="75" spans="1:24">
      <c r="A75" t="s">
        <v>65</v>
      </c>
      <c r="B75">
        <v>76001666</v>
      </c>
      <c r="C75">
        <v>76001666</v>
      </c>
      <c r="D75" t="s">
        <v>39</v>
      </c>
      <c r="E75">
        <v>450</v>
      </c>
      <c r="F75" t="e">
        <v>#N/A</v>
      </c>
      <c r="G75" t="e">
        <v>#N/A</v>
      </c>
      <c r="H75" t="e">
        <v>#N/A</v>
      </c>
      <c r="I75" t="e">
        <v>#N/A</v>
      </c>
      <c r="K75" t="s">
        <v>8727</v>
      </c>
      <c r="L75" s="29">
        <v>44682</v>
      </c>
      <c r="M75" t="s">
        <v>8728</v>
      </c>
      <c r="Q75" t="s">
        <v>8775</v>
      </c>
      <c r="R75" t="s">
        <v>8739</v>
      </c>
      <c r="S75">
        <f t="shared" si="5"/>
        <v>5</v>
      </c>
      <c r="T75">
        <f t="shared" si="6"/>
        <v>2022</v>
      </c>
      <c r="U75">
        <f t="shared" si="7"/>
        <v>45</v>
      </c>
      <c r="V75">
        <f t="shared" si="8"/>
        <v>20</v>
      </c>
      <c r="W75" s="15">
        <f t="shared" si="9"/>
        <v>24250</v>
      </c>
      <c r="X75">
        <f>VLOOKUP(B75,'[25]Cancel Sent on March 12'!$B:$B,1,0)</f>
        <v>76001666</v>
      </c>
    </row>
    <row r="76" spans="1:24">
      <c r="A76" t="s">
        <v>8552</v>
      </c>
      <c r="B76">
        <v>76002916</v>
      </c>
      <c r="C76">
        <v>76002916</v>
      </c>
      <c r="D76" t="s">
        <v>39</v>
      </c>
      <c r="E76">
        <v>450</v>
      </c>
      <c r="F76" t="e">
        <v>#N/A</v>
      </c>
      <c r="G76" t="e">
        <v>#N/A</v>
      </c>
      <c r="H76" t="e">
        <v>#N/A</v>
      </c>
      <c r="I76" t="e">
        <v>#N/A</v>
      </c>
      <c r="K76" t="s">
        <v>8727</v>
      </c>
      <c r="L76" s="29">
        <v>44713</v>
      </c>
      <c r="M76" t="s">
        <v>8731</v>
      </c>
      <c r="Q76" t="s">
        <v>8776</v>
      </c>
      <c r="R76" t="s">
        <v>8739</v>
      </c>
      <c r="S76">
        <f t="shared" si="5"/>
        <v>6</v>
      </c>
      <c r="T76">
        <f t="shared" si="6"/>
        <v>2022</v>
      </c>
      <c r="U76">
        <f t="shared" si="7"/>
        <v>44</v>
      </c>
      <c r="V76">
        <f t="shared" si="8"/>
        <v>20</v>
      </c>
      <c r="W76" s="15">
        <f t="shared" si="9"/>
        <v>23800</v>
      </c>
      <c r="X76">
        <f>VLOOKUP(B76,'[25]Cancel Sent on March 12'!$B:$B,1,0)</f>
        <v>76002916</v>
      </c>
    </row>
    <row r="77" spans="1:24">
      <c r="A77" t="s">
        <v>8553</v>
      </c>
      <c r="B77">
        <v>76011186</v>
      </c>
      <c r="C77">
        <v>76011186</v>
      </c>
      <c r="D77" t="s">
        <v>39</v>
      </c>
      <c r="E77">
        <v>300</v>
      </c>
      <c r="F77" t="e">
        <v>#N/A</v>
      </c>
      <c r="G77" t="e">
        <v>#N/A</v>
      </c>
      <c r="H77" t="e">
        <v>#N/A</v>
      </c>
      <c r="I77" t="e">
        <v>#N/A</v>
      </c>
      <c r="Q77" t="s">
        <v>8777</v>
      </c>
      <c r="R77" t="s">
        <v>8739</v>
      </c>
      <c r="S77">
        <f t="shared" si="5"/>
        <v>12</v>
      </c>
      <c r="T77">
        <f t="shared" si="6"/>
        <v>2025</v>
      </c>
      <c r="U77">
        <f t="shared" si="7"/>
        <v>2</v>
      </c>
      <c r="V77">
        <f t="shared" si="8"/>
        <v>2</v>
      </c>
      <c r="W77" s="15">
        <f t="shared" si="9"/>
        <v>1000</v>
      </c>
      <c r="X77">
        <f>VLOOKUP(B77,'[25]Cancel Sent on March 12'!$B:$B,1,0)</f>
        <v>76011186</v>
      </c>
    </row>
    <row r="78" spans="1:24">
      <c r="A78" t="s">
        <v>8554</v>
      </c>
      <c r="B78">
        <v>76012632</v>
      </c>
      <c r="C78">
        <v>76012632</v>
      </c>
      <c r="D78" t="s">
        <v>39</v>
      </c>
      <c r="E78">
        <v>400</v>
      </c>
      <c r="F78" t="e">
        <v>#N/A</v>
      </c>
      <c r="G78" t="e">
        <v>#N/A</v>
      </c>
      <c r="H78" t="e">
        <v>#N/A</v>
      </c>
      <c r="I78" t="e">
        <v>#N/A</v>
      </c>
      <c r="K78" t="s">
        <v>8741</v>
      </c>
      <c r="L78" s="29">
        <v>45323</v>
      </c>
      <c r="M78" t="s">
        <v>8728</v>
      </c>
      <c r="Q78" t="s">
        <v>8776</v>
      </c>
      <c r="R78" t="s">
        <v>8739</v>
      </c>
      <c r="S78">
        <f t="shared" si="5"/>
        <v>2</v>
      </c>
      <c r="T78">
        <f t="shared" si="6"/>
        <v>2024</v>
      </c>
      <c r="U78">
        <f t="shared" si="7"/>
        <v>24</v>
      </c>
      <c r="V78">
        <f t="shared" si="8"/>
        <v>20</v>
      </c>
      <c r="W78" s="15">
        <f t="shared" si="9"/>
        <v>13600</v>
      </c>
      <c r="X78">
        <f>VLOOKUP(B78,'[25]Cancel Sent on March 12'!$B:$B,1,0)</f>
        <v>76012632</v>
      </c>
    </row>
    <row r="79" spans="1:24">
      <c r="A79" t="s">
        <v>8555</v>
      </c>
      <c r="B79">
        <v>76012651</v>
      </c>
      <c r="C79">
        <v>76012651</v>
      </c>
      <c r="D79" t="s">
        <v>39</v>
      </c>
      <c r="E79">
        <v>450</v>
      </c>
      <c r="F79" t="e">
        <v>#N/A</v>
      </c>
      <c r="G79" t="e">
        <v>#N/A</v>
      </c>
      <c r="H79" t="e">
        <v>#N/A</v>
      </c>
      <c r="I79" t="e">
        <v>#N/A</v>
      </c>
      <c r="K79" t="s">
        <v>8727</v>
      </c>
      <c r="L79" s="29">
        <v>44652</v>
      </c>
      <c r="M79" t="s">
        <v>8728</v>
      </c>
      <c r="Q79" t="s">
        <v>8778</v>
      </c>
      <c r="R79" t="s">
        <v>8739</v>
      </c>
      <c r="S79">
        <f t="shared" si="5"/>
        <v>4</v>
      </c>
      <c r="T79">
        <f t="shared" si="6"/>
        <v>2022</v>
      </c>
      <c r="U79">
        <f t="shared" si="7"/>
        <v>46</v>
      </c>
      <c r="V79">
        <f t="shared" si="8"/>
        <v>20</v>
      </c>
      <c r="W79" s="15">
        <f t="shared" si="9"/>
        <v>24700</v>
      </c>
      <c r="X79">
        <f>VLOOKUP(B79,'[25]Cancel Sent on March 12'!$B:$B,1,0)</f>
        <v>76012651</v>
      </c>
    </row>
    <row r="80" spans="1:24">
      <c r="A80" t="s">
        <v>8556</v>
      </c>
      <c r="B80">
        <v>76018666</v>
      </c>
      <c r="C80">
        <v>76018666</v>
      </c>
      <c r="D80" t="s">
        <v>39</v>
      </c>
      <c r="E80">
        <v>300</v>
      </c>
      <c r="F80" t="e">
        <v>#N/A</v>
      </c>
      <c r="G80" t="e">
        <v>#N/A</v>
      </c>
      <c r="H80" t="e">
        <v>#N/A</v>
      </c>
      <c r="I80" t="e">
        <v>#N/A</v>
      </c>
      <c r="K80" t="s">
        <v>8727</v>
      </c>
      <c r="L80" s="29">
        <v>45413</v>
      </c>
      <c r="M80" t="s">
        <v>8731</v>
      </c>
      <c r="R80" t="s">
        <v>8739</v>
      </c>
      <c r="S80">
        <f t="shared" si="5"/>
        <v>5</v>
      </c>
      <c r="T80">
        <f t="shared" si="6"/>
        <v>2024</v>
      </c>
      <c r="U80">
        <f t="shared" si="7"/>
        <v>21</v>
      </c>
      <c r="V80">
        <f t="shared" si="8"/>
        <v>20</v>
      </c>
      <c r="W80" s="15">
        <f t="shared" si="9"/>
        <v>10300</v>
      </c>
      <c r="X80">
        <f>VLOOKUP(B80,'[25]Cancel Sent on March 12'!$B:$B,1,0)</f>
        <v>76018666</v>
      </c>
    </row>
    <row r="81" spans="1:24">
      <c r="A81" t="s">
        <v>8557</v>
      </c>
      <c r="B81">
        <v>76020145</v>
      </c>
      <c r="C81">
        <v>76020145</v>
      </c>
      <c r="D81" t="s">
        <v>39</v>
      </c>
      <c r="E81">
        <v>450</v>
      </c>
      <c r="F81" t="e">
        <v>#N/A</v>
      </c>
      <c r="G81" t="e">
        <v>#N/A</v>
      </c>
      <c r="H81" t="e">
        <v>#N/A</v>
      </c>
      <c r="I81" t="e">
        <v>#N/A</v>
      </c>
      <c r="K81" t="s">
        <v>8727</v>
      </c>
      <c r="L81" s="29">
        <v>44805</v>
      </c>
      <c r="M81" t="s">
        <v>8728</v>
      </c>
      <c r="Q81" t="s">
        <v>8776</v>
      </c>
      <c r="R81" t="s">
        <v>8739</v>
      </c>
      <c r="S81">
        <f t="shared" si="5"/>
        <v>9</v>
      </c>
      <c r="T81">
        <f t="shared" si="6"/>
        <v>2022</v>
      </c>
      <c r="U81">
        <f t="shared" si="7"/>
        <v>41</v>
      </c>
      <c r="V81">
        <f t="shared" si="8"/>
        <v>20</v>
      </c>
      <c r="W81" s="15">
        <f t="shared" si="9"/>
        <v>22450</v>
      </c>
      <c r="X81">
        <f>VLOOKUP(B81,'[25]Cancel Sent on March 12'!$B:$B,1,0)</f>
        <v>76020145</v>
      </c>
    </row>
    <row r="82" spans="1:24">
      <c r="A82" t="s">
        <v>7756</v>
      </c>
      <c r="B82">
        <v>76020804</v>
      </c>
      <c r="C82">
        <v>76020804</v>
      </c>
      <c r="D82" t="s">
        <v>39</v>
      </c>
      <c r="E82">
        <v>300</v>
      </c>
      <c r="F82" t="e">
        <v>#N/A</v>
      </c>
      <c r="G82" t="e">
        <v>#N/A</v>
      </c>
      <c r="H82" t="e">
        <v>#N/A</v>
      </c>
      <c r="I82" t="e">
        <v>#N/A</v>
      </c>
      <c r="K82" t="s">
        <v>8741</v>
      </c>
      <c r="L82" s="29">
        <v>46054</v>
      </c>
      <c r="M82" t="s">
        <v>8731</v>
      </c>
      <c r="R82" t="s">
        <v>8739</v>
      </c>
      <c r="S82">
        <f t="shared" si="5"/>
        <v>2</v>
      </c>
      <c r="T82">
        <f t="shared" si="6"/>
        <v>2026</v>
      </c>
      <c r="U82">
        <f t="shared" si="7"/>
        <v>0</v>
      </c>
      <c r="V82">
        <f t="shared" si="8"/>
        <v>0</v>
      </c>
      <c r="W82" s="15">
        <f t="shared" si="9"/>
        <v>0</v>
      </c>
      <c r="X82">
        <f>VLOOKUP(B82,'[25]Cancel Sent on March 12'!$B:$B,1,0)</f>
        <v>76020804</v>
      </c>
    </row>
    <row r="83" spans="1:24">
      <c r="A83" t="s">
        <v>8558</v>
      </c>
      <c r="B83">
        <v>76022694</v>
      </c>
      <c r="C83">
        <v>76022694</v>
      </c>
      <c r="D83" t="s">
        <v>39</v>
      </c>
      <c r="E83">
        <v>300</v>
      </c>
      <c r="F83" t="e">
        <v>#N/A</v>
      </c>
      <c r="G83" t="e">
        <v>#N/A</v>
      </c>
      <c r="H83" t="e">
        <v>#N/A</v>
      </c>
      <c r="I83" t="e">
        <v>#N/A</v>
      </c>
      <c r="K83" t="s">
        <v>8727</v>
      </c>
      <c r="L83" s="29">
        <v>45323</v>
      </c>
      <c r="M83" t="s">
        <v>8731</v>
      </c>
      <c r="Q83" t="s">
        <v>8779</v>
      </c>
      <c r="R83" t="s">
        <v>8739</v>
      </c>
      <c r="S83">
        <f t="shared" si="5"/>
        <v>2</v>
      </c>
      <c r="T83">
        <f t="shared" si="6"/>
        <v>2024</v>
      </c>
      <c r="U83">
        <f t="shared" si="7"/>
        <v>24</v>
      </c>
      <c r="V83">
        <f t="shared" si="8"/>
        <v>20</v>
      </c>
      <c r="W83" s="15">
        <f t="shared" si="9"/>
        <v>11200</v>
      </c>
      <c r="X83">
        <f>VLOOKUP(B83,'[25]Cancel Sent on March 12'!$B:$B,1,0)</f>
        <v>76022694</v>
      </c>
    </row>
    <row r="84" spans="1:24">
      <c r="A84" t="s">
        <v>8559</v>
      </c>
      <c r="B84">
        <v>76023833</v>
      </c>
      <c r="C84">
        <v>76023833</v>
      </c>
      <c r="D84" t="s">
        <v>39</v>
      </c>
      <c r="E84">
        <v>400</v>
      </c>
      <c r="F84" t="e">
        <v>#N/A</v>
      </c>
      <c r="G84" t="e">
        <v>#N/A</v>
      </c>
      <c r="H84" t="e">
        <v>#N/A</v>
      </c>
      <c r="I84" t="e">
        <v>#N/A</v>
      </c>
      <c r="K84" t="s">
        <v>8741</v>
      </c>
      <c r="L84" s="29">
        <v>46042</v>
      </c>
      <c r="M84" t="s">
        <v>8728</v>
      </c>
      <c r="N84">
        <v>54424</v>
      </c>
      <c r="R84" t="s">
        <v>8739</v>
      </c>
      <c r="S84">
        <f t="shared" si="5"/>
        <v>1</v>
      </c>
      <c r="T84">
        <f t="shared" si="6"/>
        <v>2026</v>
      </c>
      <c r="U84">
        <f t="shared" si="7"/>
        <v>1</v>
      </c>
      <c r="V84">
        <f t="shared" si="8"/>
        <v>1</v>
      </c>
      <c r="W84" s="15">
        <f t="shared" si="9"/>
        <v>600</v>
      </c>
      <c r="X84">
        <f>VLOOKUP(B84,'[25]Cancel Sent on March 12'!$B:$B,1,0)</f>
        <v>76023833</v>
      </c>
    </row>
    <row r="85" spans="1:24">
      <c r="A85" t="s">
        <v>8560</v>
      </c>
      <c r="B85">
        <v>76024700</v>
      </c>
      <c r="C85">
        <v>76024700</v>
      </c>
      <c r="D85" t="s">
        <v>39</v>
      </c>
      <c r="E85">
        <v>300</v>
      </c>
      <c r="F85" t="e">
        <v>#N/A</v>
      </c>
      <c r="G85" t="e">
        <v>#N/A</v>
      </c>
      <c r="H85" t="e">
        <v>#N/A</v>
      </c>
      <c r="I85" t="e">
        <v>#N/A</v>
      </c>
      <c r="K85" t="s">
        <v>8727</v>
      </c>
      <c r="L85" s="29">
        <v>45536</v>
      </c>
      <c r="M85" t="s">
        <v>8731</v>
      </c>
      <c r="R85" t="s">
        <v>8739</v>
      </c>
      <c r="S85">
        <f t="shared" si="5"/>
        <v>9</v>
      </c>
      <c r="T85">
        <f t="shared" si="6"/>
        <v>2024</v>
      </c>
      <c r="U85">
        <f t="shared" si="7"/>
        <v>17</v>
      </c>
      <c r="V85">
        <f t="shared" si="8"/>
        <v>17</v>
      </c>
      <c r="W85" s="15">
        <f t="shared" si="9"/>
        <v>8500</v>
      </c>
      <c r="X85">
        <f>VLOOKUP(B85,'[25]Cancel Sent on March 12'!$B:$B,1,0)</f>
        <v>76024700</v>
      </c>
    </row>
    <row r="86" spans="1:24">
      <c r="A86" t="s">
        <v>8561</v>
      </c>
      <c r="B86">
        <v>76024860</v>
      </c>
      <c r="C86">
        <v>76024860</v>
      </c>
      <c r="D86" t="s">
        <v>39</v>
      </c>
      <c r="E86">
        <v>450</v>
      </c>
      <c r="F86" t="e">
        <v>#N/A</v>
      </c>
      <c r="G86" t="e">
        <v>#N/A</v>
      </c>
      <c r="H86" t="e">
        <v>#N/A</v>
      </c>
      <c r="I86" t="e">
        <v>#N/A</v>
      </c>
      <c r="K86" t="s">
        <v>8727</v>
      </c>
      <c r="L86" s="29">
        <v>44501</v>
      </c>
      <c r="M86" t="s">
        <v>8728</v>
      </c>
      <c r="P86" t="s">
        <v>306</v>
      </c>
      <c r="Q86" t="s">
        <v>8780</v>
      </c>
      <c r="R86" t="s">
        <v>8739</v>
      </c>
      <c r="S86">
        <f t="shared" si="5"/>
        <v>11</v>
      </c>
      <c r="T86">
        <f t="shared" si="6"/>
        <v>2021</v>
      </c>
      <c r="U86">
        <f t="shared" si="7"/>
        <v>51</v>
      </c>
      <c r="V86">
        <f t="shared" si="8"/>
        <v>20</v>
      </c>
      <c r="W86" s="15">
        <f t="shared" si="9"/>
        <v>26950</v>
      </c>
      <c r="X86">
        <f>VLOOKUP(B86,'[25]Cancel Sent on March 12'!$B:$B,1,0)</f>
        <v>76024860</v>
      </c>
    </row>
    <row r="87" spans="1:24">
      <c r="A87" t="s">
        <v>8562</v>
      </c>
      <c r="B87">
        <v>76024868</v>
      </c>
      <c r="C87">
        <v>76024868</v>
      </c>
      <c r="D87" t="s">
        <v>39</v>
      </c>
      <c r="E87">
        <v>300</v>
      </c>
      <c r="F87" t="e">
        <v>#N/A</v>
      </c>
      <c r="G87" t="e">
        <v>#N/A</v>
      </c>
      <c r="H87" t="e">
        <v>#N/A</v>
      </c>
      <c r="I87" t="e">
        <v>#N/A</v>
      </c>
      <c r="K87" t="s">
        <v>8727</v>
      </c>
      <c r="L87" s="29">
        <v>44927</v>
      </c>
      <c r="M87" t="s">
        <v>8728</v>
      </c>
      <c r="Q87" t="s">
        <v>8781</v>
      </c>
      <c r="R87" t="s">
        <v>8739</v>
      </c>
      <c r="S87">
        <f t="shared" si="5"/>
        <v>1</v>
      </c>
      <c r="T87">
        <f t="shared" si="6"/>
        <v>2023</v>
      </c>
      <c r="U87">
        <f t="shared" si="7"/>
        <v>37</v>
      </c>
      <c r="V87">
        <f t="shared" si="8"/>
        <v>20</v>
      </c>
      <c r="W87" s="15">
        <f t="shared" si="9"/>
        <v>15100</v>
      </c>
      <c r="X87">
        <f>VLOOKUP(B87,'[25]Cancel Sent on March 12'!$B:$B,1,0)</f>
        <v>76024868</v>
      </c>
    </row>
    <row r="88" spans="1:24">
      <c r="A88" t="s">
        <v>8563</v>
      </c>
      <c r="B88">
        <v>76027458</v>
      </c>
      <c r="C88">
        <v>76027458</v>
      </c>
      <c r="D88" t="s">
        <v>39</v>
      </c>
      <c r="E88">
        <v>450</v>
      </c>
      <c r="F88" t="e">
        <v>#N/A</v>
      </c>
      <c r="G88" t="e">
        <v>#N/A</v>
      </c>
      <c r="H88" t="e">
        <v>#N/A</v>
      </c>
      <c r="I88" t="e">
        <v>#N/A</v>
      </c>
      <c r="K88" t="s">
        <v>8727</v>
      </c>
      <c r="L88" s="29">
        <v>44835</v>
      </c>
      <c r="M88" t="s">
        <v>8728</v>
      </c>
      <c r="Q88" t="s">
        <v>8781</v>
      </c>
      <c r="R88" t="s">
        <v>8739</v>
      </c>
      <c r="S88">
        <f t="shared" si="5"/>
        <v>10</v>
      </c>
      <c r="T88">
        <f t="shared" si="6"/>
        <v>2022</v>
      </c>
      <c r="U88">
        <f t="shared" si="7"/>
        <v>40</v>
      </c>
      <c r="V88">
        <f t="shared" si="8"/>
        <v>20</v>
      </c>
      <c r="W88" s="15">
        <f t="shared" si="9"/>
        <v>22000</v>
      </c>
      <c r="X88">
        <f>VLOOKUP(B88,'[25]Cancel Sent on March 12'!$B:$B,1,0)</f>
        <v>76027458</v>
      </c>
    </row>
    <row r="89" spans="1:24">
      <c r="A89" t="s">
        <v>8564</v>
      </c>
      <c r="B89">
        <v>76028219</v>
      </c>
      <c r="C89">
        <v>76028219</v>
      </c>
      <c r="D89" t="s">
        <v>39</v>
      </c>
      <c r="E89">
        <v>400</v>
      </c>
      <c r="F89" t="e">
        <v>#N/A</v>
      </c>
      <c r="G89" t="e">
        <v>#N/A</v>
      </c>
      <c r="H89" t="e">
        <v>#N/A</v>
      </c>
      <c r="I89" t="e">
        <v>#N/A</v>
      </c>
      <c r="K89" t="s">
        <v>8741</v>
      </c>
      <c r="L89" s="29">
        <v>45413</v>
      </c>
      <c r="M89" t="s">
        <v>8728</v>
      </c>
      <c r="Q89" t="s">
        <v>8782</v>
      </c>
      <c r="R89" t="s">
        <v>8739</v>
      </c>
      <c r="S89">
        <f t="shared" si="5"/>
        <v>5</v>
      </c>
      <c r="T89">
        <f t="shared" si="6"/>
        <v>2024</v>
      </c>
      <c r="U89">
        <f t="shared" si="7"/>
        <v>21</v>
      </c>
      <c r="V89">
        <f t="shared" si="8"/>
        <v>20</v>
      </c>
      <c r="W89" s="15">
        <f t="shared" si="9"/>
        <v>12400</v>
      </c>
      <c r="X89">
        <f>VLOOKUP(B89,'[25]Cancel Sent on March 12'!$B:$B,1,0)</f>
        <v>76028219</v>
      </c>
    </row>
    <row r="90" spans="1:24">
      <c r="A90" t="s">
        <v>75</v>
      </c>
      <c r="B90">
        <v>76028715</v>
      </c>
      <c r="C90">
        <v>76028715</v>
      </c>
      <c r="D90" t="s">
        <v>39</v>
      </c>
      <c r="E90">
        <v>450</v>
      </c>
      <c r="F90" t="e">
        <v>#N/A</v>
      </c>
      <c r="G90" t="e">
        <v>#N/A</v>
      </c>
      <c r="H90" t="e">
        <v>#N/A</v>
      </c>
      <c r="I90" t="e">
        <v>#N/A</v>
      </c>
      <c r="K90" t="s">
        <v>8727</v>
      </c>
      <c r="L90" s="29">
        <v>45047</v>
      </c>
      <c r="M90" t="s">
        <v>8728</v>
      </c>
      <c r="Q90" t="s">
        <v>8783</v>
      </c>
      <c r="R90" t="s">
        <v>8739</v>
      </c>
      <c r="S90">
        <f t="shared" si="5"/>
        <v>5</v>
      </c>
      <c r="T90">
        <f t="shared" si="6"/>
        <v>2023</v>
      </c>
      <c r="U90">
        <f t="shared" si="7"/>
        <v>33</v>
      </c>
      <c r="V90">
        <f t="shared" si="8"/>
        <v>20</v>
      </c>
      <c r="W90" s="15">
        <f t="shared" si="9"/>
        <v>18850</v>
      </c>
      <c r="X90">
        <f>VLOOKUP(B90,'[25]Cancel Sent on March 12'!$B:$B,1,0)</f>
        <v>76028715</v>
      </c>
    </row>
    <row r="91" spans="1:24">
      <c r="A91" t="s">
        <v>8565</v>
      </c>
      <c r="B91">
        <v>76032433</v>
      </c>
      <c r="C91">
        <v>76032433</v>
      </c>
      <c r="D91" t="s">
        <v>39</v>
      </c>
      <c r="E91">
        <v>300</v>
      </c>
      <c r="F91" t="e">
        <v>#N/A</v>
      </c>
      <c r="G91" t="e">
        <v>#N/A</v>
      </c>
      <c r="H91" t="e">
        <v>#N/A</v>
      </c>
      <c r="I91" t="e">
        <v>#N/A</v>
      </c>
      <c r="K91" t="s">
        <v>8741</v>
      </c>
      <c r="L91" s="29">
        <v>45139</v>
      </c>
      <c r="M91" t="s">
        <v>8731</v>
      </c>
      <c r="Q91" t="s">
        <v>8784</v>
      </c>
      <c r="R91" t="s">
        <v>8739</v>
      </c>
      <c r="S91">
        <f t="shared" si="5"/>
        <v>8</v>
      </c>
      <c r="T91">
        <f t="shared" si="6"/>
        <v>2023</v>
      </c>
      <c r="U91">
        <f t="shared" si="7"/>
        <v>30</v>
      </c>
      <c r="V91">
        <f t="shared" si="8"/>
        <v>20</v>
      </c>
      <c r="W91" s="15">
        <f t="shared" si="9"/>
        <v>13000</v>
      </c>
      <c r="X91">
        <f>VLOOKUP(B91,'[25]Cancel Sent on March 12'!$B:$B,1,0)</f>
        <v>76032433</v>
      </c>
    </row>
    <row r="92" spans="1:24">
      <c r="A92" t="s">
        <v>8566</v>
      </c>
      <c r="B92">
        <v>76033780</v>
      </c>
      <c r="C92">
        <v>76033780</v>
      </c>
      <c r="D92" t="s">
        <v>39</v>
      </c>
      <c r="E92">
        <v>300</v>
      </c>
      <c r="F92" t="e">
        <v>#N/A</v>
      </c>
      <c r="G92" t="e">
        <v>#N/A</v>
      </c>
      <c r="H92" t="e">
        <v>#N/A</v>
      </c>
      <c r="I92" t="e">
        <v>#N/A</v>
      </c>
      <c r="K92" t="s">
        <v>8741</v>
      </c>
      <c r="L92" s="29">
        <v>45352</v>
      </c>
      <c r="M92" t="s">
        <v>8731</v>
      </c>
      <c r="Q92" t="s">
        <v>8785</v>
      </c>
      <c r="R92" t="s">
        <v>8739</v>
      </c>
      <c r="S92">
        <f t="shared" si="5"/>
        <v>3</v>
      </c>
      <c r="T92">
        <f t="shared" si="6"/>
        <v>2024</v>
      </c>
      <c r="U92">
        <f t="shared" si="7"/>
        <v>23</v>
      </c>
      <c r="V92">
        <f t="shared" si="8"/>
        <v>20</v>
      </c>
      <c r="W92" s="15">
        <f t="shared" si="9"/>
        <v>10900</v>
      </c>
      <c r="X92">
        <f>VLOOKUP(B92,'[25]Cancel Sent on March 12'!$B:$B,1,0)</f>
        <v>76033780</v>
      </c>
    </row>
    <row r="93" spans="1:24">
      <c r="A93" t="s">
        <v>8567</v>
      </c>
      <c r="B93">
        <v>76037856</v>
      </c>
      <c r="C93">
        <v>76037856</v>
      </c>
      <c r="D93" t="s">
        <v>39</v>
      </c>
      <c r="E93">
        <v>300</v>
      </c>
      <c r="F93" t="e">
        <v>#N/A</v>
      </c>
      <c r="G93" t="e">
        <v>#N/A</v>
      </c>
      <c r="H93" t="e">
        <v>#N/A</v>
      </c>
      <c r="I93" t="e">
        <v>#N/A</v>
      </c>
      <c r="K93" t="s">
        <v>8727</v>
      </c>
      <c r="L93" s="29">
        <v>45413</v>
      </c>
      <c r="M93" t="s">
        <v>8728</v>
      </c>
      <c r="P93" t="s">
        <v>306</v>
      </c>
      <c r="Q93" t="s">
        <v>8780</v>
      </c>
      <c r="R93" t="s">
        <v>8739</v>
      </c>
      <c r="S93">
        <f t="shared" si="5"/>
        <v>5</v>
      </c>
      <c r="T93">
        <f t="shared" si="6"/>
        <v>2024</v>
      </c>
      <c r="U93">
        <f t="shared" si="7"/>
        <v>21</v>
      </c>
      <c r="V93">
        <f t="shared" si="8"/>
        <v>20</v>
      </c>
      <c r="W93" s="15">
        <f t="shared" si="9"/>
        <v>10300</v>
      </c>
      <c r="X93">
        <f>VLOOKUP(B93,'[25]Cancel Sent on March 12'!$B:$B,1,0)</f>
        <v>76037856</v>
      </c>
    </row>
    <row r="94" spans="1:24">
      <c r="A94" t="s">
        <v>8568</v>
      </c>
      <c r="B94">
        <v>76039933</v>
      </c>
      <c r="C94">
        <v>76039933</v>
      </c>
      <c r="D94" t="s">
        <v>39</v>
      </c>
      <c r="E94">
        <v>300</v>
      </c>
      <c r="F94" t="e">
        <v>#N/A</v>
      </c>
      <c r="G94" t="e">
        <v>#N/A</v>
      </c>
      <c r="H94" t="e">
        <v>#N/A</v>
      </c>
      <c r="I94" t="e">
        <v>#N/A</v>
      </c>
      <c r="K94" t="s">
        <v>8727</v>
      </c>
      <c r="L94" s="29">
        <v>45809</v>
      </c>
      <c r="M94" t="s">
        <v>8731</v>
      </c>
      <c r="Q94" t="s">
        <v>8786</v>
      </c>
      <c r="S94">
        <f t="shared" si="5"/>
        <v>6</v>
      </c>
      <c r="T94">
        <f t="shared" si="6"/>
        <v>2025</v>
      </c>
      <c r="U94">
        <f t="shared" si="7"/>
        <v>8</v>
      </c>
      <c r="V94">
        <f t="shared" si="8"/>
        <v>8</v>
      </c>
      <c r="W94" s="15">
        <f t="shared" si="9"/>
        <v>4000</v>
      </c>
      <c r="X94">
        <f>VLOOKUP(B94,'[25]Cancel Sent on March 12'!$B:$B,1,0)</f>
        <v>76039933</v>
      </c>
    </row>
    <row r="95" spans="1:24">
      <c r="A95" t="s">
        <v>8569</v>
      </c>
      <c r="B95">
        <v>76041151</v>
      </c>
      <c r="C95">
        <v>76041151</v>
      </c>
      <c r="D95" t="s">
        <v>39</v>
      </c>
      <c r="E95">
        <v>300</v>
      </c>
      <c r="F95" t="e">
        <v>#N/A</v>
      </c>
      <c r="G95" t="e">
        <v>#N/A</v>
      </c>
      <c r="H95" t="e">
        <v>#N/A</v>
      </c>
      <c r="I95" t="e">
        <v>#N/A</v>
      </c>
      <c r="K95" t="s">
        <v>8741</v>
      </c>
      <c r="L95" s="29">
        <v>44986</v>
      </c>
      <c r="M95" t="s">
        <v>8731</v>
      </c>
      <c r="S95">
        <f t="shared" si="5"/>
        <v>3</v>
      </c>
      <c r="T95">
        <f t="shared" si="6"/>
        <v>2023</v>
      </c>
      <c r="U95">
        <f t="shared" si="7"/>
        <v>35</v>
      </c>
      <c r="V95">
        <f t="shared" si="8"/>
        <v>20</v>
      </c>
      <c r="W95" s="15">
        <f t="shared" si="9"/>
        <v>14500</v>
      </c>
      <c r="X95">
        <f>VLOOKUP(B95,'[25]Cancel Sent on March 12'!$B:$B,1,0)</f>
        <v>76041151</v>
      </c>
    </row>
    <row r="96" spans="1:24">
      <c r="A96" t="s">
        <v>8570</v>
      </c>
      <c r="B96">
        <v>76041823</v>
      </c>
      <c r="C96">
        <v>76041823</v>
      </c>
      <c r="D96" t="s">
        <v>39</v>
      </c>
      <c r="E96">
        <v>450</v>
      </c>
      <c r="F96" t="e">
        <v>#N/A</v>
      </c>
      <c r="G96" t="e">
        <v>#N/A</v>
      </c>
      <c r="H96" t="e">
        <v>#N/A</v>
      </c>
      <c r="I96" t="e">
        <v>#N/A</v>
      </c>
      <c r="K96" t="s">
        <v>8727</v>
      </c>
      <c r="L96" s="29">
        <v>44682</v>
      </c>
      <c r="M96" t="s">
        <v>8731</v>
      </c>
      <c r="S96">
        <f t="shared" si="5"/>
        <v>5</v>
      </c>
      <c r="T96">
        <f t="shared" si="6"/>
        <v>2022</v>
      </c>
      <c r="U96">
        <f t="shared" si="7"/>
        <v>45</v>
      </c>
      <c r="V96">
        <f t="shared" si="8"/>
        <v>20</v>
      </c>
      <c r="W96" s="15">
        <f t="shared" si="9"/>
        <v>24250</v>
      </c>
      <c r="X96">
        <f>VLOOKUP(B96,'[25]Cancel Sent on March 12'!$B:$B,1,0)</f>
        <v>76041823</v>
      </c>
    </row>
    <row r="97" spans="1:24">
      <c r="A97" t="s">
        <v>8571</v>
      </c>
      <c r="B97">
        <v>76041856</v>
      </c>
      <c r="C97">
        <v>76041856</v>
      </c>
      <c r="D97" t="s">
        <v>39</v>
      </c>
      <c r="E97">
        <v>300</v>
      </c>
      <c r="F97" t="e">
        <v>#N/A</v>
      </c>
      <c r="G97" t="e">
        <v>#N/A</v>
      </c>
      <c r="H97" t="e">
        <v>#N/A</v>
      </c>
      <c r="I97" t="e">
        <v>#N/A</v>
      </c>
      <c r="K97" t="s">
        <v>8727</v>
      </c>
      <c r="L97" s="29">
        <v>45231</v>
      </c>
      <c r="S97">
        <f t="shared" si="5"/>
        <v>11</v>
      </c>
      <c r="T97">
        <f t="shared" si="6"/>
        <v>2023</v>
      </c>
      <c r="U97">
        <f t="shared" si="7"/>
        <v>27</v>
      </c>
      <c r="V97">
        <f t="shared" si="8"/>
        <v>20</v>
      </c>
      <c r="W97" s="15">
        <f t="shared" si="9"/>
        <v>12100</v>
      </c>
      <c r="X97">
        <f>VLOOKUP(B97,'[25]Cancel Sent on March 12'!$B:$B,1,0)</f>
        <v>76041856</v>
      </c>
    </row>
    <row r="98" spans="1:24">
      <c r="A98" t="s">
        <v>8572</v>
      </c>
      <c r="B98">
        <v>76042015</v>
      </c>
      <c r="C98">
        <v>76042015</v>
      </c>
      <c r="D98" t="s">
        <v>39</v>
      </c>
      <c r="E98">
        <v>450</v>
      </c>
      <c r="F98" t="e">
        <v>#N/A</v>
      </c>
      <c r="G98" t="e">
        <v>#N/A</v>
      </c>
      <c r="H98" t="e">
        <v>#N/A</v>
      </c>
      <c r="I98" t="e">
        <v>#N/A</v>
      </c>
      <c r="P98" t="s">
        <v>306</v>
      </c>
      <c r="Q98" t="s">
        <v>8787</v>
      </c>
      <c r="S98">
        <f t="shared" si="5"/>
        <v>12</v>
      </c>
      <c r="T98">
        <f t="shared" si="6"/>
        <v>2025</v>
      </c>
      <c r="U98">
        <f t="shared" si="7"/>
        <v>2</v>
      </c>
      <c r="V98">
        <f t="shared" si="8"/>
        <v>2</v>
      </c>
      <c r="W98" s="15">
        <f t="shared" si="9"/>
        <v>1300</v>
      </c>
      <c r="X98">
        <f>VLOOKUP(B98,'[25]Cancel Sent on March 12'!$B:$B,1,0)</f>
        <v>76042015</v>
      </c>
    </row>
    <row r="99" spans="1:24">
      <c r="A99" t="s">
        <v>8573</v>
      </c>
      <c r="B99">
        <v>76043322</v>
      </c>
      <c r="C99">
        <v>76043322</v>
      </c>
      <c r="D99" t="s">
        <v>39</v>
      </c>
      <c r="E99">
        <v>300</v>
      </c>
      <c r="F99" t="e">
        <v>#N/A</v>
      </c>
      <c r="G99" t="e">
        <v>#N/A</v>
      </c>
      <c r="H99" t="e">
        <v>#N/A</v>
      </c>
      <c r="I99" t="e">
        <v>#N/A</v>
      </c>
      <c r="K99" t="s">
        <v>8727</v>
      </c>
      <c r="L99" s="29">
        <v>45078</v>
      </c>
      <c r="M99" t="s">
        <v>8731</v>
      </c>
      <c r="Q99" t="s">
        <v>8788</v>
      </c>
      <c r="S99">
        <f t="shared" si="5"/>
        <v>6</v>
      </c>
      <c r="T99">
        <f t="shared" si="6"/>
        <v>2023</v>
      </c>
      <c r="U99">
        <f t="shared" si="7"/>
        <v>32</v>
      </c>
      <c r="V99">
        <f t="shared" si="8"/>
        <v>20</v>
      </c>
      <c r="W99" s="15">
        <f t="shared" si="9"/>
        <v>13600</v>
      </c>
      <c r="X99">
        <f>VLOOKUP(B99,'[25]Cancel Sent on March 12'!$B:$B,1,0)</f>
        <v>76043322</v>
      </c>
    </row>
    <row r="100" spans="1:24">
      <c r="A100" t="s">
        <v>8574</v>
      </c>
      <c r="B100">
        <v>76050148</v>
      </c>
      <c r="C100">
        <v>76050148</v>
      </c>
      <c r="D100" t="s">
        <v>39</v>
      </c>
      <c r="E100">
        <v>300</v>
      </c>
      <c r="F100" t="e">
        <v>#N/A</v>
      </c>
      <c r="G100" t="e">
        <v>#N/A</v>
      </c>
      <c r="H100" t="e">
        <v>#N/A</v>
      </c>
      <c r="I100" t="e">
        <v>#N/A</v>
      </c>
      <c r="K100" t="s">
        <v>8727</v>
      </c>
      <c r="L100" s="29">
        <v>45108</v>
      </c>
      <c r="M100" t="s">
        <v>8731</v>
      </c>
      <c r="Q100" t="s">
        <v>8789</v>
      </c>
      <c r="S100">
        <f t="shared" si="5"/>
        <v>7</v>
      </c>
      <c r="T100">
        <f t="shared" si="6"/>
        <v>2023</v>
      </c>
      <c r="U100">
        <f t="shared" si="7"/>
        <v>31</v>
      </c>
      <c r="V100">
        <f t="shared" si="8"/>
        <v>20</v>
      </c>
      <c r="W100" s="15">
        <f t="shared" si="9"/>
        <v>13300</v>
      </c>
      <c r="X100">
        <f>VLOOKUP(B100,'[25]Cancel Sent on March 12'!$B:$B,1,0)</f>
        <v>76050148</v>
      </c>
    </row>
    <row r="101" spans="1:24">
      <c r="A101" t="s">
        <v>8575</v>
      </c>
      <c r="B101">
        <v>76050150</v>
      </c>
      <c r="C101">
        <v>76050150</v>
      </c>
      <c r="D101" t="s">
        <v>39</v>
      </c>
      <c r="E101">
        <v>300</v>
      </c>
      <c r="F101" t="e">
        <v>#N/A</v>
      </c>
      <c r="G101" t="e">
        <v>#N/A</v>
      </c>
      <c r="H101" t="e">
        <v>#N/A</v>
      </c>
      <c r="I101" t="e">
        <v>#N/A</v>
      </c>
      <c r="K101" t="s">
        <v>8727</v>
      </c>
      <c r="L101" s="29">
        <v>45108</v>
      </c>
      <c r="M101" t="s">
        <v>8731</v>
      </c>
      <c r="N101" s="12"/>
      <c r="Q101" t="s">
        <v>8789</v>
      </c>
      <c r="S101">
        <f t="shared" si="5"/>
        <v>7</v>
      </c>
      <c r="T101">
        <f t="shared" si="6"/>
        <v>2023</v>
      </c>
      <c r="U101">
        <f t="shared" si="7"/>
        <v>31</v>
      </c>
      <c r="V101">
        <f t="shared" si="8"/>
        <v>20</v>
      </c>
      <c r="W101" s="15">
        <f t="shared" si="9"/>
        <v>13300</v>
      </c>
      <c r="X101">
        <f>VLOOKUP(B101,'[25]Cancel Sent on March 12'!$B:$B,1,0)</f>
        <v>76050150</v>
      </c>
    </row>
    <row r="102" spans="1:24">
      <c r="A102" t="s">
        <v>81</v>
      </c>
      <c r="B102">
        <v>76051500</v>
      </c>
      <c r="C102">
        <v>76051500</v>
      </c>
      <c r="D102" t="s">
        <v>39</v>
      </c>
      <c r="E102">
        <v>300</v>
      </c>
      <c r="F102" t="e">
        <v>#N/A</v>
      </c>
      <c r="G102" t="e">
        <v>#N/A</v>
      </c>
      <c r="H102" t="e">
        <v>#N/A</v>
      </c>
      <c r="I102" t="e">
        <v>#N/A</v>
      </c>
      <c r="K102" t="s">
        <v>8741</v>
      </c>
      <c r="L102" s="29">
        <v>45444</v>
      </c>
      <c r="M102" t="s">
        <v>8731</v>
      </c>
      <c r="Q102" t="s">
        <v>8790</v>
      </c>
      <c r="S102">
        <f t="shared" si="5"/>
        <v>6</v>
      </c>
      <c r="T102">
        <f t="shared" si="6"/>
        <v>2024</v>
      </c>
      <c r="U102">
        <f t="shared" si="7"/>
        <v>20</v>
      </c>
      <c r="V102">
        <f t="shared" si="8"/>
        <v>20</v>
      </c>
      <c r="W102" s="15">
        <f t="shared" si="9"/>
        <v>10000</v>
      </c>
      <c r="X102">
        <f>VLOOKUP(B102,'[25]Cancel Sent on March 12'!$B:$B,1,0)</f>
        <v>76051500</v>
      </c>
    </row>
    <row r="103" spans="1:24">
      <c r="A103" t="s">
        <v>8576</v>
      </c>
      <c r="B103">
        <v>76051551</v>
      </c>
      <c r="C103">
        <v>76051551</v>
      </c>
      <c r="D103" t="s">
        <v>39</v>
      </c>
      <c r="E103">
        <v>450</v>
      </c>
      <c r="F103" t="e">
        <v>#N/A</v>
      </c>
      <c r="G103" t="e">
        <v>#N/A</v>
      </c>
      <c r="H103" t="e">
        <v>#N/A</v>
      </c>
      <c r="I103" t="e">
        <v>#N/A</v>
      </c>
      <c r="K103" t="s">
        <v>8727</v>
      </c>
      <c r="L103" s="29">
        <v>44531</v>
      </c>
      <c r="M103" t="s">
        <v>8728</v>
      </c>
      <c r="S103">
        <f t="shared" si="5"/>
        <v>12</v>
      </c>
      <c r="T103">
        <f t="shared" si="6"/>
        <v>2021</v>
      </c>
      <c r="U103">
        <f t="shared" si="7"/>
        <v>50</v>
      </c>
      <c r="V103">
        <f t="shared" si="8"/>
        <v>20</v>
      </c>
      <c r="W103" s="15">
        <f t="shared" si="9"/>
        <v>26500</v>
      </c>
      <c r="X103">
        <f>VLOOKUP(B103,'[25]Cancel Sent on March 12'!$B:$B,1,0)</f>
        <v>76051551</v>
      </c>
    </row>
    <row r="104" spans="1:24">
      <c r="A104" t="s">
        <v>8577</v>
      </c>
      <c r="B104">
        <v>76054760</v>
      </c>
      <c r="C104">
        <v>76054760</v>
      </c>
      <c r="D104" t="s">
        <v>39</v>
      </c>
      <c r="E104">
        <v>300</v>
      </c>
      <c r="F104" t="e">
        <v>#N/A</v>
      </c>
      <c r="G104" t="e">
        <v>#N/A</v>
      </c>
      <c r="H104" t="e">
        <v>#N/A</v>
      </c>
      <c r="I104" t="e">
        <v>#N/A</v>
      </c>
      <c r="K104" t="s">
        <v>8741</v>
      </c>
      <c r="L104" s="29">
        <v>45931</v>
      </c>
      <c r="M104" t="s">
        <v>8731</v>
      </c>
      <c r="Q104" t="s">
        <v>8791</v>
      </c>
      <c r="S104">
        <f t="shared" si="5"/>
        <v>10</v>
      </c>
      <c r="T104">
        <f t="shared" si="6"/>
        <v>2025</v>
      </c>
      <c r="U104">
        <f t="shared" si="7"/>
        <v>4</v>
      </c>
      <c r="V104">
        <f t="shared" si="8"/>
        <v>4</v>
      </c>
      <c r="W104" s="15">
        <f t="shared" si="9"/>
        <v>2000</v>
      </c>
      <c r="X104">
        <f>VLOOKUP(B104,'[25]Cancel Sent on March 12'!$B:$B,1,0)</f>
        <v>76054760</v>
      </c>
    </row>
    <row r="105" spans="1:24">
      <c r="A105" t="s">
        <v>8578</v>
      </c>
      <c r="B105">
        <v>76054901</v>
      </c>
      <c r="C105">
        <v>76054901</v>
      </c>
      <c r="D105" t="s">
        <v>39</v>
      </c>
      <c r="E105">
        <v>450</v>
      </c>
      <c r="F105" t="e">
        <v>#N/A</v>
      </c>
      <c r="G105" t="e">
        <v>#N/A</v>
      </c>
      <c r="H105" t="e">
        <v>#N/A</v>
      </c>
      <c r="I105" t="e">
        <v>#N/A</v>
      </c>
      <c r="K105" t="s">
        <v>8727</v>
      </c>
      <c r="L105" s="29">
        <v>44562</v>
      </c>
      <c r="M105" t="s">
        <v>8731</v>
      </c>
      <c r="Q105" t="s">
        <v>8788</v>
      </c>
      <c r="S105">
        <f t="shared" si="5"/>
        <v>1</v>
      </c>
      <c r="T105">
        <f t="shared" si="6"/>
        <v>2022</v>
      </c>
      <c r="U105">
        <f t="shared" si="7"/>
        <v>49</v>
      </c>
      <c r="V105">
        <f t="shared" si="8"/>
        <v>20</v>
      </c>
      <c r="W105" s="15">
        <f t="shared" si="9"/>
        <v>26050</v>
      </c>
      <c r="X105">
        <f>VLOOKUP(B105,'[25]Cancel Sent on March 12'!$B:$B,1,0)</f>
        <v>76054901</v>
      </c>
    </row>
    <row r="106" spans="1:24">
      <c r="A106" t="s">
        <v>7838</v>
      </c>
      <c r="B106">
        <v>76057753</v>
      </c>
      <c r="C106">
        <v>76057753</v>
      </c>
      <c r="D106" t="s">
        <v>39</v>
      </c>
      <c r="E106">
        <v>300</v>
      </c>
      <c r="F106" t="e">
        <v>#N/A</v>
      </c>
      <c r="G106" t="e">
        <v>#N/A</v>
      </c>
      <c r="H106" t="e">
        <v>#N/A</v>
      </c>
      <c r="I106" t="e">
        <v>#N/A</v>
      </c>
      <c r="K106" t="s">
        <v>8741</v>
      </c>
      <c r="L106" s="29">
        <v>46054</v>
      </c>
      <c r="M106" t="s">
        <v>8731</v>
      </c>
      <c r="Q106" t="s">
        <v>8792</v>
      </c>
      <c r="S106">
        <f t="shared" si="5"/>
        <v>2</v>
      </c>
      <c r="T106">
        <f t="shared" si="6"/>
        <v>2026</v>
      </c>
      <c r="U106">
        <f t="shared" si="7"/>
        <v>0</v>
      </c>
      <c r="V106">
        <f t="shared" si="8"/>
        <v>0</v>
      </c>
      <c r="W106" s="15">
        <f t="shared" si="9"/>
        <v>0</v>
      </c>
      <c r="X106">
        <f>VLOOKUP(B106,'[25]Cancel Sent on March 12'!$B:$B,1,0)</f>
        <v>76057753</v>
      </c>
    </row>
    <row r="107" spans="1:24">
      <c r="A107" t="s">
        <v>8579</v>
      </c>
      <c r="B107">
        <v>76060011</v>
      </c>
      <c r="C107">
        <v>76060011</v>
      </c>
      <c r="D107" t="s">
        <v>39</v>
      </c>
      <c r="E107">
        <v>300</v>
      </c>
      <c r="F107" t="e">
        <v>#N/A</v>
      </c>
      <c r="G107" t="e">
        <v>#N/A</v>
      </c>
      <c r="H107" t="e">
        <v>#N/A</v>
      </c>
      <c r="I107" t="e">
        <v>#N/A</v>
      </c>
      <c r="K107" t="s">
        <v>8727</v>
      </c>
      <c r="L107" s="29">
        <v>45139</v>
      </c>
      <c r="M107" t="s">
        <v>8731</v>
      </c>
      <c r="Q107" t="s">
        <v>8788</v>
      </c>
      <c r="S107">
        <f t="shared" si="5"/>
        <v>8</v>
      </c>
      <c r="T107">
        <f t="shared" si="6"/>
        <v>2023</v>
      </c>
      <c r="U107">
        <f t="shared" si="7"/>
        <v>30</v>
      </c>
      <c r="V107">
        <f t="shared" si="8"/>
        <v>20</v>
      </c>
      <c r="W107" s="15">
        <f t="shared" si="9"/>
        <v>13000</v>
      </c>
      <c r="X107">
        <f>VLOOKUP(B107,'[25]Cancel Sent on March 12'!$B:$B,1,0)</f>
        <v>76060011</v>
      </c>
    </row>
    <row r="108" spans="1:24">
      <c r="A108" t="s">
        <v>8580</v>
      </c>
      <c r="B108">
        <v>76060473</v>
      </c>
      <c r="C108">
        <v>76060473</v>
      </c>
      <c r="D108" t="s">
        <v>39</v>
      </c>
      <c r="E108">
        <v>300</v>
      </c>
      <c r="F108" t="e">
        <v>#N/A</v>
      </c>
      <c r="G108" t="e">
        <v>#N/A</v>
      </c>
      <c r="H108" t="e">
        <v>#N/A</v>
      </c>
      <c r="I108" t="e">
        <v>#N/A</v>
      </c>
      <c r="K108" t="s">
        <v>8741</v>
      </c>
      <c r="L108" s="29">
        <v>45536</v>
      </c>
      <c r="M108" t="s">
        <v>8731</v>
      </c>
      <c r="P108" t="s">
        <v>306</v>
      </c>
      <c r="Q108" t="s">
        <v>8793</v>
      </c>
      <c r="S108">
        <f t="shared" si="5"/>
        <v>9</v>
      </c>
      <c r="T108">
        <f t="shared" si="6"/>
        <v>2024</v>
      </c>
      <c r="U108">
        <f t="shared" si="7"/>
        <v>17</v>
      </c>
      <c r="V108">
        <f t="shared" si="8"/>
        <v>17</v>
      </c>
      <c r="W108" s="15">
        <f t="shared" si="9"/>
        <v>8500</v>
      </c>
      <c r="X108">
        <f>VLOOKUP(B108,'[25]Cancel Sent on March 12'!$B:$B,1,0)</f>
        <v>76060473</v>
      </c>
    </row>
    <row r="109" spans="1:24">
      <c r="A109" t="s">
        <v>8581</v>
      </c>
      <c r="B109">
        <v>76062180</v>
      </c>
      <c r="C109">
        <v>76062180</v>
      </c>
      <c r="D109" t="s">
        <v>39</v>
      </c>
      <c r="E109">
        <v>450</v>
      </c>
      <c r="F109" t="e">
        <v>#N/A</v>
      </c>
      <c r="G109" t="e">
        <v>#N/A</v>
      </c>
      <c r="H109" t="e">
        <v>#N/A</v>
      </c>
      <c r="I109" t="e">
        <v>#N/A</v>
      </c>
      <c r="K109" t="s">
        <v>8727</v>
      </c>
      <c r="L109" s="29">
        <v>44743</v>
      </c>
      <c r="M109" t="s">
        <v>8731</v>
      </c>
      <c r="Q109" t="s">
        <v>8794</v>
      </c>
      <c r="S109">
        <f t="shared" si="5"/>
        <v>7</v>
      </c>
      <c r="T109">
        <f t="shared" si="6"/>
        <v>2022</v>
      </c>
      <c r="U109">
        <f t="shared" si="7"/>
        <v>43</v>
      </c>
      <c r="V109">
        <f t="shared" si="8"/>
        <v>20</v>
      </c>
      <c r="W109" s="15">
        <f t="shared" si="9"/>
        <v>23350</v>
      </c>
      <c r="X109">
        <f>VLOOKUP(B109,'[25]Cancel Sent on March 12'!$B:$B,1,0)</f>
        <v>76062180</v>
      </c>
    </row>
    <row r="110" spans="1:24">
      <c r="A110" t="s">
        <v>8582</v>
      </c>
      <c r="B110">
        <v>76062943</v>
      </c>
      <c r="C110">
        <v>76062943</v>
      </c>
      <c r="D110" t="s">
        <v>39</v>
      </c>
      <c r="E110">
        <v>300</v>
      </c>
      <c r="F110" t="e">
        <v>#N/A</v>
      </c>
      <c r="G110" t="e">
        <v>#N/A</v>
      </c>
      <c r="H110" t="e">
        <v>#N/A</v>
      </c>
      <c r="I110" t="e">
        <v>#N/A</v>
      </c>
      <c r="K110" t="s">
        <v>8727</v>
      </c>
      <c r="L110" s="29">
        <v>45839</v>
      </c>
      <c r="M110" t="s">
        <v>8731</v>
      </c>
      <c r="Q110" t="s">
        <v>0</v>
      </c>
      <c r="S110">
        <f t="shared" si="5"/>
        <v>7</v>
      </c>
      <c r="T110">
        <f t="shared" si="6"/>
        <v>2025</v>
      </c>
      <c r="U110">
        <f t="shared" si="7"/>
        <v>7</v>
      </c>
      <c r="V110">
        <f t="shared" si="8"/>
        <v>7</v>
      </c>
      <c r="W110" s="15">
        <f t="shared" si="9"/>
        <v>3500</v>
      </c>
      <c r="X110">
        <f>VLOOKUP(B110,'[25]Cancel Sent on March 12'!$B:$B,1,0)</f>
        <v>76062943</v>
      </c>
    </row>
    <row r="111" spans="1:24">
      <c r="A111" t="s">
        <v>8583</v>
      </c>
      <c r="B111">
        <v>76063021</v>
      </c>
      <c r="C111">
        <v>76063021</v>
      </c>
      <c r="D111" t="s">
        <v>39</v>
      </c>
      <c r="E111">
        <v>300</v>
      </c>
      <c r="F111" t="e">
        <v>#N/A</v>
      </c>
      <c r="G111" t="e">
        <v>#N/A</v>
      </c>
      <c r="H111" t="e">
        <v>#N/A</v>
      </c>
      <c r="I111" t="e">
        <v>#N/A</v>
      </c>
      <c r="K111" t="s">
        <v>8727</v>
      </c>
      <c r="L111" s="29">
        <v>45839</v>
      </c>
      <c r="M111" t="s">
        <v>8731</v>
      </c>
      <c r="S111">
        <f t="shared" si="5"/>
        <v>7</v>
      </c>
      <c r="T111">
        <f t="shared" si="6"/>
        <v>2025</v>
      </c>
      <c r="U111">
        <f t="shared" si="7"/>
        <v>7</v>
      </c>
      <c r="V111">
        <f t="shared" si="8"/>
        <v>7</v>
      </c>
      <c r="W111" s="15">
        <f t="shared" si="9"/>
        <v>3500</v>
      </c>
      <c r="X111">
        <f>VLOOKUP(B111,'[25]Cancel Sent on March 12'!$B:$B,1,0)</f>
        <v>76063021</v>
      </c>
    </row>
    <row r="112" spans="1:24">
      <c r="A112" t="s">
        <v>1308</v>
      </c>
      <c r="B112">
        <v>76064391</v>
      </c>
      <c r="C112">
        <v>76064391</v>
      </c>
      <c r="D112" t="s">
        <v>39</v>
      </c>
      <c r="E112">
        <v>400</v>
      </c>
      <c r="F112" t="e">
        <v>#N/A</v>
      </c>
      <c r="G112" t="e">
        <v>#N/A</v>
      </c>
      <c r="H112" t="e">
        <v>#N/A</v>
      </c>
      <c r="I112" t="e">
        <v>#N/A</v>
      </c>
      <c r="K112" s="29" t="s">
        <v>8727</v>
      </c>
      <c r="L112" s="29">
        <v>45078</v>
      </c>
      <c r="M112" t="s">
        <v>8728</v>
      </c>
      <c r="S112">
        <f t="shared" si="5"/>
        <v>6</v>
      </c>
      <c r="T112">
        <f t="shared" si="6"/>
        <v>2023</v>
      </c>
      <c r="U112">
        <f t="shared" si="7"/>
        <v>32</v>
      </c>
      <c r="V112">
        <f t="shared" si="8"/>
        <v>20</v>
      </c>
      <c r="W112" s="15">
        <f t="shared" si="9"/>
        <v>16800</v>
      </c>
      <c r="X112">
        <f>VLOOKUP(B112,'[25]Cancel Sent on March 12'!$B:$B,1,0)</f>
        <v>76064391</v>
      </c>
    </row>
    <row r="113" spans="1:24">
      <c r="A113" t="s">
        <v>8584</v>
      </c>
      <c r="B113">
        <v>76065792</v>
      </c>
      <c r="C113">
        <v>76065792</v>
      </c>
      <c r="D113" t="s">
        <v>39</v>
      </c>
      <c r="E113">
        <v>300</v>
      </c>
      <c r="F113" t="e">
        <v>#N/A</v>
      </c>
      <c r="G113" t="e">
        <v>#N/A</v>
      </c>
      <c r="H113" t="e">
        <v>#N/A</v>
      </c>
      <c r="I113" t="e">
        <v>#N/A</v>
      </c>
      <c r="K113" t="s">
        <v>8727</v>
      </c>
      <c r="L113" s="29">
        <v>45139</v>
      </c>
      <c r="M113" t="s">
        <v>8731</v>
      </c>
      <c r="S113">
        <f t="shared" si="5"/>
        <v>8</v>
      </c>
      <c r="T113">
        <f t="shared" si="6"/>
        <v>2023</v>
      </c>
      <c r="U113">
        <f t="shared" si="7"/>
        <v>30</v>
      </c>
      <c r="V113">
        <f t="shared" si="8"/>
        <v>20</v>
      </c>
      <c r="W113" s="15">
        <f t="shared" si="9"/>
        <v>13000</v>
      </c>
      <c r="X113">
        <f>VLOOKUP(B113,'[25]Cancel Sent on March 12'!$B:$B,1,0)</f>
        <v>76065792</v>
      </c>
    </row>
    <row r="114" spans="1:24" hidden="1">
      <c r="A114" t="s">
        <v>2703</v>
      </c>
      <c r="B114">
        <v>76066680</v>
      </c>
      <c r="C114">
        <v>76066680</v>
      </c>
      <c r="D114" t="s">
        <v>39</v>
      </c>
      <c r="E114">
        <v>400</v>
      </c>
      <c r="F114" t="e">
        <v>#N/A</v>
      </c>
      <c r="G114" t="e">
        <v>#N/A</v>
      </c>
      <c r="H114" t="e">
        <v>#N/A</v>
      </c>
      <c r="I114" t="e">
        <v>#N/A</v>
      </c>
      <c r="K114" t="s">
        <v>742</v>
      </c>
      <c r="L114" s="29">
        <v>45809</v>
      </c>
      <c r="M114" t="s">
        <v>8731</v>
      </c>
      <c r="Q114" t="s">
        <v>8795</v>
      </c>
      <c r="S114">
        <f t="shared" si="5"/>
        <v>6</v>
      </c>
      <c r="T114">
        <f t="shared" si="6"/>
        <v>2025</v>
      </c>
      <c r="U114">
        <f t="shared" si="7"/>
        <v>8</v>
      </c>
      <c r="V114">
        <f t="shared" si="8"/>
        <v>8</v>
      </c>
      <c r="W114" s="15">
        <f t="shared" si="9"/>
        <v>4800</v>
      </c>
      <c r="X114" t="e">
        <f>VLOOKUP(B114,'[25]Cancel Sent on March 12'!$B:$B,1,0)</f>
        <v>#N/A</v>
      </c>
    </row>
    <row r="115" spans="1:24">
      <c r="A115" t="s">
        <v>8585</v>
      </c>
      <c r="B115">
        <v>76066697</v>
      </c>
      <c r="C115">
        <v>76066697</v>
      </c>
      <c r="D115" t="s">
        <v>39</v>
      </c>
      <c r="E115">
        <v>400</v>
      </c>
      <c r="F115" t="e">
        <v>#N/A</v>
      </c>
      <c r="G115" t="e">
        <v>#N/A</v>
      </c>
      <c r="H115" t="e">
        <v>#N/A</v>
      </c>
      <c r="I115" t="e">
        <v>#N/A</v>
      </c>
      <c r="K115" t="s">
        <v>8741</v>
      </c>
      <c r="L115" s="29">
        <v>45627</v>
      </c>
      <c r="M115" t="s">
        <v>8728</v>
      </c>
      <c r="S115">
        <f t="shared" si="5"/>
        <v>12</v>
      </c>
      <c r="T115">
        <f t="shared" si="6"/>
        <v>2024</v>
      </c>
      <c r="U115">
        <f t="shared" si="7"/>
        <v>14</v>
      </c>
      <c r="V115">
        <f t="shared" si="8"/>
        <v>14</v>
      </c>
      <c r="W115" s="15">
        <f t="shared" si="9"/>
        <v>8400</v>
      </c>
      <c r="X115">
        <f>VLOOKUP(B115,'[25]Cancel Sent on March 12'!$B:$B,1,0)</f>
        <v>76066697</v>
      </c>
    </row>
    <row r="116" spans="1:24">
      <c r="A116" t="s">
        <v>8586</v>
      </c>
      <c r="B116">
        <v>76067490</v>
      </c>
      <c r="C116">
        <v>76067490</v>
      </c>
      <c r="D116" t="s">
        <v>39</v>
      </c>
      <c r="E116">
        <v>300</v>
      </c>
      <c r="F116" t="e">
        <v>#N/A</v>
      </c>
      <c r="G116" t="e">
        <v>#N/A</v>
      </c>
      <c r="H116" t="e">
        <v>#N/A</v>
      </c>
      <c r="I116" t="e">
        <v>#N/A</v>
      </c>
      <c r="O116" t="s">
        <v>8773</v>
      </c>
      <c r="Q116" s="30" t="s">
        <v>8796</v>
      </c>
      <c r="S116">
        <f t="shared" si="5"/>
        <v>12</v>
      </c>
      <c r="T116">
        <f t="shared" si="6"/>
        <v>2025</v>
      </c>
      <c r="U116">
        <f t="shared" si="7"/>
        <v>2</v>
      </c>
      <c r="V116">
        <f t="shared" si="8"/>
        <v>2</v>
      </c>
      <c r="W116" s="15">
        <f t="shared" si="9"/>
        <v>1000</v>
      </c>
      <c r="X116">
        <f>VLOOKUP(B116,'[25]Cancel Sent on March 12'!$B:$B,1,0)</f>
        <v>76067490</v>
      </c>
    </row>
    <row r="117" spans="1:24">
      <c r="A117" t="s">
        <v>8587</v>
      </c>
      <c r="B117">
        <v>76067577</v>
      </c>
      <c r="C117">
        <v>76067577</v>
      </c>
      <c r="D117" t="s">
        <v>39</v>
      </c>
      <c r="E117">
        <v>300</v>
      </c>
      <c r="F117" t="e">
        <v>#N/A</v>
      </c>
      <c r="G117" t="e">
        <v>#N/A</v>
      </c>
      <c r="H117" t="e">
        <v>#N/A</v>
      </c>
      <c r="I117" t="e">
        <v>#N/A</v>
      </c>
      <c r="O117" t="s">
        <v>8773</v>
      </c>
      <c r="Q117" s="30" t="s">
        <v>8796</v>
      </c>
      <c r="S117">
        <f t="shared" si="5"/>
        <v>12</v>
      </c>
      <c r="T117">
        <f t="shared" si="6"/>
        <v>2025</v>
      </c>
      <c r="U117">
        <f t="shared" si="7"/>
        <v>2</v>
      </c>
      <c r="V117">
        <f t="shared" si="8"/>
        <v>2</v>
      </c>
      <c r="W117" s="15">
        <f t="shared" si="9"/>
        <v>1000</v>
      </c>
      <c r="X117">
        <f>VLOOKUP(B117,'[25]Cancel Sent on March 12'!$B:$B,1,0)</f>
        <v>76067577</v>
      </c>
    </row>
    <row r="118" spans="1:24">
      <c r="A118" t="s">
        <v>8588</v>
      </c>
      <c r="B118">
        <v>76070690</v>
      </c>
      <c r="C118">
        <v>76070690</v>
      </c>
      <c r="D118" t="s">
        <v>39</v>
      </c>
      <c r="E118">
        <v>300</v>
      </c>
      <c r="F118" t="e">
        <v>#N/A</v>
      </c>
      <c r="G118" t="e">
        <v>#N/A</v>
      </c>
      <c r="H118" t="e">
        <v>#N/A</v>
      </c>
      <c r="I118" t="e">
        <v>#N/A</v>
      </c>
      <c r="K118" t="s">
        <v>8727</v>
      </c>
      <c r="L118" s="29">
        <v>45474</v>
      </c>
      <c r="M118" t="s">
        <v>8731</v>
      </c>
      <c r="P118" t="s">
        <v>306</v>
      </c>
      <c r="Q118" s="30" t="s">
        <v>8793</v>
      </c>
      <c r="S118">
        <f t="shared" si="5"/>
        <v>7</v>
      </c>
      <c r="T118">
        <f t="shared" si="6"/>
        <v>2024</v>
      </c>
      <c r="U118">
        <f t="shared" si="7"/>
        <v>19</v>
      </c>
      <c r="V118">
        <f t="shared" si="8"/>
        <v>19</v>
      </c>
      <c r="W118" s="15">
        <f t="shared" si="9"/>
        <v>9500</v>
      </c>
      <c r="X118">
        <f>VLOOKUP(B118,'[25]Cancel Sent on March 12'!$B:$B,1,0)</f>
        <v>76070690</v>
      </c>
    </row>
    <row r="119" spans="1:24" s="23" customFormat="1">
      <c r="A119" s="23" t="s">
        <v>8589</v>
      </c>
      <c r="B119" s="23">
        <v>76071944</v>
      </c>
      <c r="C119" s="23">
        <v>76071944</v>
      </c>
      <c r="D119" s="23" t="s">
        <v>39</v>
      </c>
      <c r="E119" s="23">
        <v>300</v>
      </c>
      <c r="F119" s="23" t="e">
        <v>#N/A</v>
      </c>
      <c r="G119" t="e">
        <v>#N/A</v>
      </c>
      <c r="H119" t="e">
        <v>#N/A</v>
      </c>
      <c r="I119" t="e">
        <v>#N/A</v>
      </c>
      <c r="K119" s="23" t="s">
        <v>8741</v>
      </c>
      <c r="L119" s="29">
        <v>45870</v>
      </c>
      <c r="M119" s="23" t="s">
        <v>8731</v>
      </c>
      <c r="Q119" s="23" t="s">
        <v>8797</v>
      </c>
      <c r="R119" s="23" t="s">
        <v>8798</v>
      </c>
      <c r="S119">
        <f t="shared" si="5"/>
        <v>8</v>
      </c>
      <c r="T119">
        <f t="shared" si="6"/>
        <v>2025</v>
      </c>
      <c r="U119">
        <f t="shared" si="7"/>
        <v>6</v>
      </c>
      <c r="V119">
        <f t="shared" si="8"/>
        <v>6</v>
      </c>
      <c r="W119" s="15">
        <f t="shared" si="9"/>
        <v>3000</v>
      </c>
      <c r="X119">
        <f>VLOOKUP(B119,'[25]Cancel Sent on March 12'!$B:$B,1,0)</f>
        <v>76071944</v>
      </c>
    </row>
    <row r="120" spans="1:24">
      <c r="A120" t="s">
        <v>8590</v>
      </c>
      <c r="B120">
        <v>76072111</v>
      </c>
      <c r="C120">
        <v>76072111</v>
      </c>
      <c r="D120" t="s">
        <v>39</v>
      </c>
      <c r="E120">
        <v>300</v>
      </c>
      <c r="F120" t="e">
        <v>#N/A</v>
      </c>
      <c r="G120" t="e">
        <v>#N/A</v>
      </c>
      <c r="H120" t="e">
        <v>#N/A</v>
      </c>
      <c r="I120" t="e">
        <v>#N/A</v>
      </c>
      <c r="K120" t="s">
        <v>8727</v>
      </c>
      <c r="L120" s="29">
        <v>44986</v>
      </c>
      <c r="M120" t="s">
        <v>8731</v>
      </c>
      <c r="Q120" s="30" t="s">
        <v>8799</v>
      </c>
      <c r="R120" t="s">
        <v>8798</v>
      </c>
      <c r="S120">
        <f t="shared" si="5"/>
        <v>3</v>
      </c>
      <c r="T120">
        <f t="shared" si="6"/>
        <v>2023</v>
      </c>
      <c r="U120">
        <f t="shared" si="7"/>
        <v>35</v>
      </c>
      <c r="V120">
        <f t="shared" si="8"/>
        <v>20</v>
      </c>
      <c r="W120" s="15">
        <f t="shared" si="9"/>
        <v>14500</v>
      </c>
      <c r="X120">
        <f>VLOOKUP(B120,'[25]Cancel Sent on March 12'!$B:$B,1,0)</f>
        <v>76072111</v>
      </c>
    </row>
    <row r="121" spans="1:24">
      <c r="A121" t="s">
        <v>8591</v>
      </c>
      <c r="B121">
        <v>76072582</v>
      </c>
      <c r="C121">
        <v>76072582</v>
      </c>
      <c r="D121" t="s">
        <v>39</v>
      </c>
      <c r="E121">
        <v>300</v>
      </c>
      <c r="F121" t="e">
        <v>#N/A</v>
      </c>
      <c r="G121" t="e">
        <v>#N/A</v>
      </c>
      <c r="H121" t="e">
        <v>#N/A</v>
      </c>
      <c r="I121" t="e">
        <v>#N/A</v>
      </c>
      <c r="K121" t="s">
        <v>8727</v>
      </c>
      <c r="L121" s="29">
        <v>45474</v>
      </c>
      <c r="M121" t="s">
        <v>8731</v>
      </c>
      <c r="Q121" s="30" t="s">
        <v>8800</v>
      </c>
      <c r="R121" t="s">
        <v>8798</v>
      </c>
      <c r="S121">
        <f t="shared" si="5"/>
        <v>7</v>
      </c>
      <c r="T121">
        <f t="shared" si="6"/>
        <v>2024</v>
      </c>
      <c r="U121">
        <f t="shared" si="7"/>
        <v>19</v>
      </c>
      <c r="V121">
        <f t="shared" si="8"/>
        <v>19</v>
      </c>
      <c r="W121" s="15">
        <f t="shared" si="9"/>
        <v>9500</v>
      </c>
      <c r="X121">
        <f>VLOOKUP(B121,'[25]Cancel Sent on March 12'!$B:$B,1,0)</f>
        <v>76072582</v>
      </c>
    </row>
    <row r="122" spans="1:24">
      <c r="A122" t="s">
        <v>8592</v>
      </c>
      <c r="B122">
        <v>76073569</v>
      </c>
      <c r="C122">
        <v>76073569</v>
      </c>
      <c r="D122" t="s">
        <v>39</v>
      </c>
      <c r="E122">
        <v>300</v>
      </c>
      <c r="F122" t="e">
        <v>#N/A</v>
      </c>
      <c r="G122" t="e">
        <v>#N/A</v>
      </c>
      <c r="H122" t="e">
        <v>#N/A</v>
      </c>
      <c r="I122" t="e">
        <v>#N/A</v>
      </c>
      <c r="K122" t="s">
        <v>8727</v>
      </c>
      <c r="L122" s="29">
        <v>45748</v>
      </c>
      <c r="M122" t="s">
        <v>8731</v>
      </c>
      <c r="Q122" s="30" t="s">
        <v>8801</v>
      </c>
      <c r="R122" t="s">
        <v>8798</v>
      </c>
      <c r="S122">
        <f t="shared" si="5"/>
        <v>4</v>
      </c>
      <c r="T122">
        <f t="shared" si="6"/>
        <v>2025</v>
      </c>
      <c r="U122">
        <f t="shared" si="7"/>
        <v>10</v>
      </c>
      <c r="V122">
        <f t="shared" si="8"/>
        <v>10</v>
      </c>
      <c r="W122" s="15">
        <f t="shared" si="9"/>
        <v>5000</v>
      </c>
      <c r="X122">
        <f>VLOOKUP(B122,'[25]Cancel Sent on March 12'!$B:$B,1,0)</f>
        <v>76073569</v>
      </c>
    </row>
    <row r="123" spans="1:24">
      <c r="A123" t="s">
        <v>8593</v>
      </c>
      <c r="B123">
        <v>76073768</v>
      </c>
      <c r="C123">
        <v>76073768</v>
      </c>
      <c r="D123" t="s">
        <v>39</v>
      </c>
      <c r="E123">
        <v>300</v>
      </c>
      <c r="F123" t="e">
        <v>#N/A</v>
      </c>
      <c r="G123" t="e">
        <v>#N/A</v>
      </c>
      <c r="H123" t="e">
        <v>#N/A</v>
      </c>
      <c r="I123" t="e">
        <v>#N/A</v>
      </c>
      <c r="K123" t="s">
        <v>8727</v>
      </c>
      <c r="L123" s="29">
        <v>45597</v>
      </c>
      <c r="M123" t="s">
        <v>8731</v>
      </c>
      <c r="Q123" s="30" t="s">
        <v>8802</v>
      </c>
      <c r="R123" t="s">
        <v>8798</v>
      </c>
      <c r="S123">
        <f t="shared" si="5"/>
        <v>11</v>
      </c>
      <c r="T123">
        <f t="shared" si="6"/>
        <v>2024</v>
      </c>
      <c r="U123">
        <f t="shared" si="7"/>
        <v>15</v>
      </c>
      <c r="V123">
        <f t="shared" si="8"/>
        <v>15</v>
      </c>
      <c r="W123" s="15">
        <f t="shared" si="9"/>
        <v>7500</v>
      </c>
      <c r="X123">
        <f>VLOOKUP(B123,'[25]Cancel Sent on March 12'!$B:$B,1,0)</f>
        <v>76073768</v>
      </c>
    </row>
    <row r="124" spans="1:24">
      <c r="A124" t="s">
        <v>1270</v>
      </c>
      <c r="B124">
        <v>76074807</v>
      </c>
      <c r="C124">
        <v>76074807</v>
      </c>
      <c r="D124" t="s">
        <v>39</v>
      </c>
      <c r="E124">
        <v>300</v>
      </c>
      <c r="F124" t="e">
        <v>#N/A</v>
      </c>
      <c r="G124" t="e">
        <v>#N/A</v>
      </c>
      <c r="H124" t="e">
        <v>#N/A</v>
      </c>
      <c r="I124" t="e">
        <v>#N/A</v>
      </c>
      <c r="K124" t="s">
        <v>8727</v>
      </c>
      <c r="L124" s="29">
        <v>44621</v>
      </c>
      <c r="M124" t="s">
        <v>8731</v>
      </c>
      <c r="P124" t="s">
        <v>306</v>
      </c>
      <c r="Q124" s="30" t="s">
        <v>8793</v>
      </c>
      <c r="R124" t="s">
        <v>8798</v>
      </c>
      <c r="S124">
        <f t="shared" si="5"/>
        <v>3</v>
      </c>
      <c r="T124">
        <f t="shared" si="6"/>
        <v>2022</v>
      </c>
      <c r="U124">
        <f t="shared" si="7"/>
        <v>47</v>
      </c>
      <c r="V124">
        <f t="shared" si="8"/>
        <v>20</v>
      </c>
      <c r="W124" s="15">
        <f t="shared" si="9"/>
        <v>18100</v>
      </c>
      <c r="X124">
        <f>VLOOKUP(B124,'[25]Cancel Sent on March 12'!$B:$B,1,0)</f>
        <v>76074807</v>
      </c>
    </row>
    <row r="125" spans="1:24">
      <c r="A125" t="s">
        <v>1270</v>
      </c>
      <c r="B125">
        <v>76074807</v>
      </c>
      <c r="C125">
        <v>76074807</v>
      </c>
      <c r="D125" t="s">
        <v>39</v>
      </c>
      <c r="E125">
        <v>450</v>
      </c>
      <c r="F125" t="e">
        <v>#N/A</v>
      </c>
      <c r="G125" t="e">
        <v>#N/A</v>
      </c>
      <c r="H125" t="e">
        <v>#N/A</v>
      </c>
      <c r="I125" t="e">
        <v>#N/A</v>
      </c>
      <c r="K125" t="s">
        <v>8727</v>
      </c>
      <c r="L125" s="29">
        <v>46103</v>
      </c>
      <c r="M125" t="s">
        <v>8731</v>
      </c>
      <c r="P125" t="s">
        <v>306</v>
      </c>
      <c r="Q125" s="30" t="s">
        <v>8793</v>
      </c>
      <c r="R125" t="s">
        <v>8798</v>
      </c>
      <c r="S125">
        <f t="shared" si="5"/>
        <v>3</v>
      </c>
      <c r="T125">
        <f t="shared" si="6"/>
        <v>2026</v>
      </c>
      <c r="U125">
        <f t="shared" si="7"/>
        <v>0</v>
      </c>
      <c r="V125">
        <f t="shared" si="8"/>
        <v>0</v>
      </c>
      <c r="W125" s="15">
        <f t="shared" si="9"/>
        <v>0</v>
      </c>
      <c r="X125">
        <f>VLOOKUP(B125,'[25]Cancel Sent on March 12'!$B:$B,1,0)</f>
        <v>76074807</v>
      </c>
    </row>
    <row r="126" spans="1:24">
      <c r="A126" t="s">
        <v>8594</v>
      </c>
      <c r="B126">
        <v>76080698</v>
      </c>
      <c r="C126">
        <v>76080698</v>
      </c>
      <c r="D126" t="s">
        <v>39</v>
      </c>
      <c r="E126">
        <v>300</v>
      </c>
      <c r="F126" t="e">
        <v>#N/A</v>
      </c>
      <c r="G126" t="e">
        <v>#N/A</v>
      </c>
      <c r="H126" t="e">
        <v>#N/A</v>
      </c>
      <c r="I126" t="e">
        <v>#N/A</v>
      </c>
      <c r="K126" t="s">
        <v>8727</v>
      </c>
      <c r="L126" s="29">
        <v>45627</v>
      </c>
      <c r="M126" t="s">
        <v>8731</v>
      </c>
      <c r="Q126" s="30" t="s">
        <v>8803</v>
      </c>
      <c r="R126" t="s">
        <v>8798</v>
      </c>
      <c r="S126">
        <f t="shared" si="5"/>
        <v>12</v>
      </c>
      <c r="T126">
        <f t="shared" si="6"/>
        <v>2024</v>
      </c>
      <c r="U126">
        <f t="shared" si="7"/>
        <v>14</v>
      </c>
      <c r="V126">
        <f t="shared" si="8"/>
        <v>14</v>
      </c>
      <c r="W126" s="15">
        <f t="shared" si="9"/>
        <v>7000</v>
      </c>
      <c r="X126">
        <f>VLOOKUP(B126,'[25]Cancel Sent on March 12'!$B:$B,1,0)</f>
        <v>76080698</v>
      </c>
    </row>
    <row r="127" spans="1:24">
      <c r="A127" t="s">
        <v>8595</v>
      </c>
      <c r="B127">
        <v>76082198</v>
      </c>
      <c r="C127">
        <v>76082198</v>
      </c>
      <c r="D127" t="s">
        <v>39</v>
      </c>
      <c r="E127">
        <v>300</v>
      </c>
      <c r="F127" t="e">
        <v>#N/A</v>
      </c>
      <c r="G127" t="e">
        <v>#N/A</v>
      </c>
      <c r="H127" t="e">
        <v>#N/A</v>
      </c>
      <c r="I127" t="e">
        <v>#N/A</v>
      </c>
      <c r="K127" t="s">
        <v>8727</v>
      </c>
      <c r="L127" s="29">
        <v>45474</v>
      </c>
      <c r="M127" t="s">
        <v>8731</v>
      </c>
      <c r="P127" t="s">
        <v>306</v>
      </c>
      <c r="Q127" s="30" t="s">
        <v>8793</v>
      </c>
      <c r="R127" t="s">
        <v>8798</v>
      </c>
      <c r="S127">
        <f t="shared" si="5"/>
        <v>7</v>
      </c>
      <c r="T127">
        <f t="shared" si="6"/>
        <v>2024</v>
      </c>
      <c r="U127">
        <f t="shared" si="7"/>
        <v>19</v>
      </c>
      <c r="V127">
        <f t="shared" si="8"/>
        <v>19</v>
      </c>
      <c r="W127" s="15">
        <f t="shared" si="9"/>
        <v>9500</v>
      </c>
      <c r="X127">
        <f>VLOOKUP(B127,'[25]Cancel Sent on March 12'!$B:$B,1,0)</f>
        <v>76082198</v>
      </c>
    </row>
    <row r="128" spans="1:24">
      <c r="A128" t="s">
        <v>1314</v>
      </c>
      <c r="B128">
        <v>76082339</v>
      </c>
      <c r="C128">
        <v>76082339</v>
      </c>
      <c r="D128" t="s">
        <v>39</v>
      </c>
      <c r="E128">
        <v>400</v>
      </c>
      <c r="F128" t="e">
        <v>#N/A</v>
      </c>
      <c r="G128" t="e">
        <v>#N/A</v>
      </c>
      <c r="H128" t="e">
        <v>#N/A</v>
      </c>
      <c r="I128" t="e">
        <v>#N/A</v>
      </c>
      <c r="K128" t="s">
        <v>8727</v>
      </c>
      <c r="L128" s="29">
        <v>44986</v>
      </c>
      <c r="M128" t="s">
        <v>8728</v>
      </c>
      <c r="P128" t="s">
        <v>306</v>
      </c>
      <c r="Q128" s="30" t="s">
        <v>8793</v>
      </c>
      <c r="R128" t="s">
        <v>8798</v>
      </c>
      <c r="S128">
        <f t="shared" si="5"/>
        <v>3</v>
      </c>
      <c r="T128">
        <f t="shared" si="6"/>
        <v>2023</v>
      </c>
      <c r="U128">
        <f t="shared" si="7"/>
        <v>35</v>
      </c>
      <c r="V128">
        <f t="shared" si="8"/>
        <v>20</v>
      </c>
      <c r="W128" s="15">
        <f t="shared" si="9"/>
        <v>18000</v>
      </c>
      <c r="X128">
        <f>VLOOKUP(B128,'[25]Cancel Sent on March 12'!$B:$B,1,0)</f>
        <v>76082339</v>
      </c>
    </row>
    <row r="129" spans="1:24">
      <c r="A129" t="s">
        <v>87</v>
      </c>
      <c r="B129">
        <v>76097658</v>
      </c>
      <c r="C129">
        <v>76097658</v>
      </c>
      <c r="D129" t="s">
        <v>39</v>
      </c>
      <c r="E129">
        <v>300</v>
      </c>
      <c r="F129" t="e">
        <v>#N/A</v>
      </c>
      <c r="G129" t="e">
        <v>#N/A</v>
      </c>
      <c r="H129" t="e">
        <v>#N/A</v>
      </c>
      <c r="I129" t="e">
        <v>#N/A</v>
      </c>
      <c r="K129" t="s">
        <v>8727</v>
      </c>
      <c r="L129" s="29">
        <v>45992</v>
      </c>
      <c r="M129" t="s">
        <v>8731</v>
      </c>
      <c r="Q129" s="30" t="s">
        <v>8785</v>
      </c>
      <c r="R129" t="s">
        <v>8798</v>
      </c>
      <c r="S129">
        <f t="shared" si="5"/>
        <v>12</v>
      </c>
      <c r="T129">
        <f t="shared" si="6"/>
        <v>2025</v>
      </c>
      <c r="U129">
        <f t="shared" si="7"/>
        <v>2</v>
      </c>
      <c r="V129">
        <f t="shared" si="8"/>
        <v>2</v>
      </c>
      <c r="W129" s="15">
        <f t="shared" si="9"/>
        <v>1000</v>
      </c>
      <c r="X129">
        <f>VLOOKUP(B129,'[25]Cancel Sent on March 12'!$B:$B,1,0)</f>
        <v>76097658</v>
      </c>
    </row>
    <row r="130" spans="1:24">
      <c r="A130" t="s">
        <v>8596</v>
      </c>
      <c r="B130">
        <v>76136079</v>
      </c>
      <c r="C130">
        <v>76136079</v>
      </c>
      <c r="D130" t="s">
        <v>39</v>
      </c>
      <c r="E130">
        <v>300</v>
      </c>
      <c r="F130" t="e">
        <v>#N/A</v>
      </c>
      <c r="G130" t="e">
        <v>#N/A</v>
      </c>
      <c r="H130" t="e">
        <v>#N/A</v>
      </c>
      <c r="I130" t="e">
        <v>#N/A</v>
      </c>
      <c r="K130" t="s">
        <v>8727</v>
      </c>
      <c r="L130" s="29">
        <v>45748</v>
      </c>
      <c r="M130" t="s">
        <v>8731</v>
      </c>
      <c r="Q130" s="30" t="s">
        <v>8804</v>
      </c>
      <c r="R130" t="s">
        <v>8798</v>
      </c>
      <c r="S130">
        <f t="shared" si="5"/>
        <v>4</v>
      </c>
      <c r="T130">
        <f t="shared" si="6"/>
        <v>2025</v>
      </c>
      <c r="U130">
        <f t="shared" si="7"/>
        <v>10</v>
      </c>
      <c r="V130">
        <f t="shared" si="8"/>
        <v>10</v>
      </c>
      <c r="W130" s="15">
        <f t="shared" si="9"/>
        <v>5000</v>
      </c>
      <c r="X130">
        <f>VLOOKUP(B130,'[25]Cancel Sent on March 12'!$B:$B,1,0)</f>
        <v>76136079</v>
      </c>
    </row>
    <row r="131" spans="1:24">
      <c r="A131" t="s">
        <v>8597</v>
      </c>
      <c r="B131">
        <v>76139324</v>
      </c>
      <c r="C131">
        <v>76139324</v>
      </c>
      <c r="D131" t="s">
        <v>39</v>
      </c>
      <c r="E131">
        <v>450</v>
      </c>
      <c r="F131" t="e">
        <v>#N/A</v>
      </c>
      <c r="G131" t="e">
        <v>#N/A</v>
      </c>
      <c r="H131" t="e">
        <v>#N/A</v>
      </c>
      <c r="I131" t="e">
        <v>#N/A</v>
      </c>
      <c r="K131" t="s">
        <v>8741</v>
      </c>
      <c r="L131" s="29">
        <v>44501</v>
      </c>
      <c r="M131" t="s">
        <v>8728</v>
      </c>
      <c r="Q131" s="30" t="s">
        <v>8805</v>
      </c>
      <c r="R131" t="s">
        <v>8798</v>
      </c>
      <c r="S131">
        <f t="shared" ref="S131:S194" si="10">IF(ISBLANK(L131), 12, MONTH(L131))</f>
        <v>11</v>
      </c>
      <c r="T131">
        <f t="shared" ref="T131:T194" si="11">IF(ISBLANK(L131), 2025, YEAR(L131))</f>
        <v>2021</v>
      </c>
      <c r="U131">
        <f t="shared" ref="U131:U194" si="12">IF((2025-T131)*12+(12-S131+2)&lt;0,0,(2025-T131)*12+(12-S131+2))</f>
        <v>51</v>
      </c>
      <c r="V131">
        <f t="shared" ref="V131:V194" si="13">MIN(IF((2025-T131)*12+(12-S131+2)&lt;0,0,(2025-T131)*12+(12-S131+2)),6+12+2)</f>
        <v>20</v>
      </c>
      <c r="W131" s="15">
        <f t="shared" si="9"/>
        <v>26950</v>
      </c>
      <c r="X131">
        <f>VLOOKUP(B131,'[25]Cancel Sent on March 12'!$B:$B,1,0)</f>
        <v>76139324</v>
      </c>
    </row>
    <row r="132" spans="1:24">
      <c r="A132" t="s">
        <v>8598</v>
      </c>
      <c r="B132">
        <v>76140116</v>
      </c>
      <c r="C132">
        <v>76140116</v>
      </c>
      <c r="D132" t="s">
        <v>39</v>
      </c>
      <c r="E132">
        <v>300</v>
      </c>
      <c r="F132" t="e">
        <v>#N/A</v>
      </c>
      <c r="G132" t="e">
        <v>#N/A</v>
      </c>
      <c r="H132" t="e">
        <v>#N/A</v>
      </c>
      <c r="I132" t="e">
        <v>#N/A</v>
      </c>
      <c r="K132" t="s">
        <v>8727</v>
      </c>
      <c r="L132" s="29">
        <v>45809</v>
      </c>
      <c r="M132" t="s">
        <v>8731</v>
      </c>
      <c r="Q132" s="30" t="s">
        <v>8806</v>
      </c>
      <c r="R132" t="s">
        <v>8798</v>
      </c>
      <c r="S132">
        <f t="shared" si="10"/>
        <v>6</v>
      </c>
      <c r="T132">
        <f t="shared" si="11"/>
        <v>2025</v>
      </c>
      <c r="U132">
        <f t="shared" si="12"/>
        <v>8</v>
      </c>
      <c r="V132">
        <f t="shared" si="13"/>
        <v>8</v>
      </c>
      <c r="W132" s="15">
        <f t="shared" ref="W132:W195" si="14">U132*E132+V132*200</f>
        <v>4000</v>
      </c>
      <c r="X132">
        <f>VLOOKUP(B132,'[25]Cancel Sent on March 12'!$B:$B,1,0)</f>
        <v>76140116</v>
      </c>
    </row>
    <row r="133" spans="1:24">
      <c r="A133" t="s">
        <v>8599</v>
      </c>
      <c r="B133">
        <v>76140762</v>
      </c>
      <c r="C133">
        <v>76140762</v>
      </c>
      <c r="D133" t="s">
        <v>39</v>
      </c>
      <c r="E133">
        <v>300</v>
      </c>
      <c r="F133" t="e">
        <v>#N/A</v>
      </c>
      <c r="G133" t="e">
        <v>#N/A</v>
      </c>
      <c r="H133" t="e">
        <v>#N/A</v>
      </c>
      <c r="I133" t="e">
        <v>#N/A</v>
      </c>
      <c r="K133" t="s">
        <v>8727</v>
      </c>
      <c r="L133" s="29">
        <v>46023</v>
      </c>
      <c r="M133" t="s">
        <v>8731</v>
      </c>
      <c r="Q133" s="30" t="s">
        <v>8807</v>
      </c>
      <c r="R133" t="s">
        <v>8798</v>
      </c>
      <c r="S133">
        <f t="shared" si="10"/>
        <v>1</v>
      </c>
      <c r="T133">
        <f t="shared" si="11"/>
        <v>2026</v>
      </c>
      <c r="U133">
        <f t="shared" si="12"/>
        <v>1</v>
      </c>
      <c r="V133">
        <f t="shared" si="13"/>
        <v>1</v>
      </c>
      <c r="W133" s="15">
        <f t="shared" si="14"/>
        <v>500</v>
      </c>
      <c r="X133">
        <f>VLOOKUP(B133,'[25]Cancel Sent on March 12'!$B:$B,1,0)</f>
        <v>76140762</v>
      </c>
    </row>
    <row r="134" spans="1:24">
      <c r="A134" t="s">
        <v>1318</v>
      </c>
      <c r="B134">
        <v>76141529</v>
      </c>
      <c r="C134">
        <v>76141529</v>
      </c>
      <c r="D134" t="s">
        <v>39</v>
      </c>
      <c r="E134">
        <v>400</v>
      </c>
      <c r="F134" t="e">
        <v>#N/A</v>
      </c>
      <c r="G134" t="e">
        <v>#N/A</v>
      </c>
      <c r="H134" t="e">
        <v>#N/A</v>
      </c>
      <c r="I134" t="e">
        <v>#N/A</v>
      </c>
      <c r="K134" t="s">
        <v>8727</v>
      </c>
      <c r="L134" s="29">
        <v>45627</v>
      </c>
      <c r="M134" t="s">
        <v>8728</v>
      </c>
      <c r="Q134" s="30" t="s">
        <v>8782</v>
      </c>
      <c r="R134" t="s">
        <v>8798</v>
      </c>
      <c r="S134">
        <f t="shared" si="10"/>
        <v>12</v>
      </c>
      <c r="T134">
        <f t="shared" si="11"/>
        <v>2024</v>
      </c>
      <c r="U134">
        <f t="shared" si="12"/>
        <v>14</v>
      </c>
      <c r="V134">
        <f t="shared" si="13"/>
        <v>14</v>
      </c>
      <c r="W134" s="15">
        <f t="shared" si="14"/>
        <v>8400</v>
      </c>
      <c r="X134">
        <f>VLOOKUP(B134,'[25]Cancel Sent on March 12'!$B:$B,1,0)</f>
        <v>76141529</v>
      </c>
    </row>
    <row r="135" spans="1:24" s="31" customFormat="1">
      <c r="A135" s="31" t="s">
        <v>1321</v>
      </c>
      <c r="B135" s="31">
        <v>76141532</v>
      </c>
      <c r="C135" s="31">
        <v>76141532</v>
      </c>
      <c r="D135" s="31" t="s">
        <v>39</v>
      </c>
      <c r="E135" s="31">
        <v>400</v>
      </c>
      <c r="F135" s="31" t="e">
        <v>#N/A</v>
      </c>
      <c r="G135" t="e">
        <v>#N/A</v>
      </c>
      <c r="H135" t="e">
        <v>#N/A</v>
      </c>
      <c r="I135" t="e">
        <v>#N/A</v>
      </c>
      <c r="K135" s="31" t="s">
        <v>8727</v>
      </c>
      <c r="L135" s="29">
        <v>45627</v>
      </c>
      <c r="M135" s="31" t="s">
        <v>8728</v>
      </c>
      <c r="Q135" s="31" t="s">
        <v>8782</v>
      </c>
      <c r="R135" s="31" t="s">
        <v>8798</v>
      </c>
      <c r="S135">
        <f t="shared" si="10"/>
        <v>12</v>
      </c>
      <c r="T135">
        <f t="shared" si="11"/>
        <v>2024</v>
      </c>
      <c r="U135">
        <f t="shared" si="12"/>
        <v>14</v>
      </c>
      <c r="V135">
        <f t="shared" si="13"/>
        <v>14</v>
      </c>
      <c r="W135" s="15">
        <f t="shared" si="14"/>
        <v>8400</v>
      </c>
      <c r="X135">
        <f>VLOOKUP(B135,'[25]Cancel Sent on March 12'!$B:$B,1,0)</f>
        <v>76141532</v>
      </c>
    </row>
    <row r="136" spans="1:24">
      <c r="A136" t="s">
        <v>8600</v>
      </c>
      <c r="B136">
        <v>76142039</v>
      </c>
      <c r="C136">
        <v>76142039</v>
      </c>
      <c r="D136" t="s">
        <v>39</v>
      </c>
      <c r="E136">
        <v>300</v>
      </c>
      <c r="F136" t="e">
        <v>#N/A</v>
      </c>
      <c r="G136" t="e">
        <v>#N/A</v>
      </c>
      <c r="H136" t="e">
        <v>#N/A</v>
      </c>
      <c r="I136" t="e">
        <v>#N/A</v>
      </c>
      <c r="K136" t="s">
        <v>8727</v>
      </c>
      <c r="L136" s="29">
        <v>45931</v>
      </c>
      <c r="M136" t="s">
        <v>8731</v>
      </c>
      <c r="Q136" s="30" t="s">
        <v>8806</v>
      </c>
      <c r="R136" t="s">
        <v>8798</v>
      </c>
      <c r="S136">
        <f t="shared" si="10"/>
        <v>10</v>
      </c>
      <c r="T136">
        <f t="shared" si="11"/>
        <v>2025</v>
      </c>
      <c r="U136">
        <f t="shared" si="12"/>
        <v>4</v>
      </c>
      <c r="V136">
        <f t="shared" si="13"/>
        <v>4</v>
      </c>
      <c r="W136" s="15">
        <f t="shared" si="14"/>
        <v>2000</v>
      </c>
      <c r="X136">
        <f>VLOOKUP(B136,'[25]Cancel Sent on March 12'!$B:$B,1,0)</f>
        <v>76142039</v>
      </c>
    </row>
    <row r="137" spans="1:24">
      <c r="A137" t="s">
        <v>8601</v>
      </c>
      <c r="B137">
        <v>76143832</v>
      </c>
      <c r="C137">
        <v>76143832</v>
      </c>
      <c r="D137" t="s">
        <v>39</v>
      </c>
      <c r="E137">
        <v>300</v>
      </c>
      <c r="F137" t="e">
        <v>#N/A</v>
      </c>
      <c r="G137" t="e">
        <v>#N/A</v>
      </c>
      <c r="H137" t="e">
        <v>#N/A</v>
      </c>
      <c r="I137" t="e">
        <v>#N/A</v>
      </c>
      <c r="K137" t="s">
        <v>8727</v>
      </c>
      <c r="L137" s="29">
        <v>45658</v>
      </c>
      <c r="M137" t="s">
        <v>8731</v>
      </c>
      <c r="Q137" s="30" t="s">
        <v>8806</v>
      </c>
      <c r="R137" t="s">
        <v>8798</v>
      </c>
      <c r="S137">
        <f t="shared" si="10"/>
        <v>1</v>
      </c>
      <c r="T137">
        <f t="shared" si="11"/>
        <v>2025</v>
      </c>
      <c r="U137">
        <f t="shared" si="12"/>
        <v>13</v>
      </c>
      <c r="V137">
        <f t="shared" si="13"/>
        <v>13</v>
      </c>
      <c r="W137" s="15">
        <f t="shared" si="14"/>
        <v>6500</v>
      </c>
      <c r="X137">
        <f>VLOOKUP(B137,'[25]Cancel Sent on March 12'!$B:$B,1,0)</f>
        <v>76143832</v>
      </c>
    </row>
    <row r="138" spans="1:24">
      <c r="A138" t="s">
        <v>8602</v>
      </c>
      <c r="B138">
        <v>76143834</v>
      </c>
      <c r="C138">
        <v>76143834</v>
      </c>
      <c r="D138" t="s">
        <v>39</v>
      </c>
      <c r="E138">
        <v>300</v>
      </c>
      <c r="F138" t="e">
        <v>#N/A</v>
      </c>
      <c r="G138" t="e">
        <v>#N/A</v>
      </c>
      <c r="H138" t="e">
        <v>#N/A</v>
      </c>
      <c r="I138" t="e">
        <v>#N/A</v>
      </c>
      <c r="K138" t="s">
        <v>8727</v>
      </c>
      <c r="L138" s="29">
        <v>45658</v>
      </c>
      <c r="M138" t="s">
        <v>8731</v>
      </c>
      <c r="Q138" t="s">
        <v>8806</v>
      </c>
      <c r="R138" t="s">
        <v>8798</v>
      </c>
      <c r="S138">
        <f t="shared" si="10"/>
        <v>1</v>
      </c>
      <c r="T138">
        <f t="shared" si="11"/>
        <v>2025</v>
      </c>
      <c r="U138">
        <f t="shared" si="12"/>
        <v>13</v>
      </c>
      <c r="V138">
        <f t="shared" si="13"/>
        <v>13</v>
      </c>
      <c r="W138" s="15">
        <f t="shared" si="14"/>
        <v>6500</v>
      </c>
      <c r="X138">
        <f>VLOOKUP(B138,'[25]Cancel Sent on March 12'!$B:$B,1,0)</f>
        <v>76143834</v>
      </c>
    </row>
    <row r="139" spans="1:24">
      <c r="A139" t="s">
        <v>7913</v>
      </c>
      <c r="B139">
        <v>76146342</v>
      </c>
      <c r="C139">
        <v>76146342</v>
      </c>
      <c r="D139" t="s">
        <v>39</v>
      </c>
      <c r="E139">
        <v>300</v>
      </c>
      <c r="F139" t="e">
        <v>#N/A</v>
      </c>
      <c r="G139" t="e">
        <v>#N/A</v>
      </c>
      <c r="H139" t="e">
        <v>#N/A</v>
      </c>
      <c r="I139" t="e">
        <v>#N/A</v>
      </c>
      <c r="K139" t="s">
        <v>8741</v>
      </c>
      <c r="L139" s="29">
        <v>46054</v>
      </c>
      <c r="M139" t="s">
        <v>8731</v>
      </c>
      <c r="Q139" s="30" t="s">
        <v>8808</v>
      </c>
      <c r="R139" t="s">
        <v>8798</v>
      </c>
      <c r="S139">
        <f t="shared" si="10"/>
        <v>2</v>
      </c>
      <c r="T139">
        <f t="shared" si="11"/>
        <v>2026</v>
      </c>
      <c r="U139">
        <f t="shared" si="12"/>
        <v>0</v>
      </c>
      <c r="V139">
        <f t="shared" si="13"/>
        <v>0</v>
      </c>
      <c r="W139" s="15">
        <f t="shared" si="14"/>
        <v>0</v>
      </c>
      <c r="X139">
        <f>VLOOKUP(B139,'[25]Cancel Sent on March 12'!$B:$B,1,0)</f>
        <v>76146342</v>
      </c>
    </row>
    <row r="140" spans="1:24">
      <c r="A140" t="s">
        <v>8603</v>
      </c>
      <c r="B140">
        <v>76146343</v>
      </c>
      <c r="C140">
        <v>76146343</v>
      </c>
      <c r="D140" t="s">
        <v>39</v>
      </c>
      <c r="E140">
        <v>300</v>
      </c>
      <c r="F140" t="e">
        <v>#N/A</v>
      </c>
      <c r="G140" t="e">
        <v>#N/A</v>
      </c>
      <c r="H140" t="e">
        <v>#N/A</v>
      </c>
      <c r="I140" t="e">
        <v>#N/A</v>
      </c>
      <c r="K140" t="s">
        <v>8741</v>
      </c>
      <c r="L140" s="29">
        <v>46054</v>
      </c>
      <c r="M140" t="s">
        <v>8731</v>
      </c>
      <c r="Q140" s="30" t="s">
        <v>8808</v>
      </c>
      <c r="R140" t="s">
        <v>8798</v>
      </c>
      <c r="S140">
        <f t="shared" si="10"/>
        <v>2</v>
      </c>
      <c r="T140">
        <f t="shared" si="11"/>
        <v>2026</v>
      </c>
      <c r="U140">
        <f t="shared" si="12"/>
        <v>0</v>
      </c>
      <c r="V140">
        <f t="shared" si="13"/>
        <v>0</v>
      </c>
      <c r="W140" s="15">
        <f t="shared" si="14"/>
        <v>0</v>
      </c>
      <c r="X140">
        <f>VLOOKUP(B140,'[25]Cancel Sent on March 12'!$B:$B,1,0)</f>
        <v>76146343</v>
      </c>
    </row>
    <row r="141" spans="1:24">
      <c r="A141" t="s">
        <v>7917</v>
      </c>
      <c r="B141">
        <v>76146344</v>
      </c>
      <c r="C141">
        <v>76146344</v>
      </c>
      <c r="D141" t="s">
        <v>39</v>
      </c>
      <c r="E141">
        <v>300</v>
      </c>
      <c r="F141" t="e">
        <v>#N/A</v>
      </c>
      <c r="G141" t="e">
        <v>#N/A</v>
      </c>
      <c r="H141" t="e">
        <v>#N/A</v>
      </c>
      <c r="I141" t="e">
        <v>#N/A</v>
      </c>
      <c r="K141" t="s">
        <v>8741</v>
      </c>
      <c r="L141" s="29">
        <v>46054</v>
      </c>
      <c r="M141" t="s">
        <v>8731</v>
      </c>
      <c r="Q141" s="30" t="s">
        <v>8808</v>
      </c>
      <c r="R141" t="s">
        <v>8798</v>
      </c>
      <c r="S141">
        <f t="shared" si="10"/>
        <v>2</v>
      </c>
      <c r="T141">
        <f t="shared" si="11"/>
        <v>2026</v>
      </c>
      <c r="U141">
        <f t="shared" si="12"/>
        <v>0</v>
      </c>
      <c r="V141">
        <f t="shared" si="13"/>
        <v>0</v>
      </c>
      <c r="W141" s="15">
        <f t="shared" si="14"/>
        <v>0</v>
      </c>
      <c r="X141">
        <f>VLOOKUP(B141,'[25]Cancel Sent on March 12'!$B:$B,1,0)</f>
        <v>76146344</v>
      </c>
    </row>
    <row r="142" spans="1:24">
      <c r="A142" t="s">
        <v>8604</v>
      </c>
      <c r="B142">
        <v>76146351</v>
      </c>
      <c r="C142">
        <v>76146351</v>
      </c>
      <c r="D142" t="s">
        <v>39</v>
      </c>
      <c r="E142">
        <v>300</v>
      </c>
      <c r="F142" t="e">
        <v>#N/A</v>
      </c>
      <c r="G142" t="e">
        <v>#N/A</v>
      </c>
      <c r="H142" t="e">
        <v>#N/A</v>
      </c>
      <c r="I142" t="e">
        <v>#N/A</v>
      </c>
      <c r="K142" t="s">
        <v>8741</v>
      </c>
      <c r="L142" s="29">
        <v>46054</v>
      </c>
      <c r="M142" t="s">
        <v>8731</v>
      </c>
      <c r="Q142" s="30" t="s">
        <v>8808</v>
      </c>
      <c r="R142" t="s">
        <v>8798</v>
      </c>
      <c r="S142">
        <f t="shared" si="10"/>
        <v>2</v>
      </c>
      <c r="T142">
        <f t="shared" si="11"/>
        <v>2026</v>
      </c>
      <c r="U142">
        <f t="shared" si="12"/>
        <v>0</v>
      </c>
      <c r="V142">
        <f t="shared" si="13"/>
        <v>0</v>
      </c>
      <c r="W142" s="15">
        <f t="shared" si="14"/>
        <v>0</v>
      </c>
      <c r="X142">
        <f>VLOOKUP(B142,'[25]Cancel Sent on March 12'!$B:$B,1,0)</f>
        <v>76146351</v>
      </c>
    </row>
    <row r="143" spans="1:24">
      <c r="A143" t="s">
        <v>7923</v>
      </c>
      <c r="B143">
        <v>76146353</v>
      </c>
      <c r="C143">
        <v>76146353</v>
      </c>
      <c r="D143" t="s">
        <v>39</v>
      </c>
      <c r="E143">
        <v>300</v>
      </c>
      <c r="F143" t="e">
        <v>#N/A</v>
      </c>
      <c r="G143" t="e">
        <v>#N/A</v>
      </c>
      <c r="H143" t="e">
        <v>#N/A</v>
      </c>
      <c r="I143" t="e">
        <v>#N/A</v>
      </c>
      <c r="K143" t="s">
        <v>8741</v>
      </c>
      <c r="L143" s="29">
        <v>46054</v>
      </c>
      <c r="M143" t="s">
        <v>8731</v>
      </c>
      <c r="Q143" s="30" t="s">
        <v>8808</v>
      </c>
      <c r="R143" t="s">
        <v>8798</v>
      </c>
      <c r="S143">
        <f t="shared" si="10"/>
        <v>2</v>
      </c>
      <c r="T143">
        <f t="shared" si="11"/>
        <v>2026</v>
      </c>
      <c r="U143">
        <f t="shared" si="12"/>
        <v>0</v>
      </c>
      <c r="V143">
        <f t="shared" si="13"/>
        <v>0</v>
      </c>
      <c r="W143" s="15">
        <f t="shared" si="14"/>
        <v>0</v>
      </c>
      <c r="X143">
        <f>VLOOKUP(B143,'[25]Cancel Sent on March 12'!$B:$B,1,0)</f>
        <v>76146353</v>
      </c>
    </row>
    <row r="144" spans="1:24">
      <c r="A144" t="s">
        <v>8605</v>
      </c>
      <c r="B144">
        <v>76149128</v>
      </c>
      <c r="C144">
        <v>76149128</v>
      </c>
      <c r="D144" t="s">
        <v>39</v>
      </c>
      <c r="E144">
        <v>300</v>
      </c>
      <c r="F144" t="e">
        <v>#N/A</v>
      </c>
      <c r="G144" t="e">
        <v>#N/A</v>
      </c>
      <c r="H144" t="e">
        <v>#N/A</v>
      </c>
      <c r="I144" t="e">
        <v>#N/A</v>
      </c>
      <c r="K144" t="s">
        <v>8741</v>
      </c>
      <c r="L144" s="29">
        <v>45658</v>
      </c>
      <c r="M144" t="s">
        <v>8731</v>
      </c>
      <c r="Q144" s="30" t="s">
        <v>8808</v>
      </c>
      <c r="R144" t="s">
        <v>8798</v>
      </c>
      <c r="S144">
        <f t="shared" si="10"/>
        <v>1</v>
      </c>
      <c r="T144">
        <f t="shared" si="11"/>
        <v>2025</v>
      </c>
      <c r="U144">
        <f t="shared" si="12"/>
        <v>13</v>
      </c>
      <c r="V144">
        <f t="shared" si="13"/>
        <v>13</v>
      </c>
      <c r="W144" s="15">
        <f t="shared" si="14"/>
        <v>6500</v>
      </c>
      <c r="X144">
        <f>VLOOKUP(B144,'[25]Cancel Sent on March 12'!$B:$B,1,0)</f>
        <v>76149128</v>
      </c>
    </row>
    <row r="145" spans="1:24">
      <c r="A145" t="s">
        <v>8606</v>
      </c>
      <c r="B145">
        <v>76150822</v>
      </c>
      <c r="C145">
        <v>76150822</v>
      </c>
      <c r="D145" t="s">
        <v>39</v>
      </c>
      <c r="E145">
        <v>300</v>
      </c>
      <c r="F145" t="e">
        <v>#N/A</v>
      </c>
      <c r="G145" t="e">
        <v>#N/A</v>
      </c>
      <c r="H145" t="e">
        <v>#N/A</v>
      </c>
      <c r="I145" t="e">
        <v>#N/A</v>
      </c>
      <c r="K145" t="s">
        <v>8741</v>
      </c>
      <c r="L145" s="29">
        <v>45597</v>
      </c>
      <c r="M145" t="s">
        <v>8731</v>
      </c>
      <c r="Q145" s="30" t="s">
        <v>8809</v>
      </c>
      <c r="R145" t="s">
        <v>8798</v>
      </c>
      <c r="S145">
        <f t="shared" si="10"/>
        <v>11</v>
      </c>
      <c r="T145">
        <f t="shared" si="11"/>
        <v>2024</v>
      </c>
      <c r="U145">
        <f t="shared" si="12"/>
        <v>15</v>
      </c>
      <c r="V145">
        <f t="shared" si="13"/>
        <v>15</v>
      </c>
      <c r="W145" s="15">
        <f t="shared" si="14"/>
        <v>7500</v>
      </c>
      <c r="X145">
        <f>VLOOKUP(B145,'[25]Cancel Sent on March 12'!$B:$B,1,0)</f>
        <v>76150822</v>
      </c>
    </row>
    <row r="146" spans="1:24">
      <c r="A146" t="s">
        <v>1324</v>
      </c>
      <c r="B146">
        <v>76153399</v>
      </c>
      <c r="C146">
        <v>76153399</v>
      </c>
      <c r="D146" t="s">
        <v>39</v>
      </c>
      <c r="E146">
        <v>300</v>
      </c>
      <c r="F146" t="e">
        <v>#N/A</v>
      </c>
      <c r="G146" t="e">
        <v>#N/A</v>
      </c>
      <c r="H146" t="e">
        <v>#N/A</v>
      </c>
      <c r="I146" t="e">
        <v>#N/A</v>
      </c>
      <c r="K146" t="s">
        <v>8727</v>
      </c>
      <c r="L146" s="29">
        <v>45992</v>
      </c>
      <c r="M146" t="s">
        <v>8731</v>
      </c>
      <c r="Q146" t="s">
        <v>8810</v>
      </c>
      <c r="R146" t="s">
        <v>8798</v>
      </c>
      <c r="S146">
        <f t="shared" si="10"/>
        <v>12</v>
      </c>
      <c r="T146">
        <f t="shared" si="11"/>
        <v>2025</v>
      </c>
      <c r="U146">
        <f t="shared" si="12"/>
        <v>2</v>
      </c>
      <c r="V146">
        <f t="shared" si="13"/>
        <v>2</v>
      </c>
      <c r="W146" s="15">
        <f t="shared" si="14"/>
        <v>1000</v>
      </c>
      <c r="X146">
        <f>VLOOKUP(B146,'[25]Cancel Sent on March 12'!$B:$B,1,0)</f>
        <v>76153399</v>
      </c>
    </row>
    <row r="147" spans="1:24">
      <c r="A147" t="s">
        <v>7956</v>
      </c>
      <c r="B147">
        <v>76154600</v>
      </c>
      <c r="C147">
        <v>76154600</v>
      </c>
      <c r="D147" t="s">
        <v>39</v>
      </c>
      <c r="E147">
        <v>300</v>
      </c>
      <c r="F147" t="e">
        <v>#N/A</v>
      </c>
      <c r="G147" t="e">
        <v>#N/A</v>
      </c>
      <c r="H147" t="e">
        <v>#N/A</v>
      </c>
      <c r="I147" t="e">
        <v>#N/A</v>
      </c>
      <c r="K147" t="s">
        <v>8741</v>
      </c>
      <c r="L147" s="29">
        <v>46054</v>
      </c>
      <c r="M147" t="s">
        <v>8731</v>
      </c>
      <c r="Q147" s="30" t="s">
        <v>8808</v>
      </c>
      <c r="R147" t="s">
        <v>8798</v>
      </c>
      <c r="S147">
        <f t="shared" si="10"/>
        <v>2</v>
      </c>
      <c r="T147">
        <f t="shared" si="11"/>
        <v>2026</v>
      </c>
      <c r="U147">
        <f t="shared" si="12"/>
        <v>0</v>
      </c>
      <c r="V147">
        <f t="shared" si="13"/>
        <v>0</v>
      </c>
      <c r="W147" s="15">
        <f t="shared" si="14"/>
        <v>0</v>
      </c>
      <c r="X147">
        <f>VLOOKUP(B147,'[25]Cancel Sent on March 12'!$B:$B,1,0)</f>
        <v>76154600</v>
      </c>
    </row>
    <row r="148" spans="1:24">
      <c r="A148" t="s">
        <v>8607</v>
      </c>
      <c r="B148">
        <v>76156206</v>
      </c>
      <c r="C148">
        <v>76156206</v>
      </c>
      <c r="D148" t="s">
        <v>39</v>
      </c>
      <c r="E148">
        <v>300</v>
      </c>
      <c r="F148" t="e">
        <v>#N/A</v>
      </c>
      <c r="G148" t="e">
        <v>#N/A</v>
      </c>
      <c r="H148" t="e">
        <v>#N/A</v>
      </c>
      <c r="I148" t="e">
        <v>#N/A</v>
      </c>
      <c r="K148" t="s">
        <v>8727</v>
      </c>
      <c r="L148" s="29">
        <v>46023</v>
      </c>
      <c r="M148" t="s">
        <v>8731</v>
      </c>
      <c r="Q148" s="30"/>
      <c r="R148" t="s">
        <v>8798</v>
      </c>
      <c r="S148">
        <f t="shared" si="10"/>
        <v>1</v>
      </c>
      <c r="T148">
        <f t="shared" si="11"/>
        <v>2026</v>
      </c>
      <c r="U148">
        <f t="shared" si="12"/>
        <v>1</v>
      </c>
      <c r="V148">
        <f t="shared" si="13"/>
        <v>1</v>
      </c>
      <c r="W148" s="15">
        <f t="shared" si="14"/>
        <v>500</v>
      </c>
      <c r="X148">
        <f>VLOOKUP(B148,'[25]Cancel Sent on March 12'!$B:$B,1,0)</f>
        <v>76156206</v>
      </c>
    </row>
    <row r="149" spans="1:24">
      <c r="A149" t="s">
        <v>7958</v>
      </c>
      <c r="B149">
        <v>76156293</v>
      </c>
      <c r="C149">
        <v>76156293</v>
      </c>
      <c r="D149" t="s">
        <v>39</v>
      </c>
      <c r="E149">
        <v>300</v>
      </c>
      <c r="F149" t="e">
        <v>#N/A</v>
      </c>
      <c r="G149" t="e">
        <v>#N/A</v>
      </c>
      <c r="H149" t="e">
        <v>#N/A</v>
      </c>
      <c r="I149" t="e">
        <v>#N/A</v>
      </c>
      <c r="K149" t="s">
        <v>8741</v>
      </c>
      <c r="L149" s="29">
        <v>46054</v>
      </c>
      <c r="M149" t="s">
        <v>8731</v>
      </c>
      <c r="Q149" s="30" t="s">
        <v>8808</v>
      </c>
      <c r="R149" t="s">
        <v>8798</v>
      </c>
      <c r="S149">
        <f t="shared" si="10"/>
        <v>2</v>
      </c>
      <c r="T149">
        <f t="shared" si="11"/>
        <v>2026</v>
      </c>
      <c r="U149">
        <f t="shared" si="12"/>
        <v>0</v>
      </c>
      <c r="V149">
        <f t="shared" si="13"/>
        <v>0</v>
      </c>
      <c r="W149" s="15">
        <f t="shared" si="14"/>
        <v>0</v>
      </c>
      <c r="X149">
        <f>VLOOKUP(B149,'[25]Cancel Sent on March 12'!$B:$B,1,0)</f>
        <v>76156293</v>
      </c>
    </row>
    <row r="150" spans="1:24">
      <c r="A150" t="s">
        <v>93</v>
      </c>
      <c r="B150">
        <v>76157327</v>
      </c>
      <c r="C150">
        <v>76157327</v>
      </c>
      <c r="D150" t="s">
        <v>39</v>
      </c>
      <c r="E150">
        <v>300</v>
      </c>
      <c r="F150" t="e">
        <v>#N/A</v>
      </c>
      <c r="G150" t="e">
        <v>#N/A</v>
      </c>
      <c r="H150" t="e">
        <v>#N/A</v>
      </c>
      <c r="I150" t="e">
        <v>#N/A</v>
      </c>
      <c r="K150" t="s">
        <v>8741</v>
      </c>
      <c r="L150" s="29">
        <v>45047</v>
      </c>
      <c r="M150" t="s">
        <v>8731</v>
      </c>
      <c r="Q150" s="30" t="s">
        <v>8811</v>
      </c>
      <c r="R150" t="s">
        <v>8798</v>
      </c>
      <c r="S150">
        <f t="shared" si="10"/>
        <v>5</v>
      </c>
      <c r="T150">
        <f t="shared" si="11"/>
        <v>2023</v>
      </c>
      <c r="U150">
        <f t="shared" si="12"/>
        <v>33</v>
      </c>
      <c r="V150">
        <f t="shared" si="13"/>
        <v>20</v>
      </c>
      <c r="W150" s="15">
        <f t="shared" si="14"/>
        <v>13900</v>
      </c>
      <c r="X150">
        <f>VLOOKUP(B150,'[25]Cancel Sent on March 12'!$B:$B,1,0)</f>
        <v>76157327</v>
      </c>
    </row>
    <row r="151" spans="1:24">
      <c r="A151" t="s">
        <v>8608</v>
      </c>
      <c r="B151">
        <v>76159608</v>
      </c>
      <c r="C151">
        <v>76159608</v>
      </c>
      <c r="D151" t="s">
        <v>39</v>
      </c>
      <c r="E151">
        <v>450</v>
      </c>
      <c r="F151" t="e">
        <v>#N/A</v>
      </c>
      <c r="G151" t="e">
        <v>#N/A</v>
      </c>
      <c r="H151" t="e">
        <v>#N/A</v>
      </c>
      <c r="I151" t="e">
        <v>#N/A</v>
      </c>
      <c r="K151" t="s">
        <v>8727</v>
      </c>
      <c r="L151" s="29">
        <v>45778</v>
      </c>
      <c r="M151" t="s">
        <v>8731</v>
      </c>
      <c r="Q151" s="30" t="s">
        <v>8812</v>
      </c>
      <c r="R151" t="s">
        <v>8813</v>
      </c>
      <c r="S151">
        <f t="shared" si="10"/>
        <v>5</v>
      </c>
      <c r="T151">
        <f t="shared" si="11"/>
        <v>2025</v>
      </c>
      <c r="U151">
        <f t="shared" si="12"/>
        <v>9</v>
      </c>
      <c r="V151">
        <f t="shared" si="13"/>
        <v>9</v>
      </c>
      <c r="W151" s="15">
        <f t="shared" si="14"/>
        <v>5850</v>
      </c>
      <c r="X151">
        <f>VLOOKUP(B151,'[25]Cancel Sent on March 12'!$B:$B,1,0)</f>
        <v>76159608</v>
      </c>
    </row>
    <row r="152" spans="1:24">
      <c r="A152" t="s">
        <v>8609</v>
      </c>
      <c r="B152">
        <v>76159977</v>
      </c>
      <c r="C152">
        <v>76159977</v>
      </c>
      <c r="D152" t="s">
        <v>39</v>
      </c>
      <c r="E152">
        <v>300</v>
      </c>
      <c r="F152" t="e">
        <v>#N/A</v>
      </c>
      <c r="G152" t="e">
        <v>#N/A</v>
      </c>
      <c r="H152" t="e">
        <v>#N/A</v>
      </c>
      <c r="I152" t="e">
        <v>#N/A</v>
      </c>
      <c r="K152" t="s">
        <v>8741</v>
      </c>
      <c r="L152" s="29">
        <v>45200</v>
      </c>
      <c r="M152" t="s">
        <v>8731</v>
      </c>
      <c r="Q152" s="30" t="s">
        <v>8814</v>
      </c>
      <c r="R152" t="s">
        <v>8798</v>
      </c>
      <c r="S152">
        <f t="shared" si="10"/>
        <v>10</v>
      </c>
      <c r="T152">
        <f t="shared" si="11"/>
        <v>2023</v>
      </c>
      <c r="U152">
        <f t="shared" si="12"/>
        <v>28</v>
      </c>
      <c r="V152">
        <f t="shared" si="13"/>
        <v>20</v>
      </c>
      <c r="W152" s="15">
        <f t="shared" si="14"/>
        <v>12400</v>
      </c>
      <c r="X152">
        <f>VLOOKUP(B152,'[25]Cancel Sent on March 12'!$B:$B,1,0)</f>
        <v>76159977</v>
      </c>
    </row>
    <row r="153" spans="1:24">
      <c r="A153" t="s">
        <v>8610</v>
      </c>
      <c r="B153">
        <v>76160705</v>
      </c>
      <c r="C153">
        <v>76160705</v>
      </c>
      <c r="D153" t="s">
        <v>39</v>
      </c>
      <c r="E153">
        <v>400</v>
      </c>
      <c r="F153" t="e">
        <v>#N/A</v>
      </c>
      <c r="G153" t="e">
        <v>#N/A</v>
      </c>
      <c r="H153" t="e">
        <v>#N/A</v>
      </c>
      <c r="I153" t="e">
        <v>#N/A</v>
      </c>
      <c r="K153" t="s">
        <v>8727</v>
      </c>
      <c r="L153" s="29">
        <v>45992</v>
      </c>
      <c r="M153" t="s">
        <v>8728</v>
      </c>
      <c r="Q153" t="s">
        <v>8812</v>
      </c>
      <c r="R153" t="s">
        <v>8798</v>
      </c>
      <c r="S153">
        <f t="shared" si="10"/>
        <v>12</v>
      </c>
      <c r="T153">
        <f t="shared" si="11"/>
        <v>2025</v>
      </c>
      <c r="U153">
        <f t="shared" si="12"/>
        <v>2</v>
      </c>
      <c r="V153">
        <f t="shared" si="13"/>
        <v>2</v>
      </c>
      <c r="W153" s="15">
        <f t="shared" si="14"/>
        <v>1200</v>
      </c>
      <c r="X153">
        <f>VLOOKUP(B153,'[25]Cancel Sent on March 12'!$B:$B,1,0)</f>
        <v>76160705</v>
      </c>
    </row>
    <row r="154" spans="1:24">
      <c r="A154" t="s">
        <v>8611</v>
      </c>
      <c r="B154">
        <v>76161620</v>
      </c>
      <c r="C154">
        <v>76161620</v>
      </c>
      <c r="D154" t="s">
        <v>39</v>
      </c>
      <c r="E154">
        <v>300</v>
      </c>
      <c r="F154" t="e">
        <v>#N/A</v>
      </c>
      <c r="G154" t="e">
        <v>#N/A</v>
      </c>
      <c r="H154" t="e">
        <v>#N/A</v>
      </c>
      <c r="I154" t="e">
        <v>#N/A</v>
      </c>
      <c r="K154" t="s">
        <v>8727</v>
      </c>
      <c r="L154" s="29">
        <v>45809</v>
      </c>
      <c r="M154" t="s">
        <v>8731</v>
      </c>
      <c r="P154" t="s">
        <v>306</v>
      </c>
      <c r="Q154" t="s">
        <v>8756</v>
      </c>
      <c r="R154" t="s">
        <v>8798</v>
      </c>
      <c r="S154">
        <f t="shared" si="10"/>
        <v>6</v>
      </c>
      <c r="T154">
        <f t="shared" si="11"/>
        <v>2025</v>
      </c>
      <c r="U154">
        <f t="shared" si="12"/>
        <v>8</v>
      </c>
      <c r="V154">
        <f t="shared" si="13"/>
        <v>8</v>
      </c>
      <c r="W154" s="15">
        <f t="shared" si="14"/>
        <v>4000</v>
      </c>
      <c r="X154">
        <f>VLOOKUP(B154,'[25]Cancel Sent on March 12'!$B:$B,1,0)</f>
        <v>76161620</v>
      </c>
    </row>
    <row r="155" spans="1:24">
      <c r="A155" t="s">
        <v>8612</v>
      </c>
      <c r="B155">
        <v>76164481</v>
      </c>
      <c r="C155">
        <v>76164481</v>
      </c>
      <c r="D155" t="s">
        <v>39</v>
      </c>
      <c r="E155">
        <v>300</v>
      </c>
      <c r="F155" t="e">
        <v>#N/A</v>
      </c>
      <c r="G155" t="e">
        <v>#N/A</v>
      </c>
      <c r="H155" t="e">
        <v>#N/A</v>
      </c>
      <c r="I155" t="e">
        <v>#N/A</v>
      </c>
      <c r="K155" t="s">
        <v>8741</v>
      </c>
      <c r="L155" s="29">
        <v>45078</v>
      </c>
      <c r="M155" t="s">
        <v>8728</v>
      </c>
      <c r="Q155" s="30" t="s">
        <v>8815</v>
      </c>
      <c r="R155" t="s">
        <v>8798</v>
      </c>
      <c r="S155">
        <f t="shared" si="10"/>
        <v>6</v>
      </c>
      <c r="T155">
        <f t="shared" si="11"/>
        <v>2023</v>
      </c>
      <c r="U155">
        <f t="shared" si="12"/>
        <v>32</v>
      </c>
      <c r="V155">
        <f t="shared" si="13"/>
        <v>20</v>
      </c>
      <c r="W155" s="15">
        <f t="shared" si="14"/>
        <v>13600</v>
      </c>
      <c r="X155">
        <f>VLOOKUP(B155,'[25]Cancel Sent on March 12'!$B:$B,1,0)</f>
        <v>76164481</v>
      </c>
    </row>
    <row r="156" spans="1:24">
      <c r="A156" t="s">
        <v>1329</v>
      </c>
      <c r="B156">
        <v>76166159</v>
      </c>
      <c r="C156">
        <v>76166159</v>
      </c>
      <c r="D156" t="s">
        <v>39</v>
      </c>
      <c r="E156">
        <v>300</v>
      </c>
      <c r="F156" t="e">
        <v>#N/A</v>
      </c>
      <c r="G156" t="e">
        <v>#N/A</v>
      </c>
      <c r="H156" t="e">
        <v>#N/A</v>
      </c>
      <c r="I156" t="e">
        <v>#N/A</v>
      </c>
      <c r="K156" t="s">
        <v>8741</v>
      </c>
      <c r="L156" s="29">
        <v>45413</v>
      </c>
      <c r="M156" t="s">
        <v>8731</v>
      </c>
      <c r="Q156" s="30" t="s">
        <v>8816</v>
      </c>
      <c r="R156" t="s">
        <v>8798</v>
      </c>
      <c r="S156">
        <f t="shared" si="10"/>
        <v>5</v>
      </c>
      <c r="T156">
        <f t="shared" si="11"/>
        <v>2024</v>
      </c>
      <c r="U156">
        <f t="shared" si="12"/>
        <v>21</v>
      </c>
      <c r="V156">
        <f t="shared" si="13"/>
        <v>20</v>
      </c>
      <c r="W156" s="15">
        <f t="shared" si="14"/>
        <v>10300</v>
      </c>
      <c r="X156">
        <f>VLOOKUP(B156,'[25]Cancel Sent on March 12'!$B:$B,1,0)</f>
        <v>76166159</v>
      </c>
    </row>
    <row r="157" spans="1:24">
      <c r="A157" t="s">
        <v>8613</v>
      </c>
      <c r="B157">
        <v>76167524</v>
      </c>
      <c r="C157">
        <v>76167524</v>
      </c>
      <c r="D157" t="s">
        <v>39</v>
      </c>
      <c r="E157">
        <v>450</v>
      </c>
      <c r="F157" t="e">
        <v>#N/A</v>
      </c>
      <c r="G157" t="e">
        <v>#N/A</v>
      </c>
      <c r="H157" t="e">
        <v>#N/A</v>
      </c>
      <c r="I157" t="e">
        <v>#N/A</v>
      </c>
      <c r="K157" t="s">
        <v>8727</v>
      </c>
      <c r="L157" s="29">
        <v>45292</v>
      </c>
      <c r="M157" t="s">
        <v>8731</v>
      </c>
      <c r="Q157" s="30" t="s">
        <v>8812</v>
      </c>
      <c r="R157" t="s">
        <v>8798</v>
      </c>
      <c r="S157">
        <f t="shared" si="10"/>
        <v>1</v>
      </c>
      <c r="T157">
        <f t="shared" si="11"/>
        <v>2024</v>
      </c>
      <c r="U157">
        <f t="shared" si="12"/>
        <v>25</v>
      </c>
      <c r="V157">
        <f t="shared" si="13"/>
        <v>20</v>
      </c>
      <c r="W157" s="15">
        <f t="shared" si="14"/>
        <v>15250</v>
      </c>
      <c r="X157">
        <f>VLOOKUP(B157,'[25]Cancel Sent on March 12'!$B:$B,1,0)</f>
        <v>76167524</v>
      </c>
    </row>
    <row r="158" spans="1:24">
      <c r="A158" t="s">
        <v>8614</v>
      </c>
      <c r="B158">
        <v>76169077</v>
      </c>
      <c r="C158">
        <v>76169077</v>
      </c>
      <c r="D158" t="s">
        <v>39</v>
      </c>
      <c r="E158">
        <v>450</v>
      </c>
      <c r="F158" t="e">
        <v>#N/A</v>
      </c>
      <c r="G158" t="e">
        <v>#N/A</v>
      </c>
      <c r="H158" t="e">
        <v>#N/A</v>
      </c>
      <c r="I158" t="e">
        <v>#N/A</v>
      </c>
      <c r="K158" t="s">
        <v>8727</v>
      </c>
      <c r="L158" s="29">
        <v>45778</v>
      </c>
      <c r="M158" t="s">
        <v>8731</v>
      </c>
      <c r="Q158" s="30" t="s">
        <v>8812</v>
      </c>
      <c r="R158" t="s">
        <v>8798</v>
      </c>
      <c r="S158">
        <f t="shared" si="10"/>
        <v>5</v>
      </c>
      <c r="T158">
        <f t="shared" si="11"/>
        <v>2025</v>
      </c>
      <c r="U158">
        <f t="shared" si="12"/>
        <v>9</v>
      </c>
      <c r="V158">
        <f t="shared" si="13"/>
        <v>9</v>
      </c>
      <c r="W158" s="15">
        <f t="shared" si="14"/>
        <v>5850</v>
      </c>
      <c r="X158">
        <f>VLOOKUP(B158,'[25]Cancel Sent on March 12'!$B:$B,1,0)</f>
        <v>76169077</v>
      </c>
    </row>
    <row r="159" spans="1:24">
      <c r="A159" t="s">
        <v>8615</v>
      </c>
      <c r="B159">
        <v>76171893</v>
      </c>
      <c r="C159">
        <v>76171893</v>
      </c>
      <c r="D159" t="s">
        <v>39</v>
      </c>
      <c r="E159">
        <v>450</v>
      </c>
      <c r="F159" t="e">
        <v>#N/A</v>
      </c>
      <c r="G159" t="e">
        <v>#N/A</v>
      </c>
      <c r="H159" t="e">
        <v>#N/A</v>
      </c>
      <c r="I159" t="e">
        <v>#N/A</v>
      </c>
      <c r="K159" t="s">
        <v>8727</v>
      </c>
      <c r="L159" s="29">
        <v>45627</v>
      </c>
      <c r="M159" t="s">
        <v>8731</v>
      </c>
      <c r="Q159" s="30" t="s">
        <v>8817</v>
      </c>
      <c r="R159" t="s">
        <v>8798</v>
      </c>
      <c r="S159">
        <f t="shared" si="10"/>
        <v>12</v>
      </c>
      <c r="T159">
        <f t="shared" si="11"/>
        <v>2024</v>
      </c>
      <c r="U159">
        <f t="shared" si="12"/>
        <v>14</v>
      </c>
      <c r="V159">
        <f t="shared" si="13"/>
        <v>14</v>
      </c>
      <c r="W159" s="15">
        <f t="shared" si="14"/>
        <v>9100</v>
      </c>
      <c r="X159">
        <f>VLOOKUP(B159,'[25]Cancel Sent on March 12'!$B:$B,1,0)</f>
        <v>76171893</v>
      </c>
    </row>
    <row r="160" spans="1:24">
      <c r="A160" t="s">
        <v>8616</v>
      </c>
      <c r="B160">
        <v>76174262</v>
      </c>
      <c r="C160">
        <v>76174262</v>
      </c>
      <c r="D160" t="s">
        <v>39</v>
      </c>
      <c r="E160">
        <v>300</v>
      </c>
      <c r="F160" t="e">
        <v>#N/A</v>
      </c>
      <c r="G160" t="e">
        <v>#N/A</v>
      </c>
      <c r="H160" t="e">
        <v>#N/A</v>
      </c>
      <c r="I160" t="e">
        <v>#N/A</v>
      </c>
      <c r="K160" t="s">
        <v>8741</v>
      </c>
      <c r="L160" s="29">
        <v>45352</v>
      </c>
      <c r="M160" t="s">
        <v>8731</v>
      </c>
      <c r="Q160" s="30" t="s">
        <v>8809</v>
      </c>
      <c r="R160" t="s">
        <v>8798</v>
      </c>
      <c r="S160">
        <f t="shared" si="10"/>
        <v>3</v>
      </c>
      <c r="T160">
        <f t="shared" si="11"/>
        <v>2024</v>
      </c>
      <c r="U160">
        <f t="shared" si="12"/>
        <v>23</v>
      </c>
      <c r="V160">
        <f t="shared" si="13"/>
        <v>20</v>
      </c>
      <c r="W160" s="15">
        <f t="shared" si="14"/>
        <v>10900</v>
      </c>
      <c r="X160">
        <f>VLOOKUP(B160,'[25]Cancel Sent on March 12'!$B:$B,1,0)</f>
        <v>76174262</v>
      </c>
    </row>
    <row r="161" spans="1:24">
      <c r="A161" t="s">
        <v>8617</v>
      </c>
      <c r="B161">
        <v>76174379</v>
      </c>
      <c r="C161">
        <v>76174379</v>
      </c>
      <c r="D161" t="s">
        <v>39</v>
      </c>
      <c r="E161">
        <v>300</v>
      </c>
      <c r="F161" t="e">
        <v>#N/A</v>
      </c>
      <c r="G161" t="e">
        <v>#N/A</v>
      </c>
      <c r="H161" t="e">
        <v>#N/A</v>
      </c>
      <c r="I161" t="e">
        <v>#N/A</v>
      </c>
      <c r="K161" t="s">
        <v>8727</v>
      </c>
      <c r="L161" s="29">
        <v>45992</v>
      </c>
      <c r="M161" t="s">
        <v>8731</v>
      </c>
      <c r="Q161" s="30" t="s">
        <v>8818</v>
      </c>
      <c r="R161" t="s">
        <v>8798</v>
      </c>
      <c r="S161">
        <f t="shared" si="10"/>
        <v>12</v>
      </c>
      <c r="T161">
        <f t="shared" si="11"/>
        <v>2025</v>
      </c>
      <c r="U161">
        <f t="shared" si="12"/>
        <v>2</v>
      </c>
      <c r="V161">
        <f t="shared" si="13"/>
        <v>2</v>
      </c>
      <c r="W161" s="15">
        <f t="shared" si="14"/>
        <v>1000</v>
      </c>
      <c r="X161">
        <f>VLOOKUP(B161,'[25]Cancel Sent on March 12'!$B:$B,1,0)</f>
        <v>76174379</v>
      </c>
    </row>
    <row r="162" spans="1:24">
      <c r="A162" t="s">
        <v>8618</v>
      </c>
      <c r="B162">
        <v>76174851</v>
      </c>
      <c r="C162">
        <v>76174851</v>
      </c>
      <c r="D162" t="s">
        <v>39</v>
      </c>
      <c r="E162">
        <v>450</v>
      </c>
      <c r="F162" t="e">
        <v>#N/A</v>
      </c>
      <c r="G162" t="e">
        <v>#N/A</v>
      </c>
      <c r="H162" t="e">
        <v>#N/A</v>
      </c>
      <c r="I162" t="e">
        <v>#N/A</v>
      </c>
      <c r="K162" t="s">
        <v>8727</v>
      </c>
      <c r="L162" s="29">
        <v>45323</v>
      </c>
      <c r="M162" t="s">
        <v>8731</v>
      </c>
      <c r="Q162" t="s">
        <v>8819</v>
      </c>
      <c r="R162" t="s">
        <v>8798</v>
      </c>
      <c r="S162">
        <f t="shared" si="10"/>
        <v>2</v>
      </c>
      <c r="T162">
        <f t="shared" si="11"/>
        <v>2024</v>
      </c>
      <c r="U162">
        <f t="shared" si="12"/>
        <v>24</v>
      </c>
      <c r="V162">
        <f t="shared" si="13"/>
        <v>20</v>
      </c>
      <c r="W162" s="15">
        <f t="shared" si="14"/>
        <v>14800</v>
      </c>
      <c r="X162">
        <f>VLOOKUP(B162,'[25]Cancel Sent on March 12'!$B:$B,1,0)</f>
        <v>76174851</v>
      </c>
    </row>
    <row r="163" spans="1:24">
      <c r="A163" t="s">
        <v>1333</v>
      </c>
      <c r="B163">
        <v>76174859</v>
      </c>
      <c r="C163">
        <v>76174859</v>
      </c>
      <c r="D163" t="s">
        <v>39</v>
      </c>
      <c r="E163">
        <v>300</v>
      </c>
      <c r="F163" t="e">
        <v>#N/A</v>
      </c>
      <c r="G163" t="e">
        <v>#N/A</v>
      </c>
      <c r="H163" t="e">
        <v>#N/A</v>
      </c>
      <c r="I163" t="e">
        <v>#N/A</v>
      </c>
      <c r="K163" t="s">
        <v>8727</v>
      </c>
      <c r="L163" s="29">
        <v>45962</v>
      </c>
      <c r="M163" t="s">
        <v>8731</v>
      </c>
      <c r="R163" t="s">
        <v>8798</v>
      </c>
      <c r="S163">
        <f t="shared" si="10"/>
        <v>11</v>
      </c>
      <c r="T163">
        <f t="shared" si="11"/>
        <v>2025</v>
      </c>
      <c r="U163">
        <f t="shared" si="12"/>
        <v>3</v>
      </c>
      <c r="V163">
        <f t="shared" si="13"/>
        <v>3</v>
      </c>
      <c r="W163" s="15">
        <f t="shared" si="14"/>
        <v>1500</v>
      </c>
      <c r="X163">
        <f>VLOOKUP(B163,'[25]Cancel Sent on March 12'!$B:$B,1,0)</f>
        <v>76174859</v>
      </c>
    </row>
    <row r="164" spans="1:24">
      <c r="A164" t="s">
        <v>8619</v>
      </c>
      <c r="B164">
        <v>76175280</v>
      </c>
      <c r="C164">
        <v>76175280</v>
      </c>
      <c r="D164" t="s">
        <v>39</v>
      </c>
      <c r="E164">
        <v>450</v>
      </c>
      <c r="F164" t="e">
        <v>#N/A</v>
      </c>
      <c r="G164" t="e">
        <v>#N/A</v>
      </c>
      <c r="H164" t="e">
        <v>#N/A</v>
      </c>
      <c r="I164" t="e">
        <v>#N/A</v>
      </c>
      <c r="K164" t="s">
        <v>8727</v>
      </c>
      <c r="L164" s="29">
        <v>45383</v>
      </c>
      <c r="M164" t="s">
        <v>8731</v>
      </c>
      <c r="Q164" s="30" t="s">
        <v>8820</v>
      </c>
      <c r="R164" t="s">
        <v>8798</v>
      </c>
      <c r="S164">
        <f t="shared" si="10"/>
        <v>4</v>
      </c>
      <c r="T164">
        <f t="shared" si="11"/>
        <v>2024</v>
      </c>
      <c r="U164">
        <f t="shared" si="12"/>
        <v>22</v>
      </c>
      <c r="V164">
        <f t="shared" si="13"/>
        <v>20</v>
      </c>
      <c r="W164" s="15">
        <f t="shared" si="14"/>
        <v>13900</v>
      </c>
      <c r="X164">
        <f>VLOOKUP(B164,'[25]Cancel Sent on March 12'!$B:$B,1,0)</f>
        <v>76175280</v>
      </c>
    </row>
    <row r="165" spans="1:24">
      <c r="A165" t="s">
        <v>8620</v>
      </c>
      <c r="B165">
        <v>76176361</v>
      </c>
      <c r="C165">
        <v>76176361</v>
      </c>
      <c r="D165" t="s">
        <v>39</v>
      </c>
      <c r="E165">
        <v>450</v>
      </c>
      <c r="F165" t="e">
        <v>#N/A</v>
      </c>
      <c r="G165" t="e">
        <v>#N/A</v>
      </c>
      <c r="H165" t="e">
        <v>#N/A</v>
      </c>
      <c r="I165" t="e">
        <v>#N/A</v>
      </c>
      <c r="K165" t="s">
        <v>8727</v>
      </c>
      <c r="L165" s="29">
        <v>45139</v>
      </c>
      <c r="M165" t="s">
        <v>8731</v>
      </c>
      <c r="Q165" s="30" t="s">
        <v>8821</v>
      </c>
      <c r="R165" t="s">
        <v>8798</v>
      </c>
      <c r="S165">
        <f t="shared" si="10"/>
        <v>8</v>
      </c>
      <c r="T165">
        <f t="shared" si="11"/>
        <v>2023</v>
      </c>
      <c r="U165">
        <f t="shared" si="12"/>
        <v>30</v>
      </c>
      <c r="V165">
        <f t="shared" si="13"/>
        <v>20</v>
      </c>
      <c r="W165" s="15">
        <f t="shared" si="14"/>
        <v>17500</v>
      </c>
      <c r="X165">
        <f>VLOOKUP(B165,'[25]Cancel Sent on March 12'!$B:$B,1,0)</f>
        <v>76176361</v>
      </c>
    </row>
    <row r="166" spans="1:24">
      <c r="A166" t="s">
        <v>8621</v>
      </c>
      <c r="B166">
        <v>76177469</v>
      </c>
      <c r="C166">
        <v>76177469</v>
      </c>
      <c r="D166" t="s">
        <v>39</v>
      </c>
      <c r="E166">
        <v>450</v>
      </c>
      <c r="F166" t="e">
        <v>#N/A</v>
      </c>
      <c r="G166" t="e">
        <v>#N/A</v>
      </c>
      <c r="H166" t="e">
        <v>#N/A</v>
      </c>
      <c r="I166" t="e">
        <v>#N/A</v>
      </c>
      <c r="K166" t="s">
        <v>8727</v>
      </c>
      <c r="L166" s="29">
        <v>45413</v>
      </c>
      <c r="M166" t="s">
        <v>8731</v>
      </c>
      <c r="Q166" s="30" t="s">
        <v>8822</v>
      </c>
      <c r="R166" t="s">
        <v>8798</v>
      </c>
      <c r="S166">
        <f t="shared" si="10"/>
        <v>5</v>
      </c>
      <c r="T166">
        <f t="shared" si="11"/>
        <v>2024</v>
      </c>
      <c r="U166">
        <f t="shared" si="12"/>
        <v>21</v>
      </c>
      <c r="V166">
        <f t="shared" si="13"/>
        <v>20</v>
      </c>
      <c r="W166" s="15">
        <f t="shared" si="14"/>
        <v>13450</v>
      </c>
      <c r="X166">
        <f>VLOOKUP(B166,'[25]Cancel Sent on March 12'!$B:$B,1,0)</f>
        <v>76177469</v>
      </c>
    </row>
    <row r="167" spans="1:24">
      <c r="A167" t="s">
        <v>1336</v>
      </c>
      <c r="B167">
        <v>76180664</v>
      </c>
      <c r="C167">
        <v>76180664</v>
      </c>
      <c r="D167" t="s">
        <v>39</v>
      </c>
      <c r="E167">
        <v>300</v>
      </c>
      <c r="F167" t="e">
        <v>#N/A</v>
      </c>
      <c r="G167" t="e">
        <v>#N/A</v>
      </c>
      <c r="H167" t="e">
        <v>#N/A</v>
      </c>
      <c r="I167" t="e">
        <v>#N/A</v>
      </c>
      <c r="K167" t="s">
        <v>8727</v>
      </c>
      <c r="L167" s="29">
        <v>45992</v>
      </c>
      <c r="M167" t="s">
        <v>8731</v>
      </c>
      <c r="Q167" s="30" t="s">
        <v>8810</v>
      </c>
      <c r="R167" t="s">
        <v>8798</v>
      </c>
      <c r="S167">
        <f t="shared" si="10"/>
        <v>12</v>
      </c>
      <c r="T167">
        <f t="shared" si="11"/>
        <v>2025</v>
      </c>
      <c r="U167">
        <f t="shared" si="12"/>
        <v>2</v>
      </c>
      <c r="V167">
        <f t="shared" si="13"/>
        <v>2</v>
      </c>
      <c r="W167" s="15">
        <f t="shared" si="14"/>
        <v>1000</v>
      </c>
      <c r="X167">
        <f>VLOOKUP(B167,'[25]Cancel Sent on March 12'!$B:$B,1,0)</f>
        <v>76180664</v>
      </c>
    </row>
    <row r="168" spans="1:24">
      <c r="A168" t="s">
        <v>8622</v>
      </c>
      <c r="B168">
        <v>76181339</v>
      </c>
      <c r="C168">
        <v>76181339</v>
      </c>
      <c r="D168" t="s">
        <v>39</v>
      </c>
      <c r="E168">
        <v>400</v>
      </c>
      <c r="F168" t="e">
        <v>#N/A</v>
      </c>
      <c r="G168" t="e">
        <v>#N/A</v>
      </c>
      <c r="H168" t="e">
        <v>#N/A</v>
      </c>
      <c r="I168" t="e">
        <v>#N/A</v>
      </c>
      <c r="K168" t="s">
        <v>8727</v>
      </c>
      <c r="L168" s="29">
        <v>45870</v>
      </c>
      <c r="M168" t="s">
        <v>8728</v>
      </c>
      <c r="Q168" s="30"/>
      <c r="R168" t="s">
        <v>8798</v>
      </c>
      <c r="S168">
        <f t="shared" si="10"/>
        <v>8</v>
      </c>
      <c r="T168">
        <f t="shared" si="11"/>
        <v>2025</v>
      </c>
      <c r="U168">
        <f t="shared" si="12"/>
        <v>6</v>
      </c>
      <c r="V168">
        <f t="shared" si="13"/>
        <v>6</v>
      </c>
      <c r="W168" s="15">
        <f t="shared" si="14"/>
        <v>3600</v>
      </c>
      <c r="X168">
        <f>VLOOKUP(B168,'[25]Cancel Sent on March 12'!$B:$B,1,0)</f>
        <v>76181339</v>
      </c>
    </row>
    <row r="169" spans="1:24">
      <c r="A169" t="s">
        <v>8623</v>
      </c>
      <c r="B169">
        <v>76181342</v>
      </c>
      <c r="C169">
        <v>76181342</v>
      </c>
      <c r="D169" t="s">
        <v>39</v>
      </c>
      <c r="E169">
        <v>400</v>
      </c>
      <c r="F169" t="e">
        <v>#N/A</v>
      </c>
      <c r="G169" t="e">
        <v>#N/A</v>
      </c>
      <c r="H169" t="e">
        <v>#N/A</v>
      </c>
      <c r="I169" t="e">
        <v>#N/A</v>
      </c>
      <c r="K169" t="s">
        <v>8727</v>
      </c>
      <c r="L169" s="29">
        <v>45870</v>
      </c>
      <c r="M169" t="s">
        <v>8728</v>
      </c>
      <c r="Q169" t="s">
        <v>8812</v>
      </c>
      <c r="R169" t="s">
        <v>8798</v>
      </c>
      <c r="S169">
        <f t="shared" si="10"/>
        <v>8</v>
      </c>
      <c r="T169">
        <f t="shared" si="11"/>
        <v>2025</v>
      </c>
      <c r="U169">
        <f t="shared" si="12"/>
        <v>6</v>
      </c>
      <c r="V169">
        <f t="shared" si="13"/>
        <v>6</v>
      </c>
      <c r="W169" s="15">
        <f t="shared" si="14"/>
        <v>3600</v>
      </c>
      <c r="X169">
        <f>VLOOKUP(B169,'[25]Cancel Sent on March 12'!$B:$B,1,0)</f>
        <v>76181342</v>
      </c>
    </row>
    <row r="170" spans="1:24">
      <c r="A170" t="s">
        <v>8624</v>
      </c>
      <c r="B170">
        <v>76181637</v>
      </c>
      <c r="C170">
        <v>76181637</v>
      </c>
      <c r="D170" t="s">
        <v>39</v>
      </c>
      <c r="E170">
        <v>300</v>
      </c>
      <c r="F170" t="e">
        <v>#N/A</v>
      </c>
      <c r="G170" t="e">
        <v>#N/A</v>
      </c>
      <c r="H170" t="e">
        <v>#N/A</v>
      </c>
      <c r="I170" t="e">
        <v>#N/A</v>
      </c>
      <c r="K170" t="s">
        <v>8727</v>
      </c>
      <c r="L170" s="29">
        <v>45901</v>
      </c>
      <c r="M170" t="s">
        <v>8728</v>
      </c>
      <c r="Q170" s="30" t="s">
        <v>8823</v>
      </c>
      <c r="R170" t="s">
        <v>8798</v>
      </c>
      <c r="S170">
        <f t="shared" si="10"/>
        <v>9</v>
      </c>
      <c r="T170">
        <f t="shared" si="11"/>
        <v>2025</v>
      </c>
      <c r="U170">
        <f t="shared" si="12"/>
        <v>5</v>
      </c>
      <c r="V170">
        <f t="shared" si="13"/>
        <v>5</v>
      </c>
      <c r="W170" s="15">
        <f t="shared" si="14"/>
        <v>2500</v>
      </c>
      <c r="X170">
        <f>VLOOKUP(B170,'[25]Cancel Sent on March 12'!$B:$B,1,0)</f>
        <v>76181637</v>
      </c>
    </row>
    <row r="171" spans="1:24">
      <c r="A171" t="s">
        <v>8625</v>
      </c>
      <c r="B171">
        <v>76185786</v>
      </c>
      <c r="C171">
        <v>76185786</v>
      </c>
      <c r="D171" t="s">
        <v>39</v>
      </c>
      <c r="E171">
        <v>300</v>
      </c>
      <c r="F171" t="e">
        <v>#N/A</v>
      </c>
      <c r="G171" t="e">
        <v>#N/A</v>
      </c>
      <c r="H171" t="e">
        <v>#N/A</v>
      </c>
      <c r="I171" t="e">
        <v>#N/A</v>
      </c>
      <c r="K171" t="s">
        <v>8727</v>
      </c>
      <c r="L171" s="29">
        <v>45809</v>
      </c>
      <c r="M171" t="s">
        <v>8731</v>
      </c>
      <c r="Q171" s="30" t="s">
        <v>8810</v>
      </c>
      <c r="R171" t="s">
        <v>8798</v>
      </c>
      <c r="S171">
        <f t="shared" si="10"/>
        <v>6</v>
      </c>
      <c r="T171">
        <f t="shared" si="11"/>
        <v>2025</v>
      </c>
      <c r="U171">
        <f t="shared" si="12"/>
        <v>8</v>
      </c>
      <c r="V171">
        <f t="shared" si="13"/>
        <v>8</v>
      </c>
      <c r="W171" s="15">
        <f t="shared" si="14"/>
        <v>4000</v>
      </c>
      <c r="X171">
        <f>VLOOKUP(B171,'[25]Cancel Sent on March 12'!$B:$B,1,0)</f>
        <v>76185786</v>
      </c>
    </row>
    <row r="172" spans="1:24">
      <c r="A172" t="s">
        <v>8626</v>
      </c>
      <c r="B172">
        <v>76187104</v>
      </c>
      <c r="C172">
        <v>76187104</v>
      </c>
      <c r="D172" t="s">
        <v>39</v>
      </c>
      <c r="E172">
        <v>300</v>
      </c>
      <c r="F172" t="e">
        <v>#N/A</v>
      </c>
      <c r="G172" t="e">
        <v>#N/A</v>
      </c>
      <c r="H172" t="e">
        <v>#N/A</v>
      </c>
      <c r="I172" t="e">
        <v>#N/A</v>
      </c>
      <c r="K172" t="s">
        <v>8741</v>
      </c>
      <c r="L172" s="29">
        <v>45231</v>
      </c>
      <c r="M172" t="s">
        <v>8731</v>
      </c>
      <c r="Q172" s="30" t="s">
        <v>8809</v>
      </c>
      <c r="R172" t="s">
        <v>8798</v>
      </c>
      <c r="S172">
        <f t="shared" si="10"/>
        <v>11</v>
      </c>
      <c r="T172">
        <f t="shared" si="11"/>
        <v>2023</v>
      </c>
      <c r="U172">
        <f t="shared" si="12"/>
        <v>27</v>
      </c>
      <c r="V172">
        <f t="shared" si="13"/>
        <v>20</v>
      </c>
      <c r="W172" s="15">
        <f t="shared" si="14"/>
        <v>12100</v>
      </c>
      <c r="X172">
        <f>VLOOKUP(B172,'[25]Cancel Sent on March 12'!$B:$B,1,0)</f>
        <v>76187104</v>
      </c>
    </row>
    <row r="173" spans="1:24">
      <c r="A173" t="s">
        <v>8627</v>
      </c>
      <c r="B173">
        <v>76189602</v>
      </c>
      <c r="C173">
        <v>76189602</v>
      </c>
      <c r="D173" t="s">
        <v>39</v>
      </c>
      <c r="E173">
        <v>450</v>
      </c>
      <c r="F173" t="e">
        <v>#N/A</v>
      </c>
      <c r="G173" t="e">
        <v>#N/A</v>
      </c>
      <c r="H173" t="e">
        <v>#N/A</v>
      </c>
      <c r="I173" t="e">
        <v>#N/A</v>
      </c>
      <c r="K173" t="s">
        <v>8727</v>
      </c>
      <c r="L173" s="29">
        <v>45383</v>
      </c>
      <c r="M173" t="s">
        <v>8731</v>
      </c>
      <c r="Q173" s="30"/>
      <c r="R173" t="s">
        <v>8798</v>
      </c>
      <c r="S173">
        <f t="shared" si="10"/>
        <v>4</v>
      </c>
      <c r="T173">
        <f t="shared" si="11"/>
        <v>2024</v>
      </c>
      <c r="U173">
        <f t="shared" si="12"/>
        <v>22</v>
      </c>
      <c r="V173">
        <f t="shared" si="13"/>
        <v>20</v>
      </c>
      <c r="W173" s="15">
        <f t="shared" si="14"/>
        <v>13900</v>
      </c>
      <c r="X173">
        <f>VLOOKUP(B173,'[25]Cancel Sent on March 12'!$B:$B,1,0)</f>
        <v>76189602</v>
      </c>
    </row>
    <row r="174" spans="1:24">
      <c r="A174" t="s">
        <v>8628</v>
      </c>
      <c r="B174">
        <v>76189622</v>
      </c>
      <c r="C174">
        <v>76189622</v>
      </c>
      <c r="D174" t="s">
        <v>39</v>
      </c>
      <c r="E174">
        <v>400</v>
      </c>
      <c r="F174" t="e">
        <v>#N/A</v>
      </c>
      <c r="G174" t="e">
        <v>#N/A</v>
      </c>
      <c r="H174" t="e">
        <v>#N/A</v>
      </c>
      <c r="I174" t="e">
        <v>#N/A</v>
      </c>
      <c r="K174" t="s">
        <v>8741</v>
      </c>
      <c r="L174" s="29">
        <v>45658</v>
      </c>
      <c r="M174" t="s">
        <v>8728</v>
      </c>
      <c r="Q174" s="30"/>
      <c r="R174" t="s">
        <v>8798</v>
      </c>
      <c r="S174">
        <f t="shared" si="10"/>
        <v>1</v>
      </c>
      <c r="T174">
        <f t="shared" si="11"/>
        <v>2025</v>
      </c>
      <c r="U174">
        <f t="shared" si="12"/>
        <v>13</v>
      </c>
      <c r="V174">
        <f t="shared" si="13"/>
        <v>13</v>
      </c>
      <c r="W174" s="15">
        <f t="shared" si="14"/>
        <v>7800</v>
      </c>
      <c r="X174">
        <f>VLOOKUP(B174,'[25]Cancel Sent on March 12'!$B:$B,1,0)</f>
        <v>76189622</v>
      </c>
    </row>
    <row r="175" spans="1:24">
      <c r="A175" t="s">
        <v>8629</v>
      </c>
      <c r="B175">
        <v>76190137</v>
      </c>
      <c r="C175">
        <v>76190137</v>
      </c>
      <c r="D175" t="s">
        <v>39</v>
      </c>
      <c r="E175">
        <v>300</v>
      </c>
      <c r="F175" t="e">
        <v>#N/A</v>
      </c>
      <c r="G175" t="e">
        <v>#N/A</v>
      </c>
      <c r="H175" t="e">
        <v>#N/A</v>
      </c>
      <c r="I175" t="e">
        <v>#N/A</v>
      </c>
      <c r="Q175" t="s">
        <v>8824</v>
      </c>
      <c r="R175" t="s">
        <v>8798</v>
      </c>
      <c r="S175">
        <f t="shared" si="10"/>
        <v>12</v>
      </c>
      <c r="T175">
        <f t="shared" si="11"/>
        <v>2025</v>
      </c>
      <c r="U175">
        <f t="shared" si="12"/>
        <v>2</v>
      </c>
      <c r="V175">
        <f t="shared" si="13"/>
        <v>2</v>
      </c>
      <c r="W175" s="15">
        <f t="shared" si="14"/>
        <v>1000</v>
      </c>
      <c r="X175">
        <f>VLOOKUP(B175,'[25]Cancel Sent on March 12'!$B:$B,1,0)</f>
        <v>76190137</v>
      </c>
    </row>
    <row r="176" spans="1:24">
      <c r="A176" t="s">
        <v>8630</v>
      </c>
      <c r="B176">
        <v>76191430</v>
      </c>
      <c r="C176">
        <v>76191430</v>
      </c>
      <c r="D176" t="s">
        <v>39</v>
      </c>
      <c r="E176">
        <v>300</v>
      </c>
      <c r="F176" t="e">
        <v>#N/A</v>
      </c>
      <c r="G176" t="e">
        <v>#N/A</v>
      </c>
      <c r="H176" t="e">
        <v>#N/A</v>
      </c>
      <c r="I176" t="e">
        <v>#N/A</v>
      </c>
      <c r="K176" t="s">
        <v>8727</v>
      </c>
      <c r="L176" s="29">
        <v>45566</v>
      </c>
      <c r="M176" t="s">
        <v>8731</v>
      </c>
      <c r="Q176" s="30" t="s">
        <v>8825</v>
      </c>
      <c r="R176" t="s">
        <v>8798</v>
      </c>
      <c r="S176">
        <f t="shared" si="10"/>
        <v>10</v>
      </c>
      <c r="T176">
        <f t="shared" si="11"/>
        <v>2024</v>
      </c>
      <c r="U176">
        <f t="shared" si="12"/>
        <v>16</v>
      </c>
      <c r="V176">
        <f t="shared" si="13"/>
        <v>16</v>
      </c>
      <c r="W176" s="15">
        <f t="shared" si="14"/>
        <v>8000</v>
      </c>
      <c r="X176">
        <f>VLOOKUP(B176,'[25]Cancel Sent on March 12'!$B:$B,1,0)</f>
        <v>76191430</v>
      </c>
    </row>
    <row r="177" spans="1:24">
      <c r="A177" t="s">
        <v>8043</v>
      </c>
      <c r="B177">
        <v>76192745</v>
      </c>
      <c r="C177">
        <v>76192745</v>
      </c>
      <c r="D177" t="s">
        <v>39</v>
      </c>
      <c r="E177">
        <v>300</v>
      </c>
      <c r="F177" t="e">
        <v>#N/A</v>
      </c>
      <c r="G177" t="e">
        <v>#N/A</v>
      </c>
      <c r="H177" t="e">
        <v>#N/A</v>
      </c>
      <c r="I177" t="e">
        <v>#N/A</v>
      </c>
      <c r="K177" t="s">
        <v>8741</v>
      </c>
      <c r="L177" s="29">
        <v>46054</v>
      </c>
      <c r="M177" t="s">
        <v>8731</v>
      </c>
      <c r="Q177" s="30" t="s">
        <v>8808</v>
      </c>
      <c r="R177" t="s">
        <v>8798</v>
      </c>
      <c r="S177">
        <f t="shared" si="10"/>
        <v>2</v>
      </c>
      <c r="T177">
        <f t="shared" si="11"/>
        <v>2026</v>
      </c>
      <c r="U177">
        <f t="shared" si="12"/>
        <v>0</v>
      </c>
      <c r="V177">
        <f t="shared" si="13"/>
        <v>0</v>
      </c>
      <c r="W177" s="15">
        <f t="shared" si="14"/>
        <v>0</v>
      </c>
      <c r="X177">
        <f>VLOOKUP(B177,'[25]Cancel Sent on March 12'!$B:$B,1,0)</f>
        <v>76192745</v>
      </c>
    </row>
    <row r="178" spans="1:24">
      <c r="A178" t="s">
        <v>8631</v>
      </c>
      <c r="B178">
        <v>76192785</v>
      </c>
      <c r="C178">
        <v>76192785</v>
      </c>
      <c r="D178" t="s">
        <v>39</v>
      </c>
      <c r="E178">
        <v>450</v>
      </c>
      <c r="F178" t="e">
        <v>#N/A</v>
      </c>
      <c r="G178" t="e">
        <v>#N/A</v>
      </c>
      <c r="H178" t="e">
        <v>#N/A</v>
      </c>
      <c r="I178" t="e">
        <v>#N/A</v>
      </c>
      <c r="Q178" s="30" t="s">
        <v>8824</v>
      </c>
      <c r="R178" t="s">
        <v>8798</v>
      </c>
      <c r="S178">
        <f t="shared" si="10"/>
        <v>12</v>
      </c>
      <c r="T178">
        <f t="shared" si="11"/>
        <v>2025</v>
      </c>
      <c r="U178">
        <f t="shared" si="12"/>
        <v>2</v>
      </c>
      <c r="V178">
        <f t="shared" si="13"/>
        <v>2</v>
      </c>
      <c r="W178" s="15">
        <f t="shared" si="14"/>
        <v>1300</v>
      </c>
      <c r="X178">
        <f>VLOOKUP(B178,'[25]Cancel Sent on March 12'!$B:$B,1,0)</f>
        <v>76192785</v>
      </c>
    </row>
    <row r="179" spans="1:24">
      <c r="A179" t="s">
        <v>8632</v>
      </c>
      <c r="B179">
        <v>76193859</v>
      </c>
      <c r="C179">
        <v>76193859</v>
      </c>
      <c r="D179" t="s">
        <v>39</v>
      </c>
      <c r="E179">
        <v>400</v>
      </c>
      <c r="F179" t="e">
        <v>#N/A</v>
      </c>
      <c r="G179" t="e">
        <v>#N/A</v>
      </c>
      <c r="H179" t="e">
        <v>#N/A</v>
      </c>
      <c r="I179" t="e">
        <v>#N/A</v>
      </c>
      <c r="K179" t="s">
        <v>8727</v>
      </c>
      <c r="L179" s="29">
        <v>45292</v>
      </c>
      <c r="M179" t="s">
        <v>8728</v>
      </c>
      <c r="Q179" s="30" t="s">
        <v>8819</v>
      </c>
      <c r="R179" t="s">
        <v>8798</v>
      </c>
      <c r="S179">
        <f t="shared" si="10"/>
        <v>1</v>
      </c>
      <c r="T179">
        <f t="shared" si="11"/>
        <v>2024</v>
      </c>
      <c r="U179">
        <f t="shared" si="12"/>
        <v>25</v>
      </c>
      <c r="V179">
        <f t="shared" si="13"/>
        <v>20</v>
      </c>
      <c r="W179" s="15">
        <f t="shared" si="14"/>
        <v>14000</v>
      </c>
      <c r="X179">
        <f>VLOOKUP(B179,'[25]Cancel Sent on March 12'!$B:$B,1,0)</f>
        <v>76193859</v>
      </c>
    </row>
    <row r="180" spans="1:24">
      <c r="A180" t="s">
        <v>8633</v>
      </c>
      <c r="B180">
        <v>76193942</v>
      </c>
      <c r="C180">
        <v>76193942</v>
      </c>
      <c r="D180" t="s">
        <v>39</v>
      </c>
      <c r="E180">
        <v>400</v>
      </c>
      <c r="F180" t="e">
        <v>#N/A</v>
      </c>
      <c r="G180" t="e">
        <v>#N/A</v>
      </c>
      <c r="H180" t="e">
        <v>#N/A</v>
      </c>
      <c r="I180" t="e">
        <v>#N/A</v>
      </c>
      <c r="K180" t="s">
        <v>8741</v>
      </c>
      <c r="L180" s="29">
        <v>45444</v>
      </c>
      <c r="M180" t="s">
        <v>8728</v>
      </c>
      <c r="R180" t="s">
        <v>8798</v>
      </c>
      <c r="S180">
        <f t="shared" si="10"/>
        <v>6</v>
      </c>
      <c r="T180">
        <f t="shared" si="11"/>
        <v>2024</v>
      </c>
      <c r="U180">
        <f t="shared" si="12"/>
        <v>20</v>
      </c>
      <c r="V180">
        <f t="shared" si="13"/>
        <v>20</v>
      </c>
      <c r="W180" s="15">
        <f t="shared" si="14"/>
        <v>12000</v>
      </c>
      <c r="X180">
        <f>VLOOKUP(B180,'[25]Cancel Sent on March 12'!$B:$B,1,0)</f>
        <v>76193942</v>
      </c>
    </row>
    <row r="181" spans="1:24" hidden="1">
      <c r="A181" t="s">
        <v>105</v>
      </c>
      <c r="C181">
        <v>76194812</v>
      </c>
      <c r="D181" t="s">
        <v>39</v>
      </c>
      <c r="E181">
        <v>400</v>
      </c>
      <c r="F181" t="e">
        <v>#N/A</v>
      </c>
      <c r="G181" t="e">
        <v>#N/A</v>
      </c>
      <c r="H181" t="e">
        <v>#N/A</v>
      </c>
      <c r="I181" t="e">
        <v>#N/A</v>
      </c>
      <c r="K181" t="s">
        <v>8727</v>
      </c>
      <c r="L181" s="29">
        <v>45474</v>
      </c>
      <c r="M181" t="s">
        <v>8728</v>
      </c>
      <c r="P181" t="s">
        <v>306</v>
      </c>
      <c r="Q181" s="30" t="s">
        <v>8826</v>
      </c>
      <c r="R181" t="s">
        <v>8798</v>
      </c>
      <c r="S181">
        <f t="shared" si="10"/>
        <v>7</v>
      </c>
      <c r="T181">
        <f t="shared" si="11"/>
        <v>2024</v>
      </c>
      <c r="U181">
        <f t="shared" si="12"/>
        <v>19</v>
      </c>
      <c r="V181">
        <f t="shared" si="13"/>
        <v>19</v>
      </c>
      <c r="W181" s="15">
        <f t="shared" si="14"/>
        <v>11400</v>
      </c>
      <c r="X181" t="e">
        <f>VLOOKUP(B181,'[25]Cancel Sent on March 12'!$B:$B,1,0)</f>
        <v>#N/A</v>
      </c>
    </row>
    <row r="182" spans="1:24">
      <c r="A182" t="s">
        <v>8634</v>
      </c>
      <c r="B182">
        <v>76194813</v>
      </c>
      <c r="C182">
        <v>76194813</v>
      </c>
      <c r="D182" t="s">
        <v>39</v>
      </c>
      <c r="E182">
        <v>400</v>
      </c>
      <c r="F182" t="e">
        <v>#N/A</v>
      </c>
      <c r="G182" t="e">
        <v>#N/A</v>
      </c>
      <c r="H182" t="e">
        <v>#N/A</v>
      </c>
      <c r="I182" t="e">
        <v>#N/A</v>
      </c>
      <c r="K182" t="s">
        <v>8727</v>
      </c>
      <c r="L182" s="29">
        <v>45474</v>
      </c>
      <c r="M182" t="s">
        <v>8728</v>
      </c>
      <c r="P182" t="s">
        <v>306</v>
      </c>
      <c r="Q182" s="30" t="s">
        <v>8826</v>
      </c>
      <c r="R182" t="s">
        <v>8798</v>
      </c>
      <c r="S182">
        <f t="shared" si="10"/>
        <v>7</v>
      </c>
      <c r="T182">
        <f t="shared" si="11"/>
        <v>2024</v>
      </c>
      <c r="U182">
        <f t="shared" si="12"/>
        <v>19</v>
      </c>
      <c r="V182">
        <f t="shared" si="13"/>
        <v>19</v>
      </c>
      <c r="W182" s="15">
        <f t="shared" si="14"/>
        <v>11400</v>
      </c>
      <c r="X182">
        <f>VLOOKUP(B182,'[25]Cancel Sent on March 12'!$B:$B,1,0)</f>
        <v>76194813</v>
      </c>
    </row>
    <row r="183" spans="1:24">
      <c r="A183" t="s">
        <v>8635</v>
      </c>
      <c r="B183">
        <v>76195076</v>
      </c>
      <c r="C183">
        <v>76195076</v>
      </c>
      <c r="D183" t="s">
        <v>39</v>
      </c>
      <c r="E183">
        <v>300</v>
      </c>
      <c r="F183" t="e">
        <v>#N/A</v>
      </c>
      <c r="G183" t="e">
        <v>#N/A</v>
      </c>
      <c r="H183" t="e">
        <v>#N/A</v>
      </c>
      <c r="I183" t="e">
        <v>#N/A</v>
      </c>
      <c r="K183" t="s">
        <v>8741</v>
      </c>
      <c r="L183" s="29">
        <v>46054</v>
      </c>
      <c r="M183" t="s">
        <v>8731</v>
      </c>
      <c r="Q183" s="30" t="s">
        <v>8808</v>
      </c>
      <c r="R183" t="s">
        <v>8798</v>
      </c>
      <c r="S183">
        <f t="shared" si="10"/>
        <v>2</v>
      </c>
      <c r="T183">
        <f t="shared" si="11"/>
        <v>2026</v>
      </c>
      <c r="U183">
        <f t="shared" si="12"/>
        <v>0</v>
      </c>
      <c r="V183">
        <f t="shared" si="13"/>
        <v>0</v>
      </c>
      <c r="W183" s="15">
        <f t="shared" si="14"/>
        <v>0</v>
      </c>
      <c r="X183">
        <f>VLOOKUP(B183,'[25]Cancel Sent on March 12'!$B:$B,1,0)</f>
        <v>76195076</v>
      </c>
    </row>
    <row r="184" spans="1:24">
      <c r="A184" t="s">
        <v>8636</v>
      </c>
      <c r="B184">
        <v>76195721</v>
      </c>
      <c r="C184">
        <v>76195721</v>
      </c>
      <c r="D184" t="s">
        <v>39</v>
      </c>
      <c r="E184">
        <v>450</v>
      </c>
      <c r="F184" t="e">
        <v>#N/A</v>
      </c>
      <c r="G184" t="e">
        <v>#N/A</v>
      </c>
      <c r="H184" t="e">
        <v>#N/A</v>
      </c>
      <c r="I184" t="e">
        <v>#N/A</v>
      </c>
      <c r="K184" t="s">
        <v>8727</v>
      </c>
      <c r="L184" s="29">
        <v>45139</v>
      </c>
      <c r="M184" t="s">
        <v>8731</v>
      </c>
      <c r="Q184" s="30" t="s">
        <v>8806</v>
      </c>
      <c r="R184" t="s">
        <v>8798</v>
      </c>
      <c r="S184">
        <f t="shared" si="10"/>
        <v>8</v>
      </c>
      <c r="T184">
        <f t="shared" si="11"/>
        <v>2023</v>
      </c>
      <c r="U184">
        <f t="shared" si="12"/>
        <v>30</v>
      </c>
      <c r="V184">
        <f t="shared" si="13"/>
        <v>20</v>
      </c>
      <c r="W184" s="15">
        <f t="shared" si="14"/>
        <v>17500</v>
      </c>
      <c r="X184">
        <f>VLOOKUP(B184,'[25]Cancel Sent on March 12'!$B:$B,1,0)</f>
        <v>76195721</v>
      </c>
    </row>
    <row r="185" spans="1:24">
      <c r="A185" t="s">
        <v>8637</v>
      </c>
      <c r="B185">
        <v>76196435</v>
      </c>
      <c r="C185">
        <v>76196435</v>
      </c>
      <c r="D185" t="s">
        <v>39</v>
      </c>
      <c r="E185">
        <v>450</v>
      </c>
      <c r="F185" t="e">
        <v>#N/A</v>
      </c>
      <c r="G185" t="e">
        <v>#N/A</v>
      </c>
      <c r="H185" t="e">
        <v>#N/A</v>
      </c>
      <c r="I185" t="e">
        <v>#N/A</v>
      </c>
      <c r="K185" t="s">
        <v>8727</v>
      </c>
      <c r="L185" s="29">
        <v>45352</v>
      </c>
      <c r="M185" t="s">
        <v>8728</v>
      </c>
      <c r="P185" t="s">
        <v>306</v>
      </c>
      <c r="Q185" t="s">
        <v>8826</v>
      </c>
      <c r="R185" t="s">
        <v>8798</v>
      </c>
      <c r="S185">
        <f t="shared" si="10"/>
        <v>3</v>
      </c>
      <c r="T185">
        <f t="shared" si="11"/>
        <v>2024</v>
      </c>
      <c r="U185">
        <f t="shared" si="12"/>
        <v>23</v>
      </c>
      <c r="V185">
        <f t="shared" si="13"/>
        <v>20</v>
      </c>
      <c r="W185" s="15">
        <f t="shared" si="14"/>
        <v>14350</v>
      </c>
      <c r="X185">
        <f>VLOOKUP(B185,'[25]Cancel Sent on March 12'!$B:$B,1,0)</f>
        <v>76196435</v>
      </c>
    </row>
    <row r="186" spans="1:24">
      <c r="A186" t="s">
        <v>8638</v>
      </c>
      <c r="B186">
        <v>76202064</v>
      </c>
      <c r="C186">
        <v>76202064</v>
      </c>
      <c r="D186" t="s">
        <v>39</v>
      </c>
      <c r="E186">
        <v>450</v>
      </c>
      <c r="F186" t="e">
        <v>#N/A</v>
      </c>
      <c r="G186" t="e">
        <v>#N/A</v>
      </c>
      <c r="H186" t="e">
        <v>#N/A</v>
      </c>
      <c r="I186" t="e">
        <v>#N/A</v>
      </c>
      <c r="K186" t="s">
        <v>8727</v>
      </c>
      <c r="L186" s="29">
        <v>45962</v>
      </c>
      <c r="M186" t="s">
        <v>8728</v>
      </c>
      <c r="Q186" s="30" t="s">
        <v>8806</v>
      </c>
      <c r="R186" t="s">
        <v>8798</v>
      </c>
      <c r="S186">
        <f t="shared" si="10"/>
        <v>11</v>
      </c>
      <c r="T186">
        <f t="shared" si="11"/>
        <v>2025</v>
      </c>
      <c r="U186">
        <f t="shared" si="12"/>
        <v>3</v>
      </c>
      <c r="V186">
        <f t="shared" si="13"/>
        <v>3</v>
      </c>
      <c r="W186" s="15">
        <f t="shared" si="14"/>
        <v>1950</v>
      </c>
      <c r="X186">
        <f>VLOOKUP(B186,'[25]Cancel Sent on March 12'!$B:$B,1,0)</f>
        <v>76202064</v>
      </c>
    </row>
    <row r="187" spans="1:24">
      <c r="A187" t="s">
        <v>8639</v>
      </c>
      <c r="B187">
        <v>76202065</v>
      </c>
      <c r="C187">
        <v>76202065</v>
      </c>
      <c r="D187" t="s">
        <v>39</v>
      </c>
      <c r="E187">
        <v>450</v>
      </c>
      <c r="F187" t="e">
        <v>#N/A</v>
      </c>
      <c r="G187" t="e">
        <v>#N/A</v>
      </c>
      <c r="H187" t="e">
        <v>#N/A</v>
      </c>
      <c r="I187" t="e">
        <v>#N/A</v>
      </c>
      <c r="K187" t="s">
        <v>8727</v>
      </c>
      <c r="L187" s="29">
        <v>45962</v>
      </c>
      <c r="M187" t="s">
        <v>8728</v>
      </c>
      <c r="Q187" t="s">
        <v>8806</v>
      </c>
      <c r="R187" t="s">
        <v>8798</v>
      </c>
      <c r="S187">
        <f t="shared" si="10"/>
        <v>11</v>
      </c>
      <c r="T187">
        <f t="shared" si="11"/>
        <v>2025</v>
      </c>
      <c r="U187">
        <f t="shared" si="12"/>
        <v>3</v>
      </c>
      <c r="V187">
        <f t="shared" si="13"/>
        <v>3</v>
      </c>
      <c r="W187" s="15">
        <f t="shared" si="14"/>
        <v>1950</v>
      </c>
      <c r="X187">
        <f>VLOOKUP(B187,'[25]Cancel Sent on March 12'!$B:$B,1,0)</f>
        <v>76202065</v>
      </c>
    </row>
    <row r="188" spans="1:24">
      <c r="A188" t="s">
        <v>114</v>
      </c>
      <c r="B188">
        <v>76202516</v>
      </c>
      <c r="C188">
        <v>76202516</v>
      </c>
      <c r="D188" t="s">
        <v>39</v>
      </c>
      <c r="E188">
        <v>300</v>
      </c>
      <c r="F188" t="e">
        <v>#N/A</v>
      </c>
      <c r="G188" t="e">
        <v>#N/A</v>
      </c>
      <c r="H188" t="e">
        <v>#N/A</v>
      </c>
      <c r="I188" t="e">
        <v>#N/A</v>
      </c>
      <c r="K188" t="s">
        <v>8727</v>
      </c>
      <c r="L188" s="29">
        <v>45689</v>
      </c>
      <c r="M188" t="s">
        <v>8731</v>
      </c>
      <c r="Q188" s="30" t="s">
        <v>8827</v>
      </c>
      <c r="R188" t="s">
        <v>8798</v>
      </c>
      <c r="S188">
        <f t="shared" si="10"/>
        <v>2</v>
      </c>
      <c r="T188">
        <f t="shared" si="11"/>
        <v>2025</v>
      </c>
      <c r="U188">
        <f t="shared" si="12"/>
        <v>12</v>
      </c>
      <c r="V188">
        <f t="shared" si="13"/>
        <v>12</v>
      </c>
      <c r="W188" s="15">
        <f t="shared" si="14"/>
        <v>6000</v>
      </c>
      <c r="X188">
        <f>VLOOKUP(B188,'[25]Cancel Sent on March 12'!$B:$B,1,0)</f>
        <v>76202516</v>
      </c>
    </row>
    <row r="189" spans="1:24">
      <c r="A189" t="s">
        <v>8072</v>
      </c>
      <c r="B189">
        <v>76203144</v>
      </c>
      <c r="C189">
        <v>76203144</v>
      </c>
      <c r="D189" t="s">
        <v>39</v>
      </c>
      <c r="E189">
        <v>300</v>
      </c>
      <c r="F189" t="e">
        <v>#N/A</v>
      </c>
      <c r="G189" t="e">
        <v>#N/A</v>
      </c>
      <c r="H189" t="e">
        <v>#N/A</v>
      </c>
      <c r="I189" t="e">
        <v>#N/A</v>
      </c>
      <c r="K189" t="s">
        <v>8741</v>
      </c>
      <c r="L189" s="29">
        <v>46054</v>
      </c>
      <c r="M189" t="s">
        <v>8731</v>
      </c>
      <c r="Q189" s="30" t="s">
        <v>8808</v>
      </c>
      <c r="R189" t="s">
        <v>8798</v>
      </c>
      <c r="S189">
        <f t="shared" si="10"/>
        <v>2</v>
      </c>
      <c r="T189">
        <f t="shared" si="11"/>
        <v>2026</v>
      </c>
      <c r="U189">
        <f t="shared" si="12"/>
        <v>0</v>
      </c>
      <c r="V189">
        <f t="shared" si="13"/>
        <v>0</v>
      </c>
      <c r="W189" s="15">
        <f t="shared" si="14"/>
        <v>0</v>
      </c>
      <c r="X189">
        <f>VLOOKUP(B189,'[25]Cancel Sent on March 12'!$B:$B,1,0)</f>
        <v>76203144</v>
      </c>
    </row>
    <row r="190" spans="1:24">
      <c r="A190" t="s">
        <v>8640</v>
      </c>
      <c r="B190">
        <v>76203882</v>
      </c>
      <c r="C190">
        <v>76203882</v>
      </c>
      <c r="D190" t="s">
        <v>39</v>
      </c>
      <c r="E190">
        <v>300</v>
      </c>
      <c r="F190" t="e">
        <v>#N/A</v>
      </c>
      <c r="G190" t="e">
        <v>#N/A</v>
      </c>
      <c r="H190" t="e">
        <v>#N/A</v>
      </c>
      <c r="I190" t="e">
        <v>#N/A</v>
      </c>
      <c r="K190" t="s">
        <v>8727</v>
      </c>
      <c r="L190" s="29">
        <v>45809</v>
      </c>
      <c r="M190" t="s">
        <v>8731</v>
      </c>
      <c r="Q190" s="30" t="s">
        <v>8827</v>
      </c>
      <c r="R190" t="s">
        <v>8798</v>
      </c>
      <c r="S190">
        <f t="shared" si="10"/>
        <v>6</v>
      </c>
      <c r="T190">
        <f t="shared" si="11"/>
        <v>2025</v>
      </c>
      <c r="U190">
        <f t="shared" si="12"/>
        <v>8</v>
      </c>
      <c r="V190">
        <f t="shared" si="13"/>
        <v>8</v>
      </c>
      <c r="W190" s="15">
        <f t="shared" si="14"/>
        <v>4000</v>
      </c>
      <c r="X190">
        <f>VLOOKUP(B190,'[25]Cancel Sent on March 12'!$B:$B,1,0)</f>
        <v>76203882</v>
      </c>
    </row>
    <row r="191" spans="1:24">
      <c r="A191" t="s">
        <v>921</v>
      </c>
      <c r="B191">
        <v>76204181</v>
      </c>
      <c r="C191">
        <v>76204181</v>
      </c>
      <c r="D191" t="s">
        <v>39</v>
      </c>
      <c r="E191">
        <v>300</v>
      </c>
      <c r="F191" t="e">
        <v>#N/A</v>
      </c>
      <c r="G191" t="e">
        <v>#N/A</v>
      </c>
      <c r="H191" t="e">
        <v>#N/A</v>
      </c>
      <c r="I191" t="e">
        <v>#N/A</v>
      </c>
      <c r="K191" t="s">
        <v>8741</v>
      </c>
      <c r="L191" s="29">
        <v>45627</v>
      </c>
      <c r="M191" t="s">
        <v>8728</v>
      </c>
      <c r="Q191" t="s">
        <v>8808</v>
      </c>
      <c r="R191" t="s">
        <v>8798</v>
      </c>
      <c r="S191">
        <f t="shared" si="10"/>
        <v>12</v>
      </c>
      <c r="T191">
        <f t="shared" si="11"/>
        <v>2024</v>
      </c>
      <c r="U191">
        <f t="shared" si="12"/>
        <v>14</v>
      </c>
      <c r="V191">
        <f t="shared" si="13"/>
        <v>14</v>
      </c>
      <c r="W191" s="15">
        <f t="shared" si="14"/>
        <v>7000</v>
      </c>
      <c r="X191">
        <f>VLOOKUP(B191,'[25]Cancel Sent on March 12'!$B:$B,1,0)</f>
        <v>76204181</v>
      </c>
    </row>
    <row r="192" spans="1:24">
      <c r="A192" t="s">
        <v>117</v>
      </c>
      <c r="B192">
        <v>76204182</v>
      </c>
      <c r="C192">
        <v>76204182</v>
      </c>
      <c r="D192" t="s">
        <v>39</v>
      </c>
      <c r="E192">
        <v>300</v>
      </c>
      <c r="F192" t="e">
        <v>#N/A</v>
      </c>
      <c r="G192" t="e">
        <v>#N/A</v>
      </c>
      <c r="H192" t="e">
        <v>#N/A</v>
      </c>
      <c r="I192" t="e">
        <v>#N/A</v>
      </c>
      <c r="K192" t="s">
        <v>8741</v>
      </c>
      <c r="L192" s="29">
        <v>45627</v>
      </c>
      <c r="M192" t="s">
        <v>8731</v>
      </c>
      <c r="Q192" t="s">
        <v>8808</v>
      </c>
      <c r="R192" t="s">
        <v>8798</v>
      </c>
      <c r="S192">
        <f t="shared" si="10"/>
        <v>12</v>
      </c>
      <c r="T192">
        <f t="shared" si="11"/>
        <v>2024</v>
      </c>
      <c r="U192">
        <f t="shared" si="12"/>
        <v>14</v>
      </c>
      <c r="V192">
        <f t="shared" si="13"/>
        <v>14</v>
      </c>
      <c r="W192" s="15">
        <f t="shared" si="14"/>
        <v>7000</v>
      </c>
      <c r="X192">
        <f>VLOOKUP(B192,'[25]Cancel Sent on March 12'!$B:$B,1,0)</f>
        <v>76204182</v>
      </c>
    </row>
    <row r="193" spans="1:24">
      <c r="A193" t="s">
        <v>1344</v>
      </c>
      <c r="B193">
        <v>76204947</v>
      </c>
      <c r="C193">
        <v>76204947</v>
      </c>
      <c r="D193" t="s">
        <v>39</v>
      </c>
      <c r="E193">
        <v>300</v>
      </c>
      <c r="F193" t="e">
        <v>#N/A</v>
      </c>
      <c r="G193" t="e">
        <v>#N/A</v>
      </c>
      <c r="H193" t="e">
        <v>#N/A</v>
      </c>
      <c r="I193" t="e">
        <v>#N/A</v>
      </c>
      <c r="K193" t="s">
        <v>8727</v>
      </c>
      <c r="L193" s="29">
        <v>45627</v>
      </c>
      <c r="M193" t="s">
        <v>8728</v>
      </c>
      <c r="Q193" s="30" t="s">
        <v>8828</v>
      </c>
      <c r="R193" t="s">
        <v>8798</v>
      </c>
      <c r="S193">
        <f t="shared" si="10"/>
        <v>12</v>
      </c>
      <c r="T193">
        <f t="shared" si="11"/>
        <v>2024</v>
      </c>
      <c r="U193">
        <f t="shared" si="12"/>
        <v>14</v>
      </c>
      <c r="V193">
        <f t="shared" si="13"/>
        <v>14</v>
      </c>
      <c r="W193" s="15">
        <f t="shared" si="14"/>
        <v>7000</v>
      </c>
      <c r="X193">
        <f>VLOOKUP(B193,'[25]Cancel Sent on March 12'!$B:$B,1,0)</f>
        <v>76204947</v>
      </c>
    </row>
    <row r="194" spans="1:24">
      <c r="A194" t="s">
        <v>8641</v>
      </c>
      <c r="B194">
        <v>76204967</v>
      </c>
      <c r="C194">
        <v>76204967</v>
      </c>
      <c r="D194" t="s">
        <v>39</v>
      </c>
      <c r="E194">
        <v>400</v>
      </c>
      <c r="F194" t="e">
        <v>#N/A</v>
      </c>
      <c r="G194" t="e">
        <v>#N/A</v>
      </c>
      <c r="H194" t="e">
        <v>#N/A</v>
      </c>
      <c r="I194" t="e">
        <v>#N/A</v>
      </c>
      <c r="K194" t="s">
        <v>8727</v>
      </c>
      <c r="L194" s="29">
        <v>45870</v>
      </c>
      <c r="M194" t="s">
        <v>8728</v>
      </c>
      <c r="Q194" s="30" t="s">
        <v>8826</v>
      </c>
      <c r="R194" t="s">
        <v>8798</v>
      </c>
      <c r="S194">
        <f t="shared" si="10"/>
        <v>8</v>
      </c>
      <c r="T194">
        <f t="shared" si="11"/>
        <v>2025</v>
      </c>
      <c r="U194">
        <f t="shared" si="12"/>
        <v>6</v>
      </c>
      <c r="V194">
        <f t="shared" si="13"/>
        <v>6</v>
      </c>
      <c r="W194" s="15">
        <f t="shared" si="14"/>
        <v>3600</v>
      </c>
      <c r="X194">
        <f>VLOOKUP(B194,'[25]Cancel Sent on March 12'!$B:$B,1,0)</f>
        <v>76204967</v>
      </c>
    </row>
    <row r="195" spans="1:24">
      <c r="A195" t="s">
        <v>8642</v>
      </c>
      <c r="B195">
        <v>76205088</v>
      </c>
      <c r="C195">
        <v>76205088</v>
      </c>
      <c r="D195" t="s">
        <v>39</v>
      </c>
      <c r="E195">
        <v>300</v>
      </c>
      <c r="F195" t="e">
        <v>#N/A</v>
      </c>
      <c r="G195" t="e">
        <v>#N/A</v>
      </c>
      <c r="H195" t="e">
        <v>#N/A</v>
      </c>
      <c r="I195" t="e">
        <v>#N/A</v>
      </c>
      <c r="K195" t="s">
        <v>8727</v>
      </c>
      <c r="L195" s="29">
        <v>46023</v>
      </c>
      <c r="M195" t="s">
        <v>8731</v>
      </c>
      <c r="Q195" s="30" t="s">
        <v>8820</v>
      </c>
      <c r="R195" t="s">
        <v>8798</v>
      </c>
      <c r="S195">
        <f t="shared" ref="S195:S258" si="15">IF(ISBLANK(L195), 12, MONTH(L195))</f>
        <v>1</v>
      </c>
      <c r="T195">
        <f t="shared" ref="T195:T258" si="16">IF(ISBLANK(L195), 2025, YEAR(L195))</f>
        <v>2026</v>
      </c>
      <c r="U195">
        <f t="shared" ref="U195:U258" si="17">IF((2025-T195)*12+(12-S195+2)&lt;0,0,(2025-T195)*12+(12-S195+2))</f>
        <v>1</v>
      </c>
      <c r="V195">
        <f t="shared" ref="V195:V258" si="18">MIN(IF((2025-T195)*12+(12-S195+2)&lt;0,0,(2025-T195)*12+(12-S195+2)),6+12+2)</f>
        <v>1</v>
      </c>
      <c r="W195" s="15">
        <f t="shared" si="14"/>
        <v>500</v>
      </c>
      <c r="X195">
        <f>VLOOKUP(B195,'[25]Cancel Sent on March 12'!$B:$B,1,0)</f>
        <v>76205088</v>
      </c>
    </row>
    <row r="196" spans="1:24">
      <c r="A196" t="s">
        <v>2787</v>
      </c>
      <c r="B196">
        <v>76206328</v>
      </c>
      <c r="C196">
        <v>76206328</v>
      </c>
      <c r="D196" t="s">
        <v>39</v>
      </c>
      <c r="E196">
        <v>300</v>
      </c>
      <c r="F196" t="e">
        <v>#N/A</v>
      </c>
      <c r="G196" t="e">
        <v>#N/A</v>
      </c>
      <c r="H196" t="e">
        <v>#N/A</v>
      </c>
      <c r="I196" t="e">
        <v>#N/A</v>
      </c>
      <c r="K196" t="s">
        <v>8727</v>
      </c>
      <c r="L196" s="29">
        <v>46023</v>
      </c>
      <c r="M196" t="s">
        <v>8731</v>
      </c>
      <c r="Q196" t="s">
        <v>8806</v>
      </c>
      <c r="R196" t="s">
        <v>8798</v>
      </c>
      <c r="S196">
        <f t="shared" si="15"/>
        <v>1</v>
      </c>
      <c r="T196">
        <f t="shared" si="16"/>
        <v>2026</v>
      </c>
      <c r="U196">
        <f t="shared" si="17"/>
        <v>1</v>
      </c>
      <c r="V196">
        <f t="shared" si="18"/>
        <v>1</v>
      </c>
      <c r="W196" s="15">
        <f t="shared" ref="W196:W259" si="19">U196*E196+V196*200</f>
        <v>500</v>
      </c>
      <c r="X196">
        <f>VLOOKUP(B196,'[25]Cancel Sent on March 12'!$B:$B,1,0)</f>
        <v>76206328</v>
      </c>
    </row>
    <row r="197" spans="1:24">
      <c r="A197" t="s">
        <v>8643</v>
      </c>
      <c r="B197">
        <v>76206468</v>
      </c>
      <c r="C197">
        <v>76206468</v>
      </c>
      <c r="D197" t="s">
        <v>39</v>
      </c>
      <c r="E197">
        <v>300</v>
      </c>
      <c r="F197" t="e">
        <v>#N/A</v>
      </c>
      <c r="G197" t="e">
        <v>#N/A</v>
      </c>
      <c r="H197" t="e">
        <v>#N/A</v>
      </c>
      <c r="I197" t="e">
        <v>#N/A</v>
      </c>
      <c r="K197" t="s">
        <v>8727</v>
      </c>
      <c r="L197" s="29">
        <v>45748</v>
      </c>
      <c r="M197" t="s">
        <v>8731</v>
      </c>
      <c r="Q197" s="30"/>
      <c r="R197" t="s">
        <v>8798</v>
      </c>
      <c r="S197">
        <f t="shared" si="15"/>
        <v>4</v>
      </c>
      <c r="T197">
        <f t="shared" si="16"/>
        <v>2025</v>
      </c>
      <c r="U197">
        <f t="shared" si="17"/>
        <v>10</v>
      </c>
      <c r="V197">
        <f t="shared" si="18"/>
        <v>10</v>
      </c>
      <c r="W197" s="15">
        <f t="shared" si="19"/>
        <v>5000</v>
      </c>
      <c r="X197">
        <f>VLOOKUP(B197,'[25]Cancel Sent on March 12'!$B:$B,1,0)</f>
        <v>76206468</v>
      </c>
    </row>
    <row r="198" spans="1:24">
      <c r="A198" t="s">
        <v>8644</v>
      </c>
      <c r="B198">
        <v>76206627</v>
      </c>
      <c r="C198">
        <v>76206627</v>
      </c>
      <c r="D198" t="s">
        <v>39</v>
      </c>
      <c r="E198">
        <v>300</v>
      </c>
      <c r="F198" t="e">
        <v>#N/A</v>
      </c>
      <c r="G198" t="e">
        <v>#N/A</v>
      </c>
      <c r="H198" t="e">
        <v>#N/A</v>
      </c>
      <c r="I198" t="e">
        <v>#N/A</v>
      </c>
      <c r="K198" t="s">
        <v>8741</v>
      </c>
      <c r="L198" s="29">
        <v>45383</v>
      </c>
      <c r="M198" t="s">
        <v>8731</v>
      </c>
      <c r="Q198" s="30" t="s">
        <v>8809</v>
      </c>
      <c r="R198" t="s">
        <v>8798</v>
      </c>
      <c r="S198">
        <f t="shared" si="15"/>
        <v>4</v>
      </c>
      <c r="T198">
        <f t="shared" si="16"/>
        <v>2024</v>
      </c>
      <c r="U198">
        <f t="shared" si="17"/>
        <v>22</v>
      </c>
      <c r="V198">
        <f t="shared" si="18"/>
        <v>20</v>
      </c>
      <c r="W198" s="15">
        <f t="shared" si="19"/>
        <v>10600</v>
      </c>
      <c r="X198">
        <f>VLOOKUP(B198,'[25]Cancel Sent on March 12'!$B:$B,1,0)</f>
        <v>76206627</v>
      </c>
    </row>
    <row r="199" spans="1:24">
      <c r="A199" t="s">
        <v>1347</v>
      </c>
      <c r="B199">
        <v>76207079</v>
      </c>
      <c r="C199">
        <v>76207079</v>
      </c>
      <c r="D199" t="s">
        <v>39</v>
      </c>
      <c r="E199">
        <v>300</v>
      </c>
      <c r="F199" t="e">
        <v>#N/A</v>
      </c>
      <c r="G199" t="e">
        <v>#N/A</v>
      </c>
      <c r="H199" t="e">
        <v>#N/A</v>
      </c>
      <c r="I199" t="e">
        <v>#N/A</v>
      </c>
      <c r="K199" t="s">
        <v>8727</v>
      </c>
      <c r="L199" s="29">
        <v>45839</v>
      </c>
      <c r="M199" t="s">
        <v>8731</v>
      </c>
      <c r="P199" t="s">
        <v>306</v>
      </c>
      <c r="Q199" s="30" t="s">
        <v>8829</v>
      </c>
      <c r="R199" t="s">
        <v>8798</v>
      </c>
      <c r="S199">
        <f t="shared" si="15"/>
        <v>7</v>
      </c>
      <c r="T199">
        <f t="shared" si="16"/>
        <v>2025</v>
      </c>
      <c r="U199">
        <f t="shared" si="17"/>
        <v>7</v>
      </c>
      <c r="V199">
        <f t="shared" si="18"/>
        <v>7</v>
      </c>
      <c r="W199" s="15">
        <f t="shared" si="19"/>
        <v>3500</v>
      </c>
      <c r="X199">
        <f>VLOOKUP(B199,'[25]Cancel Sent on March 12'!$B:$B,1,0)</f>
        <v>76207079</v>
      </c>
    </row>
    <row r="200" spans="1:24">
      <c r="A200" t="s">
        <v>8645</v>
      </c>
      <c r="B200">
        <v>76207108</v>
      </c>
      <c r="C200">
        <v>76207108</v>
      </c>
      <c r="D200" t="s">
        <v>39</v>
      </c>
      <c r="E200">
        <v>300</v>
      </c>
      <c r="F200" t="e">
        <v>#N/A</v>
      </c>
      <c r="G200" t="e">
        <v>#N/A</v>
      </c>
      <c r="H200" t="e">
        <v>#N/A</v>
      </c>
      <c r="I200" t="e">
        <v>#N/A</v>
      </c>
      <c r="K200" t="s">
        <v>8741</v>
      </c>
      <c r="L200" s="29">
        <v>46054</v>
      </c>
      <c r="M200" t="s">
        <v>8731</v>
      </c>
      <c r="Q200" s="30" t="s">
        <v>8830</v>
      </c>
      <c r="R200" t="s">
        <v>8798</v>
      </c>
      <c r="S200">
        <f t="shared" si="15"/>
        <v>2</v>
      </c>
      <c r="T200">
        <f t="shared" si="16"/>
        <v>2026</v>
      </c>
      <c r="U200">
        <f t="shared" si="17"/>
        <v>0</v>
      </c>
      <c r="V200">
        <f t="shared" si="18"/>
        <v>0</v>
      </c>
      <c r="W200" s="15">
        <f t="shared" si="19"/>
        <v>0</v>
      </c>
      <c r="X200">
        <f>VLOOKUP(B200,'[25]Cancel Sent on March 12'!$B:$B,1,0)</f>
        <v>76207108</v>
      </c>
    </row>
    <row r="201" spans="1:24">
      <c r="A201" t="s">
        <v>8646</v>
      </c>
      <c r="B201">
        <v>76208069</v>
      </c>
      <c r="C201">
        <v>76208069</v>
      </c>
      <c r="D201" t="s">
        <v>39</v>
      </c>
      <c r="E201">
        <v>300</v>
      </c>
      <c r="F201" t="e">
        <v>#N/A</v>
      </c>
      <c r="G201" t="e">
        <v>#N/A</v>
      </c>
      <c r="H201" t="e">
        <v>#N/A</v>
      </c>
      <c r="I201" t="e">
        <v>#N/A</v>
      </c>
      <c r="K201" t="s">
        <v>8741</v>
      </c>
      <c r="L201" s="29">
        <v>45078</v>
      </c>
      <c r="M201" t="s">
        <v>8728</v>
      </c>
      <c r="Q201" s="30"/>
      <c r="R201" t="s">
        <v>8798</v>
      </c>
      <c r="S201">
        <f t="shared" si="15"/>
        <v>6</v>
      </c>
      <c r="T201">
        <f t="shared" si="16"/>
        <v>2023</v>
      </c>
      <c r="U201">
        <f t="shared" si="17"/>
        <v>32</v>
      </c>
      <c r="V201">
        <f t="shared" si="18"/>
        <v>20</v>
      </c>
      <c r="W201" s="15">
        <f t="shared" si="19"/>
        <v>13600</v>
      </c>
      <c r="X201">
        <f>VLOOKUP(B201,'[25]Cancel Sent on March 12'!$B:$B,1,0)</f>
        <v>76208069</v>
      </c>
    </row>
    <row r="202" spans="1:24">
      <c r="A202" t="s">
        <v>8647</v>
      </c>
      <c r="B202">
        <v>76209123</v>
      </c>
      <c r="C202">
        <v>76209123</v>
      </c>
      <c r="D202" t="s">
        <v>39</v>
      </c>
      <c r="E202">
        <v>300</v>
      </c>
      <c r="F202" t="e">
        <v>#N/A</v>
      </c>
      <c r="G202" t="e">
        <v>#N/A</v>
      </c>
      <c r="H202" t="e">
        <v>#N/A</v>
      </c>
      <c r="I202" t="e">
        <v>#N/A</v>
      </c>
      <c r="K202" t="s">
        <v>8741</v>
      </c>
      <c r="L202" s="29">
        <v>45352</v>
      </c>
      <c r="M202" t="s">
        <v>8731</v>
      </c>
      <c r="P202" t="s">
        <v>306</v>
      </c>
      <c r="Q202" s="30" t="s">
        <v>8826</v>
      </c>
      <c r="R202" t="s">
        <v>8798</v>
      </c>
      <c r="S202">
        <f t="shared" si="15"/>
        <v>3</v>
      </c>
      <c r="T202">
        <f t="shared" si="16"/>
        <v>2024</v>
      </c>
      <c r="U202">
        <f t="shared" si="17"/>
        <v>23</v>
      </c>
      <c r="V202">
        <f t="shared" si="18"/>
        <v>20</v>
      </c>
      <c r="W202" s="15">
        <f t="shared" si="19"/>
        <v>10900</v>
      </c>
      <c r="X202">
        <f>VLOOKUP(B202,'[25]Cancel Sent on March 12'!$B:$B,1,0)</f>
        <v>76209123</v>
      </c>
    </row>
    <row r="203" spans="1:24">
      <c r="A203" t="s">
        <v>1272</v>
      </c>
      <c r="B203">
        <v>76209246</v>
      </c>
      <c r="C203">
        <v>76209246</v>
      </c>
      <c r="D203" t="s">
        <v>39</v>
      </c>
      <c r="E203">
        <v>300</v>
      </c>
      <c r="F203" t="e">
        <v>#N/A</v>
      </c>
      <c r="G203" t="e">
        <v>#N/A</v>
      </c>
      <c r="H203" t="e">
        <v>#N/A</v>
      </c>
      <c r="I203" t="e">
        <v>#N/A</v>
      </c>
      <c r="Q203" s="30" t="s">
        <v>8824</v>
      </c>
      <c r="R203" t="s">
        <v>8798</v>
      </c>
      <c r="S203">
        <f t="shared" si="15"/>
        <v>12</v>
      </c>
      <c r="T203">
        <f t="shared" si="16"/>
        <v>2025</v>
      </c>
      <c r="U203">
        <f t="shared" si="17"/>
        <v>2</v>
      </c>
      <c r="V203">
        <f t="shared" si="18"/>
        <v>2</v>
      </c>
      <c r="W203" s="15">
        <f t="shared" si="19"/>
        <v>1000</v>
      </c>
      <c r="X203">
        <f>VLOOKUP(B203,'[25]Cancel Sent on March 12'!$B:$B,1,0)</f>
        <v>76209246</v>
      </c>
    </row>
    <row r="204" spans="1:24">
      <c r="A204" t="s">
        <v>8097</v>
      </c>
      <c r="B204">
        <v>76210722</v>
      </c>
      <c r="C204">
        <v>76210722</v>
      </c>
      <c r="D204" t="s">
        <v>39</v>
      </c>
      <c r="E204">
        <v>300</v>
      </c>
      <c r="F204" t="e">
        <v>#N/A</v>
      </c>
      <c r="G204" t="e">
        <v>#N/A</v>
      </c>
      <c r="H204" t="e">
        <v>#N/A</v>
      </c>
      <c r="I204" t="e">
        <v>#N/A</v>
      </c>
      <c r="K204" t="s">
        <v>8741</v>
      </c>
      <c r="L204" s="29">
        <v>46054</v>
      </c>
      <c r="M204" t="s">
        <v>8731</v>
      </c>
      <c r="Q204" s="30" t="s">
        <v>8808</v>
      </c>
      <c r="R204" t="s">
        <v>8798</v>
      </c>
      <c r="S204">
        <f t="shared" si="15"/>
        <v>2</v>
      </c>
      <c r="T204">
        <f t="shared" si="16"/>
        <v>2026</v>
      </c>
      <c r="U204">
        <f t="shared" si="17"/>
        <v>0</v>
      </c>
      <c r="V204">
        <f t="shared" si="18"/>
        <v>0</v>
      </c>
      <c r="W204" s="15">
        <f t="shared" si="19"/>
        <v>0</v>
      </c>
      <c r="X204">
        <f>VLOOKUP(B204,'[25]Cancel Sent on March 12'!$B:$B,1,0)</f>
        <v>76210722</v>
      </c>
    </row>
    <row r="205" spans="1:24">
      <c r="A205" t="s">
        <v>8648</v>
      </c>
      <c r="B205">
        <v>76210817</v>
      </c>
      <c r="C205">
        <v>76210817</v>
      </c>
      <c r="D205" t="s">
        <v>39</v>
      </c>
      <c r="E205">
        <v>300</v>
      </c>
      <c r="F205" t="e">
        <v>#N/A</v>
      </c>
      <c r="G205" t="e">
        <v>#N/A</v>
      </c>
      <c r="H205" t="e">
        <v>#N/A</v>
      </c>
      <c r="I205" t="e">
        <v>#N/A</v>
      </c>
      <c r="Q205" s="32" t="s">
        <v>8824</v>
      </c>
      <c r="R205" t="s">
        <v>8798</v>
      </c>
      <c r="S205">
        <f t="shared" si="15"/>
        <v>12</v>
      </c>
      <c r="T205">
        <f t="shared" si="16"/>
        <v>2025</v>
      </c>
      <c r="U205">
        <f t="shared" si="17"/>
        <v>2</v>
      </c>
      <c r="V205">
        <f t="shared" si="18"/>
        <v>2</v>
      </c>
      <c r="W205" s="15">
        <f t="shared" si="19"/>
        <v>1000</v>
      </c>
      <c r="X205">
        <f>VLOOKUP(B205,'[25]Cancel Sent on March 12'!$B:$B,1,0)</f>
        <v>76210817</v>
      </c>
    </row>
    <row r="206" spans="1:24">
      <c r="A206" t="s">
        <v>8649</v>
      </c>
      <c r="B206">
        <v>76211134</v>
      </c>
      <c r="C206">
        <v>76211134</v>
      </c>
      <c r="D206" t="s">
        <v>39</v>
      </c>
      <c r="E206">
        <v>300</v>
      </c>
      <c r="F206" t="e">
        <v>#N/A</v>
      </c>
      <c r="G206" t="e">
        <v>#N/A</v>
      </c>
      <c r="H206" t="e">
        <v>#N/A</v>
      </c>
      <c r="I206" t="e">
        <v>#N/A</v>
      </c>
      <c r="K206" t="s">
        <v>8727</v>
      </c>
      <c r="L206" s="29">
        <v>45931</v>
      </c>
      <c r="M206" t="s">
        <v>8731</v>
      </c>
      <c r="Q206" s="30" t="s">
        <v>8806</v>
      </c>
      <c r="R206" t="s">
        <v>8798</v>
      </c>
      <c r="S206">
        <f t="shared" si="15"/>
        <v>10</v>
      </c>
      <c r="T206">
        <f t="shared" si="16"/>
        <v>2025</v>
      </c>
      <c r="U206">
        <f t="shared" si="17"/>
        <v>4</v>
      </c>
      <c r="V206">
        <f t="shared" si="18"/>
        <v>4</v>
      </c>
      <c r="W206" s="15">
        <f t="shared" si="19"/>
        <v>2000</v>
      </c>
      <c r="X206">
        <f>VLOOKUP(B206,'[25]Cancel Sent on March 12'!$B:$B,1,0)</f>
        <v>76211134</v>
      </c>
    </row>
    <row r="207" spans="1:24">
      <c r="A207" t="s">
        <v>8650</v>
      </c>
      <c r="B207">
        <v>76211612</v>
      </c>
      <c r="C207">
        <v>76211612</v>
      </c>
      <c r="D207" t="s">
        <v>39</v>
      </c>
      <c r="E207">
        <v>450</v>
      </c>
      <c r="F207" t="e">
        <v>#N/A</v>
      </c>
      <c r="G207" t="e">
        <v>#N/A</v>
      </c>
      <c r="H207" t="e">
        <v>#N/A</v>
      </c>
      <c r="I207" t="e">
        <v>#N/A</v>
      </c>
      <c r="K207" t="s">
        <v>8727</v>
      </c>
      <c r="L207" s="29">
        <v>45931</v>
      </c>
      <c r="M207" t="s">
        <v>8728</v>
      </c>
      <c r="Q207" s="30" t="s">
        <v>8806</v>
      </c>
      <c r="R207" t="s">
        <v>8798</v>
      </c>
      <c r="S207">
        <f t="shared" si="15"/>
        <v>10</v>
      </c>
      <c r="T207">
        <f t="shared" si="16"/>
        <v>2025</v>
      </c>
      <c r="U207">
        <f t="shared" si="17"/>
        <v>4</v>
      </c>
      <c r="V207">
        <f t="shared" si="18"/>
        <v>4</v>
      </c>
      <c r="W207" s="15">
        <f t="shared" si="19"/>
        <v>2600</v>
      </c>
      <c r="X207">
        <f>VLOOKUP(B207,'[25]Cancel Sent on March 12'!$B:$B,1,0)</f>
        <v>76211612</v>
      </c>
    </row>
    <row r="208" spans="1:24">
      <c r="A208" t="s">
        <v>8651</v>
      </c>
      <c r="B208">
        <v>76211737</v>
      </c>
      <c r="C208">
        <v>76211737</v>
      </c>
      <c r="D208" t="s">
        <v>39</v>
      </c>
      <c r="E208">
        <v>300</v>
      </c>
      <c r="F208" t="e">
        <v>#N/A</v>
      </c>
      <c r="G208" t="e">
        <v>#N/A</v>
      </c>
      <c r="H208" t="e">
        <v>#N/A</v>
      </c>
      <c r="I208" t="e">
        <v>#N/A</v>
      </c>
      <c r="K208" t="s">
        <v>8831</v>
      </c>
      <c r="L208" s="29">
        <v>45931</v>
      </c>
      <c r="M208" t="s">
        <v>8731</v>
      </c>
      <c r="Q208" s="30" t="s">
        <v>8806</v>
      </c>
      <c r="R208" t="s">
        <v>8798</v>
      </c>
      <c r="S208">
        <f t="shared" si="15"/>
        <v>10</v>
      </c>
      <c r="T208">
        <f t="shared" si="16"/>
        <v>2025</v>
      </c>
      <c r="U208">
        <f t="shared" si="17"/>
        <v>4</v>
      </c>
      <c r="V208">
        <f t="shared" si="18"/>
        <v>4</v>
      </c>
      <c r="W208" s="15">
        <f t="shared" si="19"/>
        <v>2000</v>
      </c>
      <c r="X208">
        <f>VLOOKUP(B208,'[25]Cancel Sent on March 12'!$B:$B,1,0)</f>
        <v>76211737</v>
      </c>
    </row>
    <row r="209" spans="1:24">
      <c r="A209" t="s">
        <v>8652</v>
      </c>
      <c r="B209">
        <v>76211858</v>
      </c>
      <c r="C209">
        <v>76211858</v>
      </c>
      <c r="D209" t="s">
        <v>39</v>
      </c>
      <c r="E209">
        <v>300</v>
      </c>
      <c r="F209" t="e">
        <v>#N/A</v>
      </c>
      <c r="G209" t="e">
        <v>#N/A</v>
      </c>
      <c r="H209" t="e">
        <v>#N/A</v>
      </c>
      <c r="I209" t="e">
        <v>#N/A</v>
      </c>
      <c r="K209" t="s">
        <v>8727</v>
      </c>
      <c r="L209" s="29">
        <v>45870</v>
      </c>
      <c r="M209" t="s">
        <v>8731</v>
      </c>
      <c r="Q209" s="30" t="s">
        <v>8832</v>
      </c>
      <c r="R209" t="s">
        <v>8798</v>
      </c>
      <c r="S209">
        <f t="shared" si="15"/>
        <v>8</v>
      </c>
      <c r="T209">
        <f t="shared" si="16"/>
        <v>2025</v>
      </c>
      <c r="U209">
        <f t="shared" si="17"/>
        <v>6</v>
      </c>
      <c r="V209">
        <f t="shared" si="18"/>
        <v>6</v>
      </c>
      <c r="W209" s="15">
        <f t="shared" si="19"/>
        <v>3000</v>
      </c>
      <c r="X209">
        <f>VLOOKUP(B209,'[25]Cancel Sent on March 12'!$B:$B,1,0)</f>
        <v>76211858</v>
      </c>
    </row>
    <row r="210" spans="1:24">
      <c r="A210" s="23" t="s">
        <v>8653</v>
      </c>
      <c r="B210" s="23">
        <v>76212091</v>
      </c>
      <c r="C210" s="23">
        <v>76212091</v>
      </c>
      <c r="D210" s="23" t="s">
        <v>39</v>
      </c>
      <c r="E210" s="23">
        <v>300</v>
      </c>
      <c r="F210" s="23" t="e">
        <v>#N/A</v>
      </c>
      <c r="G210" t="e">
        <v>#N/A</v>
      </c>
      <c r="H210" t="e">
        <v>#N/A</v>
      </c>
      <c r="I210" t="e">
        <v>#N/A</v>
      </c>
      <c r="J210" s="23"/>
      <c r="K210" s="23" t="s">
        <v>8727</v>
      </c>
      <c r="L210" s="29">
        <v>45931</v>
      </c>
      <c r="M210" s="23" t="s">
        <v>8731</v>
      </c>
      <c r="N210" s="23"/>
      <c r="O210" s="23"/>
      <c r="P210" s="23"/>
      <c r="Q210" s="33" t="s">
        <v>8806</v>
      </c>
      <c r="R210" s="23" t="s">
        <v>8798</v>
      </c>
      <c r="S210">
        <f t="shared" si="15"/>
        <v>10</v>
      </c>
      <c r="T210">
        <f t="shared" si="16"/>
        <v>2025</v>
      </c>
      <c r="U210">
        <f t="shared" si="17"/>
        <v>4</v>
      </c>
      <c r="V210">
        <f t="shared" si="18"/>
        <v>4</v>
      </c>
      <c r="W210" s="15">
        <f t="shared" si="19"/>
        <v>2000</v>
      </c>
      <c r="X210">
        <f>VLOOKUP(B210,'[25]Cancel Sent on March 12'!$B:$B,1,0)</f>
        <v>76212091</v>
      </c>
    </row>
    <row r="211" spans="1:24">
      <c r="A211" t="s">
        <v>8654</v>
      </c>
      <c r="B211">
        <v>76212720</v>
      </c>
      <c r="C211">
        <v>76212720</v>
      </c>
      <c r="D211" t="s">
        <v>39</v>
      </c>
      <c r="E211">
        <v>400</v>
      </c>
      <c r="F211" t="e">
        <v>#N/A</v>
      </c>
      <c r="G211" t="e">
        <v>#N/A</v>
      </c>
      <c r="H211" t="e">
        <v>#N/A</v>
      </c>
      <c r="I211" t="e">
        <v>#N/A</v>
      </c>
      <c r="K211" t="s">
        <v>8727</v>
      </c>
      <c r="L211" s="29">
        <v>45839</v>
      </c>
      <c r="M211" t="s">
        <v>8728</v>
      </c>
      <c r="Q211" s="30" t="s">
        <v>8806</v>
      </c>
      <c r="R211" t="s">
        <v>8798</v>
      </c>
      <c r="S211">
        <f t="shared" si="15"/>
        <v>7</v>
      </c>
      <c r="T211">
        <f t="shared" si="16"/>
        <v>2025</v>
      </c>
      <c r="U211">
        <f t="shared" si="17"/>
        <v>7</v>
      </c>
      <c r="V211">
        <f t="shared" si="18"/>
        <v>7</v>
      </c>
      <c r="W211" s="15">
        <f t="shared" si="19"/>
        <v>4200</v>
      </c>
      <c r="X211">
        <f>VLOOKUP(B211,'[25]Cancel Sent on March 12'!$B:$B,1,0)</f>
        <v>76212720</v>
      </c>
    </row>
    <row r="212" spans="1:24">
      <c r="A212" t="s">
        <v>8655</v>
      </c>
      <c r="B212">
        <v>76212903</v>
      </c>
      <c r="C212">
        <v>76212903</v>
      </c>
      <c r="D212" t="s">
        <v>39</v>
      </c>
      <c r="E212">
        <v>450</v>
      </c>
      <c r="F212" t="e">
        <v>#N/A</v>
      </c>
      <c r="G212" t="e">
        <v>#N/A</v>
      </c>
      <c r="H212" t="e">
        <v>#N/A</v>
      </c>
      <c r="I212" t="e">
        <v>#N/A</v>
      </c>
      <c r="K212" t="s">
        <v>8727</v>
      </c>
      <c r="L212" s="29">
        <v>44986</v>
      </c>
      <c r="M212" t="s">
        <v>8728</v>
      </c>
      <c r="Q212" s="30" t="s">
        <v>8819</v>
      </c>
      <c r="R212" t="s">
        <v>8798</v>
      </c>
      <c r="S212">
        <f t="shared" si="15"/>
        <v>3</v>
      </c>
      <c r="T212">
        <f t="shared" si="16"/>
        <v>2023</v>
      </c>
      <c r="U212">
        <f t="shared" si="17"/>
        <v>35</v>
      </c>
      <c r="V212">
        <f t="shared" si="18"/>
        <v>20</v>
      </c>
      <c r="W212" s="15">
        <f t="shared" si="19"/>
        <v>19750</v>
      </c>
      <c r="X212">
        <f>VLOOKUP(B212,'[25]Cancel Sent on March 12'!$B:$B,1,0)</f>
        <v>76212903</v>
      </c>
    </row>
    <row r="213" spans="1:24">
      <c r="A213" s="23" t="s">
        <v>8656</v>
      </c>
      <c r="B213" s="23">
        <v>76213684</v>
      </c>
      <c r="C213" s="23">
        <v>76213684</v>
      </c>
      <c r="D213" s="23" t="s">
        <v>39</v>
      </c>
      <c r="E213" s="23">
        <v>400</v>
      </c>
      <c r="F213" s="23" t="e">
        <v>#N/A</v>
      </c>
      <c r="G213" t="e">
        <v>#N/A</v>
      </c>
      <c r="H213" t="e">
        <v>#N/A</v>
      </c>
      <c r="I213" t="e">
        <v>#N/A</v>
      </c>
      <c r="J213" s="23"/>
      <c r="K213" s="23" t="s">
        <v>8727</v>
      </c>
      <c r="L213" s="29">
        <v>45566</v>
      </c>
      <c r="M213" s="23" t="s">
        <v>8728</v>
      </c>
      <c r="N213" s="23"/>
      <c r="P213" t="s">
        <v>306</v>
      </c>
      <c r="Q213" s="33" t="s">
        <v>8833</v>
      </c>
      <c r="R213" t="s">
        <v>8798</v>
      </c>
      <c r="S213">
        <f t="shared" si="15"/>
        <v>10</v>
      </c>
      <c r="T213">
        <f t="shared" si="16"/>
        <v>2024</v>
      </c>
      <c r="U213">
        <f t="shared" si="17"/>
        <v>16</v>
      </c>
      <c r="V213">
        <f t="shared" si="18"/>
        <v>16</v>
      </c>
      <c r="W213" s="15">
        <f t="shared" si="19"/>
        <v>9600</v>
      </c>
      <c r="X213">
        <f>VLOOKUP(B213,'[25]Cancel Sent on March 12'!$B:$B,1,0)</f>
        <v>76213684</v>
      </c>
    </row>
    <row r="214" spans="1:24">
      <c r="A214" t="s">
        <v>8657</v>
      </c>
      <c r="B214">
        <v>76215501</v>
      </c>
      <c r="C214">
        <v>76215501</v>
      </c>
      <c r="D214" t="s">
        <v>39</v>
      </c>
      <c r="E214">
        <v>300</v>
      </c>
      <c r="F214" t="e">
        <v>#N/A</v>
      </c>
      <c r="G214" t="e">
        <v>#N/A</v>
      </c>
      <c r="H214" t="e">
        <v>#N/A</v>
      </c>
      <c r="I214" t="e">
        <v>#N/A</v>
      </c>
      <c r="K214" t="s">
        <v>8727</v>
      </c>
      <c r="L214" s="29">
        <v>45627</v>
      </c>
      <c r="M214" t="s">
        <v>8731</v>
      </c>
      <c r="P214" t="s">
        <v>306</v>
      </c>
      <c r="Q214" s="30" t="s">
        <v>8834</v>
      </c>
      <c r="R214" t="s">
        <v>8798</v>
      </c>
      <c r="S214">
        <f t="shared" si="15"/>
        <v>12</v>
      </c>
      <c r="T214">
        <f t="shared" si="16"/>
        <v>2024</v>
      </c>
      <c r="U214">
        <f t="shared" si="17"/>
        <v>14</v>
      </c>
      <c r="V214">
        <f t="shared" si="18"/>
        <v>14</v>
      </c>
      <c r="W214" s="15">
        <f t="shared" si="19"/>
        <v>7000</v>
      </c>
      <c r="X214">
        <f>VLOOKUP(B214,'[25]Cancel Sent on March 12'!$B:$B,1,0)</f>
        <v>76215501</v>
      </c>
    </row>
    <row r="215" spans="1:24">
      <c r="A215" t="s">
        <v>8658</v>
      </c>
      <c r="B215">
        <v>76215521</v>
      </c>
      <c r="C215">
        <v>76215521</v>
      </c>
      <c r="D215" t="s">
        <v>39</v>
      </c>
      <c r="E215">
        <v>450</v>
      </c>
      <c r="F215" t="e">
        <v>#N/A</v>
      </c>
      <c r="G215" t="e">
        <v>#N/A</v>
      </c>
      <c r="H215" t="e">
        <v>#N/A</v>
      </c>
      <c r="I215" t="e">
        <v>#N/A</v>
      </c>
      <c r="K215" t="s">
        <v>8727</v>
      </c>
      <c r="L215" s="29">
        <v>45200</v>
      </c>
      <c r="M215" t="s">
        <v>8731</v>
      </c>
      <c r="P215" t="s">
        <v>306</v>
      </c>
      <c r="Q215" s="30" t="s">
        <v>8835</v>
      </c>
      <c r="R215" t="s">
        <v>8798</v>
      </c>
      <c r="S215">
        <f t="shared" si="15"/>
        <v>10</v>
      </c>
      <c r="T215">
        <f t="shared" si="16"/>
        <v>2023</v>
      </c>
      <c r="U215">
        <f t="shared" si="17"/>
        <v>28</v>
      </c>
      <c r="V215">
        <f t="shared" si="18"/>
        <v>20</v>
      </c>
      <c r="W215" s="15">
        <f t="shared" si="19"/>
        <v>16600</v>
      </c>
      <c r="X215">
        <f>VLOOKUP(B215,'[25]Cancel Sent on March 12'!$B:$B,1,0)</f>
        <v>76215521</v>
      </c>
    </row>
    <row r="216" spans="1:24">
      <c r="A216" t="s">
        <v>8659</v>
      </c>
      <c r="B216">
        <v>76216232</v>
      </c>
      <c r="C216">
        <v>76216232</v>
      </c>
      <c r="D216" t="s">
        <v>39</v>
      </c>
      <c r="E216">
        <v>300</v>
      </c>
      <c r="F216" t="e">
        <v>#N/A</v>
      </c>
      <c r="G216" t="e">
        <v>#N/A</v>
      </c>
      <c r="H216" t="e">
        <v>#N/A</v>
      </c>
      <c r="I216" t="e">
        <v>#N/A</v>
      </c>
      <c r="K216" t="s">
        <v>8741</v>
      </c>
      <c r="L216" s="29">
        <v>45597</v>
      </c>
      <c r="M216" t="s">
        <v>8731</v>
      </c>
      <c r="Q216" s="30" t="s">
        <v>8836</v>
      </c>
      <c r="R216" t="s">
        <v>8798</v>
      </c>
      <c r="S216">
        <f t="shared" si="15"/>
        <v>11</v>
      </c>
      <c r="T216">
        <f t="shared" si="16"/>
        <v>2024</v>
      </c>
      <c r="U216">
        <f t="shared" si="17"/>
        <v>15</v>
      </c>
      <c r="V216">
        <f t="shared" si="18"/>
        <v>15</v>
      </c>
      <c r="W216" s="15">
        <f t="shared" si="19"/>
        <v>7500</v>
      </c>
      <c r="X216">
        <f>VLOOKUP(B216,'[25]Cancel Sent on March 12'!$B:$B,1,0)</f>
        <v>76216232</v>
      </c>
    </row>
    <row r="217" spans="1:24">
      <c r="A217" t="s">
        <v>8660</v>
      </c>
      <c r="B217">
        <v>76216383</v>
      </c>
      <c r="C217">
        <v>76216383</v>
      </c>
      <c r="D217" t="s">
        <v>39</v>
      </c>
      <c r="E217">
        <v>400</v>
      </c>
      <c r="F217" t="e">
        <v>#N/A</v>
      </c>
      <c r="G217" t="e">
        <v>#N/A</v>
      </c>
      <c r="H217" t="e">
        <v>#N/A</v>
      </c>
      <c r="I217" t="e">
        <v>#N/A</v>
      </c>
      <c r="K217" t="s">
        <v>8727</v>
      </c>
      <c r="L217" s="29">
        <v>45352</v>
      </c>
      <c r="M217" t="s">
        <v>8728</v>
      </c>
      <c r="Q217" s="30" t="s">
        <v>8819</v>
      </c>
      <c r="R217" t="s">
        <v>8798</v>
      </c>
      <c r="S217">
        <f t="shared" si="15"/>
        <v>3</v>
      </c>
      <c r="T217">
        <f t="shared" si="16"/>
        <v>2024</v>
      </c>
      <c r="U217">
        <f t="shared" si="17"/>
        <v>23</v>
      </c>
      <c r="V217">
        <f t="shared" si="18"/>
        <v>20</v>
      </c>
      <c r="W217" s="15">
        <f t="shared" si="19"/>
        <v>13200</v>
      </c>
      <c r="X217">
        <f>VLOOKUP(B217,'[25]Cancel Sent on March 12'!$B:$B,1,0)</f>
        <v>76216383</v>
      </c>
    </row>
    <row r="218" spans="1:24">
      <c r="A218" t="s">
        <v>8661</v>
      </c>
      <c r="B218">
        <v>76216547</v>
      </c>
      <c r="C218">
        <v>76216547</v>
      </c>
      <c r="D218" t="s">
        <v>39</v>
      </c>
      <c r="E218">
        <v>300</v>
      </c>
      <c r="F218" t="e">
        <v>#N/A</v>
      </c>
      <c r="G218" t="e">
        <v>#N/A</v>
      </c>
      <c r="H218" t="e">
        <v>#N/A</v>
      </c>
      <c r="I218" t="e">
        <v>#N/A</v>
      </c>
      <c r="K218" t="s">
        <v>8741</v>
      </c>
      <c r="L218" s="29">
        <v>45627</v>
      </c>
      <c r="M218" t="s">
        <v>8731</v>
      </c>
      <c r="Q218" s="30" t="s">
        <v>8808</v>
      </c>
      <c r="R218" t="s">
        <v>8798</v>
      </c>
      <c r="S218">
        <f t="shared" si="15"/>
        <v>12</v>
      </c>
      <c r="T218">
        <f t="shared" si="16"/>
        <v>2024</v>
      </c>
      <c r="U218">
        <f t="shared" si="17"/>
        <v>14</v>
      </c>
      <c r="V218">
        <f t="shared" si="18"/>
        <v>14</v>
      </c>
      <c r="W218" s="15">
        <f t="shared" si="19"/>
        <v>7000</v>
      </c>
      <c r="X218">
        <f>VLOOKUP(B218,'[25]Cancel Sent on March 12'!$B:$B,1,0)</f>
        <v>76216547</v>
      </c>
    </row>
    <row r="219" spans="1:24">
      <c r="A219" t="s">
        <v>8662</v>
      </c>
      <c r="B219">
        <v>76216548</v>
      </c>
      <c r="C219">
        <v>76216548</v>
      </c>
      <c r="D219" t="s">
        <v>39</v>
      </c>
      <c r="E219">
        <v>300</v>
      </c>
      <c r="F219" t="e">
        <v>#N/A</v>
      </c>
      <c r="G219" t="e">
        <v>#N/A</v>
      </c>
      <c r="H219" t="e">
        <v>#N/A</v>
      </c>
      <c r="I219" t="e">
        <v>#N/A</v>
      </c>
      <c r="K219" t="s">
        <v>8741</v>
      </c>
      <c r="L219" s="29">
        <v>45627</v>
      </c>
      <c r="M219" t="s">
        <v>8731</v>
      </c>
      <c r="Q219" s="30" t="s">
        <v>8808</v>
      </c>
      <c r="R219" t="s">
        <v>8798</v>
      </c>
      <c r="S219">
        <f t="shared" si="15"/>
        <v>12</v>
      </c>
      <c r="T219">
        <f t="shared" si="16"/>
        <v>2024</v>
      </c>
      <c r="U219">
        <f t="shared" si="17"/>
        <v>14</v>
      </c>
      <c r="V219">
        <f t="shared" si="18"/>
        <v>14</v>
      </c>
      <c r="W219" s="15">
        <f t="shared" si="19"/>
        <v>7000</v>
      </c>
      <c r="X219">
        <f>VLOOKUP(B219,'[25]Cancel Sent on March 12'!$B:$B,1,0)</f>
        <v>76216548</v>
      </c>
    </row>
    <row r="220" spans="1:24">
      <c r="A220" t="s">
        <v>8663</v>
      </c>
      <c r="B220">
        <v>76216609</v>
      </c>
      <c r="C220">
        <v>76216609</v>
      </c>
      <c r="D220" t="s">
        <v>39</v>
      </c>
      <c r="E220">
        <v>300</v>
      </c>
      <c r="F220" t="e">
        <v>#N/A</v>
      </c>
      <c r="G220" t="e">
        <v>#N/A</v>
      </c>
      <c r="H220" t="e">
        <v>#N/A</v>
      </c>
      <c r="I220" t="e">
        <v>#N/A</v>
      </c>
      <c r="Q220" s="30" t="s">
        <v>8824</v>
      </c>
      <c r="R220" t="s">
        <v>8798</v>
      </c>
      <c r="S220">
        <f t="shared" si="15"/>
        <v>12</v>
      </c>
      <c r="T220">
        <f t="shared" si="16"/>
        <v>2025</v>
      </c>
      <c r="U220">
        <f t="shared" si="17"/>
        <v>2</v>
      </c>
      <c r="V220">
        <f t="shared" si="18"/>
        <v>2</v>
      </c>
      <c r="W220" s="15">
        <f t="shared" si="19"/>
        <v>1000</v>
      </c>
      <c r="X220">
        <f>VLOOKUP(B220,'[25]Cancel Sent on March 12'!$B:$B,1,0)</f>
        <v>76216609</v>
      </c>
    </row>
    <row r="221" spans="1:24">
      <c r="A221" t="s">
        <v>132</v>
      </c>
      <c r="B221">
        <v>76217358</v>
      </c>
      <c r="C221">
        <v>76217358</v>
      </c>
      <c r="D221" t="s">
        <v>39</v>
      </c>
      <c r="E221">
        <v>400</v>
      </c>
      <c r="F221" t="e">
        <v>#N/A</v>
      </c>
      <c r="G221" t="e">
        <v>#N/A</v>
      </c>
      <c r="H221" t="e">
        <v>#N/A</v>
      </c>
      <c r="I221" t="e">
        <v>#N/A</v>
      </c>
      <c r="K221" t="s">
        <v>8727</v>
      </c>
      <c r="L221" s="29">
        <v>45383</v>
      </c>
      <c r="M221" t="s">
        <v>8728</v>
      </c>
      <c r="Q221" t="s">
        <v>8829</v>
      </c>
      <c r="R221" t="s">
        <v>8798</v>
      </c>
      <c r="S221">
        <f t="shared" si="15"/>
        <v>4</v>
      </c>
      <c r="T221">
        <f t="shared" si="16"/>
        <v>2024</v>
      </c>
      <c r="U221">
        <f t="shared" si="17"/>
        <v>22</v>
      </c>
      <c r="V221">
        <f t="shared" si="18"/>
        <v>20</v>
      </c>
      <c r="W221" s="15">
        <f t="shared" si="19"/>
        <v>12800</v>
      </c>
      <c r="X221">
        <f>VLOOKUP(B221,'[25]Cancel Sent on March 12'!$B:$B,1,0)</f>
        <v>76217358</v>
      </c>
    </row>
    <row r="222" spans="1:24">
      <c r="A222" t="s">
        <v>8664</v>
      </c>
      <c r="B222">
        <v>76217674</v>
      </c>
      <c r="C222">
        <v>76217674</v>
      </c>
      <c r="D222" t="s">
        <v>39</v>
      </c>
      <c r="E222">
        <v>300</v>
      </c>
      <c r="F222" t="e">
        <v>#N/A</v>
      </c>
      <c r="G222" t="e">
        <v>#N/A</v>
      </c>
      <c r="H222" t="e">
        <v>#N/A</v>
      </c>
      <c r="I222" t="e">
        <v>#N/A</v>
      </c>
      <c r="Q222" s="30" t="s">
        <v>8824</v>
      </c>
      <c r="R222" t="s">
        <v>8798</v>
      </c>
      <c r="S222">
        <f t="shared" si="15"/>
        <v>12</v>
      </c>
      <c r="T222">
        <f t="shared" si="16"/>
        <v>2025</v>
      </c>
      <c r="U222">
        <f t="shared" si="17"/>
        <v>2</v>
      </c>
      <c r="V222">
        <f t="shared" si="18"/>
        <v>2</v>
      </c>
      <c r="W222" s="15">
        <f t="shared" si="19"/>
        <v>1000</v>
      </c>
      <c r="X222">
        <f>VLOOKUP(B222,'[25]Cancel Sent on March 12'!$B:$B,1,0)</f>
        <v>76217674</v>
      </c>
    </row>
    <row r="223" spans="1:24">
      <c r="A223" t="s">
        <v>8665</v>
      </c>
      <c r="B223">
        <v>76218326</v>
      </c>
      <c r="C223">
        <v>76218326</v>
      </c>
      <c r="D223" t="s">
        <v>39</v>
      </c>
      <c r="E223">
        <v>400</v>
      </c>
      <c r="F223" t="e">
        <v>#N/A</v>
      </c>
      <c r="G223" t="e">
        <v>#N/A</v>
      </c>
      <c r="H223" t="e">
        <v>#N/A</v>
      </c>
      <c r="I223" t="e">
        <v>#N/A</v>
      </c>
      <c r="K223" t="s">
        <v>8727</v>
      </c>
      <c r="L223" s="29">
        <v>45931</v>
      </c>
      <c r="M223" t="s">
        <v>8728</v>
      </c>
      <c r="Q223" s="30" t="s">
        <v>8806</v>
      </c>
      <c r="R223" t="s">
        <v>8798</v>
      </c>
      <c r="S223">
        <f t="shared" si="15"/>
        <v>10</v>
      </c>
      <c r="T223">
        <f t="shared" si="16"/>
        <v>2025</v>
      </c>
      <c r="U223">
        <f t="shared" si="17"/>
        <v>4</v>
      </c>
      <c r="V223">
        <f t="shared" si="18"/>
        <v>4</v>
      </c>
      <c r="W223" s="15">
        <f t="shared" si="19"/>
        <v>2400</v>
      </c>
      <c r="X223">
        <f>VLOOKUP(B223,'[25]Cancel Sent on March 12'!$B:$B,1,0)</f>
        <v>76218326</v>
      </c>
    </row>
    <row r="224" spans="1:24" hidden="1">
      <c r="A224" t="s">
        <v>614</v>
      </c>
      <c r="B224">
        <v>76218409</v>
      </c>
      <c r="C224">
        <v>76218409</v>
      </c>
      <c r="D224" t="s">
        <v>39</v>
      </c>
      <c r="E224">
        <v>300</v>
      </c>
      <c r="F224" t="e">
        <v>#N/A</v>
      </c>
      <c r="G224" t="e">
        <v>#N/A</v>
      </c>
      <c r="H224" t="e">
        <v>#N/A</v>
      </c>
      <c r="I224" t="e">
        <v>#N/A</v>
      </c>
      <c r="K224" t="s">
        <v>4653</v>
      </c>
      <c r="L224" s="29">
        <v>45717</v>
      </c>
      <c r="M224" t="s">
        <v>8731</v>
      </c>
      <c r="O224" t="s">
        <v>8773</v>
      </c>
      <c r="Q224" s="30" t="s">
        <v>8837</v>
      </c>
      <c r="R224" t="s">
        <v>8798</v>
      </c>
      <c r="S224">
        <f t="shared" si="15"/>
        <v>3</v>
      </c>
      <c r="T224">
        <f t="shared" si="16"/>
        <v>2025</v>
      </c>
      <c r="U224">
        <f t="shared" si="17"/>
        <v>11</v>
      </c>
      <c r="V224">
        <f t="shared" si="18"/>
        <v>11</v>
      </c>
      <c r="W224" s="15">
        <f t="shared" si="19"/>
        <v>5500</v>
      </c>
      <c r="X224" t="e">
        <f>VLOOKUP(B224,'[25]Cancel Sent on March 12'!$B:$B,1,0)</f>
        <v>#N/A</v>
      </c>
    </row>
    <row r="225" spans="1:24">
      <c r="A225" t="s">
        <v>8666</v>
      </c>
      <c r="B225">
        <v>76218822</v>
      </c>
      <c r="C225">
        <v>76218822</v>
      </c>
      <c r="D225" t="s">
        <v>39</v>
      </c>
      <c r="E225">
        <v>450</v>
      </c>
      <c r="F225" t="e">
        <v>#N/A</v>
      </c>
      <c r="G225" t="e">
        <v>#N/A</v>
      </c>
      <c r="H225" t="e">
        <v>#N/A</v>
      </c>
      <c r="I225" t="e">
        <v>#N/A</v>
      </c>
      <c r="K225" t="s">
        <v>8727</v>
      </c>
      <c r="L225" s="29">
        <v>45931</v>
      </c>
      <c r="M225" t="s">
        <v>8728</v>
      </c>
      <c r="Q225" s="30" t="s">
        <v>8806</v>
      </c>
      <c r="R225" t="s">
        <v>8798</v>
      </c>
      <c r="S225">
        <f t="shared" si="15"/>
        <v>10</v>
      </c>
      <c r="T225">
        <f t="shared" si="16"/>
        <v>2025</v>
      </c>
      <c r="U225">
        <f t="shared" si="17"/>
        <v>4</v>
      </c>
      <c r="V225">
        <f t="shared" si="18"/>
        <v>4</v>
      </c>
      <c r="W225" s="15">
        <f t="shared" si="19"/>
        <v>2600</v>
      </c>
      <c r="X225">
        <f>VLOOKUP(B225,'[25]Cancel Sent on March 12'!$B:$B,1,0)</f>
        <v>76218822</v>
      </c>
    </row>
    <row r="226" spans="1:24">
      <c r="A226" t="s">
        <v>8667</v>
      </c>
      <c r="B226">
        <v>76219199</v>
      </c>
      <c r="C226">
        <v>76219199</v>
      </c>
      <c r="D226" t="s">
        <v>39</v>
      </c>
      <c r="E226">
        <v>300</v>
      </c>
      <c r="F226" t="e">
        <v>#N/A</v>
      </c>
      <c r="G226" t="e">
        <v>#N/A</v>
      </c>
      <c r="H226" t="e">
        <v>#N/A</v>
      </c>
      <c r="I226" t="e">
        <v>#N/A</v>
      </c>
      <c r="K226" t="s">
        <v>8727</v>
      </c>
      <c r="L226" s="29">
        <v>45870</v>
      </c>
      <c r="M226" t="s">
        <v>8731</v>
      </c>
      <c r="Q226" s="30" t="s">
        <v>8828</v>
      </c>
      <c r="R226" t="s">
        <v>8798</v>
      </c>
      <c r="S226">
        <f t="shared" si="15"/>
        <v>8</v>
      </c>
      <c r="T226">
        <f t="shared" si="16"/>
        <v>2025</v>
      </c>
      <c r="U226">
        <f t="shared" si="17"/>
        <v>6</v>
      </c>
      <c r="V226">
        <f t="shared" si="18"/>
        <v>6</v>
      </c>
      <c r="W226" s="15">
        <f t="shared" si="19"/>
        <v>3000</v>
      </c>
      <c r="X226">
        <f>VLOOKUP(B226,'[25]Cancel Sent on March 12'!$B:$B,1,0)</f>
        <v>76219199</v>
      </c>
    </row>
    <row r="227" spans="1:24">
      <c r="A227" t="s">
        <v>1354</v>
      </c>
      <c r="B227">
        <v>76219463</v>
      </c>
      <c r="C227">
        <v>76219463</v>
      </c>
      <c r="D227" t="s">
        <v>39</v>
      </c>
      <c r="E227">
        <v>450</v>
      </c>
      <c r="F227" t="e">
        <v>#N/A</v>
      </c>
      <c r="G227" t="e">
        <v>#N/A</v>
      </c>
      <c r="H227" t="e">
        <v>#N/A</v>
      </c>
      <c r="I227" t="e">
        <v>#N/A</v>
      </c>
      <c r="K227" t="s">
        <v>8741</v>
      </c>
      <c r="L227" s="29">
        <v>44621</v>
      </c>
      <c r="M227" t="s">
        <v>8728</v>
      </c>
      <c r="Q227" s="30" t="s">
        <v>8838</v>
      </c>
      <c r="R227" t="s">
        <v>8798</v>
      </c>
      <c r="S227">
        <f t="shared" si="15"/>
        <v>3</v>
      </c>
      <c r="T227">
        <f t="shared" si="16"/>
        <v>2022</v>
      </c>
      <c r="U227">
        <f t="shared" si="17"/>
        <v>47</v>
      </c>
      <c r="V227">
        <f t="shared" si="18"/>
        <v>20</v>
      </c>
      <c r="W227" s="15">
        <f t="shared" si="19"/>
        <v>25150</v>
      </c>
      <c r="X227">
        <f>VLOOKUP(B227,'[25]Cancel Sent on March 12'!$B:$B,1,0)</f>
        <v>76219463</v>
      </c>
    </row>
    <row r="228" spans="1:24">
      <c r="A228" t="s">
        <v>8668</v>
      </c>
      <c r="B228">
        <v>76219556</v>
      </c>
      <c r="C228">
        <v>76219556</v>
      </c>
      <c r="D228" t="s">
        <v>39</v>
      </c>
      <c r="E228">
        <v>300</v>
      </c>
      <c r="F228" t="e">
        <v>#N/A</v>
      </c>
      <c r="G228" t="e">
        <v>#N/A</v>
      </c>
      <c r="H228" t="e">
        <v>#N/A</v>
      </c>
      <c r="I228" t="e">
        <v>#N/A</v>
      </c>
      <c r="K228" t="s">
        <v>8727</v>
      </c>
      <c r="L228" s="29">
        <v>45839</v>
      </c>
      <c r="M228" t="s">
        <v>8731</v>
      </c>
      <c r="Q228" s="30" t="s">
        <v>8839</v>
      </c>
      <c r="R228" t="s">
        <v>8798</v>
      </c>
      <c r="S228">
        <f t="shared" si="15"/>
        <v>7</v>
      </c>
      <c r="T228">
        <f t="shared" si="16"/>
        <v>2025</v>
      </c>
      <c r="U228">
        <f t="shared" si="17"/>
        <v>7</v>
      </c>
      <c r="V228">
        <f t="shared" si="18"/>
        <v>7</v>
      </c>
      <c r="W228" s="15">
        <f t="shared" si="19"/>
        <v>3500</v>
      </c>
      <c r="X228">
        <f>VLOOKUP(B228,'[25]Cancel Sent on March 12'!$B:$B,1,0)</f>
        <v>76219556</v>
      </c>
    </row>
    <row r="229" spans="1:24">
      <c r="A229" t="s">
        <v>8669</v>
      </c>
      <c r="B229">
        <v>76220198</v>
      </c>
      <c r="C229">
        <v>76220198</v>
      </c>
      <c r="D229" t="s">
        <v>39</v>
      </c>
      <c r="E229">
        <v>300</v>
      </c>
      <c r="F229" t="e">
        <v>#N/A</v>
      </c>
      <c r="G229" t="e">
        <v>#N/A</v>
      </c>
      <c r="H229" t="e">
        <v>#N/A</v>
      </c>
      <c r="I229" t="e">
        <v>#N/A</v>
      </c>
      <c r="K229" t="s">
        <v>8741</v>
      </c>
      <c r="L229" s="29">
        <v>45809</v>
      </c>
      <c r="M229" t="s">
        <v>8731</v>
      </c>
      <c r="Q229" s="30" t="s">
        <v>8840</v>
      </c>
      <c r="R229" t="s">
        <v>8798</v>
      </c>
      <c r="S229">
        <f t="shared" si="15"/>
        <v>6</v>
      </c>
      <c r="T229">
        <f t="shared" si="16"/>
        <v>2025</v>
      </c>
      <c r="U229">
        <f t="shared" si="17"/>
        <v>8</v>
      </c>
      <c r="V229">
        <f t="shared" si="18"/>
        <v>8</v>
      </c>
      <c r="W229" s="15">
        <f t="shared" si="19"/>
        <v>4000</v>
      </c>
      <c r="X229">
        <f>VLOOKUP(B229,'[25]Cancel Sent on March 12'!$B:$B,1,0)</f>
        <v>76220198</v>
      </c>
    </row>
    <row r="230" spans="1:24">
      <c r="A230" t="s">
        <v>8670</v>
      </c>
      <c r="B230">
        <v>76220501</v>
      </c>
      <c r="C230">
        <v>76220501</v>
      </c>
      <c r="D230" t="s">
        <v>39</v>
      </c>
      <c r="E230">
        <v>450</v>
      </c>
      <c r="F230" t="e">
        <v>#N/A</v>
      </c>
      <c r="G230" t="e">
        <v>#N/A</v>
      </c>
      <c r="H230" t="e">
        <v>#N/A</v>
      </c>
      <c r="I230" t="e">
        <v>#N/A</v>
      </c>
      <c r="K230" t="s">
        <v>8727</v>
      </c>
      <c r="L230" s="29">
        <v>45901</v>
      </c>
      <c r="M230" t="s">
        <v>8731</v>
      </c>
      <c r="Q230" s="30" t="s">
        <v>8841</v>
      </c>
      <c r="R230" t="s">
        <v>8798</v>
      </c>
      <c r="S230">
        <f t="shared" si="15"/>
        <v>9</v>
      </c>
      <c r="T230">
        <f t="shared" si="16"/>
        <v>2025</v>
      </c>
      <c r="U230">
        <f t="shared" si="17"/>
        <v>5</v>
      </c>
      <c r="V230">
        <f t="shared" si="18"/>
        <v>5</v>
      </c>
      <c r="W230" s="15">
        <f t="shared" si="19"/>
        <v>3250</v>
      </c>
      <c r="X230">
        <f>VLOOKUP(B230,'[25]Cancel Sent on March 12'!$B:$B,1,0)</f>
        <v>76220501</v>
      </c>
    </row>
    <row r="231" spans="1:24">
      <c r="A231" t="s">
        <v>8671</v>
      </c>
      <c r="B231">
        <v>76220642</v>
      </c>
      <c r="C231">
        <v>76220642</v>
      </c>
      <c r="D231" t="s">
        <v>39</v>
      </c>
      <c r="E231">
        <v>300</v>
      </c>
      <c r="F231" t="e">
        <v>#N/A</v>
      </c>
      <c r="G231" t="e">
        <v>#N/A</v>
      </c>
      <c r="H231" t="e">
        <v>#N/A</v>
      </c>
      <c r="I231" t="e">
        <v>#N/A</v>
      </c>
      <c r="K231" t="s">
        <v>8727</v>
      </c>
      <c r="L231" s="29">
        <v>45292</v>
      </c>
      <c r="M231" t="s">
        <v>8731</v>
      </c>
      <c r="Q231" s="30" t="s">
        <v>8842</v>
      </c>
      <c r="R231" t="s">
        <v>8798</v>
      </c>
      <c r="S231">
        <f t="shared" si="15"/>
        <v>1</v>
      </c>
      <c r="T231">
        <f t="shared" si="16"/>
        <v>2024</v>
      </c>
      <c r="U231">
        <f t="shared" si="17"/>
        <v>25</v>
      </c>
      <c r="V231">
        <f t="shared" si="18"/>
        <v>20</v>
      </c>
      <c r="W231" s="15">
        <f t="shared" si="19"/>
        <v>11500</v>
      </c>
      <c r="X231">
        <f>VLOOKUP(B231,'[25]Cancel Sent on March 12'!$B:$B,1,0)</f>
        <v>76220642</v>
      </c>
    </row>
    <row r="232" spans="1:24">
      <c r="A232" t="s">
        <v>8672</v>
      </c>
      <c r="B232">
        <v>76220778</v>
      </c>
      <c r="C232">
        <v>76220778</v>
      </c>
      <c r="D232" t="s">
        <v>39</v>
      </c>
      <c r="E232">
        <v>300</v>
      </c>
      <c r="F232" t="e">
        <v>#N/A</v>
      </c>
      <c r="G232" t="e">
        <v>#N/A</v>
      </c>
      <c r="H232" t="e">
        <v>#N/A</v>
      </c>
      <c r="I232" t="e">
        <v>#N/A</v>
      </c>
      <c r="K232" t="s">
        <v>8727</v>
      </c>
      <c r="L232" s="29">
        <v>45931</v>
      </c>
      <c r="M232" t="s">
        <v>8731</v>
      </c>
      <c r="Q232" s="30" t="s">
        <v>8843</v>
      </c>
      <c r="R232" t="s">
        <v>8798</v>
      </c>
      <c r="S232">
        <f t="shared" si="15"/>
        <v>10</v>
      </c>
      <c r="T232">
        <f t="shared" si="16"/>
        <v>2025</v>
      </c>
      <c r="U232">
        <f t="shared" si="17"/>
        <v>4</v>
      </c>
      <c r="V232">
        <f t="shared" si="18"/>
        <v>4</v>
      </c>
      <c r="W232" s="15">
        <f t="shared" si="19"/>
        <v>2000</v>
      </c>
      <c r="X232">
        <f>VLOOKUP(B232,'[25]Cancel Sent on March 12'!$B:$B,1,0)</f>
        <v>76220778</v>
      </c>
    </row>
    <row r="233" spans="1:24">
      <c r="A233" t="s">
        <v>8673</v>
      </c>
      <c r="B233">
        <v>76220843</v>
      </c>
      <c r="C233">
        <v>76220843</v>
      </c>
      <c r="D233" t="s">
        <v>39</v>
      </c>
      <c r="E233">
        <v>300</v>
      </c>
      <c r="F233" t="e">
        <v>#N/A</v>
      </c>
      <c r="G233" t="e">
        <v>#N/A</v>
      </c>
      <c r="H233" t="e">
        <v>#N/A</v>
      </c>
      <c r="I233" t="e">
        <v>#N/A</v>
      </c>
      <c r="K233" t="s">
        <v>8741</v>
      </c>
      <c r="L233" s="29">
        <v>45566</v>
      </c>
      <c r="M233" t="s">
        <v>8728</v>
      </c>
      <c r="Q233" s="30" t="s">
        <v>8844</v>
      </c>
      <c r="R233" t="s">
        <v>8798</v>
      </c>
      <c r="S233">
        <f t="shared" si="15"/>
        <v>10</v>
      </c>
      <c r="T233">
        <f t="shared" si="16"/>
        <v>2024</v>
      </c>
      <c r="U233">
        <f t="shared" si="17"/>
        <v>16</v>
      </c>
      <c r="V233">
        <f t="shared" si="18"/>
        <v>16</v>
      </c>
      <c r="W233" s="15">
        <f t="shared" si="19"/>
        <v>8000</v>
      </c>
      <c r="X233">
        <f>VLOOKUP(B233,'[25]Cancel Sent on March 12'!$B:$B,1,0)</f>
        <v>76220843</v>
      </c>
    </row>
    <row r="234" spans="1:24">
      <c r="A234" t="s">
        <v>8674</v>
      </c>
      <c r="B234">
        <v>76220929</v>
      </c>
      <c r="C234">
        <v>76220929</v>
      </c>
      <c r="D234" t="s">
        <v>39</v>
      </c>
      <c r="E234">
        <v>450</v>
      </c>
      <c r="F234" t="e">
        <v>#N/A</v>
      </c>
      <c r="G234" t="e">
        <v>#N/A</v>
      </c>
      <c r="H234" t="e">
        <v>#N/A</v>
      </c>
      <c r="I234" t="e">
        <v>#N/A</v>
      </c>
      <c r="K234" t="s">
        <v>8727</v>
      </c>
      <c r="L234" s="29">
        <v>45931</v>
      </c>
      <c r="M234" t="s">
        <v>8728</v>
      </c>
      <c r="Q234" t="s">
        <v>8806</v>
      </c>
      <c r="R234" t="s">
        <v>8798</v>
      </c>
      <c r="S234">
        <f t="shared" si="15"/>
        <v>10</v>
      </c>
      <c r="T234">
        <f t="shared" si="16"/>
        <v>2025</v>
      </c>
      <c r="U234">
        <f t="shared" si="17"/>
        <v>4</v>
      </c>
      <c r="V234">
        <f t="shared" si="18"/>
        <v>4</v>
      </c>
      <c r="W234" s="15">
        <f t="shared" si="19"/>
        <v>2600</v>
      </c>
      <c r="X234">
        <f>VLOOKUP(B234,'[25]Cancel Sent on March 12'!$B:$B,1,0)</f>
        <v>76220929</v>
      </c>
    </row>
    <row r="235" spans="1:24">
      <c r="A235" t="s">
        <v>8675</v>
      </c>
      <c r="B235">
        <v>76220930</v>
      </c>
      <c r="C235">
        <v>76220930</v>
      </c>
      <c r="D235" t="s">
        <v>39</v>
      </c>
      <c r="E235">
        <v>450</v>
      </c>
      <c r="F235" t="e">
        <v>#N/A</v>
      </c>
      <c r="G235" t="e">
        <v>#N/A</v>
      </c>
      <c r="H235" t="e">
        <v>#N/A</v>
      </c>
      <c r="I235" t="e">
        <v>#N/A</v>
      </c>
      <c r="K235" t="s">
        <v>8727</v>
      </c>
      <c r="L235" s="29">
        <v>45931</v>
      </c>
      <c r="M235" t="s">
        <v>8728</v>
      </c>
      <c r="Q235" s="30" t="s">
        <v>8806</v>
      </c>
      <c r="R235" t="s">
        <v>8798</v>
      </c>
      <c r="S235">
        <f t="shared" si="15"/>
        <v>10</v>
      </c>
      <c r="T235">
        <f t="shared" si="16"/>
        <v>2025</v>
      </c>
      <c r="U235">
        <f t="shared" si="17"/>
        <v>4</v>
      </c>
      <c r="V235">
        <f t="shared" si="18"/>
        <v>4</v>
      </c>
      <c r="W235" s="15">
        <f t="shared" si="19"/>
        <v>2600</v>
      </c>
      <c r="X235">
        <f>VLOOKUP(B235,'[25]Cancel Sent on March 12'!$B:$B,1,0)</f>
        <v>76220930</v>
      </c>
    </row>
    <row r="236" spans="1:24">
      <c r="A236" t="s">
        <v>8676</v>
      </c>
      <c r="B236">
        <v>76221276</v>
      </c>
      <c r="C236">
        <v>76221276</v>
      </c>
      <c r="D236" t="s">
        <v>39</v>
      </c>
      <c r="E236">
        <v>300</v>
      </c>
      <c r="F236" t="e">
        <v>#N/A</v>
      </c>
      <c r="G236" t="e">
        <v>#N/A</v>
      </c>
      <c r="H236" t="e">
        <v>#N/A</v>
      </c>
      <c r="I236" t="e">
        <v>#N/A</v>
      </c>
      <c r="K236" t="s">
        <v>8727</v>
      </c>
      <c r="L236" s="29">
        <v>45992</v>
      </c>
      <c r="M236" t="s">
        <v>8731</v>
      </c>
      <c r="P236" t="s">
        <v>306</v>
      </c>
      <c r="Q236" t="s">
        <v>8756</v>
      </c>
      <c r="R236" t="s">
        <v>8798</v>
      </c>
      <c r="S236">
        <f t="shared" si="15"/>
        <v>12</v>
      </c>
      <c r="T236">
        <f t="shared" si="16"/>
        <v>2025</v>
      </c>
      <c r="U236">
        <f t="shared" si="17"/>
        <v>2</v>
      </c>
      <c r="V236">
        <f t="shared" si="18"/>
        <v>2</v>
      </c>
      <c r="W236" s="15">
        <f t="shared" si="19"/>
        <v>1000</v>
      </c>
      <c r="X236">
        <f>VLOOKUP(B236,'[25]Cancel Sent on March 12'!$B:$B,1,0)</f>
        <v>76221276</v>
      </c>
    </row>
    <row r="237" spans="1:24">
      <c r="A237" t="s">
        <v>8677</v>
      </c>
      <c r="B237">
        <v>76223771</v>
      </c>
      <c r="C237">
        <v>76223771</v>
      </c>
      <c r="D237" t="s">
        <v>39</v>
      </c>
      <c r="E237">
        <v>300</v>
      </c>
      <c r="F237" t="e">
        <v>#N/A</v>
      </c>
      <c r="G237" t="e">
        <v>#N/A</v>
      </c>
      <c r="H237" t="e">
        <v>#N/A</v>
      </c>
      <c r="I237" t="e">
        <v>#N/A</v>
      </c>
      <c r="K237" t="s">
        <v>8741</v>
      </c>
      <c r="L237" s="29">
        <v>46079</v>
      </c>
      <c r="M237" t="s">
        <v>8731</v>
      </c>
      <c r="Q237" t="s">
        <v>8808</v>
      </c>
      <c r="R237" t="s">
        <v>8798</v>
      </c>
      <c r="S237">
        <f t="shared" si="15"/>
        <v>2</v>
      </c>
      <c r="T237">
        <f t="shared" si="16"/>
        <v>2026</v>
      </c>
      <c r="U237">
        <f t="shared" si="17"/>
        <v>0</v>
      </c>
      <c r="V237">
        <f t="shared" si="18"/>
        <v>0</v>
      </c>
      <c r="W237" s="15">
        <f t="shared" si="19"/>
        <v>0</v>
      </c>
      <c r="X237">
        <f>VLOOKUP(B237,'[25]Cancel Sent on March 12'!$B:$B,1,0)</f>
        <v>76223771</v>
      </c>
    </row>
    <row r="238" spans="1:24">
      <c r="A238" t="s">
        <v>1460</v>
      </c>
      <c r="B238">
        <v>76224033</v>
      </c>
      <c r="C238">
        <v>76224033</v>
      </c>
      <c r="D238" t="s">
        <v>39</v>
      </c>
      <c r="E238">
        <v>450</v>
      </c>
      <c r="F238" t="e">
        <v>#N/A</v>
      </c>
      <c r="G238" t="e">
        <v>#N/A</v>
      </c>
      <c r="H238" t="e">
        <v>#N/A</v>
      </c>
      <c r="I238" t="e">
        <v>#N/A</v>
      </c>
      <c r="K238" t="s">
        <v>8727</v>
      </c>
      <c r="L238" s="29">
        <v>45689</v>
      </c>
      <c r="M238" t="s">
        <v>8728</v>
      </c>
      <c r="Q238" s="30" t="s">
        <v>8829</v>
      </c>
      <c r="R238" t="s">
        <v>8798</v>
      </c>
      <c r="S238">
        <f t="shared" si="15"/>
        <v>2</v>
      </c>
      <c r="T238">
        <f t="shared" si="16"/>
        <v>2025</v>
      </c>
      <c r="U238">
        <f t="shared" si="17"/>
        <v>12</v>
      </c>
      <c r="V238">
        <f t="shared" si="18"/>
        <v>12</v>
      </c>
      <c r="W238" s="15">
        <f t="shared" si="19"/>
        <v>7800</v>
      </c>
      <c r="X238">
        <f>VLOOKUP(B238,'[25]Cancel Sent on March 12'!$B:$B,1,0)</f>
        <v>76224033</v>
      </c>
    </row>
    <row r="239" spans="1:24">
      <c r="A239" t="s">
        <v>8678</v>
      </c>
      <c r="B239">
        <v>76224072</v>
      </c>
      <c r="C239">
        <v>76224072</v>
      </c>
      <c r="D239" t="s">
        <v>39</v>
      </c>
      <c r="E239">
        <v>450</v>
      </c>
      <c r="F239" t="e">
        <v>#N/A</v>
      </c>
      <c r="G239" t="e">
        <v>#N/A</v>
      </c>
      <c r="H239" t="e">
        <v>#N/A</v>
      </c>
      <c r="I239" t="e">
        <v>#N/A</v>
      </c>
      <c r="K239" t="s">
        <v>8727</v>
      </c>
      <c r="L239" s="29">
        <v>46023</v>
      </c>
      <c r="M239" t="s">
        <v>8731</v>
      </c>
      <c r="Q239" s="30" t="s">
        <v>8845</v>
      </c>
      <c r="R239" t="s">
        <v>8798</v>
      </c>
      <c r="S239">
        <f t="shared" si="15"/>
        <v>1</v>
      </c>
      <c r="T239">
        <f t="shared" si="16"/>
        <v>2026</v>
      </c>
      <c r="U239">
        <f t="shared" si="17"/>
        <v>1</v>
      </c>
      <c r="V239">
        <f t="shared" si="18"/>
        <v>1</v>
      </c>
      <c r="W239" s="15">
        <f t="shared" si="19"/>
        <v>650</v>
      </c>
      <c r="X239">
        <f>VLOOKUP(B239,'[25]Cancel Sent on March 12'!$B:$B,1,0)</f>
        <v>76224072</v>
      </c>
    </row>
    <row r="240" spans="1:24">
      <c r="A240" t="s">
        <v>8183</v>
      </c>
      <c r="B240">
        <v>76224587</v>
      </c>
      <c r="C240">
        <v>76224587</v>
      </c>
      <c r="D240" t="s">
        <v>39</v>
      </c>
      <c r="E240">
        <v>300</v>
      </c>
      <c r="F240" t="e">
        <v>#N/A</v>
      </c>
      <c r="G240" t="e">
        <v>#N/A</v>
      </c>
      <c r="H240" t="e">
        <v>#N/A</v>
      </c>
      <c r="I240" t="e">
        <v>#N/A</v>
      </c>
      <c r="K240" t="s">
        <v>8741</v>
      </c>
      <c r="L240" s="29">
        <v>46054</v>
      </c>
      <c r="M240" t="s">
        <v>8731</v>
      </c>
      <c r="Q240" s="30" t="s">
        <v>8830</v>
      </c>
      <c r="R240" t="s">
        <v>8798</v>
      </c>
      <c r="S240">
        <f t="shared" si="15"/>
        <v>2</v>
      </c>
      <c r="T240">
        <f t="shared" si="16"/>
        <v>2026</v>
      </c>
      <c r="U240">
        <f t="shared" si="17"/>
        <v>0</v>
      </c>
      <c r="V240">
        <f t="shared" si="18"/>
        <v>0</v>
      </c>
      <c r="W240" s="15">
        <f t="shared" si="19"/>
        <v>0</v>
      </c>
      <c r="X240">
        <f>VLOOKUP(B240,'[25]Cancel Sent on March 12'!$B:$B,1,0)</f>
        <v>76224587</v>
      </c>
    </row>
    <row r="241" spans="1:24">
      <c r="A241" t="s">
        <v>8679</v>
      </c>
      <c r="B241">
        <v>76224894</v>
      </c>
      <c r="C241">
        <v>76224894</v>
      </c>
      <c r="D241" t="s">
        <v>39</v>
      </c>
      <c r="E241">
        <v>300</v>
      </c>
      <c r="F241" t="e">
        <v>#N/A</v>
      </c>
      <c r="G241" t="e">
        <v>#N/A</v>
      </c>
      <c r="H241" t="e">
        <v>#N/A</v>
      </c>
      <c r="I241" t="e">
        <v>#N/A</v>
      </c>
      <c r="K241" t="s">
        <v>8727</v>
      </c>
      <c r="L241" s="29">
        <v>45931</v>
      </c>
      <c r="M241" t="s">
        <v>8731</v>
      </c>
      <c r="P241" t="s">
        <v>306</v>
      </c>
      <c r="Q241" s="30" t="s">
        <v>8756</v>
      </c>
      <c r="R241" t="s">
        <v>8798</v>
      </c>
      <c r="S241">
        <f t="shared" si="15"/>
        <v>10</v>
      </c>
      <c r="T241">
        <f t="shared" si="16"/>
        <v>2025</v>
      </c>
      <c r="U241">
        <f t="shared" si="17"/>
        <v>4</v>
      </c>
      <c r="V241">
        <f t="shared" si="18"/>
        <v>4</v>
      </c>
      <c r="W241" s="15">
        <f t="shared" si="19"/>
        <v>2000</v>
      </c>
      <c r="X241">
        <f>VLOOKUP(B241,'[25]Cancel Sent on March 12'!$B:$B,1,0)</f>
        <v>76224894</v>
      </c>
    </row>
    <row r="242" spans="1:24">
      <c r="A242" s="23" t="s">
        <v>141</v>
      </c>
      <c r="B242" s="23">
        <v>76225712</v>
      </c>
      <c r="C242" s="23">
        <v>76225712</v>
      </c>
      <c r="D242" s="23" t="s">
        <v>39</v>
      </c>
      <c r="E242" s="23">
        <v>450</v>
      </c>
      <c r="F242" s="23" t="e">
        <v>#N/A</v>
      </c>
      <c r="G242" t="e">
        <v>#N/A</v>
      </c>
      <c r="H242" t="e">
        <v>#N/A</v>
      </c>
      <c r="I242" t="e">
        <v>#N/A</v>
      </c>
      <c r="J242" s="23"/>
      <c r="K242" s="23" t="s">
        <v>8727</v>
      </c>
      <c r="L242" s="29">
        <v>45931</v>
      </c>
      <c r="M242" s="23" t="s">
        <v>8731</v>
      </c>
      <c r="N242" s="23"/>
      <c r="O242" s="23"/>
      <c r="P242" s="23" t="s">
        <v>306</v>
      </c>
      <c r="Q242" s="33" t="s">
        <v>8829</v>
      </c>
      <c r="R242" s="23" t="s">
        <v>8798</v>
      </c>
      <c r="S242">
        <f t="shared" si="15"/>
        <v>10</v>
      </c>
      <c r="T242">
        <f t="shared" si="16"/>
        <v>2025</v>
      </c>
      <c r="U242">
        <f t="shared" si="17"/>
        <v>4</v>
      </c>
      <c r="V242">
        <f t="shared" si="18"/>
        <v>4</v>
      </c>
      <c r="W242" s="15">
        <f t="shared" si="19"/>
        <v>2600</v>
      </c>
      <c r="X242">
        <f>VLOOKUP(B242,'[25]Cancel Sent on March 12'!$B:$B,1,0)</f>
        <v>76225712</v>
      </c>
    </row>
    <row r="243" spans="1:24">
      <c r="A243" t="s">
        <v>8680</v>
      </c>
      <c r="B243">
        <v>76226153</v>
      </c>
      <c r="C243">
        <v>76226153</v>
      </c>
      <c r="D243" t="s">
        <v>39</v>
      </c>
      <c r="E243">
        <v>300</v>
      </c>
      <c r="F243" t="e">
        <v>#N/A</v>
      </c>
      <c r="G243" t="e">
        <v>#N/A</v>
      </c>
      <c r="H243" t="e">
        <v>#N/A</v>
      </c>
      <c r="I243" t="e">
        <v>#N/A</v>
      </c>
      <c r="K243" t="s">
        <v>8727</v>
      </c>
      <c r="L243" s="29">
        <v>45778</v>
      </c>
      <c r="M243" t="s">
        <v>8731</v>
      </c>
      <c r="Q243" s="30" t="s">
        <v>8833</v>
      </c>
      <c r="R243" t="s">
        <v>8798</v>
      </c>
      <c r="S243">
        <f t="shared" si="15"/>
        <v>5</v>
      </c>
      <c r="T243">
        <f t="shared" si="16"/>
        <v>2025</v>
      </c>
      <c r="U243">
        <f t="shared" si="17"/>
        <v>9</v>
      </c>
      <c r="V243">
        <f t="shared" si="18"/>
        <v>9</v>
      </c>
      <c r="W243" s="15">
        <f t="shared" si="19"/>
        <v>4500</v>
      </c>
      <c r="X243">
        <f>VLOOKUP(B243,'[25]Cancel Sent on March 12'!$B:$B,1,0)</f>
        <v>76226153</v>
      </c>
    </row>
    <row r="244" spans="1:24">
      <c r="A244" s="23" t="s">
        <v>8681</v>
      </c>
      <c r="B244" s="23">
        <v>76226633</v>
      </c>
      <c r="C244" s="23">
        <v>76226633</v>
      </c>
      <c r="D244" s="23" t="s">
        <v>39</v>
      </c>
      <c r="E244" s="23">
        <v>450</v>
      </c>
      <c r="F244" s="23" t="e">
        <v>#N/A</v>
      </c>
      <c r="G244" t="e">
        <v>#N/A</v>
      </c>
      <c r="H244" t="e">
        <v>#N/A</v>
      </c>
      <c r="I244" t="e">
        <v>#N/A</v>
      </c>
      <c r="J244" s="23"/>
      <c r="K244" s="23" t="s">
        <v>8727</v>
      </c>
      <c r="L244" s="29">
        <v>45323</v>
      </c>
      <c r="M244" s="23" t="s">
        <v>8731</v>
      </c>
      <c r="N244" s="23"/>
      <c r="O244" s="23"/>
      <c r="P244" s="23"/>
      <c r="Q244" s="33" t="s">
        <v>8846</v>
      </c>
      <c r="R244" s="23" t="s">
        <v>8798</v>
      </c>
      <c r="S244">
        <f t="shared" si="15"/>
        <v>2</v>
      </c>
      <c r="T244">
        <f t="shared" si="16"/>
        <v>2024</v>
      </c>
      <c r="U244">
        <f t="shared" si="17"/>
        <v>24</v>
      </c>
      <c r="V244">
        <f t="shared" si="18"/>
        <v>20</v>
      </c>
      <c r="W244" s="15">
        <f t="shared" si="19"/>
        <v>14800</v>
      </c>
      <c r="X244">
        <f>VLOOKUP(B244,'[25]Cancel Sent on March 12'!$B:$B,1,0)</f>
        <v>76226633</v>
      </c>
    </row>
    <row r="245" spans="1:24">
      <c r="A245" t="s">
        <v>8682</v>
      </c>
      <c r="B245">
        <v>76226653</v>
      </c>
      <c r="C245">
        <v>76226653</v>
      </c>
      <c r="D245" t="s">
        <v>39</v>
      </c>
      <c r="E245">
        <v>300</v>
      </c>
      <c r="F245" t="e">
        <v>#N/A</v>
      </c>
      <c r="G245" t="e">
        <v>#N/A</v>
      </c>
      <c r="H245" t="e">
        <v>#N/A</v>
      </c>
      <c r="I245" t="e">
        <v>#N/A</v>
      </c>
      <c r="K245" t="s">
        <v>8727</v>
      </c>
      <c r="L245" s="29">
        <v>46023</v>
      </c>
      <c r="M245" t="s">
        <v>8728</v>
      </c>
      <c r="P245" t="s">
        <v>306</v>
      </c>
      <c r="Q245" s="30" t="s">
        <v>8833</v>
      </c>
      <c r="R245" t="s">
        <v>8798</v>
      </c>
      <c r="S245">
        <f t="shared" si="15"/>
        <v>1</v>
      </c>
      <c r="T245">
        <f t="shared" si="16"/>
        <v>2026</v>
      </c>
      <c r="U245">
        <f t="shared" si="17"/>
        <v>1</v>
      </c>
      <c r="V245">
        <f t="shared" si="18"/>
        <v>1</v>
      </c>
      <c r="W245" s="15">
        <f t="shared" si="19"/>
        <v>500</v>
      </c>
      <c r="X245">
        <f>VLOOKUP(B245,'[25]Cancel Sent on March 12'!$B:$B,1,0)</f>
        <v>76226653</v>
      </c>
    </row>
    <row r="246" spans="1:24">
      <c r="A246" t="s">
        <v>8683</v>
      </c>
      <c r="B246">
        <v>76226964</v>
      </c>
      <c r="C246">
        <v>76226964</v>
      </c>
      <c r="D246" t="s">
        <v>39</v>
      </c>
      <c r="E246">
        <v>400</v>
      </c>
      <c r="F246" t="e">
        <v>#N/A</v>
      </c>
      <c r="G246" t="e">
        <v>#N/A</v>
      </c>
      <c r="H246" t="e">
        <v>#N/A</v>
      </c>
      <c r="I246" t="e">
        <v>#N/A</v>
      </c>
      <c r="K246" t="s">
        <v>8727</v>
      </c>
      <c r="L246" s="29">
        <v>46319</v>
      </c>
      <c r="M246" t="s">
        <v>8728</v>
      </c>
      <c r="Q246" s="30" t="s">
        <v>8812</v>
      </c>
      <c r="R246" t="s">
        <v>8798</v>
      </c>
      <c r="S246">
        <f t="shared" si="15"/>
        <v>10</v>
      </c>
      <c r="T246">
        <f t="shared" si="16"/>
        <v>2026</v>
      </c>
      <c r="U246">
        <f t="shared" si="17"/>
        <v>0</v>
      </c>
      <c r="V246">
        <f t="shared" si="18"/>
        <v>0</v>
      </c>
      <c r="W246" s="15">
        <f t="shared" si="19"/>
        <v>0</v>
      </c>
      <c r="X246">
        <f>VLOOKUP(B246,'[25]Cancel Sent on March 12'!$B:$B,1,0)</f>
        <v>76226964</v>
      </c>
    </row>
    <row r="247" spans="1:24">
      <c r="A247" t="s">
        <v>8684</v>
      </c>
      <c r="B247">
        <v>76227075</v>
      </c>
      <c r="C247">
        <v>76227075</v>
      </c>
      <c r="D247" t="s">
        <v>39</v>
      </c>
      <c r="E247">
        <v>450</v>
      </c>
      <c r="F247" t="e">
        <v>#N/A</v>
      </c>
      <c r="G247" t="e">
        <v>#N/A</v>
      </c>
      <c r="H247" t="e">
        <v>#N/A</v>
      </c>
      <c r="I247" t="e">
        <v>#N/A</v>
      </c>
      <c r="K247" t="s">
        <v>8727</v>
      </c>
      <c r="L247" s="29">
        <v>45870</v>
      </c>
      <c r="M247" t="s">
        <v>8731</v>
      </c>
      <c r="Q247" s="30" t="s">
        <v>8820</v>
      </c>
      <c r="R247" t="s">
        <v>8798</v>
      </c>
      <c r="S247">
        <f t="shared" si="15"/>
        <v>8</v>
      </c>
      <c r="T247">
        <f t="shared" si="16"/>
        <v>2025</v>
      </c>
      <c r="U247">
        <f t="shared" si="17"/>
        <v>6</v>
      </c>
      <c r="V247">
        <f t="shared" si="18"/>
        <v>6</v>
      </c>
      <c r="W247" s="15">
        <f t="shared" si="19"/>
        <v>3900</v>
      </c>
      <c r="X247">
        <f>VLOOKUP(B247,'[25]Cancel Sent on March 12'!$B:$B,1,0)</f>
        <v>76227075</v>
      </c>
    </row>
    <row r="248" spans="1:24">
      <c r="A248" t="s">
        <v>8685</v>
      </c>
      <c r="B248">
        <v>76227077</v>
      </c>
      <c r="C248">
        <v>76227077</v>
      </c>
      <c r="D248" t="s">
        <v>39</v>
      </c>
      <c r="E248">
        <v>400</v>
      </c>
      <c r="F248" t="e">
        <v>#N/A</v>
      </c>
      <c r="G248" t="e">
        <v>#N/A</v>
      </c>
      <c r="H248" t="e">
        <v>#N/A</v>
      </c>
      <c r="I248" t="e">
        <v>#N/A</v>
      </c>
      <c r="K248" t="s">
        <v>8727</v>
      </c>
      <c r="L248" s="29">
        <v>45870</v>
      </c>
      <c r="M248" t="s">
        <v>8728</v>
      </c>
      <c r="Q248" s="30" t="s">
        <v>8820</v>
      </c>
      <c r="R248" t="s">
        <v>8798</v>
      </c>
      <c r="S248">
        <f t="shared" si="15"/>
        <v>8</v>
      </c>
      <c r="T248">
        <f t="shared" si="16"/>
        <v>2025</v>
      </c>
      <c r="U248">
        <f t="shared" si="17"/>
        <v>6</v>
      </c>
      <c r="V248">
        <f t="shared" si="18"/>
        <v>6</v>
      </c>
      <c r="W248" s="15">
        <f t="shared" si="19"/>
        <v>3600</v>
      </c>
      <c r="X248">
        <f>VLOOKUP(B248,'[25]Cancel Sent on March 12'!$B:$B,1,0)</f>
        <v>76227077</v>
      </c>
    </row>
    <row r="249" spans="1:24">
      <c r="A249" t="s">
        <v>8686</v>
      </c>
      <c r="B249">
        <v>76227081</v>
      </c>
      <c r="C249">
        <v>76227081</v>
      </c>
      <c r="D249" t="s">
        <v>39</v>
      </c>
      <c r="E249">
        <v>450</v>
      </c>
      <c r="F249" t="e">
        <v>#N/A</v>
      </c>
      <c r="G249" t="e">
        <v>#N/A</v>
      </c>
      <c r="H249" t="e">
        <v>#N/A</v>
      </c>
      <c r="I249" t="e">
        <v>#N/A</v>
      </c>
      <c r="K249" t="s">
        <v>8727</v>
      </c>
      <c r="L249" s="29">
        <v>45870</v>
      </c>
      <c r="M249" t="s">
        <v>8731</v>
      </c>
      <c r="Q249" s="30" t="s">
        <v>8847</v>
      </c>
      <c r="R249" t="s">
        <v>8798</v>
      </c>
      <c r="S249">
        <f t="shared" si="15"/>
        <v>8</v>
      </c>
      <c r="T249">
        <f t="shared" si="16"/>
        <v>2025</v>
      </c>
      <c r="U249">
        <f t="shared" si="17"/>
        <v>6</v>
      </c>
      <c r="V249">
        <f t="shared" si="18"/>
        <v>6</v>
      </c>
      <c r="W249" s="15">
        <f t="shared" si="19"/>
        <v>3900</v>
      </c>
      <c r="X249">
        <f>VLOOKUP(B249,'[25]Cancel Sent on March 12'!$B:$B,1,0)</f>
        <v>76227081</v>
      </c>
    </row>
    <row r="250" spans="1:24">
      <c r="A250" t="s">
        <v>8687</v>
      </c>
      <c r="B250">
        <v>76227081</v>
      </c>
      <c r="C250">
        <v>76227081</v>
      </c>
      <c r="D250" t="s">
        <v>39</v>
      </c>
      <c r="E250">
        <v>450</v>
      </c>
      <c r="F250" t="e">
        <v>#N/A</v>
      </c>
      <c r="G250" t="e">
        <v>#N/A</v>
      </c>
      <c r="H250" t="e">
        <v>#N/A</v>
      </c>
      <c r="I250" t="e">
        <v>#N/A</v>
      </c>
      <c r="K250" t="s">
        <v>8727</v>
      </c>
      <c r="L250" s="29">
        <v>45870</v>
      </c>
      <c r="M250" t="s">
        <v>8731</v>
      </c>
      <c r="Q250" s="30" t="s">
        <v>8847</v>
      </c>
      <c r="R250" t="s">
        <v>8798</v>
      </c>
      <c r="S250">
        <f t="shared" si="15"/>
        <v>8</v>
      </c>
      <c r="T250">
        <f t="shared" si="16"/>
        <v>2025</v>
      </c>
      <c r="U250">
        <f t="shared" si="17"/>
        <v>6</v>
      </c>
      <c r="V250">
        <f t="shared" si="18"/>
        <v>6</v>
      </c>
      <c r="W250" s="15">
        <f t="shared" si="19"/>
        <v>3900</v>
      </c>
      <c r="X250">
        <f>VLOOKUP(B250,'[25]Cancel Sent on March 12'!$B:$B,1,0)</f>
        <v>76227081</v>
      </c>
    </row>
    <row r="251" spans="1:24">
      <c r="A251" t="s">
        <v>144</v>
      </c>
      <c r="B251">
        <v>76227121</v>
      </c>
      <c r="C251">
        <v>76227121</v>
      </c>
      <c r="D251" t="s">
        <v>39</v>
      </c>
      <c r="E251">
        <v>450</v>
      </c>
      <c r="F251" t="e">
        <v>#N/A</v>
      </c>
      <c r="G251" t="e">
        <v>#N/A</v>
      </c>
      <c r="H251" t="e">
        <v>#N/A</v>
      </c>
      <c r="I251" t="e">
        <v>#N/A</v>
      </c>
      <c r="K251" t="s">
        <v>8727</v>
      </c>
      <c r="L251" s="29">
        <v>45566</v>
      </c>
      <c r="M251" t="s">
        <v>8731</v>
      </c>
      <c r="Q251" s="30" t="s">
        <v>8820</v>
      </c>
      <c r="R251" t="s">
        <v>8798</v>
      </c>
      <c r="S251">
        <f t="shared" si="15"/>
        <v>10</v>
      </c>
      <c r="T251">
        <f t="shared" si="16"/>
        <v>2024</v>
      </c>
      <c r="U251">
        <f t="shared" si="17"/>
        <v>16</v>
      </c>
      <c r="V251">
        <f t="shared" si="18"/>
        <v>16</v>
      </c>
      <c r="W251" s="15">
        <f t="shared" si="19"/>
        <v>10400</v>
      </c>
      <c r="X251">
        <f>VLOOKUP(B251,'[25]Cancel Sent on March 12'!$B:$B,1,0)</f>
        <v>76227121</v>
      </c>
    </row>
    <row r="252" spans="1:24">
      <c r="A252" t="s">
        <v>147</v>
      </c>
      <c r="B252">
        <v>76227134</v>
      </c>
      <c r="C252">
        <v>76227134</v>
      </c>
      <c r="D252" t="s">
        <v>39</v>
      </c>
      <c r="E252">
        <v>300</v>
      </c>
      <c r="F252" t="e">
        <v>#N/A</v>
      </c>
      <c r="G252" t="e">
        <v>#N/A</v>
      </c>
      <c r="H252" t="e">
        <v>#N/A</v>
      </c>
      <c r="I252" t="e">
        <v>#N/A</v>
      </c>
      <c r="K252" t="s">
        <v>8727</v>
      </c>
      <c r="L252" s="29">
        <v>45931</v>
      </c>
      <c r="M252" t="s">
        <v>8731</v>
      </c>
      <c r="Q252" t="s">
        <v>8848</v>
      </c>
      <c r="R252" t="s">
        <v>8798</v>
      </c>
      <c r="S252">
        <f t="shared" si="15"/>
        <v>10</v>
      </c>
      <c r="T252">
        <f t="shared" si="16"/>
        <v>2025</v>
      </c>
      <c r="U252">
        <f t="shared" si="17"/>
        <v>4</v>
      </c>
      <c r="V252">
        <f t="shared" si="18"/>
        <v>4</v>
      </c>
      <c r="W252" s="15">
        <f t="shared" si="19"/>
        <v>2000</v>
      </c>
      <c r="X252">
        <f>VLOOKUP(B252,'[25]Cancel Sent on March 12'!$B:$B,1,0)</f>
        <v>76227134</v>
      </c>
    </row>
    <row r="253" spans="1:24">
      <c r="A253" t="s">
        <v>8688</v>
      </c>
      <c r="B253">
        <v>76227448</v>
      </c>
      <c r="C253">
        <v>76227448</v>
      </c>
      <c r="D253" t="s">
        <v>39</v>
      </c>
      <c r="E253">
        <v>400</v>
      </c>
      <c r="F253" t="e">
        <v>#N/A</v>
      </c>
      <c r="G253" t="e">
        <v>#N/A</v>
      </c>
      <c r="H253" t="e">
        <v>#N/A</v>
      </c>
      <c r="I253" t="e">
        <v>#N/A</v>
      </c>
      <c r="K253" t="s">
        <v>8727</v>
      </c>
      <c r="L253" s="29">
        <v>46296</v>
      </c>
      <c r="M253" t="s">
        <v>8728</v>
      </c>
      <c r="Q253" t="s">
        <v>8806</v>
      </c>
      <c r="R253" t="s">
        <v>8798</v>
      </c>
      <c r="S253">
        <f t="shared" si="15"/>
        <v>10</v>
      </c>
      <c r="T253">
        <f t="shared" si="16"/>
        <v>2026</v>
      </c>
      <c r="U253">
        <f t="shared" si="17"/>
        <v>0</v>
      </c>
      <c r="V253">
        <f t="shared" si="18"/>
        <v>0</v>
      </c>
      <c r="W253" s="15">
        <f t="shared" si="19"/>
        <v>0</v>
      </c>
      <c r="X253">
        <f>VLOOKUP(B253,'[25]Cancel Sent on March 12'!$B:$B,1,0)</f>
        <v>76227448</v>
      </c>
    </row>
    <row r="254" spans="1:24">
      <c r="A254" t="s">
        <v>8689</v>
      </c>
      <c r="B254">
        <v>76227449</v>
      </c>
      <c r="C254">
        <v>76227449</v>
      </c>
      <c r="D254" t="s">
        <v>39</v>
      </c>
      <c r="E254">
        <v>400</v>
      </c>
      <c r="F254" t="e">
        <v>#N/A</v>
      </c>
      <c r="G254" t="e">
        <v>#N/A</v>
      </c>
      <c r="H254" t="e">
        <v>#N/A</v>
      </c>
      <c r="I254" t="e">
        <v>#N/A</v>
      </c>
      <c r="K254" t="s">
        <v>8727</v>
      </c>
      <c r="L254" s="29">
        <v>45931</v>
      </c>
      <c r="M254" t="s">
        <v>8728</v>
      </c>
      <c r="Q254" s="30" t="s">
        <v>8806</v>
      </c>
      <c r="R254" t="s">
        <v>8798</v>
      </c>
      <c r="S254">
        <f t="shared" si="15"/>
        <v>10</v>
      </c>
      <c r="T254">
        <f t="shared" si="16"/>
        <v>2025</v>
      </c>
      <c r="U254">
        <f t="shared" si="17"/>
        <v>4</v>
      </c>
      <c r="V254">
        <f t="shared" si="18"/>
        <v>4</v>
      </c>
      <c r="W254" s="15">
        <f t="shared" si="19"/>
        <v>2400</v>
      </c>
      <c r="X254">
        <f>VLOOKUP(B254,'[25]Cancel Sent on March 12'!$B:$B,1,0)</f>
        <v>76227449</v>
      </c>
    </row>
    <row r="255" spans="1:24">
      <c r="A255" t="s">
        <v>150</v>
      </c>
      <c r="B255">
        <v>76227679</v>
      </c>
      <c r="C255">
        <v>76227679</v>
      </c>
      <c r="D255" t="s">
        <v>39</v>
      </c>
      <c r="E255">
        <v>300</v>
      </c>
      <c r="F255" t="e">
        <v>#N/A</v>
      </c>
      <c r="G255" t="e">
        <v>#N/A</v>
      </c>
      <c r="H255" t="e">
        <v>#N/A</v>
      </c>
      <c r="I255" t="e">
        <v>#N/A</v>
      </c>
      <c r="K255" t="s">
        <v>8727</v>
      </c>
      <c r="L255" s="29">
        <v>46381</v>
      </c>
      <c r="M255" t="s">
        <v>8731</v>
      </c>
      <c r="Q255" s="30" t="s">
        <v>8829</v>
      </c>
      <c r="R255" t="s">
        <v>8798</v>
      </c>
      <c r="S255">
        <f t="shared" si="15"/>
        <v>12</v>
      </c>
      <c r="T255">
        <f t="shared" si="16"/>
        <v>2026</v>
      </c>
      <c r="U255">
        <f t="shared" si="17"/>
        <v>0</v>
      </c>
      <c r="V255">
        <f t="shared" si="18"/>
        <v>0</v>
      </c>
      <c r="W255" s="15">
        <f t="shared" si="19"/>
        <v>0</v>
      </c>
      <c r="X255">
        <f>VLOOKUP(B255,'[25]Cancel Sent on March 12'!$B:$B,1,0)</f>
        <v>76227679</v>
      </c>
    </row>
    <row r="256" spans="1:24">
      <c r="A256" t="s">
        <v>8690</v>
      </c>
      <c r="B256">
        <v>76227701</v>
      </c>
      <c r="C256">
        <v>76227701</v>
      </c>
      <c r="D256" t="s">
        <v>39</v>
      </c>
      <c r="E256">
        <v>450</v>
      </c>
      <c r="F256" t="e">
        <v>#N/A</v>
      </c>
      <c r="G256" t="e">
        <v>#N/A</v>
      </c>
      <c r="H256" t="e">
        <v>#N/A</v>
      </c>
      <c r="I256" t="e">
        <v>#N/A</v>
      </c>
      <c r="K256" t="s">
        <v>8727</v>
      </c>
      <c r="L256" s="29">
        <v>46023</v>
      </c>
      <c r="M256" t="s">
        <v>8731</v>
      </c>
      <c r="Q256" s="30" t="s">
        <v>8849</v>
      </c>
      <c r="R256" t="s">
        <v>8798</v>
      </c>
      <c r="S256">
        <f t="shared" si="15"/>
        <v>1</v>
      </c>
      <c r="T256">
        <f t="shared" si="16"/>
        <v>2026</v>
      </c>
      <c r="U256">
        <f t="shared" si="17"/>
        <v>1</v>
      </c>
      <c r="V256">
        <f t="shared" si="18"/>
        <v>1</v>
      </c>
      <c r="W256" s="15">
        <f t="shared" si="19"/>
        <v>650</v>
      </c>
      <c r="X256">
        <f>VLOOKUP(B256,'[25]Cancel Sent on March 12'!$B:$B,1,0)</f>
        <v>76227701</v>
      </c>
    </row>
    <row r="257" spans="1:24">
      <c r="A257" t="s">
        <v>8691</v>
      </c>
      <c r="B257">
        <v>76227703</v>
      </c>
      <c r="C257">
        <v>76227703</v>
      </c>
      <c r="D257" t="s">
        <v>39</v>
      </c>
      <c r="E257">
        <v>450</v>
      </c>
      <c r="F257" t="e">
        <v>#N/A</v>
      </c>
      <c r="G257" t="e">
        <v>#N/A</v>
      </c>
      <c r="H257" t="e">
        <v>#N/A</v>
      </c>
      <c r="I257" t="e">
        <v>#N/A</v>
      </c>
      <c r="K257" t="s">
        <v>8727</v>
      </c>
      <c r="L257" s="29">
        <v>46023</v>
      </c>
      <c r="M257" t="s">
        <v>8731</v>
      </c>
      <c r="Q257" s="30" t="s">
        <v>8849</v>
      </c>
      <c r="R257" t="s">
        <v>8798</v>
      </c>
      <c r="S257">
        <f t="shared" si="15"/>
        <v>1</v>
      </c>
      <c r="T257">
        <f t="shared" si="16"/>
        <v>2026</v>
      </c>
      <c r="U257">
        <f t="shared" si="17"/>
        <v>1</v>
      </c>
      <c r="V257">
        <f t="shared" si="18"/>
        <v>1</v>
      </c>
      <c r="W257" s="15">
        <f t="shared" si="19"/>
        <v>650</v>
      </c>
      <c r="X257">
        <f>VLOOKUP(B257,'[25]Cancel Sent on March 12'!$B:$B,1,0)</f>
        <v>76227703</v>
      </c>
    </row>
    <row r="258" spans="1:24">
      <c r="A258" t="s">
        <v>153</v>
      </c>
      <c r="B258">
        <v>76227757</v>
      </c>
      <c r="C258">
        <v>76227757</v>
      </c>
      <c r="D258" t="s">
        <v>39</v>
      </c>
      <c r="E258">
        <v>400</v>
      </c>
      <c r="F258" t="e">
        <v>#N/A</v>
      </c>
      <c r="G258" t="e">
        <v>#N/A</v>
      </c>
      <c r="H258" t="e">
        <v>#N/A</v>
      </c>
      <c r="I258" t="e">
        <v>#N/A</v>
      </c>
      <c r="K258" t="s">
        <v>8727</v>
      </c>
      <c r="L258" s="29">
        <v>45627</v>
      </c>
      <c r="M258" t="s">
        <v>8728</v>
      </c>
      <c r="Q258" s="30" t="s">
        <v>8828</v>
      </c>
      <c r="R258" t="s">
        <v>8798</v>
      </c>
      <c r="S258">
        <f t="shared" si="15"/>
        <v>12</v>
      </c>
      <c r="T258">
        <f t="shared" si="16"/>
        <v>2024</v>
      </c>
      <c r="U258">
        <f t="shared" si="17"/>
        <v>14</v>
      </c>
      <c r="V258">
        <f t="shared" si="18"/>
        <v>14</v>
      </c>
      <c r="W258" s="15">
        <f t="shared" si="19"/>
        <v>8400</v>
      </c>
      <c r="X258">
        <f>VLOOKUP(B258,'[25]Cancel Sent on March 12'!$B:$B,1,0)</f>
        <v>76227757</v>
      </c>
    </row>
    <row r="259" spans="1:24">
      <c r="A259" t="s">
        <v>156</v>
      </c>
      <c r="B259">
        <v>76228229</v>
      </c>
      <c r="C259">
        <v>76228229</v>
      </c>
      <c r="D259" t="s">
        <v>39</v>
      </c>
      <c r="E259">
        <v>300</v>
      </c>
      <c r="F259" t="e">
        <v>#N/A</v>
      </c>
      <c r="G259" t="e">
        <v>#N/A</v>
      </c>
      <c r="H259" t="e">
        <v>#N/A</v>
      </c>
      <c r="I259" t="e">
        <v>#N/A</v>
      </c>
      <c r="Q259" s="30" t="s">
        <v>8824</v>
      </c>
      <c r="R259" t="s">
        <v>8798</v>
      </c>
      <c r="S259">
        <f t="shared" ref="S259:S317" si="20">IF(ISBLANK(L259), 12, MONTH(L259))</f>
        <v>12</v>
      </c>
      <c r="T259">
        <f t="shared" ref="T259:T317" si="21">IF(ISBLANK(L259), 2025, YEAR(L259))</f>
        <v>2025</v>
      </c>
      <c r="U259">
        <f t="shared" ref="U259:U317" si="22">IF((2025-T259)*12+(12-S259+2)&lt;0,0,(2025-T259)*12+(12-S259+2))</f>
        <v>2</v>
      </c>
      <c r="V259">
        <f t="shared" ref="V259:V317" si="23">MIN(IF((2025-T259)*12+(12-S259+2)&lt;0,0,(2025-T259)*12+(12-S259+2)),6+12+2)</f>
        <v>2</v>
      </c>
      <c r="W259" s="15">
        <f t="shared" si="19"/>
        <v>1000</v>
      </c>
      <c r="X259">
        <f>VLOOKUP(B259,'[25]Cancel Sent on March 12'!$B:$B,1,0)</f>
        <v>76228229</v>
      </c>
    </row>
    <row r="260" spans="1:24">
      <c r="A260" t="s">
        <v>159</v>
      </c>
      <c r="B260">
        <v>76228237</v>
      </c>
      <c r="C260">
        <v>76228237</v>
      </c>
      <c r="D260" t="s">
        <v>39</v>
      </c>
      <c r="E260">
        <v>450</v>
      </c>
      <c r="F260" t="e">
        <v>#N/A</v>
      </c>
      <c r="G260" t="e">
        <v>#N/A</v>
      </c>
      <c r="H260" t="e">
        <v>#N/A</v>
      </c>
      <c r="I260" t="e">
        <v>#N/A</v>
      </c>
      <c r="K260" t="s">
        <v>8727</v>
      </c>
      <c r="L260" s="29">
        <v>45474</v>
      </c>
      <c r="M260" t="s">
        <v>8728</v>
      </c>
      <c r="P260" t="s">
        <v>306</v>
      </c>
      <c r="Q260" s="30" t="s">
        <v>8820</v>
      </c>
      <c r="R260" t="s">
        <v>8798</v>
      </c>
      <c r="S260">
        <f t="shared" si="20"/>
        <v>7</v>
      </c>
      <c r="T260">
        <f t="shared" si="21"/>
        <v>2024</v>
      </c>
      <c r="U260">
        <f t="shared" si="22"/>
        <v>19</v>
      </c>
      <c r="V260">
        <f t="shared" si="23"/>
        <v>19</v>
      </c>
      <c r="W260" s="15">
        <f t="shared" ref="W260:W317" si="24">U260*E260+V260*200</f>
        <v>12350</v>
      </c>
      <c r="X260">
        <f>VLOOKUP(B260,'[25]Cancel Sent on March 12'!$B:$B,1,0)</f>
        <v>76228237</v>
      </c>
    </row>
    <row r="261" spans="1:24">
      <c r="A261" s="23" t="s">
        <v>162</v>
      </c>
      <c r="B261" s="23">
        <v>76228316</v>
      </c>
      <c r="C261" s="23">
        <v>76228316</v>
      </c>
      <c r="D261" s="23" t="s">
        <v>39</v>
      </c>
      <c r="E261" s="23">
        <v>300</v>
      </c>
      <c r="F261" s="23" t="e">
        <v>#N/A</v>
      </c>
      <c r="G261" t="e">
        <v>#N/A</v>
      </c>
      <c r="H261" t="e">
        <v>#N/A</v>
      </c>
      <c r="I261" t="e">
        <v>#N/A</v>
      </c>
      <c r="J261" s="23"/>
      <c r="K261" s="23" t="s">
        <v>8727</v>
      </c>
      <c r="L261" s="29">
        <v>45413</v>
      </c>
      <c r="M261" s="23" t="s">
        <v>8731</v>
      </c>
      <c r="N261" s="23"/>
      <c r="O261" s="23"/>
      <c r="P261" s="23"/>
      <c r="Q261" s="33" t="s">
        <v>8829</v>
      </c>
      <c r="R261" s="23" t="s">
        <v>8798</v>
      </c>
      <c r="S261">
        <f t="shared" si="20"/>
        <v>5</v>
      </c>
      <c r="T261">
        <f t="shared" si="21"/>
        <v>2024</v>
      </c>
      <c r="U261">
        <f t="shared" si="22"/>
        <v>21</v>
      </c>
      <c r="V261">
        <f t="shared" si="23"/>
        <v>20</v>
      </c>
      <c r="W261" s="15">
        <f t="shared" si="24"/>
        <v>10300</v>
      </c>
      <c r="X261">
        <f>VLOOKUP(B261,'[25]Cancel Sent on March 12'!$B:$B,1,0)</f>
        <v>76228316</v>
      </c>
    </row>
    <row r="262" spans="1:24">
      <c r="A262" t="s">
        <v>165</v>
      </c>
      <c r="B262">
        <v>76228629</v>
      </c>
      <c r="C262">
        <v>76228629</v>
      </c>
      <c r="D262" t="s">
        <v>39</v>
      </c>
      <c r="E262">
        <v>450</v>
      </c>
      <c r="F262" t="e">
        <v>#N/A</v>
      </c>
      <c r="G262" t="e">
        <v>#N/A</v>
      </c>
      <c r="H262" t="e">
        <v>#N/A</v>
      </c>
      <c r="I262" t="e">
        <v>#N/A</v>
      </c>
      <c r="K262" t="s">
        <v>8727</v>
      </c>
      <c r="L262" s="29">
        <v>46106</v>
      </c>
      <c r="M262" t="s">
        <v>8731</v>
      </c>
      <c r="Q262" s="30" t="s">
        <v>8850</v>
      </c>
      <c r="R262" t="s">
        <v>8798</v>
      </c>
      <c r="S262">
        <f t="shared" si="20"/>
        <v>3</v>
      </c>
      <c r="T262">
        <f t="shared" si="21"/>
        <v>2026</v>
      </c>
      <c r="U262">
        <f t="shared" si="22"/>
        <v>0</v>
      </c>
      <c r="V262">
        <f t="shared" si="23"/>
        <v>0</v>
      </c>
      <c r="W262" s="15">
        <f t="shared" si="24"/>
        <v>0</v>
      </c>
      <c r="X262">
        <f>VLOOKUP(B262,'[25]Cancel Sent on March 12'!$B:$B,1,0)</f>
        <v>76228629</v>
      </c>
    </row>
    <row r="263" spans="1:24">
      <c r="A263" s="23" t="s">
        <v>171</v>
      </c>
      <c r="B263" s="23">
        <v>76229253</v>
      </c>
      <c r="C263" s="23">
        <v>76229253</v>
      </c>
      <c r="D263" s="23" t="s">
        <v>39</v>
      </c>
      <c r="E263" s="23">
        <v>300</v>
      </c>
      <c r="F263" s="23" t="e">
        <v>#N/A</v>
      </c>
      <c r="G263" t="e">
        <v>#N/A</v>
      </c>
      <c r="H263" t="e">
        <v>#N/A</v>
      </c>
      <c r="I263" t="e">
        <v>#N/A</v>
      </c>
      <c r="J263" s="23"/>
      <c r="K263" s="23" t="s">
        <v>8727</v>
      </c>
      <c r="L263" s="29">
        <v>45778</v>
      </c>
      <c r="M263" s="23" t="s">
        <v>8731</v>
      </c>
      <c r="N263" s="23"/>
      <c r="O263" s="23"/>
      <c r="P263" s="23"/>
      <c r="Q263" s="33" t="s">
        <v>8829</v>
      </c>
      <c r="R263" s="23" t="s">
        <v>8798</v>
      </c>
      <c r="S263">
        <f t="shared" si="20"/>
        <v>5</v>
      </c>
      <c r="T263">
        <f t="shared" si="21"/>
        <v>2025</v>
      </c>
      <c r="U263">
        <f t="shared" si="22"/>
        <v>9</v>
      </c>
      <c r="V263">
        <f t="shared" si="23"/>
        <v>9</v>
      </c>
      <c r="W263" s="15">
        <f t="shared" si="24"/>
        <v>4500</v>
      </c>
      <c r="X263">
        <f>VLOOKUP(B263,'[25]Cancel Sent on March 12'!$B:$B,1,0)</f>
        <v>76229253</v>
      </c>
    </row>
    <row r="264" spans="1:24" hidden="1">
      <c r="A264" t="s">
        <v>652</v>
      </c>
      <c r="B264">
        <v>76229318</v>
      </c>
      <c r="C264">
        <v>76229318</v>
      </c>
      <c r="D264" t="s">
        <v>39</v>
      </c>
      <c r="E264">
        <v>300</v>
      </c>
      <c r="F264" t="e">
        <v>#N/A</v>
      </c>
      <c r="G264" t="e">
        <v>#N/A</v>
      </c>
      <c r="H264" t="e">
        <v>#N/A</v>
      </c>
      <c r="I264" t="e">
        <v>#N/A</v>
      </c>
      <c r="K264" t="s">
        <v>4653</v>
      </c>
      <c r="L264" s="29">
        <v>45717</v>
      </c>
      <c r="M264" t="s">
        <v>8731</v>
      </c>
      <c r="O264" t="s">
        <v>8851</v>
      </c>
      <c r="Q264" s="30"/>
      <c r="R264" t="s">
        <v>8798</v>
      </c>
      <c r="S264">
        <f t="shared" si="20"/>
        <v>3</v>
      </c>
      <c r="T264">
        <f t="shared" si="21"/>
        <v>2025</v>
      </c>
      <c r="U264">
        <f t="shared" si="22"/>
        <v>11</v>
      </c>
      <c r="V264">
        <f t="shared" si="23"/>
        <v>11</v>
      </c>
      <c r="W264" s="15">
        <f t="shared" si="24"/>
        <v>5500</v>
      </c>
      <c r="X264" t="e">
        <f>VLOOKUP(B264,'[25]Cancel Sent on March 12'!$B:$B,1,0)</f>
        <v>#N/A</v>
      </c>
    </row>
    <row r="265" spans="1:24">
      <c r="A265" t="s">
        <v>174</v>
      </c>
      <c r="B265">
        <v>76229684</v>
      </c>
      <c r="C265">
        <v>76229684</v>
      </c>
      <c r="D265" t="s">
        <v>39</v>
      </c>
      <c r="E265">
        <v>400</v>
      </c>
      <c r="F265" t="e">
        <v>#N/A</v>
      </c>
      <c r="G265" t="e">
        <v>#N/A</v>
      </c>
      <c r="H265" t="e">
        <v>#N/A</v>
      </c>
      <c r="I265" t="e">
        <v>#N/A</v>
      </c>
      <c r="K265" t="s">
        <v>8727</v>
      </c>
      <c r="L265" s="29">
        <v>45870</v>
      </c>
      <c r="M265" t="s">
        <v>8728</v>
      </c>
      <c r="P265" t="s">
        <v>306</v>
      </c>
      <c r="Q265" s="30" t="s">
        <v>8810</v>
      </c>
      <c r="R265" t="s">
        <v>8798</v>
      </c>
      <c r="S265">
        <f t="shared" si="20"/>
        <v>8</v>
      </c>
      <c r="T265">
        <f t="shared" si="21"/>
        <v>2025</v>
      </c>
      <c r="U265">
        <f t="shared" si="22"/>
        <v>6</v>
      </c>
      <c r="V265">
        <f t="shared" si="23"/>
        <v>6</v>
      </c>
      <c r="W265" s="15">
        <f t="shared" si="24"/>
        <v>3600</v>
      </c>
      <c r="X265">
        <f>VLOOKUP(B265,'[25]Cancel Sent on March 12'!$B:$B,1,0)</f>
        <v>76229684</v>
      </c>
    </row>
    <row r="266" spans="1:24">
      <c r="A266" t="s">
        <v>177</v>
      </c>
      <c r="B266">
        <v>76229942</v>
      </c>
      <c r="C266">
        <v>76229942</v>
      </c>
      <c r="D266" t="s">
        <v>39</v>
      </c>
      <c r="E266">
        <v>450</v>
      </c>
      <c r="F266" t="e">
        <v>#N/A</v>
      </c>
      <c r="G266" t="e">
        <v>#N/A</v>
      </c>
      <c r="H266" t="e">
        <v>#N/A</v>
      </c>
      <c r="I266" t="e">
        <v>#N/A</v>
      </c>
      <c r="K266" t="s">
        <v>8727</v>
      </c>
      <c r="L266" s="29">
        <v>45323</v>
      </c>
      <c r="M266" t="s">
        <v>8731</v>
      </c>
      <c r="Q266" s="30" t="s">
        <v>8820</v>
      </c>
      <c r="R266" t="s">
        <v>8798</v>
      </c>
      <c r="S266">
        <f t="shared" si="20"/>
        <v>2</v>
      </c>
      <c r="T266">
        <f t="shared" si="21"/>
        <v>2024</v>
      </c>
      <c r="U266">
        <f>IF((2025-T266)*12+(12-S266+2)&lt;0,0,(2025-T266)*12+(12-S266+2))</f>
        <v>24</v>
      </c>
      <c r="V266">
        <f t="shared" si="23"/>
        <v>20</v>
      </c>
      <c r="W266" s="15">
        <f t="shared" si="24"/>
        <v>14800</v>
      </c>
      <c r="X266">
        <f>VLOOKUP(B266,'[25]Cancel Sent on March 12'!$B:$B,1,0)</f>
        <v>76229942</v>
      </c>
    </row>
    <row r="267" spans="1:24">
      <c r="A267" t="s">
        <v>183</v>
      </c>
      <c r="B267">
        <v>76230427</v>
      </c>
      <c r="C267">
        <v>76230427</v>
      </c>
      <c r="D267" t="s">
        <v>39</v>
      </c>
      <c r="E267">
        <v>300</v>
      </c>
      <c r="F267" t="e">
        <v>#N/A</v>
      </c>
      <c r="G267" t="e">
        <v>#N/A</v>
      </c>
      <c r="H267" t="e">
        <v>#N/A</v>
      </c>
      <c r="I267" t="e">
        <v>#N/A</v>
      </c>
      <c r="K267" t="s">
        <v>8727</v>
      </c>
      <c r="L267" s="29">
        <v>45748</v>
      </c>
      <c r="M267" t="s">
        <v>8731</v>
      </c>
      <c r="P267" t="s">
        <v>306</v>
      </c>
      <c r="Q267" s="30" t="s">
        <v>8852</v>
      </c>
      <c r="R267" t="s">
        <v>8798</v>
      </c>
      <c r="S267">
        <f t="shared" si="20"/>
        <v>4</v>
      </c>
      <c r="T267">
        <f t="shared" si="21"/>
        <v>2025</v>
      </c>
      <c r="U267">
        <f t="shared" si="22"/>
        <v>10</v>
      </c>
      <c r="V267">
        <f t="shared" si="23"/>
        <v>10</v>
      </c>
      <c r="W267" s="15">
        <f t="shared" si="24"/>
        <v>5000</v>
      </c>
      <c r="X267">
        <f>VLOOKUP(B267,'[25]Cancel Sent on March 12'!$B:$B,1,0)</f>
        <v>76230427</v>
      </c>
    </row>
    <row r="268" spans="1:24">
      <c r="A268" t="s">
        <v>8692</v>
      </c>
      <c r="B268">
        <v>76230499</v>
      </c>
      <c r="C268">
        <v>76230499</v>
      </c>
      <c r="D268" t="s">
        <v>39</v>
      </c>
      <c r="E268">
        <v>400</v>
      </c>
      <c r="F268" t="e">
        <v>#N/A</v>
      </c>
      <c r="G268" t="e">
        <v>#N/A</v>
      </c>
      <c r="H268" t="e">
        <v>#N/A</v>
      </c>
      <c r="I268" t="e">
        <v>#N/A</v>
      </c>
      <c r="K268" t="s">
        <v>8727</v>
      </c>
      <c r="L268" s="29">
        <v>45870</v>
      </c>
      <c r="M268" t="s">
        <v>8731</v>
      </c>
      <c r="Q268" s="32" t="s">
        <v>8806</v>
      </c>
      <c r="R268" t="s">
        <v>8798</v>
      </c>
      <c r="S268">
        <f t="shared" si="20"/>
        <v>8</v>
      </c>
      <c r="T268">
        <f t="shared" si="21"/>
        <v>2025</v>
      </c>
      <c r="U268">
        <f t="shared" si="22"/>
        <v>6</v>
      </c>
      <c r="V268">
        <f t="shared" si="23"/>
        <v>6</v>
      </c>
      <c r="W268" s="15">
        <f t="shared" si="24"/>
        <v>3600</v>
      </c>
      <c r="X268">
        <f>VLOOKUP(B268,'[25]Cancel Sent on March 12'!$B:$B,1,0)</f>
        <v>76230499</v>
      </c>
    </row>
    <row r="269" spans="1:24">
      <c r="A269" t="s">
        <v>8693</v>
      </c>
      <c r="B269">
        <v>76231547</v>
      </c>
      <c r="C269">
        <v>76231547</v>
      </c>
      <c r="D269" t="s">
        <v>39</v>
      </c>
      <c r="E269">
        <v>300</v>
      </c>
      <c r="F269" t="e">
        <v>#N/A</v>
      </c>
      <c r="G269" t="e">
        <v>#N/A</v>
      </c>
      <c r="H269" t="e">
        <v>#N/A</v>
      </c>
      <c r="I269" t="e">
        <v>#N/A</v>
      </c>
      <c r="K269" t="s">
        <v>8727</v>
      </c>
      <c r="L269" s="29">
        <v>45931</v>
      </c>
      <c r="M269" t="s">
        <v>8731</v>
      </c>
      <c r="Q269" s="30" t="s">
        <v>8806</v>
      </c>
      <c r="R269" t="s">
        <v>8798</v>
      </c>
      <c r="S269">
        <f t="shared" si="20"/>
        <v>10</v>
      </c>
      <c r="T269">
        <f t="shared" si="21"/>
        <v>2025</v>
      </c>
      <c r="U269">
        <f t="shared" si="22"/>
        <v>4</v>
      </c>
      <c r="V269">
        <f t="shared" si="23"/>
        <v>4</v>
      </c>
      <c r="W269" s="15">
        <f t="shared" si="24"/>
        <v>2000</v>
      </c>
      <c r="X269">
        <f>VLOOKUP(B269,'[25]Cancel Sent on March 12'!$B:$B,1,0)</f>
        <v>76231547</v>
      </c>
    </row>
    <row r="270" spans="1:24">
      <c r="A270" t="s">
        <v>189</v>
      </c>
      <c r="B270">
        <v>76231928</v>
      </c>
      <c r="C270">
        <v>76231928</v>
      </c>
      <c r="D270" t="s">
        <v>39</v>
      </c>
      <c r="E270">
        <v>400</v>
      </c>
      <c r="F270" t="e">
        <v>#N/A</v>
      </c>
      <c r="G270" t="e">
        <v>#N/A</v>
      </c>
      <c r="H270" t="e">
        <v>#N/A</v>
      </c>
      <c r="I270" t="e">
        <v>#N/A</v>
      </c>
      <c r="K270" t="s">
        <v>8727</v>
      </c>
      <c r="L270" s="29">
        <v>45170</v>
      </c>
      <c r="M270" t="s">
        <v>8728</v>
      </c>
      <c r="Q270" t="s">
        <v>8850</v>
      </c>
      <c r="R270" t="s">
        <v>8798</v>
      </c>
      <c r="S270">
        <f t="shared" si="20"/>
        <v>9</v>
      </c>
      <c r="T270">
        <f t="shared" si="21"/>
        <v>2023</v>
      </c>
      <c r="U270">
        <f t="shared" si="22"/>
        <v>29</v>
      </c>
      <c r="V270">
        <f t="shared" si="23"/>
        <v>20</v>
      </c>
      <c r="W270" s="15">
        <f t="shared" si="24"/>
        <v>15600</v>
      </c>
      <c r="X270">
        <f>VLOOKUP(B270,'[25]Cancel Sent on March 12'!$B:$B,1,0)</f>
        <v>76231928</v>
      </c>
    </row>
    <row r="271" spans="1:24">
      <c r="A271" t="s">
        <v>192</v>
      </c>
      <c r="B271">
        <v>76232064</v>
      </c>
      <c r="C271">
        <v>76232064</v>
      </c>
      <c r="D271" t="s">
        <v>39</v>
      </c>
      <c r="E271">
        <v>300</v>
      </c>
      <c r="F271" t="e">
        <v>#N/A</v>
      </c>
      <c r="G271" t="e">
        <v>#N/A</v>
      </c>
      <c r="H271" t="e">
        <v>#N/A</v>
      </c>
      <c r="I271" t="e">
        <v>#N/A</v>
      </c>
      <c r="K271" t="s">
        <v>8727</v>
      </c>
      <c r="L271" s="29">
        <v>45383</v>
      </c>
      <c r="M271" t="s">
        <v>8731</v>
      </c>
      <c r="Q271" s="30" t="s">
        <v>8828</v>
      </c>
      <c r="R271" t="s">
        <v>8798</v>
      </c>
      <c r="S271">
        <f t="shared" si="20"/>
        <v>4</v>
      </c>
      <c r="T271">
        <f t="shared" si="21"/>
        <v>2024</v>
      </c>
      <c r="U271">
        <f t="shared" si="22"/>
        <v>22</v>
      </c>
      <c r="V271">
        <f t="shared" si="23"/>
        <v>20</v>
      </c>
      <c r="W271" s="15">
        <f t="shared" si="24"/>
        <v>10600</v>
      </c>
      <c r="X271">
        <f>VLOOKUP(B271,'[25]Cancel Sent on March 12'!$B:$B,1,0)</f>
        <v>76232064</v>
      </c>
    </row>
    <row r="272" spans="1:24">
      <c r="A272" t="s">
        <v>195</v>
      </c>
      <c r="B272">
        <v>76232553</v>
      </c>
      <c r="C272">
        <v>76232553</v>
      </c>
      <c r="D272" t="s">
        <v>39</v>
      </c>
      <c r="E272">
        <v>300</v>
      </c>
      <c r="F272" t="e">
        <v>#N/A</v>
      </c>
      <c r="G272" t="e">
        <v>#N/A</v>
      </c>
      <c r="H272" t="e">
        <v>#N/A</v>
      </c>
      <c r="I272" t="e">
        <v>#N/A</v>
      </c>
      <c r="K272" t="s">
        <v>8741</v>
      </c>
      <c r="L272" s="29">
        <v>45108</v>
      </c>
      <c r="M272" t="s">
        <v>8731</v>
      </c>
      <c r="Q272" s="30" t="s">
        <v>8853</v>
      </c>
      <c r="R272" t="s">
        <v>8798</v>
      </c>
      <c r="S272">
        <f t="shared" si="20"/>
        <v>7</v>
      </c>
      <c r="T272">
        <f t="shared" si="21"/>
        <v>2023</v>
      </c>
      <c r="U272">
        <f t="shared" si="22"/>
        <v>31</v>
      </c>
      <c r="V272">
        <f t="shared" si="23"/>
        <v>20</v>
      </c>
      <c r="W272" s="15">
        <f t="shared" si="24"/>
        <v>13300</v>
      </c>
      <c r="X272">
        <f>VLOOKUP(B272,'[25]Cancel Sent on March 12'!$B:$B,1,0)</f>
        <v>76232553</v>
      </c>
    </row>
    <row r="273" spans="1:24">
      <c r="A273" t="s">
        <v>198</v>
      </c>
      <c r="B273">
        <v>76232596</v>
      </c>
      <c r="C273">
        <v>76232596</v>
      </c>
      <c r="D273" t="s">
        <v>39</v>
      </c>
      <c r="E273">
        <v>450</v>
      </c>
      <c r="F273" t="e">
        <v>#N/A</v>
      </c>
      <c r="G273" t="e">
        <v>#N/A</v>
      </c>
      <c r="H273" t="e">
        <v>#N/A</v>
      </c>
      <c r="I273" t="e">
        <v>#N/A</v>
      </c>
      <c r="K273" t="s">
        <v>8727</v>
      </c>
      <c r="L273" s="29">
        <v>45566</v>
      </c>
      <c r="M273" t="s">
        <v>8731</v>
      </c>
      <c r="Q273" s="30" t="s">
        <v>8820</v>
      </c>
      <c r="R273" t="s">
        <v>8798</v>
      </c>
      <c r="S273">
        <f t="shared" si="20"/>
        <v>10</v>
      </c>
      <c r="T273">
        <f t="shared" si="21"/>
        <v>2024</v>
      </c>
      <c r="U273">
        <f t="shared" si="22"/>
        <v>16</v>
      </c>
      <c r="V273">
        <f t="shared" si="23"/>
        <v>16</v>
      </c>
      <c r="W273" s="15">
        <f t="shared" si="24"/>
        <v>10400</v>
      </c>
      <c r="X273">
        <f>VLOOKUP(B273,'[25]Cancel Sent on March 12'!$B:$B,1,0)</f>
        <v>76232596</v>
      </c>
    </row>
    <row r="274" spans="1:24">
      <c r="A274" t="s">
        <v>201</v>
      </c>
      <c r="B274">
        <v>76232815</v>
      </c>
      <c r="C274">
        <v>76232815</v>
      </c>
      <c r="D274" t="s">
        <v>39</v>
      </c>
      <c r="E274">
        <v>400</v>
      </c>
      <c r="F274" t="e">
        <v>#N/A</v>
      </c>
      <c r="G274" t="e">
        <v>#N/A</v>
      </c>
      <c r="H274" t="e">
        <v>#N/A</v>
      </c>
      <c r="I274" t="e">
        <v>#N/A</v>
      </c>
      <c r="Q274" s="30" t="s">
        <v>8824</v>
      </c>
      <c r="R274" t="s">
        <v>8798</v>
      </c>
      <c r="S274">
        <f t="shared" si="20"/>
        <v>12</v>
      </c>
      <c r="T274">
        <f t="shared" si="21"/>
        <v>2025</v>
      </c>
      <c r="U274">
        <f t="shared" si="22"/>
        <v>2</v>
      </c>
      <c r="V274">
        <f t="shared" si="23"/>
        <v>2</v>
      </c>
      <c r="W274" s="15">
        <f t="shared" si="24"/>
        <v>1200</v>
      </c>
      <c r="X274">
        <f>VLOOKUP(B274,'[25]Cancel Sent on March 12'!$B:$B,1,0)</f>
        <v>76232815</v>
      </c>
    </row>
    <row r="275" spans="1:24">
      <c r="A275" t="s">
        <v>204</v>
      </c>
      <c r="B275">
        <v>76233048</v>
      </c>
      <c r="C275">
        <v>76233048</v>
      </c>
      <c r="D275" t="s">
        <v>39</v>
      </c>
      <c r="E275">
        <v>450</v>
      </c>
      <c r="F275" t="e">
        <v>#N/A</v>
      </c>
      <c r="G275" t="e">
        <v>#N/A</v>
      </c>
      <c r="H275" t="e">
        <v>#N/A</v>
      </c>
      <c r="I275" t="e">
        <v>#N/A</v>
      </c>
      <c r="K275" t="s">
        <v>8727</v>
      </c>
      <c r="L275" s="29">
        <v>45839</v>
      </c>
      <c r="M275" t="s">
        <v>8731</v>
      </c>
      <c r="Q275" s="30" t="s">
        <v>8854</v>
      </c>
      <c r="R275" t="s">
        <v>8798</v>
      </c>
      <c r="S275">
        <f t="shared" si="20"/>
        <v>7</v>
      </c>
      <c r="T275">
        <f t="shared" si="21"/>
        <v>2025</v>
      </c>
      <c r="U275">
        <f t="shared" si="22"/>
        <v>7</v>
      </c>
      <c r="V275">
        <f t="shared" si="23"/>
        <v>7</v>
      </c>
      <c r="W275" s="15">
        <f t="shared" si="24"/>
        <v>4550</v>
      </c>
      <c r="X275">
        <f>VLOOKUP(B275,'[25]Cancel Sent on March 12'!$B:$B,1,0)</f>
        <v>76233048</v>
      </c>
    </row>
    <row r="276" spans="1:24">
      <c r="A276" t="s">
        <v>207</v>
      </c>
      <c r="B276">
        <v>76233242</v>
      </c>
      <c r="C276">
        <v>76233242</v>
      </c>
      <c r="D276" t="s">
        <v>39</v>
      </c>
      <c r="E276">
        <v>400</v>
      </c>
      <c r="F276" t="e">
        <v>#N/A</v>
      </c>
      <c r="G276" t="e">
        <v>#N/A</v>
      </c>
      <c r="H276" t="e">
        <v>#N/A</v>
      </c>
      <c r="I276" t="e">
        <v>#N/A</v>
      </c>
      <c r="K276" t="s">
        <v>8727</v>
      </c>
      <c r="L276" s="29">
        <v>45261</v>
      </c>
      <c r="M276" t="s">
        <v>8728</v>
      </c>
      <c r="Q276" s="30" t="s">
        <v>8806</v>
      </c>
      <c r="R276" t="s">
        <v>8798</v>
      </c>
      <c r="S276">
        <f t="shared" si="20"/>
        <v>12</v>
      </c>
      <c r="T276">
        <f t="shared" si="21"/>
        <v>2023</v>
      </c>
      <c r="U276">
        <f t="shared" si="22"/>
        <v>26</v>
      </c>
      <c r="V276">
        <f t="shared" si="23"/>
        <v>20</v>
      </c>
      <c r="W276" s="15">
        <f t="shared" si="24"/>
        <v>14400</v>
      </c>
      <c r="X276">
        <f>VLOOKUP(B276,'[25]Cancel Sent on March 12'!$B:$B,1,0)</f>
        <v>76233242</v>
      </c>
    </row>
    <row r="277" spans="1:24">
      <c r="A277" t="s">
        <v>210</v>
      </c>
      <c r="B277">
        <v>76234206</v>
      </c>
      <c r="C277">
        <v>76234206</v>
      </c>
      <c r="D277" t="s">
        <v>39</v>
      </c>
      <c r="E277">
        <v>300</v>
      </c>
      <c r="F277" t="e">
        <v>#N/A</v>
      </c>
      <c r="G277" t="e">
        <v>#N/A</v>
      </c>
      <c r="H277" t="e">
        <v>#N/A</v>
      </c>
      <c r="I277" t="e">
        <v>#N/A</v>
      </c>
      <c r="K277" t="s">
        <v>8741</v>
      </c>
      <c r="L277" s="29">
        <v>45352</v>
      </c>
      <c r="M277" t="s">
        <v>8731</v>
      </c>
      <c r="Q277" s="30" t="s">
        <v>8855</v>
      </c>
      <c r="R277" t="s">
        <v>8798</v>
      </c>
      <c r="S277">
        <f t="shared" si="20"/>
        <v>3</v>
      </c>
      <c r="T277">
        <f t="shared" si="21"/>
        <v>2024</v>
      </c>
      <c r="U277">
        <f t="shared" si="22"/>
        <v>23</v>
      </c>
      <c r="V277">
        <f t="shared" si="23"/>
        <v>20</v>
      </c>
      <c r="W277" s="15">
        <f t="shared" si="24"/>
        <v>10900</v>
      </c>
      <c r="X277">
        <f>VLOOKUP(B277,'[25]Cancel Sent on March 12'!$B:$B,1,0)</f>
        <v>76234206</v>
      </c>
    </row>
    <row r="278" spans="1:24">
      <c r="A278" t="s">
        <v>213</v>
      </c>
      <c r="B278">
        <v>76234275</v>
      </c>
      <c r="C278">
        <v>76234275</v>
      </c>
      <c r="D278" t="s">
        <v>39</v>
      </c>
      <c r="E278">
        <v>400</v>
      </c>
      <c r="F278" t="e">
        <v>#N/A</v>
      </c>
      <c r="G278" t="e">
        <v>#N/A</v>
      </c>
      <c r="H278" t="e">
        <v>#N/A</v>
      </c>
      <c r="I278" t="e">
        <v>#N/A</v>
      </c>
      <c r="K278" t="s">
        <v>8727</v>
      </c>
      <c r="L278" s="29">
        <v>45323</v>
      </c>
      <c r="M278" t="s">
        <v>8728</v>
      </c>
      <c r="Q278" t="s">
        <v>8806</v>
      </c>
      <c r="R278" t="s">
        <v>8798</v>
      </c>
      <c r="S278">
        <f t="shared" si="20"/>
        <v>2</v>
      </c>
      <c r="T278">
        <f t="shared" si="21"/>
        <v>2024</v>
      </c>
      <c r="U278">
        <f t="shared" si="22"/>
        <v>24</v>
      </c>
      <c r="V278">
        <f t="shared" si="23"/>
        <v>20</v>
      </c>
      <c r="W278" s="15">
        <f t="shared" si="24"/>
        <v>13600</v>
      </c>
      <c r="X278">
        <f>VLOOKUP(B278,'[25]Cancel Sent on March 12'!$B:$B,1,0)</f>
        <v>76234275</v>
      </c>
    </row>
    <row r="279" spans="1:24">
      <c r="A279" t="s">
        <v>8694</v>
      </c>
      <c r="B279">
        <v>76234979</v>
      </c>
      <c r="C279">
        <v>76234979</v>
      </c>
      <c r="D279" t="s">
        <v>39</v>
      </c>
      <c r="E279">
        <v>400</v>
      </c>
      <c r="F279" t="e">
        <v>#N/A</v>
      </c>
      <c r="G279" t="e">
        <v>#N/A</v>
      </c>
      <c r="H279" t="e">
        <v>#N/A</v>
      </c>
      <c r="I279" t="e">
        <v>#N/A</v>
      </c>
      <c r="K279" t="s">
        <v>8727</v>
      </c>
      <c r="L279" s="29">
        <v>45839</v>
      </c>
      <c r="M279" t="s">
        <v>8728</v>
      </c>
      <c r="Q279" s="30" t="s">
        <v>8806</v>
      </c>
      <c r="R279" t="s">
        <v>8798</v>
      </c>
      <c r="S279">
        <f t="shared" si="20"/>
        <v>7</v>
      </c>
      <c r="T279">
        <f t="shared" si="21"/>
        <v>2025</v>
      </c>
      <c r="U279">
        <f t="shared" si="22"/>
        <v>7</v>
      </c>
      <c r="V279">
        <f t="shared" si="23"/>
        <v>7</v>
      </c>
      <c r="W279" s="15">
        <f t="shared" si="24"/>
        <v>4200</v>
      </c>
      <c r="X279">
        <f>VLOOKUP(B279,'[25]Cancel Sent on March 12'!$B:$B,1,0)</f>
        <v>76234979</v>
      </c>
    </row>
    <row r="280" spans="1:24">
      <c r="A280" t="s">
        <v>8695</v>
      </c>
      <c r="B280">
        <v>76234982</v>
      </c>
      <c r="C280">
        <v>76234982</v>
      </c>
      <c r="D280" t="s">
        <v>39</v>
      </c>
      <c r="E280">
        <v>400</v>
      </c>
      <c r="F280" t="e">
        <v>#N/A</v>
      </c>
      <c r="G280" t="e">
        <v>#N/A</v>
      </c>
      <c r="H280" t="e">
        <v>#N/A</v>
      </c>
      <c r="I280" t="e">
        <v>#N/A</v>
      </c>
      <c r="K280" t="s">
        <v>8727</v>
      </c>
      <c r="L280" s="29">
        <v>45839</v>
      </c>
      <c r="M280" t="s">
        <v>8728</v>
      </c>
      <c r="Q280" t="s">
        <v>8806</v>
      </c>
      <c r="R280" t="s">
        <v>8798</v>
      </c>
      <c r="S280">
        <f t="shared" si="20"/>
        <v>7</v>
      </c>
      <c r="T280">
        <f t="shared" si="21"/>
        <v>2025</v>
      </c>
      <c r="U280">
        <f t="shared" si="22"/>
        <v>7</v>
      </c>
      <c r="V280">
        <f t="shared" si="23"/>
        <v>7</v>
      </c>
      <c r="W280" s="15">
        <f t="shared" si="24"/>
        <v>4200</v>
      </c>
      <c r="X280">
        <f>VLOOKUP(B280,'[25]Cancel Sent on March 12'!$B:$B,1,0)</f>
        <v>76234982</v>
      </c>
    </row>
    <row r="281" spans="1:24">
      <c r="A281" t="s">
        <v>8696</v>
      </c>
      <c r="B281">
        <v>76235392</v>
      </c>
      <c r="C281">
        <v>76235392</v>
      </c>
      <c r="D281" t="s">
        <v>39</v>
      </c>
      <c r="E281">
        <v>300</v>
      </c>
      <c r="F281" t="e">
        <v>#N/A</v>
      </c>
      <c r="G281" t="e">
        <v>#N/A</v>
      </c>
      <c r="H281" t="e">
        <v>#N/A</v>
      </c>
      <c r="I281" t="e">
        <v>#N/A</v>
      </c>
      <c r="K281" t="s">
        <v>8727</v>
      </c>
      <c r="L281" s="29">
        <v>45931</v>
      </c>
      <c r="M281" t="s">
        <v>8731</v>
      </c>
      <c r="Q281" s="30" t="s">
        <v>8806</v>
      </c>
      <c r="R281" t="s">
        <v>8798</v>
      </c>
      <c r="S281">
        <f t="shared" si="20"/>
        <v>10</v>
      </c>
      <c r="T281">
        <f t="shared" si="21"/>
        <v>2025</v>
      </c>
      <c r="U281">
        <f t="shared" si="22"/>
        <v>4</v>
      </c>
      <c r="V281">
        <f t="shared" si="23"/>
        <v>4</v>
      </c>
      <c r="W281" s="15">
        <f t="shared" si="24"/>
        <v>2000</v>
      </c>
      <c r="X281">
        <f>VLOOKUP(B281,'[25]Cancel Sent on March 12'!$B:$B,1,0)</f>
        <v>76235392</v>
      </c>
    </row>
    <row r="282" spans="1:24">
      <c r="A282" t="s">
        <v>216</v>
      </c>
      <c r="B282">
        <v>76235514</v>
      </c>
      <c r="C282">
        <v>76235514</v>
      </c>
      <c r="D282" t="s">
        <v>39</v>
      </c>
      <c r="E282">
        <v>300</v>
      </c>
      <c r="F282" t="e">
        <v>#N/A</v>
      </c>
      <c r="G282" t="e">
        <v>#N/A</v>
      </c>
      <c r="H282" t="e">
        <v>#N/A</v>
      </c>
      <c r="I282" t="e">
        <v>#N/A</v>
      </c>
      <c r="Q282" s="30" t="s">
        <v>8824</v>
      </c>
      <c r="R282" t="s">
        <v>8798</v>
      </c>
      <c r="S282">
        <f t="shared" si="20"/>
        <v>12</v>
      </c>
      <c r="T282">
        <f t="shared" si="21"/>
        <v>2025</v>
      </c>
      <c r="U282">
        <f t="shared" si="22"/>
        <v>2</v>
      </c>
      <c r="V282">
        <f t="shared" si="23"/>
        <v>2</v>
      </c>
      <c r="W282" s="15">
        <f t="shared" si="24"/>
        <v>1000</v>
      </c>
      <c r="X282">
        <f>VLOOKUP(B282,'[25]Cancel Sent on March 12'!$B:$B,1,0)</f>
        <v>76235514</v>
      </c>
    </row>
    <row r="283" spans="1:24">
      <c r="A283" t="s">
        <v>8697</v>
      </c>
      <c r="B283">
        <v>76235642</v>
      </c>
      <c r="C283">
        <v>76235642</v>
      </c>
      <c r="D283" t="s">
        <v>39</v>
      </c>
      <c r="E283">
        <v>300</v>
      </c>
      <c r="F283" t="e">
        <v>#N/A</v>
      </c>
      <c r="G283" t="e">
        <v>#N/A</v>
      </c>
      <c r="H283" t="e">
        <v>#N/A</v>
      </c>
      <c r="I283" t="e">
        <v>#N/A</v>
      </c>
      <c r="K283" t="s">
        <v>8727</v>
      </c>
      <c r="L283" s="29">
        <v>111674</v>
      </c>
      <c r="M283" t="s">
        <v>8731</v>
      </c>
      <c r="Q283" s="30" t="s">
        <v>8806</v>
      </c>
      <c r="R283" t="s">
        <v>8798</v>
      </c>
      <c r="S283">
        <f t="shared" si="20"/>
        <v>10</v>
      </c>
      <c r="T283">
        <f t="shared" si="21"/>
        <v>2205</v>
      </c>
      <c r="U283">
        <f t="shared" si="22"/>
        <v>0</v>
      </c>
      <c r="V283">
        <f>MIN(IF((2025-T283)*12+(12-S283+2)&lt;0,0,(2025-T283)*12+(12-S283+2)),6+12+2)</f>
        <v>0</v>
      </c>
      <c r="W283" s="15">
        <f t="shared" si="24"/>
        <v>0</v>
      </c>
      <c r="X283">
        <f>VLOOKUP(B283,'[25]Cancel Sent on March 12'!$B:$B,1,0)</f>
        <v>76235642</v>
      </c>
    </row>
    <row r="284" spans="1:24">
      <c r="A284" t="s">
        <v>219</v>
      </c>
      <c r="B284">
        <v>76236622</v>
      </c>
      <c r="C284">
        <v>76236622</v>
      </c>
      <c r="D284" t="s">
        <v>39</v>
      </c>
      <c r="E284">
        <v>300</v>
      </c>
      <c r="F284" t="e">
        <v>#N/A</v>
      </c>
      <c r="G284" t="e">
        <v>#N/A</v>
      </c>
      <c r="H284" t="e">
        <v>#N/A</v>
      </c>
      <c r="I284" t="e">
        <v>#N/A</v>
      </c>
      <c r="K284" t="s">
        <v>8727</v>
      </c>
      <c r="L284" s="29">
        <v>45444</v>
      </c>
      <c r="M284" t="s">
        <v>8731</v>
      </c>
      <c r="Q284" s="30" t="s">
        <v>8806</v>
      </c>
      <c r="R284" t="s">
        <v>8798</v>
      </c>
      <c r="S284">
        <f t="shared" si="20"/>
        <v>6</v>
      </c>
      <c r="T284">
        <f t="shared" si="21"/>
        <v>2024</v>
      </c>
      <c r="U284">
        <f t="shared" si="22"/>
        <v>20</v>
      </c>
      <c r="V284">
        <f t="shared" si="23"/>
        <v>20</v>
      </c>
      <c r="W284" s="15">
        <f t="shared" si="24"/>
        <v>10000</v>
      </c>
      <c r="X284">
        <f>VLOOKUP(B284,'[25]Cancel Sent on March 12'!$B:$B,1,0)</f>
        <v>76236622</v>
      </c>
    </row>
    <row r="285" spans="1:24">
      <c r="A285" t="s">
        <v>8698</v>
      </c>
      <c r="B285">
        <v>76236856</v>
      </c>
      <c r="C285">
        <v>76236856</v>
      </c>
      <c r="D285" t="s">
        <v>39</v>
      </c>
      <c r="E285">
        <v>300</v>
      </c>
      <c r="F285" t="e">
        <v>#N/A</v>
      </c>
      <c r="G285" t="e">
        <v>#N/A</v>
      </c>
      <c r="H285" t="e">
        <v>#N/A</v>
      </c>
      <c r="I285" t="e">
        <v>#N/A</v>
      </c>
      <c r="K285" t="s">
        <v>8727</v>
      </c>
      <c r="L285" s="29">
        <v>45870</v>
      </c>
      <c r="M285" t="s">
        <v>8728</v>
      </c>
      <c r="Q285" s="30" t="s">
        <v>8806</v>
      </c>
      <c r="R285" t="s">
        <v>8798</v>
      </c>
      <c r="S285">
        <f t="shared" si="20"/>
        <v>8</v>
      </c>
      <c r="T285">
        <f t="shared" si="21"/>
        <v>2025</v>
      </c>
      <c r="U285">
        <f t="shared" si="22"/>
        <v>6</v>
      </c>
      <c r="V285">
        <f t="shared" si="23"/>
        <v>6</v>
      </c>
      <c r="W285" s="15">
        <f t="shared" si="24"/>
        <v>3000</v>
      </c>
      <c r="X285">
        <f>VLOOKUP(B285,'[25]Cancel Sent on March 12'!$B:$B,1,0)</f>
        <v>76236856</v>
      </c>
    </row>
    <row r="286" spans="1:24">
      <c r="A286" t="s">
        <v>222</v>
      </c>
      <c r="B286">
        <v>76237142</v>
      </c>
      <c r="C286">
        <v>76237142</v>
      </c>
      <c r="D286" t="s">
        <v>39</v>
      </c>
      <c r="E286">
        <v>300</v>
      </c>
      <c r="F286" t="e">
        <v>#N/A</v>
      </c>
      <c r="G286" t="e">
        <v>#N/A</v>
      </c>
      <c r="H286" t="e">
        <v>#N/A</v>
      </c>
      <c r="I286" t="e">
        <v>#N/A</v>
      </c>
      <c r="K286" t="s">
        <v>8727</v>
      </c>
      <c r="L286" s="29">
        <v>45778</v>
      </c>
      <c r="M286" t="s">
        <v>8731</v>
      </c>
      <c r="Q286" s="30" t="s">
        <v>8833</v>
      </c>
      <c r="R286" t="s">
        <v>8798</v>
      </c>
      <c r="S286">
        <f t="shared" si="20"/>
        <v>5</v>
      </c>
      <c r="T286">
        <f t="shared" si="21"/>
        <v>2025</v>
      </c>
      <c r="U286">
        <f t="shared" si="22"/>
        <v>9</v>
      </c>
      <c r="V286">
        <f t="shared" si="23"/>
        <v>9</v>
      </c>
      <c r="W286" s="15">
        <f t="shared" si="24"/>
        <v>4500</v>
      </c>
      <c r="X286">
        <f>VLOOKUP(B286,'[25]Cancel Sent on March 12'!$B:$B,1,0)</f>
        <v>76237142</v>
      </c>
    </row>
    <row r="287" spans="1:24">
      <c r="A287" t="s">
        <v>225</v>
      </c>
      <c r="B287">
        <v>76237167</v>
      </c>
      <c r="C287">
        <v>76237167</v>
      </c>
      <c r="D287" t="s">
        <v>39</v>
      </c>
      <c r="E287">
        <v>300</v>
      </c>
      <c r="F287" t="e">
        <v>#N/A</v>
      </c>
      <c r="G287" t="e">
        <v>#N/A</v>
      </c>
      <c r="H287" t="e">
        <v>#N/A</v>
      </c>
      <c r="I287" t="e">
        <v>#N/A</v>
      </c>
      <c r="K287" t="s">
        <v>8727</v>
      </c>
      <c r="L287" s="29">
        <v>45748</v>
      </c>
      <c r="M287" t="s">
        <v>8731</v>
      </c>
      <c r="Q287" t="s">
        <v>8856</v>
      </c>
      <c r="R287" t="s">
        <v>8798</v>
      </c>
      <c r="S287">
        <f t="shared" si="20"/>
        <v>4</v>
      </c>
      <c r="T287">
        <f t="shared" si="21"/>
        <v>2025</v>
      </c>
      <c r="U287">
        <f t="shared" si="22"/>
        <v>10</v>
      </c>
      <c r="V287">
        <f t="shared" si="23"/>
        <v>10</v>
      </c>
      <c r="W287" s="15">
        <f t="shared" si="24"/>
        <v>5000</v>
      </c>
      <c r="X287">
        <f>VLOOKUP(B287,'[25]Cancel Sent on March 12'!$B:$B,1,0)</f>
        <v>76237167</v>
      </c>
    </row>
    <row r="288" spans="1:24">
      <c r="A288" t="s">
        <v>228</v>
      </c>
      <c r="B288">
        <v>76237170</v>
      </c>
      <c r="C288">
        <v>76237170</v>
      </c>
      <c r="D288" t="s">
        <v>39</v>
      </c>
      <c r="E288">
        <v>300</v>
      </c>
      <c r="F288" t="e">
        <v>#N/A</v>
      </c>
      <c r="G288" t="e">
        <v>#N/A</v>
      </c>
      <c r="H288" t="e">
        <v>#N/A</v>
      </c>
      <c r="I288" t="e">
        <v>#N/A</v>
      </c>
      <c r="K288" t="s">
        <v>8727</v>
      </c>
      <c r="L288" s="29">
        <v>45778</v>
      </c>
      <c r="M288" t="s">
        <v>8731</v>
      </c>
      <c r="Q288" s="30" t="s">
        <v>8833</v>
      </c>
      <c r="R288" t="s">
        <v>8798</v>
      </c>
      <c r="S288">
        <f t="shared" si="20"/>
        <v>5</v>
      </c>
      <c r="T288">
        <f t="shared" si="21"/>
        <v>2025</v>
      </c>
      <c r="U288">
        <f t="shared" si="22"/>
        <v>9</v>
      </c>
      <c r="V288">
        <f t="shared" si="23"/>
        <v>9</v>
      </c>
      <c r="W288" s="15">
        <f t="shared" si="24"/>
        <v>4500</v>
      </c>
      <c r="X288">
        <f>VLOOKUP(B288,'[25]Cancel Sent on March 12'!$B:$B,1,0)</f>
        <v>76237170</v>
      </c>
    </row>
    <row r="289" spans="1:24">
      <c r="A289" t="s">
        <v>8699</v>
      </c>
      <c r="B289">
        <v>76237278</v>
      </c>
      <c r="C289">
        <v>76237278</v>
      </c>
      <c r="D289" t="s">
        <v>39</v>
      </c>
      <c r="E289">
        <v>300</v>
      </c>
      <c r="F289" t="e">
        <v>#N/A</v>
      </c>
      <c r="G289" t="e">
        <v>#N/A</v>
      </c>
      <c r="H289" t="e">
        <v>#N/A</v>
      </c>
      <c r="I289" t="e">
        <v>#N/A</v>
      </c>
      <c r="K289" t="s">
        <v>8727</v>
      </c>
      <c r="L289" s="29">
        <v>45931</v>
      </c>
      <c r="M289" t="s">
        <v>8731</v>
      </c>
      <c r="Q289" s="34" t="s">
        <v>8857</v>
      </c>
      <c r="R289" t="s">
        <v>8798</v>
      </c>
      <c r="S289">
        <f t="shared" si="20"/>
        <v>10</v>
      </c>
      <c r="T289">
        <f t="shared" si="21"/>
        <v>2025</v>
      </c>
      <c r="U289">
        <f t="shared" si="22"/>
        <v>4</v>
      </c>
      <c r="V289">
        <f t="shared" si="23"/>
        <v>4</v>
      </c>
      <c r="W289" s="15">
        <f t="shared" si="24"/>
        <v>2000</v>
      </c>
      <c r="X289">
        <f>VLOOKUP(B289,'[25]Cancel Sent on March 12'!$B:$B,1,0)</f>
        <v>76237278</v>
      </c>
    </row>
    <row r="290" spans="1:24">
      <c r="A290" t="s">
        <v>8700</v>
      </c>
      <c r="B290">
        <v>76237579</v>
      </c>
      <c r="C290">
        <v>76237579</v>
      </c>
      <c r="D290" t="s">
        <v>39</v>
      </c>
      <c r="E290">
        <v>400</v>
      </c>
      <c r="F290" t="e">
        <v>#N/A</v>
      </c>
      <c r="G290" t="e">
        <v>#N/A</v>
      </c>
      <c r="H290" t="e">
        <v>#N/A</v>
      </c>
      <c r="I290" t="e">
        <v>#N/A</v>
      </c>
      <c r="K290" t="s">
        <v>8727</v>
      </c>
      <c r="L290" s="29">
        <v>45901</v>
      </c>
      <c r="M290" t="s">
        <v>8731</v>
      </c>
      <c r="P290" t="s">
        <v>306</v>
      </c>
      <c r="Q290" s="30" t="s">
        <v>8858</v>
      </c>
      <c r="R290" t="s">
        <v>8798</v>
      </c>
      <c r="S290">
        <f t="shared" si="20"/>
        <v>9</v>
      </c>
      <c r="T290">
        <f t="shared" si="21"/>
        <v>2025</v>
      </c>
      <c r="U290">
        <f t="shared" si="22"/>
        <v>5</v>
      </c>
      <c r="V290">
        <f t="shared" si="23"/>
        <v>5</v>
      </c>
      <c r="W290" s="15">
        <f t="shared" si="24"/>
        <v>3000</v>
      </c>
      <c r="X290">
        <f>VLOOKUP(B290,'[25]Cancel Sent on March 12'!$B:$B,1,0)</f>
        <v>76237579</v>
      </c>
    </row>
    <row r="291" spans="1:24">
      <c r="A291" t="s">
        <v>8701</v>
      </c>
      <c r="B291">
        <v>76238024</v>
      </c>
      <c r="C291">
        <v>76238024</v>
      </c>
      <c r="D291" t="s">
        <v>39</v>
      </c>
      <c r="E291">
        <v>300</v>
      </c>
      <c r="F291" t="e">
        <v>#N/A</v>
      </c>
      <c r="G291" t="e">
        <v>#N/A</v>
      </c>
      <c r="H291" t="e">
        <v>#N/A</v>
      </c>
      <c r="I291" t="e">
        <v>#N/A</v>
      </c>
      <c r="K291" t="s">
        <v>8727</v>
      </c>
      <c r="L291" s="29">
        <v>45870</v>
      </c>
      <c r="M291" t="s">
        <v>8731</v>
      </c>
      <c r="Q291" s="30" t="s">
        <v>8820</v>
      </c>
      <c r="R291" t="s">
        <v>8798</v>
      </c>
      <c r="S291">
        <f t="shared" si="20"/>
        <v>8</v>
      </c>
      <c r="T291">
        <f t="shared" si="21"/>
        <v>2025</v>
      </c>
      <c r="U291">
        <f t="shared" si="22"/>
        <v>6</v>
      </c>
      <c r="V291">
        <f t="shared" si="23"/>
        <v>6</v>
      </c>
      <c r="W291" s="15">
        <f t="shared" si="24"/>
        <v>3000</v>
      </c>
      <c r="X291">
        <f>VLOOKUP(B291,'[25]Cancel Sent on March 12'!$B:$B,1,0)</f>
        <v>76238024</v>
      </c>
    </row>
    <row r="292" spans="1:24">
      <c r="A292" t="s">
        <v>231</v>
      </c>
      <c r="B292">
        <v>76238669</v>
      </c>
      <c r="C292">
        <v>76238669</v>
      </c>
      <c r="D292" t="s">
        <v>39</v>
      </c>
      <c r="E292">
        <v>300</v>
      </c>
      <c r="F292" t="e">
        <v>#N/A</v>
      </c>
      <c r="G292" t="e">
        <v>#N/A</v>
      </c>
      <c r="H292" t="e">
        <v>#N/A</v>
      </c>
      <c r="I292" t="e">
        <v>#N/A</v>
      </c>
      <c r="Q292" t="s">
        <v>8824</v>
      </c>
      <c r="R292" t="s">
        <v>8798</v>
      </c>
      <c r="S292">
        <f t="shared" si="20"/>
        <v>12</v>
      </c>
      <c r="T292">
        <f t="shared" si="21"/>
        <v>2025</v>
      </c>
      <c r="U292">
        <f t="shared" si="22"/>
        <v>2</v>
      </c>
      <c r="V292">
        <f t="shared" si="23"/>
        <v>2</v>
      </c>
      <c r="W292" s="15">
        <f t="shared" si="24"/>
        <v>1000</v>
      </c>
      <c r="X292">
        <f>VLOOKUP(B292,'[25]Cancel Sent on March 12'!$B:$B,1,0)</f>
        <v>76238669</v>
      </c>
    </row>
    <row r="293" spans="1:24">
      <c r="A293" t="s">
        <v>234</v>
      </c>
      <c r="B293">
        <v>76238760</v>
      </c>
      <c r="C293">
        <v>76238760</v>
      </c>
      <c r="D293" t="s">
        <v>39</v>
      </c>
      <c r="E293">
        <v>300</v>
      </c>
      <c r="F293" t="e">
        <v>#N/A</v>
      </c>
      <c r="G293" t="e">
        <v>#N/A</v>
      </c>
      <c r="H293" t="e">
        <v>#N/A</v>
      </c>
      <c r="I293" t="e">
        <v>#N/A</v>
      </c>
      <c r="K293" t="s">
        <v>8727</v>
      </c>
      <c r="L293" s="29">
        <v>45505</v>
      </c>
      <c r="M293" t="s">
        <v>8731</v>
      </c>
      <c r="Q293" s="30" t="s">
        <v>8829</v>
      </c>
      <c r="R293" t="s">
        <v>8798</v>
      </c>
      <c r="S293">
        <f t="shared" si="20"/>
        <v>8</v>
      </c>
      <c r="T293">
        <f t="shared" si="21"/>
        <v>2024</v>
      </c>
      <c r="U293">
        <f t="shared" si="22"/>
        <v>18</v>
      </c>
      <c r="V293">
        <f t="shared" si="23"/>
        <v>18</v>
      </c>
      <c r="W293" s="15">
        <f t="shared" si="24"/>
        <v>9000</v>
      </c>
      <c r="X293">
        <f>VLOOKUP(B293,'[25]Cancel Sent on March 12'!$B:$B,1,0)</f>
        <v>76238760</v>
      </c>
    </row>
    <row r="294" spans="1:24">
      <c r="A294" t="s">
        <v>240</v>
      </c>
      <c r="B294">
        <v>76240429</v>
      </c>
      <c r="C294">
        <v>76240429</v>
      </c>
      <c r="D294" t="s">
        <v>39</v>
      </c>
      <c r="E294">
        <v>300</v>
      </c>
      <c r="F294" t="e">
        <v>#N/A</v>
      </c>
      <c r="G294" t="e">
        <v>#N/A</v>
      </c>
      <c r="H294" t="e">
        <v>#N/A</v>
      </c>
      <c r="I294" t="e">
        <v>#N/A</v>
      </c>
      <c r="K294" t="s">
        <v>8741</v>
      </c>
      <c r="L294" s="29">
        <v>45139</v>
      </c>
      <c r="M294" t="s">
        <v>8728</v>
      </c>
      <c r="Q294" s="30" t="s">
        <v>8859</v>
      </c>
      <c r="R294" t="s">
        <v>8798</v>
      </c>
      <c r="S294">
        <f t="shared" si="20"/>
        <v>8</v>
      </c>
      <c r="T294">
        <f t="shared" si="21"/>
        <v>2023</v>
      </c>
      <c r="U294">
        <f t="shared" si="22"/>
        <v>30</v>
      </c>
      <c r="V294">
        <f t="shared" si="23"/>
        <v>20</v>
      </c>
      <c r="W294" s="15">
        <f t="shared" si="24"/>
        <v>13000</v>
      </c>
      <c r="X294">
        <f>VLOOKUP(B294,'[25]Cancel Sent on March 12'!$B:$B,1,0)</f>
        <v>76240429</v>
      </c>
    </row>
    <row r="295" spans="1:24">
      <c r="A295" t="s">
        <v>243</v>
      </c>
      <c r="B295">
        <v>76241005</v>
      </c>
      <c r="C295">
        <v>76241005</v>
      </c>
      <c r="D295" t="s">
        <v>39</v>
      </c>
      <c r="E295">
        <v>300</v>
      </c>
      <c r="F295" t="e">
        <v>#N/A</v>
      </c>
      <c r="G295" t="e">
        <v>#N/A</v>
      </c>
      <c r="H295" t="e">
        <v>#N/A</v>
      </c>
      <c r="I295" t="e">
        <v>#N/A</v>
      </c>
      <c r="K295" t="s">
        <v>8727</v>
      </c>
      <c r="L295" s="29">
        <v>45870</v>
      </c>
      <c r="M295" t="s">
        <v>8731</v>
      </c>
      <c r="Q295" s="30" t="s">
        <v>8820</v>
      </c>
      <c r="R295" t="s">
        <v>8798</v>
      </c>
      <c r="S295">
        <f t="shared" si="20"/>
        <v>8</v>
      </c>
      <c r="T295">
        <f t="shared" si="21"/>
        <v>2025</v>
      </c>
      <c r="U295">
        <f t="shared" si="22"/>
        <v>6</v>
      </c>
      <c r="V295">
        <f t="shared" si="23"/>
        <v>6</v>
      </c>
      <c r="W295" s="15">
        <f t="shared" si="24"/>
        <v>3000</v>
      </c>
      <c r="X295">
        <f>VLOOKUP(B295,'[25]Cancel Sent on March 12'!$B:$B,1,0)</f>
        <v>76241005</v>
      </c>
    </row>
    <row r="296" spans="1:24">
      <c r="A296" t="s">
        <v>246</v>
      </c>
      <c r="B296">
        <v>76241171</v>
      </c>
      <c r="C296">
        <v>76241171</v>
      </c>
      <c r="D296" t="s">
        <v>39</v>
      </c>
      <c r="E296">
        <v>300</v>
      </c>
      <c r="F296" t="e">
        <v>#N/A</v>
      </c>
      <c r="G296" t="e">
        <v>#N/A</v>
      </c>
      <c r="H296" t="e">
        <v>#N/A</v>
      </c>
      <c r="I296" t="e">
        <v>#N/A</v>
      </c>
      <c r="K296" t="s">
        <v>8727</v>
      </c>
      <c r="L296" s="29">
        <v>45962</v>
      </c>
      <c r="M296" t="s">
        <v>8728</v>
      </c>
      <c r="Q296" s="30" t="s">
        <v>8820</v>
      </c>
      <c r="R296" t="s">
        <v>8798</v>
      </c>
      <c r="S296">
        <f t="shared" si="20"/>
        <v>11</v>
      </c>
      <c r="T296">
        <f t="shared" si="21"/>
        <v>2025</v>
      </c>
      <c r="U296">
        <f t="shared" si="22"/>
        <v>3</v>
      </c>
      <c r="V296">
        <f t="shared" si="23"/>
        <v>3</v>
      </c>
      <c r="W296" s="15">
        <f t="shared" si="24"/>
        <v>1500</v>
      </c>
      <c r="X296">
        <f>VLOOKUP(B296,'[25]Cancel Sent on March 12'!$B:$B,1,0)</f>
        <v>76241171</v>
      </c>
    </row>
    <row r="297" spans="1:24">
      <c r="A297" t="s">
        <v>249</v>
      </c>
      <c r="B297">
        <v>76241172</v>
      </c>
      <c r="C297">
        <v>76241172</v>
      </c>
      <c r="D297" t="s">
        <v>39</v>
      </c>
      <c r="E297">
        <v>400</v>
      </c>
      <c r="F297" t="e">
        <v>#N/A</v>
      </c>
      <c r="G297" t="e">
        <v>#N/A</v>
      </c>
      <c r="H297" t="e">
        <v>#N/A</v>
      </c>
      <c r="I297" t="e">
        <v>#N/A</v>
      </c>
      <c r="K297" t="s">
        <v>8727</v>
      </c>
      <c r="L297" s="29">
        <v>45962</v>
      </c>
      <c r="M297" t="s">
        <v>8728</v>
      </c>
      <c r="Q297" s="30" t="s">
        <v>8820</v>
      </c>
      <c r="R297" t="s">
        <v>8798</v>
      </c>
      <c r="S297">
        <f t="shared" si="20"/>
        <v>11</v>
      </c>
      <c r="T297">
        <f t="shared" si="21"/>
        <v>2025</v>
      </c>
      <c r="U297">
        <f t="shared" si="22"/>
        <v>3</v>
      </c>
      <c r="V297">
        <f t="shared" si="23"/>
        <v>3</v>
      </c>
      <c r="W297" s="15">
        <f t="shared" si="24"/>
        <v>1800</v>
      </c>
      <c r="X297">
        <f>VLOOKUP(B297,'[25]Cancel Sent on March 12'!$B:$B,1,0)</f>
        <v>76241172</v>
      </c>
    </row>
    <row r="298" spans="1:24">
      <c r="A298" t="s">
        <v>252</v>
      </c>
      <c r="B298">
        <v>76241447</v>
      </c>
      <c r="C298">
        <v>76241447</v>
      </c>
      <c r="D298" t="s">
        <v>39</v>
      </c>
      <c r="E298">
        <v>300</v>
      </c>
      <c r="F298" t="e">
        <v>#N/A</v>
      </c>
      <c r="G298" t="e">
        <v>#N/A</v>
      </c>
      <c r="H298" t="e">
        <v>#N/A</v>
      </c>
      <c r="I298" t="e">
        <v>#N/A</v>
      </c>
      <c r="K298" t="s">
        <v>8727</v>
      </c>
      <c r="L298" s="29">
        <v>45717</v>
      </c>
      <c r="M298" t="s">
        <v>8731</v>
      </c>
      <c r="Q298" s="30" t="s">
        <v>8860</v>
      </c>
      <c r="R298" t="s">
        <v>8798</v>
      </c>
      <c r="S298">
        <f t="shared" si="20"/>
        <v>3</v>
      </c>
      <c r="T298">
        <f t="shared" si="21"/>
        <v>2025</v>
      </c>
      <c r="U298">
        <f t="shared" si="22"/>
        <v>11</v>
      </c>
      <c r="V298">
        <f t="shared" si="23"/>
        <v>11</v>
      </c>
      <c r="W298" s="15">
        <f t="shared" si="24"/>
        <v>5500</v>
      </c>
      <c r="X298">
        <f>VLOOKUP(B298,'[25]Cancel Sent on March 12'!$B:$B,1,0)</f>
        <v>76241447</v>
      </c>
    </row>
    <row r="299" spans="1:24">
      <c r="A299" t="s">
        <v>255</v>
      </c>
      <c r="B299">
        <v>76241522</v>
      </c>
      <c r="C299">
        <v>76241522</v>
      </c>
      <c r="D299" t="s">
        <v>39</v>
      </c>
      <c r="E299">
        <v>300</v>
      </c>
      <c r="F299" t="e">
        <v>#N/A</v>
      </c>
      <c r="G299" t="e">
        <v>#N/A</v>
      </c>
      <c r="H299" t="e">
        <v>#N/A</v>
      </c>
      <c r="I299" t="e">
        <v>#N/A</v>
      </c>
      <c r="K299" t="s">
        <v>8727</v>
      </c>
      <c r="L299" s="29">
        <v>46023</v>
      </c>
      <c r="M299" t="s">
        <v>8728</v>
      </c>
      <c r="Q299" t="s">
        <v>8829</v>
      </c>
      <c r="R299" t="s">
        <v>8798</v>
      </c>
      <c r="S299">
        <f t="shared" si="20"/>
        <v>1</v>
      </c>
      <c r="T299">
        <f t="shared" si="21"/>
        <v>2026</v>
      </c>
      <c r="U299">
        <f t="shared" si="22"/>
        <v>1</v>
      </c>
      <c r="V299">
        <f t="shared" si="23"/>
        <v>1</v>
      </c>
      <c r="W299" s="15">
        <f t="shared" si="24"/>
        <v>500</v>
      </c>
      <c r="X299">
        <f>VLOOKUP(B299,'[25]Cancel Sent on March 12'!$B:$B,1,0)</f>
        <v>76241522</v>
      </c>
    </row>
    <row r="300" spans="1:24">
      <c r="A300" t="s">
        <v>8702</v>
      </c>
      <c r="B300">
        <v>76241740</v>
      </c>
      <c r="C300">
        <v>76241740</v>
      </c>
      <c r="D300" t="s">
        <v>39</v>
      </c>
      <c r="E300">
        <v>300</v>
      </c>
      <c r="F300" t="e">
        <v>#N/A</v>
      </c>
      <c r="G300" t="e">
        <v>#N/A</v>
      </c>
      <c r="H300" t="e">
        <v>#N/A</v>
      </c>
      <c r="I300" t="e">
        <v>#N/A</v>
      </c>
      <c r="K300" t="s">
        <v>8727</v>
      </c>
      <c r="L300" s="29">
        <v>45931</v>
      </c>
      <c r="M300" t="s">
        <v>8728</v>
      </c>
      <c r="Q300" s="30" t="s">
        <v>8806</v>
      </c>
      <c r="R300" t="s">
        <v>8798</v>
      </c>
      <c r="S300">
        <f t="shared" si="20"/>
        <v>10</v>
      </c>
      <c r="T300">
        <f t="shared" si="21"/>
        <v>2025</v>
      </c>
      <c r="U300">
        <f t="shared" si="22"/>
        <v>4</v>
      </c>
      <c r="V300">
        <f t="shared" si="23"/>
        <v>4</v>
      </c>
      <c r="W300" s="15">
        <f t="shared" si="24"/>
        <v>2000</v>
      </c>
      <c r="X300">
        <f>VLOOKUP(B300,'[25]Cancel Sent on March 12'!$B:$B,1,0)</f>
        <v>76241740</v>
      </c>
    </row>
    <row r="301" spans="1:24">
      <c r="A301" t="s">
        <v>8703</v>
      </c>
      <c r="B301">
        <v>76241969</v>
      </c>
      <c r="C301">
        <v>76241969</v>
      </c>
      <c r="D301" t="s">
        <v>39</v>
      </c>
      <c r="E301">
        <v>300</v>
      </c>
      <c r="F301" t="e">
        <v>#N/A</v>
      </c>
      <c r="G301" t="e">
        <v>#N/A</v>
      </c>
      <c r="H301" t="e">
        <v>#N/A</v>
      </c>
      <c r="I301" t="e">
        <v>#N/A</v>
      </c>
      <c r="K301" t="s">
        <v>8727</v>
      </c>
      <c r="L301" s="29">
        <v>45901</v>
      </c>
      <c r="M301" t="s">
        <v>8731</v>
      </c>
      <c r="Q301" s="30" t="s">
        <v>8806</v>
      </c>
      <c r="R301" t="s">
        <v>8798</v>
      </c>
      <c r="S301">
        <f t="shared" si="20"/>
        <v>9</v>
      </c>
      <c r="T301">
        <f t="shared" si="21"/>
        <v>2025</v>
      </c>
      <c r="U301">
        <f t="shared" si="22"/>
        <v>5</v>
      </c>
      <c r="V301">
        <f t="shared" si="23"/>
        <v>5</v>
      </c>
      <c r="W301" s="15">
        <f t="shared" si="24"/>
        <v>2500</v>
      </c>
      <c r="X301">
        <f>VLOOKUP(B301,'[25]Cancel Sent on March 12'!$B:$B,1,0)</f>
        <v>76241969</v>
      </c>
    </row>
    <row r="302" spans="1:24">
      <c r="A302" t="s">
        <v>258</v>
      </c>
      <c r="B302">
        <v>76243293</v>
      </c>
      <c r="C302">
        <v>76243293</v>
      </c>
      <c r="D302" t="s">
        <v>39</v>
      </c>
      <c r="E302">
        <v>300</v>
      </c>
      <c r="F302" t="e">
        <v>#N/A</v>
      </c>
      <c r="G302" t="e">
        <v>#N/A</v>
      </c>
      <c r="H302" t="e">
        <v>#N/A</v>
      </c>
      <c r="I302" t="e">
        <v>#N/A</v>
      </c>
      <c r="K302" t="s">
        <v>8741</v>
      </c>
      <c r="L302" s="29">
        <v>45509</v>
      </c>
      <c r="M302" t="s">
        <v>8731</v>
      </c>
      <c r="Q302" s="30"/>
      <c r="R302" t="s">
        <v>8798</v>
      </c>
      <c r="S302">
        <f t="shared" si="20"/>
        <v>8</v>
      </c>
      <c r="T302">
        <f t="shared" si="21"/>
        <v>2024</v>
      </c>
      <c r="U302">
        <f t="shared" si="22"/>
        <v>18</v>
      </c>
      <c r="V302">
        <f t="shared" si="23"/>
        <v>18</v>
      </c>
      <c r="W302" s="15">
        <f t="shared" si="24"/>
        <v>9000</v>
      </c>
      <c r="X302">
        <f>VLOOKUP(B302,'[25]Cancel Sent on March 12'!$B:$B,1,0)</f>
        <v>76243293</v>
      </c>
    </row>
    <row r="303" spans="1:24">
      <c r="A303" t="s">
        <v>261</v>
      </c>
      <c r="B303">
        <v>76244521</v>
      </c>
      <c r="C303">
        <v>76244521</v>
      </c>
      <c r="D303" t="s">
        <v>39</v>
      </c>
      <c r="E303">
        <v>300</v>
      </c>
      <c r="F303" t="e">
        <v>#N/A</v>
      </c>
      <c r="G303" t="e">
        <v>#N/A</v>
      </c>
      <c r="H303" t="e">
        <v>#N/A</v>
      </c>
      <c r="I303" t="e">
        <v>#N/A</v>
      </c>
      <c r="Q303" s="30" t="s">
        <v>8824</v>
      </c>
      <c r="R303" t="s">
        <v>8798</v>
      </c>
      <c r="S303">
        <f t="shared" si="20"/>
        <v>12</v>
      </c>
      <c r="T303">
        <f t="shared" si="21"/>
        <v>2025</v>
      </c>
      <c r="U303">
        <f t="shared" si="22"/>
        <v>2</v>
      </c>
      <c r="V303">
        <f t="shared" si="23"/>
        <v>2</v>
      </c>
      <c r="W303" s="15">
        <f t="shared" si="24"/>
        <v>1000</v>
      </c>
      <c r="X303">
        <f>VLOOKUP(B303,'[25]Cancel Sent on March 12'!$B:$B,1,0)</f>
        <v>76244521</v>
      </c>
    </row>
    <row r="304" spans="1:24">
      <c r="A304" t="s">
        <v>8704</v>
      </c>
      <c r="B304">
        <v>76244657</v>
      </c>
      <c r="C304">
        <v>76244657</v>
      </c>
      <c r="D304" t="s">
        <v>39</v>
      </c>
      <c r="E304">
        <v>300</v>
      </c>
      <c r="F304" t="e">
        <v>#N/A</v>
      </c>
      <c r="G304" t="e">
        <v>#N/A</v>
      </c>
      <c r="H304" t="e">
        <v>#N/A</v>
      </c>
      <c r="I304" t="e">
        <v>#N/A</v>
      </c>
      <c r="K304" t="s">
        <v>8727</v>
      </c>
      <c r="L304" s="29">
        <v>45657</v>
      </c>
      <c r="M304" t="s">
        <v>8861</v>
      </c>
      <c r="Q304" s="30" t="s">
        <v>8806</v>
      </c>
      <c r="R304" t="s">
        <v>8798</v>
      </c>
      <c r="S304">
        <f t="shared" si="20"/>
        <v>12</v>
      </c>
      <c r="T304">
        <f t="shared" si="21"/>
        <v>2024</v>
      </c>
      <c r="U304">
        <f t="shared" si="22"/>
        <v>14</v>
      </c>
      <c r="V304">
        <f t="shared" si="23"/>
        <v>14</v>
      </c>
      <c r="W304" s="15">
        <f t="shared" si="24"/>
        <v>7000</v>
      </c>
      <c r="X304">
        <f>VLOOKUP(B304,'[25]Cancel Sent on March 12'!$B:$B,1,0)</f>
        <v>76244657</v>
      </c>
    </row>
    <row r="305" spans="1:24">
      <c r="A305" t="s">
        <v>264</v>
      </c>
      <c r="B305">
        <v>76244781</v>
      </c>
      <c r="C305">
        <v>76244781</v>
      </c>
      <c r="D305" t="s">
        <v>39</v>
      </c>
      <c r="E305">
        <v>400</v>
      </c>
      <c r="F305" t="e">
        <v>#N/A</v>
      </c>
      <c r="G305" t="e">
        <v>#N/A</v>
      </c>
      <c r="H305" t="e">
        <v>#N/A</v>
      </c>
      <c r="I305" t="e">
        <v>#N/A</v>
      </c>
      <c r="K305" t="s">
        <v>8727</v>
      </c>
      <c r="L305" s="29">
        <v>45385</v>
      </c>
      <c r="M305" t="s">
        <v>8728</v>
      </c>
      <c r="P305" t="s">
        <v>306</v>
      </c>
      <c r="Q305" s="30" t="s">
        <v>8820</v>
      </c>
      <c r="R305" t="s">
        <v>8798</v>
      </c>
      <c r="S305">
        <f t="shared" si="20"/>
        <v>4</v>
      </c>
      <c r="T305">
        <f t="shared" si="21"/>
        <v>2024</v>
      </c>
      <c r="U305">
        <f t="shared" si="22"/>
        <v>22</v>
      </c>
      <c r="V305">
        <f t="shared" si="23"/>
        <v>20</v>
      </c>
      <c r="W305" s="15">
        <f t="shared" si="24"/>
        <v>12800</v>
      </c>
      <c r="X305">
        <f>VLOOKUP(B305,'[25]Cancel Sent on March 12'!$B:$B,1,0)</f>
        <v>76244781</v>
      </c>
    </row>
    <row r="306" spans="1:24">
      <c r="A306" s="23" t="s">
        <v>691</v>
      </c>
      <c r="B306" s="23">
        <v>76244900</v>
      </c>
      <c r="C306" s="23">
        <v>76244900</v>
      </c>
      <c r="D306" s="23" t="s">
        <v>39</v>
      </c>
      <c r="E306" s="23">
        <v>300</v>
      </c>
      <c r="F306" s="23" t="e">
        <v>#N/A</v>
      </c>
      <c r="G306" t="e">
        <v>#N/A</v>
      </c>
      <c r="H306" t="e">
        <v>#N/A</v>
      </c>
      <c r="I306" t="e">
        <v>#N/A</v>
      </c>
      <c r="K306" t="s">
        <v>8741</v>
      </c>
      <c r="L306" s="29">
        <v>46076</v>
      </c>
      <c r="M306" t="s">
        <v>8731</v>
      </c>
      <c r="Q306" s="33" t="s">
        <v>8862</v>
      </c>
      <c r="R306" t="s">
        <v>8798</v>
      </c>
      <c r="S306">
        <f t="shared" si="20"/>
        <v>2</v>
      </c>
      <c r="T306">
        <f t="shared" si="21"/>
        <v>2026</v>
      </c>
      <c r="U306">
        <f t="shared" si="22"/>
        <v>0</v>
      </c>
      <c r="V306">
        <f t="shared" si="23"/>
        <v>0</v>
      </c>
      <c r="W306" s="15">
        <f t="shared" si="24"/>
        <v>0</v>
      </c>
      <c r="X306">
        <f>VLOOKUP(B306,'[25]Cancel Sent on March 12'!$B:$B,1,0)</f>
        <v>76244900</v>
      </c>
    </row>
    <row r="307" spans="1:24">
      <c r="A307" t="s">
        <v>267</v>
      </c>
      <c r="B307">
        <v>76245003</v>
      </c>
      <c r="C307">
        <v>76245003</v>
      </c>
      <c r="D307" t="s">
        <v>39</v>
      </c>
      <c r="E307">
        <v>300</v>
      </c>
      <c r="F307" t="e">
        <v>#N/A</v>
      </c>
      <c r="G307" t="e">
        <v>#N/A</v>
      </c>
      <c r="H307" t="e">
        <v>#N/A</v>
      </c>
      <c r="I307" t="e">
        <v>#N/A</v>
      </c>
      <c r="K307" t="s">
        <v>8727</v>
      </c>
      <c r="L307" s="29">
        <v>45839</v>
      </c>
      <c r="M307" t="s">
        <v>8731</v>
      </c>
      <c r="P307" t="s">
        <v>306</v>
      </c>
      <c r="Q307" s="30" t="s">
        <v>8863</v>
      </c>
      <c r="R307" t="s">
        <v>8798</v>
      </c>
      <c r="S307">
        <f t="shared" si="20"/>
        <v>7</v>
      </c>
      <c r="T307">
        <f t="shared" si="21"/>
        <v>2025</v>
      </c>
      <c r="U307">
        <f t="shared" si="22"/>
        <v>7</v>
      </c>
      <c r="V307">
        <f t="shared" si="23"/>
        <v>7</v>
      </c>
      <c r="W307" s="15">
        <f t="shared" si="24"/>
        <v>3500</v>
      </c>
      <c r="X307">
        <f>VLOOKUP(B307,'[25]Cancel Sent on March 12'!$B:$B,1,0)</f>
        <v>76245003</v>
      </c>
    </row>
    <row r="308" spans="1:24">
      <c r="A308" t="s">
        <v>270</v>
      </c>
      <c r="B308">
        <v>76245016</v>
      </c>
      <c r="C308">
        <v>76245016</v>
      </c>
      <c r="D308" t="s">
        <v>39</v>
      </c>
      <c r="E308">
        <v>300</v>
      </c>
      <c r="F308" t="e">
        <v>#N/A</v>
      </c>
      <c r="G308" t="e">
        <v>#N/A</v>
      </c>
      <c r="H308" t="e">
        <v>#N/A</v>
      </c>
      <c r="I308" t="e">
        <v>#N/A</v>
      </c>
      <c r="K308" t="s">
        <v>8741</v>
      </c>
      <c r="L308" s="29">
        <v>45323</v>
      </c>
      <c r="M308" t="s">
        <v>8731</v>
      </c>
      <c r="R308" t="s">
        <v>8798</v>
      </c>
      <c r="S308">
        <f t="shared" si="20"/>
        <v>2</v>
      </c>
      <c r="T308">
        <f t="shared" si="21"/>
        <v>2024</v>
      </c>
      <c r="U308">
        <f t="shared" si="22"/>
        <v>24</v>
      </c>
      <c r="V308">
        <f t="shared" si="23"/>
        <v>20</v>
      </c>
      <c r="W308" s="15">
        <f t="shared" si="24"/>
        <v>11200</v>
      </c>
      <c r="X308">
        <f>VLOOKUP(B308,'[25]Cancel Sent on March 12'!$B:$B,1,0)</f>
        <v>76245016</v>
      </c>
    </row>
    <row r="309" spans="1:24">
      <c r="A309" t="s">
        <v>8705</v>
      </c>
      <c r="B309">
        <v>76245931</v>
      </c>
      <c r="C309">
        <v>76245931</v>
      </c>
      <c r="D309" t="s">
        <v>39</v>
      </c>
      <c r="E309">
        <v>300</v>
      </c>
      <c r="F309" t="e">
        <v>#N/A</v>
      </c>
      <c r="G309" t="e">
        <v>#N/A</v>
      </c>
      <c r="H309" t="e">
        <v>#N/A</v>
      </c>
      <c r="I309" t="e">
        <v>#N/A</v>
      </c>
      <c r="K309" t="s">
        <v>8727</v>
      </c>
      <c r="L309" s="29">
        <v>45818</v>
      </c>
      <c r="M309" t="s">
        <v>8731</v>
      </c>
      <c r="Q309" s="30" t="s">
        <v>8806</v>
      </c>
      <c r="R309" t="s">
        <v>8798</v>
      </c>
      <c r="S309">
        <f t="shared" si="20"/>
        <v>6</v>
      </c>
      <c r="T309">
        <f t="shared" si="21"/>
        <v>2025</v>
      </c>
      <c r="U309">
        <f t="shared" si="22"/>
        <v>8</v>
      </c>
      <c r="V309">
        <f t="shared" si="23"/>
        <v>8</v>
      </c>
      <c r="W309" s="15">
        <f t="shared" si="24"/>
        <v>4000</v>
      </c>
      <c r="X309">
        <f>VLOOKUP(B309,'[25]Cancel Sent on March 12'!$B:$B,1,0)</f>
        <v>76245931</v>
      </c>
    </row>
    <row r="310" spans="1:24">
      <c r="A310" t="s">
        <v>276</v>
      </c>
      <c r="B310">
        <v>76246888</v>
      </c>
      <c r="C310">
        <v>76246888</v>
      </c>
      <c r="D310" t="s">
        <v>39</v>
      </c>
      <c r="E310">
        <v>300</v>
      </c>
      <c r="F310" t="e">
        <v>#N/A</v>
      </c>
      <c r="G310" t="e">
        <v>#N/A</v>
      </c>
      <c r="H310" t="e">
        <v>#N/A</v>
      </c>
      <c r="I310" t="e">
        <v>#N/A</v>
      </c>
      <c r="Q310" t="s">
        <v>8824</v>
      </c>
      <c r="R310" t="s">
        <v>8798</v>
      </c>
      <c r="S310">
        <f t="shared" si="20"/>
        <v>12</v>
      </c>
      <c r="T310">
        <f t="shared" si="21"/>
        <v>2025</v>
      </c>
      <c r="U310">
        <f t="shared" si="22"/>
        <v>2</v>
      </c>
      <c r="V310">
        <f t="shared" si="23"/>
        <v>2</v>
      </c>
      <c r="W310" s="15">
        <f t="shared" si="24"/>
        <v>1000</v>
      </c>
      <c r="X310">
        <f>VLOOKUP(B310,'[25]Cancel Sent on March 12'!$B:$B,1,0)</f>
        <v>76246888</v>
      </c>
    </row>
    <row r="311" spans="1:24">
      <c r="A311" t="s">
        <v>279</v>
      </c>
      <c r="B311">
        <v>76250378</v>
      </c>
      <c r="C311">
        <v>76250378</v>
      </c>
      <c r="D311" t="s">
        <v>39</v>
      </c>
      <c r="E311">
        <v>300</v>
      </c>
      <c r="F311" t="e">
        <v>#N/A</v>
      </c>
      <c r="G311" t="e">
        <v>#N/A</v>
      </c>
      <c r="H311" t="e">
        <v>#N/A</v>
      </c>
      <c r="I311" t="e">
        <v>#N/A</v>
      </c>
      <c r="K311" t="s">
        <v>8727</v>
      </c>
      <c r="L311" s="29">
        <v>45719</v>
      </c>
      <c r="M311" t="s">
        <v>8731</v>
      </c>
      <c r="P311" t="s">
        <v>306</v>
      </c>
      <c r="Q311" s="30" t="s">
        <v>8864</v>
      </c>
      <c r="R311" t="s">
        <v>8798</v>
      </c>
      <c r="S311">
        <f t="shared" si="20"/>
        <v>3</v>
      </c>
      <c r="T311">
        <f t="shared" si="21"/>
        <v>2025</v>
      </c>
      <c r="U311">
        <f t="shared" si="22"/>
        <v>11</v>
      </c>
      <c r="V311">
        <f t="shared" si="23"/>
        <v>11</v>
      </c>
      <c r="W311" s="15">
        <f t="shared" si="24"/>
        <v>5500</v>
      </c>
      <c r="X311">
        <f>VLOOKUP(B311,'[25]Cancel Sent on March 12'!$B:$B,1,0)</f>
        <v>76250378</v>
      </c>
    </row>
    <row r="312" spans="1:24">
      <c r="A312" t="s">
        <v>8706</v>
      </c>
      <c r="B312">
        <v>76251499</v>
      </c>
      <c r="C312">
        <v>76251499</v>
      </c>
      <c r="D312" t="s">
        <v>39</v>
      </c>
      <c r="E312">
        <v>300</v>
      </c>
      <c r="F312" t="e">
        <v>#N/A</v>
      </c>
      <c r="G312" t="e">
        <v>#N/A</v>
      </c>
      <c r="H312" t="e">
        <v>#N/A</v>
      </c>
      <c r="I312" t="e">
        <v>#N/A</v>
      </c>
      <c r="K312" t="s">
        <v>8727</v>
      </c>
      <c r="L312" s="29">
        <v>45775</v>
      </c>
      <c r="M312" t="s">
        <v>8731</v>
      </c>
      <c r="P312" t="s">
        <v>306</v>
      </c>
      <c r="Q312" t="s">
        <v>8865</v>
      </c>
      <c r="R312" t="s">
        <v>8798</v>
      </c>
      <c r="S312">
        <f t="shared" si="20"/>
        <v>4</v>
      </c>
      <c r="T312">
        <f t="shared" si="21"/>
        <v>2025</v>
      </c>
      <c r="U312">
        <f t="shared" si="22"/>
        <v>10</v>
      </c>
      <c r="V312">
        <f t="shared" si="23"/>
        <v>10</v>
      </c>
      <c r="W312" s="15">
        <f t="shared" si="24"/>
        <v>5000</v>
      </c>
      <c r="X312">
        <f>VLOOKUP(B312,'[25]Cancel Sent on March 12'!$B:$B,1,0)</f>
        <v>76251499</v>
      </c>
    </row>
    <row r="313" spans="1:24">
      <c r="A313" t="s">
        <v>282</v>
      </c>
      <c r="B313">
        <v>76252046</v>
      </c>
      <c r="C313">
        <v>76252046</v>
      </c>
      <c r="D313" t="s">
        <v>39</v>
      </c>
      <c r="E313">
        <v>300</v>
      </c>
      <c r="F313" t="e">
        <v>#N/A</v>
      </c>
      <c r="G313" t="e">
        <v>#N/A</v>
      </c>
      <c r="H313" t="e">
        <v>#N/A</v>
      </c>
      <c r="I313" t="e">
        <v>#N/A</v>
      </c>
      <c r="K313" t="s">
        <v>8727</v>
      </c>
      <c r="L313" s="29">
        <v>45712</v>
      </c>
      <c r="M313" t="s">
        <v>8731</v>
      </c>
      <c r="Q313" t="s">
        <v>8866</v>
      </c>
      <c r="R313" t="s">
        <v>8798</v>
      </c>
      <c r="S313">
        <f t="shared" si="20"/>
        <v>2</v>
      </c>
      <c r="T313">
        <f t="shared" si="21"/>
        <v>2025</v>
      </c>
      <c r="U313">
        <f t="shared" si="22"/>
        <v>12</v>
      </c>
      <c r="V313">
        <f t="shared" si="23"/>
        <v>12</v>
      </c>
      <c r="W313" s="15">
        <f t="shared" si="24"/>
        <v>6000</v>
      </c>
      <c r="X313">
        <f>VLOOKUP(B313,'[25]Cancel Sent on March 12'!$B:$B,1,0)</f>
        <v>76252046</v>
      </c>
    </row>
    <row r="314" spans="1:24">
      <c r="A314" t="s">
        <v>285</v>
      </c>
      <c r="B314">
        <v>76253766</v>
      </c>
      <c r="C314">
        <v>76253766</v>
      </c>
      <c r="D314" t="s">
        <v>39</v>
      </c>
      <c r="E314">
        <v>300</v>
      </c>
      <c r="F314" t="e">
        <v>#N/A</v>
      </c>
      <c r="G314" t="e">
        <v>#N/A</v>
      </c>
      <c r="H314" t="e">
        <v>#N/A</v>
      </c>
      <c r="I314" t="e">
        <v>#N/A</v>
      </c>
      <c r="K314" t="s">
        <v>8741</v>
      </c>
      <c r="L314" s="29">
        <v>45713</v>
      </c>
      <c r="M314" t="s">
        <v>8731</v>
      </c>
      <c r="Q314" s="30" t="s">
        <v>8867</v>
      </c>
      <c r="R314" t="s">
        <v>8798</v>
      </c>
      <c r="S314">
        <f t="shared" si="20"/>
        <v>2</v>
      </c>
      <c r="T314">
        <f t="shared" si="21"/>
        <v>2025</v>
      </c>
      <c r="U314">
        <f t="shared" si="22"/>
        <v>12</v>
      </c>
      <c r="V314">
        <f t="shared" si="23"/>
        <v>12</v>
      </c>
      <c r="W314" s="15">
        <f t="shared" si="24"/>
        <v>6000</v>
      </c>
      <c r="X314">
        <f>VLOOKUP(B314,'[25]Cancel Sent on March 12'!$B:$B,1,0)</f>
        <v>76253766</v>
      </c>
    </row>
    <row r="315" spans="1:24">
      <c r="A315" t="s">
        <v>288</v>
      </c>
      <c r="B315">
        <v>76253767</v>
      </c>
      <c r="C315">
        <v>76253767</v>
      </c>
      <c r="D315" t="s">
        <v>39</v>
      </c>
      <c r="E315">
        <v>300</v>
      </c>
      <c r="F315" t="e">
        <v>#N/A</v>
      </c>
      <c r="G315" t="e">
        <v>#N/A</v>
      </c>
      <c r="H315" t="e">
        <v>#N/A</v>
      </c>
      <c r="I315" t="e">
        <v>#N/A</v>
      </c>
      <c r="K315" t="s">
        <v>8741</v>
      </c>
      <c r="L315" s="29">
        <v>45689</v>
      </c>
      <c r="M315" t="s">
        <v>8731</v>
      </c>
      <c r="Q315" s="30" t="s">
        <v>8867</v>
      </c>
      <c r="R315" t="s">
        <v>8798</v>
      </c>
      <c r="S315">
        <f t="shared" si="20"/>
        <v>2</v>
      </c>
      <c r="T315">
        <f t="shared" si="21"/>
        <v>2025</v>
      </c>
      <c r="U315">
        <f t="shared" si="22"/>
        <v>12</v>
      </c>
      <c r="V315">
        <f t="shared" si="23"/>
        <v>12</v>
      </c>
      <c r="W315" s="15">
        <f t="shared" si="24"/>
        <v>6000</v>
      </c>
      <c r="X315">
        <f>VLOOKUP(B315,'[25]Cancel Sent on March 12'!$B:$B,1,0)</f>
        <v>76253767</v>
      </c>
    </row>
    <row r="316" spans="1:24">
      <c r="A316" t="s">
        <v>291</v>
      </c>
      <c r="B316">
        <v>76256562</v>
      </c>
      <c r="C316">
        <v>76256562</v>
      </c>
      <c r="D316" t="s">
        <v>39</v>
      </c>
      <c r="E316">
        <v>300</v>
      </c>
      <c r="F316" t="e">
        <v>#N/A</v>
      </c>
      <c r="G316" t="e">
        <v>#N/A</v>
      </c>
      <c r="H316" t="e">
        <v>#N/A</v>
      </c>
      <c r="I316" t="e">
        <v>#N/A</v>
      </c>
      <c r="Q316" s="30" t="s">
        <v>8824</v>
      </c>
      <c r="R316" t="s">
        <v>8798</v>
      </c>
      <c r="S316">
        <f t="shared" si="20"/>
        <v>12</v>
      </c>
      <c r="T316">
        <f t="shared" si="21"/>
        <v>2025</v>
      </c>
      <c r="U316">
        <f t="shared" si="22"/>
        <v>2</v>
      </c>
      <c r="V316">
        <f t="shared" si="23"/>
        <v>2</v>
      </c>
      <c r="W316" s="15">
        <f t="shared" si="24"/>
        <v>1000</v>
      </c>
      <c r="X316">
        <f>VLOOKUP(B316,'[25]Cancel Sent on March 12'!$B:$B,1,0)</f>
        <v>76256562</v>
      </c>
    </row>
    <row r="317" spans="1:24">
      <c r="A317" t="s">
        <v>8707</v>
      </c>
      <c r="B317">
        <v>96124130</v>
      </c>
      <c r="C317">
        <v>96124130</v>
      </c>
      <c r="D317" t="s">
        <v>39</v>
      </c>
      <c r="E317">
        <v>450</v>
      </c>
      <c r="F317" t="e">
        <v>#N/A</v>
      </c>
      <c r="G317" t="e">
        <v>#N/A</v>
      </c>
      <c r="H317" t="e">
        <v>#N/A</v>
      </c>
      <c r="I317" t="e">
        <v>#N/A</v>
      </c>
      <c r="K317" t="s">
        <v>8727</v>
      </c>
      <c r="L317" s="29">
        <v>44781</v>
      </c>
      <c r="M317" t="s">
        <v>8731</v>
      </c>
      <c r="P317" t="s">
        <v>306</v>
      </c>
      <c r="Q317" s="30" t="s">
        <v>8868</v>
      </c>
      <c r="R317" t="s">
        <v>8798</v>
      </c>
      <c r="S317">
        <f t="shared" si="20"/>
        <v>8</v>
      </c>
      <c r="T317">
        <f t="shared" si="21"/>
        <v>2022</v>
      </c>
      <c r="U317">
        <f t="shared" si="22"/>
        <v>42</v>
      </c>
      <c r="V317">
        <f t="shared" si="23"/>
        <v>20</v>
      </c>
      <c r="W317" s="15">
        <f t="shared" si="24"/>
        <v>22900</v>
      </c>
      <c r="X317">
        <f>VLOOKUP(B317,'[25]Cancel Sent on March 12'!$B:$B,1,0)</f>
        <v>96124130</v>
      </c>
    </row>
    <row r="318" spans="1:24" hidden="1">
      <c r="E318">
        <v>110000</v>
      </c>
      <c r="Q318" s="30"/>
      <c r="W318" s="15">
        <f>SUM(W2:W317)</f>
        <v>2391250</v>
      </c>
    </row>
    <row r="319" spans="1:24" hidden="1">
      <c r="W319" s="15">
        <f t="shared" ref="W319:W322" si="25">U319*E319+V319*200</f>
        <v>0</v>
      </c>
    </row>
    <row r="320" spans="1:24" hidden="1">
      <c r="W320" s="15">
        <f t="shared" si="25"/>
        <v>0</v>
      </c>
    </row>
    <row r="321" spans="7:23" hidden="1">
      <c r="W321" s="15">
        <f t="shared" si="25"/>
        <v>0</v>
      </c>
    </row>
    <row r="322" spans="7:23" s="25" customFormat="1" hidden="1">
      <c r="G322"/>
      <c r="H322"/>
      <c r="I322"/>
      <c r="L322" s="29"/>
      <c r="Q322" s="35"/>
      <c r="R322"/>
      <c r="W322" s="15">
        <f t="shared" si="25"/>
        <v>0</v>
      </c>
    </row>
  </sheetData>
  <autoFilter ref="A1:X322" xr:uid="{5D09A899-AD32-46F5-8A50-18217B190AB4}">
    <filterColumn colId="23">
      <filters>
        <filter val="01196701"/>
        <filter val="01325978"/>
        <filter val="01326415"/>
        <filter val="01326417"/>
        <filter val="01327159"/>
        <filter val="05013303"/>
        <filter val="05120802"/>
        <filter val="05139104"/>
        <filter val="05154801"/>
        <filter val="05159501"/>
        <filter val="05197701"/>
        <filter val="05236621"/>
        <filter val="05400070"/>
        <filter val="05400098"/>
        <filter val="05710175"/>
        <filter val="08300045"/>
        <filter val="08300268"/>
        <filter val="08300301"/>
        <filter val="08310080"/>
        <filter val="09022701"/>
        <filter val="09800035"/>
        <filter val="13345702"/>
        <filter val="13497296"/>
        <filter val="13497852"/>
        <filter val="17014601"/>
        <filter val="17243902"/>
        <filter val="17250801"/>
        <filter val="17314766"/>
        <filter val="17314868"/>
        <filter val="17315164"/>
        <filter val="17315776"/>
        <filter val="25149301"/>
        <filter val="25149302"/>
        <filter val="25149303"/>
        <filter val="25149306"/>
        <filter val="25181201"/>
        <filter val="25265301"/>
        <filter val="25298953"/>
        <filter val="33237102"/>
        <filter val="37009201"/>
        <filter val="37011801"/>
        <filter val="37011804"/>
        <filter val="41002490"/>
        <filter val="41002701"/>
        <filter val="53304601"/>
        <filter val="61000917"/>
        <filter val="71034996"/>
        <filter val="71035282"/>
        <filter val="71038500"/>
        <filter val="71038684"/>
        <filter val="71039452"/>
        <filter val="71042196"/>
        <filter val="71043200"/>
        <filter val="71043922"/>
        <filter val="71046175"/>
        <filter val="71048561"/>
        <filter val="71049334"/>
        <filter val="71049962"/>
        <filter val="71050843"/>
        <filter val="71052902"/>
        <filter val="71055684"/>
        <filter val="71056369"/>
        <filter val="71057222"/>
        <filter val="71058382"/>
        <filter val="71059075"/>
        <filter val="71059471"/>
        <filter val="71063425"/>
        <filter val="76001666"/>
        <filter val="76002916"/>
        <filter val="76011186"/>
        <filter val="76012632"/>
        <filter val="76012651"/>
        <filter val="76018666"/>
        <filter val="76020145"/>
        <filter val="76020804"/>
        <filter val="76022694"/>
        <filter val="76023833"/>
        <filter val="76024700"/>
        <filter val="76024860"/>
        <filter val="76024868"/>
        <filter val="76027458"/>
        <filter val="76028219"/>
        <filter val="76028715"/>
        <filter val="76032433"/>
        <filter val="76033780"/>
        <filter val="76037856"/>
        <filter val="76039933"/>
        <filter val="76041151"/>
        <filter val="76041823"/>
        <filter val="76041856"/>
        <filter val="76042015"/>
        <filter val="76043322"/>
        <filter val="76050148"/>
        <filter val="76050150"/>
        <filter val="76051500"/>
        <filter val="76051551"/>
        <filter val="76054760"/>
        <filter val="76054901"/>
        <filter val="76057753"/>
        <filter val="76060011"/>
        <filter val="76060473"/>
        <filter val="76062180"/>
        <filter val="76062943"/>
        <filter val="76063021"/>
        <filter val="76064391"/>
        <filter val="76065792"/>
        <filter val="76066697"/>
        <filter val="76067490"/>
        <filter val="76067577"/>
        <filter val="76070690"/>
        <filter val="76071944"/>
        <filter val="76072111"/>
        <filter val="76072582"/>
        <filter val="76073569"/>
        <filter val="76073768"/>
        <filter val="76074807"/>
        <filter val="76080698"/>
        <filter val="76082198"/>
        <filter val="76082339"/>
        <filter val="76097658"/>
        <filter val="76136079"/>
        <filter val="76139324"/>
        <filter val="76140116"/>
        <filter val="76140762"/>
        <filter val="76141529"/>
        <filter val="76141532"/>
        <filter val="76142039"/>
        <filter val="76143832"/>
        <filter val="76143834"/>
        <filter val="76146342"/>
        <filter val="76146343"/>
        <filter val="76146344"/>
        <filter val="76146351"/>
        <filter val="76146353"/>
        <filter val="76149128"/>
        <filter val="76150822"/>
        <filter val="76153399"/>
        <filter val="76154600"/>
        <filter val="76156206"/>
        <filter val="76156293"/>
        <filter val="76157327"/>
        <filter val="76159608"/>
        <filter val="76159977"/>
        <filter val="76160705"/>
        <filter val="76161620"/>
        <filter val="76164481"/>
        <filter val="76166159"/>
        <filter val="76167524"/>
        <filter val="76169077"/>
        <filter val="76171893"/>
        <filter val="76174262"/>
        <filter val="76174379"/>
        <filter val="76174851"/>
        <filter val="76174859"/>
        <filter val="76175280"/>
        <filter val="76176361"/>
        <filter val="76177469"/>
        <filter val="76180664"/>
        <filter val="76181339"/>
        <filter val="76181342"/>
        <filter val="76181637"/>
        <filter val="76185786"/>
        <filter val="76187104"/>
        <filter val="76189602"/>
        <filter val="76189622"/>
        <filter val="76190137"/>
        <filter val="76191430"/>
        <filter val="76192745"/>
        <filter val="76192785"/>
        <filter val="76193859"/>
        <filter val="76193942"/>
        <filter val="76194813"/>
        <filter val="76195076"/>
        <filter val="76195721"/>
        <filter val="76196435"/>
        <filter val="76202064"/>
        <filter val="76202065"/>
        <filter val="76202516"/>
        <filter val="76203144"/>
        <filter val="76203882"/>
        <filter val="76204181"/>
        <filter val="76204182"/>
        <filter val="76204947"/>
        <filter val="76204967"/>
        <filter val="76205088"/>
        <filter val="76206328"/>
        <filter val="76206468"/>
        <filter val="76206627"/>
        <filter val="76207079"/>
        <filter val="76207108"/>
        <filter val="76208069"/>
        <filter val="76209123"/>
        <filter val="76209246"/>
        <filter val="76210722"/>
        <filter val="76210817"/>
        <filter val="76211134"/>
        <filter val="76211612"/>
        <filter val="76211737"/>
        <filter val="76211858"/>
        <filter val="76212091"/>
        <filter val="76212720"/>
        <filter val="76212903"/>
        <filter val="76213684"/>
        <filter val="76215501"/>
        <filter val="76215521"/>
        <filter val="76216232"/>
        <filter val="76216383"/>
        <filter val="76216547"/>
        <filter val="76216548"/>
        <filter val="76216609"/>
        <filter val="76217358"/>
        <filter val="76217674"/>
        <filter val="76218326"/>
        <filter val="76218822"/>
        <filter val="76219199"/>
        <filter val="76219463"/>
        <filter val="76219556"/>
        <filter val="76220198"/>
        <filter val="76220501"/>
        <filter val="76220642"/>
        <filter val="76220778"/>
        <filter val="76220843"/>
        <filter val="76220929"/>
        <filter val="76220930"/>
        <filter val="76221276"/>
        <filter val="76223771"/>
        <filter val="76224033"/>
        <filter val="76224072"/>
        <filter val="76224587"/>
        <filter val="76224894"/>
        <filter val="76225712"/>
        <filter val="76226153"/>
        <filter val="76226633"/>
        <filter val="76226653"/>
        <filter val="76226964"/>
        <filter val="76227075"/>
        <filter val="76227077"/>
        <filter val="76227081"/>
        <filter val="76227121"/>
        <filter val="76227134"/>
        <filter val="76227448"/>
        <filter val="76227449"/>
        <filter val="76227679"/>
        <filter val="76227701"/>
        <filter val="76227703"/>
        <filter val="76227757"/>
        <filter val="76228229"/>
        <filter val="76228237"/>
        <filter val="76228316"/>
        <filter val="76228629"/>
        <filter val="76229253"/>
        <filter val="76229684"/>
        <filter val="76229942"/>
        <filter val="76230427"/>
        <filter val="76230499"/>
        <filter val="76231547"/>
        <filter val="76231928"/>
        <filter val="76232064"/>
        <filter val="76232553"/>
        <filter val="76232596"/>
        <filter val="76232815"/>
        <filter val="76233048"/>
        <filter val="76233242"/>
        <filter val="76234206"/>
        <filter val="76234275"/>
        <filter val="76234979"/>
        <filter val="76234982"/>
        <filter val="76235392"/>
        <filter val="76235514"/>
        <filter val="76235642"/>
        <filter val="76236622"/>
        <filter val="76236856"/>
        <filter val="76237142"/>
        <filter val="76237167"/>
        <filter val="76237170"/>
        <filter val="76237278"/>
        <filter val="76237579"/>
        <filter val="76238024"/>
        <filter val="76238669"/>
        <filter val="76238760"/>
        <filter val="76240429"/>
        <filter val="76241005"/>
        <filter val="76241171"/>
        <filter val="76241172"/>
        <filter val="76241447"/>
        <filter val="76241522"/>
        <filter val="76241740"/>
        <filter val="76241969"/>
        <filter val="76243293"/>
        <filter val="76244521"/>
        <filter val="76244657"/>
        <filter val="76244781"/>
        <filter val="76244900"/>
        <filter val="76245003"/>
        <filter val="76245016"/>
        <filter val="76245931"/>
        <filter val="76246888"/>
        <filter val="76250378"/>
        <filter val="76251499"/>
        <filter val="76252046"/>
        <filter val="76253766"/>
        <filter val="76253767"/>
        <filter val="76256562"/>
        <filter val="96124130"/>
      </filters>
    </filterColumn>
  </autoFilter>
  <dataValidations count="3">
    <dataValidation type="list" allowBlank="1" showInputMessage="1" showErrorMessage="1" sqref="P1:P1048576" xr:uid="{AEF78424-452B-4183-8983-37288B2519F6}">
      <formula1>"Yes,No"</formula1>
    </dataValidation>
    <dataValidation type="list" allowBlank="1" showInputMessage="1" showErrorMessage="1" sqref="M1:M1048576" xr:uid="{27AE2478-DFF1-4436-B64C-2E0B852B8F25}">
      <formula1>"Standalone,Suite"</formula1>
    </dataValidation>
    <dataValidation type="list" allowBlank="1" showInputMessage="1" showErrorMessage="1" sqref="K1:K275 K277:K1048576" xr:uid="{B2F41933-BA2C-4C62-8A74-3BE36CFD701B}">
      <formula1>"ANS,BLG,INS,LSS"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14F83-82BA-4183-AB1B-BB8AAAE82516}">
  <dimension ref="B3:C12"/>
  <sheetViews>
    <sheetView workbookViewId="0">
      <selection activeCell="B3" sqref="B3:C12"/>
    </sheetView>
  </sheetViews>
  <sheetFormatPr defaultRowHeight="15"/>
  <cols>
    <col min="3" max="3" width="7.28515625" bestFit="1" customWidth="1"/>
  </cols>
  <sheetData>
    <row r="3" spans="2:3">
      <c r="B3">
        <v>1</v>
      </c>
      <c r="C3" t="s">
        <v>8869</v>
      </c>
    </row>
    <row r="4" spans="2:3">
      <c r="B4">
        <v>2</v>
      </c>
      <c r="C4" t="s">
        <v>8870</v>
      </c>
    </row>
    <row r="5" spans="2:3">
      <c r="B5">
        <v>3</v>
      </c>
      <c r="C5" t="s">
        <v>8871</v>
      </c>
    </row>
    <row r="6" spans="2:3">
      <c r="B6">
        <v>4</v>
      </c>
      <c r="C6" t="s">
        <v>8872</v>
      </c>
    </row>
    <row r="7" spans="2:3">
      <c r="B7">
        <v>5</v>
      </c>
      <c r="C7" t="s">
        <v>8873</v>
      </c>
    </row>
    <row r="8" spans="2:3">
      <c r="B8">
        <v>6</v>
      </c>
      <c r="C8" t="s">
        <v>8874</v>
      </c>
    </row>
    <row r="9" spans="2:3">
      <c r="B9">
        <v>7</v>
      </c>
      <c r="C9" t="s">
        <v>8875</v>
      </c>
    </row>
    <row r="10" spans="2:3">
      <c r="B10">
        <v>8</v>
      </c>
      <c r="C10" t="s">
        <v>8876</v>
      </c>
    </row>
    <row r="11" spans="2:3">
      <c r="B11">
        <v>9</v>
      </c>
      <c r="C11" t="s">
        <v>8877</v>
      </c>
    </row>
    <row r="12" spans="2:3">
      <c r="B12">
        <v>10</v>
      </c>
      <c r="C12" t="s">
        <v>8878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Huang, Lei</dc:creator>
  <cp:keywords/>
  <dc:description/>
  <cp:lastModifiedBy/>
  <cp:revision/>
  <dcterms:created xsi:type="dcterms:W3CDTF">2026-05-13T17:54:40Z</dcterms:created>
  <dcterms:modified xsi:type="dcterms:W3CDTF">2026-06-10T13:43:11Z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